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D780E66A-00C4-4A11-BF4B-0A63E893251A}" xr6:coauthVersionLast="45" xr6:coauthVersionMax="47" xr10:uidLastSave="{00000000-0000-0000-0000-000000000000}"/>
  <bookViews>
    <workbookView xWindow="-120" yWindow="-120" windowWidth="29040" windowHeight="15840" firstSheet="16" activeTab="22" xr2:uid="{00000000-000D-0000-FFFF-FFFF00000000}"/>
  </bookViews>
  <sheets>
    <sheet name="(February 2026)" sheetId="814" r:id="rId1"/>
    <sheet name="(2)" sheetId="1734" r:id="rId2"/>
    <sheet name="02,02 R1" sheetId="1735" r:id="rId3"/>
    <sheet name="02,02 R2" sheetId="1736" r:id="rId4"/>
    <sheet name="02,02 R3" sheetId="1737" r:id="rId5"/>
    <sheet name="(3)" sheetId="1750" r:id="rId6"/>
    <sheet name="02,03 R1" sheetId="1751" r:id="rId7"/>
    <sheet name="02,03 R2" sheetId="1752" r:id="rId8"/>
    <sheet name="02,03 R3" sheetId="1753" r:id="rId9"/>
    <sheet name="(4)" sheetId="1754" r:id="rId10"/>
    <sheet name="02,04 R1" sheetId="1755" r:id="rId11"/>
    <sheet name="02,04 R2" sheetId="1756" r:id="rId12"/>
    <sheet name="02,04 R3" sheetId="1757" r:id="rId13"/>
    <sheet name="(5)" sheetId="1758" r:id="rId14"/>
    <sheet name="02,05 R1" sheetId="1759" r:id="rId15"/>
    <sheet name="02,05 R2" sheetId="1760" r:id="rId16"/>
    <sheet name="02,05 R3" sheetId="1761" r:id="rId17"/>
    <sheet name="(6)" sheetId="1762" r:id="rId18"/>
    <sheet name="02,06 R1" sheetId="1763" r:id="rId19"/>
    <sheet name="02,06 R2" sheetId="1764" r:id="rId20"/>
    <sheet name="02,06 R3 NO TRIP" sheetId="1765" r:id="rId21"/>
    <sheet name="(7)" sheetId="1766" r:id="rId22"/>
    <sheet name="02,07 R1" sheetId="1767" r:id="rId23"/>
    <sheet name="02,07 R2" sheetId="1768" r:id="rId24"/>
    <sheet name="02,07 R3" sheetId="1769" r:id="rId25"/>
    <sheet name="(9)" sheetId="1770" r:id="rId26"/>
    <sheet name="02,09 R1" sheetId="1771" r:id="rId27"/>
    <sheet name="02,09 R2" sheetId="1772" r:id="rId28"/>
    <sheet name="02,09 R3" sheetId="1773" r:id="rId29"/>
  </sheets>
  <definedNames>
    <definedName name="_xlnm.Print_Area" localSheetId="1">'(2)'!$A$1:$J$60</definedName>
    <definedName name="_xlnm.Print_Area" localSheetId="5">'(3)'!$A$1:$J$60</definedName>
    <definedName name="_xlnm.Print_Area" localSheetId="9">'(4)'!$A$1:$J$60</definedName>
    <definedName name="_xlnm.Print_Area" localSheetId="13">'(5)'!$A$1:$J$60</definedName>
    <definedName name="_xlnm.Print_Area" localSheetId="17">'(6)'!$A$1:$J$60</definedName>
    <definedName name="_xlnm.Print_Area" localSheetId="21">'(7)'!$A$1:$J$60</definedName>
    <definedName name="_xlnm.Print_Area" localSheetId="25">'(9)'!$A$1:$J$60</definedName>
    <definedName name="_xlnm.Print_Area" localSheetId="2">'02,02 R1'!$A$1:$J$60</definedName>
    <definedName name="_xlnm.Print_Area" localSheetId="3">'02,02 R2'!$A$1:$J$60</definedName>
    <definedName name="_xlnm.Print_Area" localSheetId="4">'02,02 R3'!$A$1:$J$60</definedName>
    <definedName name="_xlnm.Print_Area" localSheetId="6">'02,03 R1'!$A$1:$J$60</definedName>
    <definedName name="_xlnm.Print_Area" localSheetId="7">'02,03 R2'!$A$1:$J$60</definedName>
    <definedName name="_xlnm.Print_Area" localSheetId="8">'02,03 R3'!$A$1:$J$60</definedName>
    <definedName name="_xlnm.Print_Area" localSheetId="10">'02,04 R1'!$A$1:$J$60</definedName>
    <definedName name="_xlnm.Print_Area" localSheetId="11">'02,04 R2'!$A$1:$J$60</definedName>
    <definedName name="_xlnm.Print_Area" localSheetId="12">'02,04 R3'!$A$1:$J$60</definedName>
    <definedName name="_xlnm.Print_Area" localSheetId="14">'02,05 R1'!$A$1:$J$60</definedName>
    <definedName name="_xlnm.Print_Area" localSheetId="15">'02,05 R2'!$A$1:$J$60</definedName>
    <definedName name="_xlnm.Print_Area" localSheetId="16">'02,05 R3'!$A$1:$J$60</definedName>
    <definedName name="_xlnm.Print_Area" localSheetId="18">'02,06 R1'!$A$1:$J$60</definedName>
    <definedName name="_xlnm.Print_Area" localSheetId="19">'02,06 R2'!$A$1:$J$60</definedName>
    <definedName name="_xlnm.Print_Area" localSheetId="20">'02,06 R3 NO TRIP'!$A$1:$J$60</definedName>
    <definedName name="_xlnm.Print_Area" localSheetId="22">'02,07 R1'!$A$1:$J$60</definedName>
    <definedName name="_xlnm.Print_Area" localSheetId="23">'02,07 R2'!$A$1:$J$60</definedName>
    <definedName name="_xlnm.Print_Area" localSheetId="24">'02,07 R3'!$A$1:$J$60</definedName>
    <definedName name="_xlnm.Print_Area" localSheetId="26">'02,09 R1'!$A$1:$J$60</definedName>
    <definedName name="_xlnm.Print_Area" localSheetId="27">'02,09 R2'!$A$1:$J$60</definedName>
    <definedName name="_xlnm.Print_Area" localSheetId="28">'02,09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" i="1769" l="1"/>
  <c r="H16" i="1768"/>
  <c r="C12" i="1767" l="1"/>
  <c r="C23" i="1763" l="1"/>
  <c r="C20" i="1763"/>
  <c r="C12" i="1763"/>
  <c r="C21" i="1763"/>
  <c r="L25" i="1761" l="1"/>
  <c r="C19" i="1760"/>
  <c r="H16" i="1761"/>
  <c r="H44" i="1761"/>
  <c r="H16" i="1760"/>
  <c r="H16" i="1757" l="1"/>
  <c r="H16" i="1753" l="1"/>
  <c r="H16" i="1752"/>
  <c r="H16" i="1751"/>
  <c r="C23" i="1753"/>
  <c r="C21" i="1752"/>
  <c r="L26" i="1751"/>
  <c r="L25" i="1751"/>
  <c r="C21" i="1751"/>
  <c r="H16" i="1737" l="1"/>
  <c r="H16" i="1736"/>
  <c r="H16" i="1735"/>
  <c r="R52" i="1773" l="1"/>
  <c r="R51" i="1773"/>
  <c r="D50" i="1773"/>
  <c r="R49" i="1773"/>
  <c r="D49" i="1773"/>
  <c r="R48" i="1773"/>
  <c r="D48" i="1773"/>
  <c r="D46" i="1773"/>
  <c r="D45" i="1773"/>
  <c r="R44" i="1773"/>
  <c r="D44" i="1773"/>
  <c r="R42" i="1773"/>
  <c r="L6" i="1773" s="1"/>
  <c r="D6" i="1773" s="1"/>
  <c r="D42" i="1773"/>
  <c r="R41" i="1773"/>
  <c r="L7" i="1773" s="1"/>
  <c r="D7" i="1773" s="1"/>
  <c r="D41" i="1773"/>
  <c r="R40" i="1773"/>
  <c r="D40" i="1773"/>
  <c r="R39" i="1773"/>
  <c r="H39" i="1773"/>
  <c r="D39" i="1773"/>
  <c r="R38" i="1773"/>
  <c r="L9" i="1773" s="1"/>
  <c r="D9" i="1773" s="1"/>
  <c r="H38" i="1773"/>
  <c r="D38" i="1773"/>
  <c r="R37" i="1773"/>
  <c r="H37" i="1773"/>
  <c r="D37" i="1773"/>
  <c r="R36" i="1773"/>
  <c r="H36" i="1773"/>
  <c r="G49" i="1773" s="1"/>
  <c r="D36" i="1773"/>
  <c r="R35" i="1773"/>
  <c r="H35" i="1773"/>
  <c r="D35" i="1773"/>
  <c r="D54" i="1773" s="1"/>
  <c r="H14" i="1773" s="1"/>
  <c r="R34" i="1773"/>
  <c r="L12" i="1773" s="1"/>
  <c r="D12" i="1773" s="1"/>
  <c r="H34" i="1773"/>
  <c r="D34" i="1773"/>
  <c r="R33" i="1773"/>
  <c r="R32" i="1773"/>
  <c r="L11" i="1773" s="1"/>
  <c r="D11" i="1773" s="1"/>
  <c r="R31" i="1773"/>
  <c r="R30" i="1773"/>
  <c r="R29" i="1773"/>
  <c r="R28" i="1773"/>
  <c r="L28" i="1773"/>
  <c r="D28" i="1773"/>
  <c r="R27" i="1773"/>
  <c r="D27" i="1773"/>
  <c r="R26" i="1773"/>
  <c r="L26" i="1773"/>
  <c r="D26" i="1773" s="1"/>
  <c r="R25" i="1773"/>
  <c r="L25" i="1773"/>
  <c r="D25" i="1773" s="1"/>
  <c r="R24" i="1773"/>
  <c r="D24" i="1773"/>
  <c r="R23" i="1773"/>
  <c r="L23" i="1773"/>
  <c r="D23" i="1773" s="1"/>
  <c r="R22" i="1773"/>
  <c r="L22" i="1773"/>
  <c r="D22" i="1773"/>
  <c r="R21" i="1773"/>
  <c r="D21" i="1773"/>
  <c r="R20" i="1773"/>
  <c r="L20" i="1773"/>
  <c r="D20" i="1773" s="1"/>
  <c r="R19" i="1773"/>
  <c r="L19" i="1773"/>
  <c r="D19" i="1773" s="1"/>
  <c r="R18" i="1773"/>
  <c r="D18" i="1773"/>
  <c r="R17" i="1773"/>
  <c r="D17" i="1773"/>
  <c r="R16" i="1773"/>
  <c r="L16" i="1773"/>
  <c r="D16" i="1773"/>
  <c r="R15" i="1773"/>
  <c r="D15" i="1773"/>
  <c r="R14" i="1773"/>
  <c r="D14" i="1773"/>
  <c r="R13" i="1773"/>
  <c r="D13" i="1773"/>
  <c r="R12" i="1773"/>
  <c r="R11" i="1773"/>
  <c r="L10" i="1773"/>
  <c r="D10" i="1773"/>
  <c r="L8" i="1773"/>
  <c r="D8" i="1773" s="1"/>
  <c r="R6" i="1773"/>
  <c r="R5" i="1773"/>
  <c r="R4" i="1773"/>
  <c r="R52" i="1772"/>
  <c r="R51" i="1772"/>
  <c r="D50" i="1772"/>
  <c r="R49" i="1772"/>
  <c r="D49" i="1772"/>
  <c r="R48" i="1772"/>
  <c r="D48" i="1772"/>
  <c r="D46" i="1772"/>
  <c r="D45" i="1772"/>
  <c r="R44" i="1772"/>
  <c r="D44" i="1772"/>
  <c r="R42" i="1772"/>
  <c r="D42" i="1772"/>
  <c r="R41" i="1772"/>
  <c r="D41" i="1772"/>
  <c r="R40" i="1772"/>
  <c r="D40" i="1772"/>
  <c r="R39" i="1772"/>
  <c r="H39" i="1772"/>
  <c r="D39" i="1772"/>
  <c r="R38" i="1772"/>
  <c r="H38" i="1772"/>
  <c r="D38" i="1772"/>
  <c r="R37" i="1772"/>
  <c r="H37" i="1772"/>
  <c r="D37" i="1772"/>
  <c r="R36" i="1772"/>
  <c r="L10" i="1772" s="1"/>
  <c r="D10" i="1772" s="1"/>
  <c r="H36" i="1772"/>
  <c r="D36" i="1772"/>
  <c r="R35" i="1772"/>
  <c r="H35" i="1772"/>
  <c r="D35" i="1772"/>
  <c r="R34" i="1772"/>
  <c r="H34" i="1772"/>
  <c r="G49" i="1772" s="1"/>
  <c r="D34" i="1772"/>
  <c r="D54" i="1772" s="1"/>
  <c r="H14" i="1772" s="1"/>
  <c r="R33" i="1772"/>
  <c r="R32" i="1772"/>
  <c r="R31" i="1772"/>
  <c r="R30" i="1772"/>
  <c r="R29" i="1772"/>
  <c r="R28" i="1772"/>
  <c r="L28" i="1772"/>
  <c r="D28" i="1772"/>
  <c r="R27" i="1772"/>
  <c r="D27" i="1772"/>
  <c r="R26" i="1772"/>
  <c r="L26" i="1772"/>
  <c r="D26" i="1772"/>
  <c r="R25" i="1772"/>
  <c r="L25" i="1772"/>
  <c r="D25" i="1772" s="1"/>
  <c r="R24" i="1772"/>
  <c r="L24" i="1772"/>
  <c r="D24" i="1772" s="1"/>
  <c r="R23" i="1772"/>
  <c r="L23" i="1772"/>
  <c r="D23" i="1772" s="1"/>
  <c r="R22" i="1772"/>
  <c r="L22" i="1772"/>
  <c r="D22" i="1772" s="1"/>
  <c r="R21" i="1772"/>
  <c r="L17" i="1772" s="1"/>
  <c r="D17" i="1772" s="1"/>
  <c r="D21" i="1772"/>
  <c r="R20" i="1772"/>
  <c r="L20" i="1772"/>
  <c r="D20" i="1772" s="1"/>
  <c r="R19" i="1772"/>
  <c r="L19" i="1772"/>
  <c r="D19" i="1772"/>
  <c r="R18" i="1772"/>
  <c r="D18" i="1772"/>
  <c r="R17" i="1772"/>
  <c r="R16" i="1772"/>
  <c r="L16" i="1772"/>
  <c r="D16" i="1772" s="1"/>
  <c r="R15" i="1772"/>
  <c r="D15" i="1772"/>
  <c r="R14" i="1772"/>
  <c r="D14" i="1772"/>
  <c r="R13" i="1772"/>
  <c r="D13" i="1772"/>
  <c r="R12" i="1772"/>
  <c r="L12" i="1772"/>
  <c r="D12" i="1772" s="1"/>
  <c r="R11" i="1772"/>
  <c r="L11" i="1772"/>
  <c r="D11" i="1772"/>
  <c r="L9" i="1772"/>
  <c r="D9" i="1772"/>
  <c r="L8" i="1772"/>
  <c r="D8" i="1772" s="1"/>
  <c r="L7" i="1772"/>
  <c r="D7" i="1772" s="1"/>
  <c r="R6" i="1772"/>
  <c r="L6" i="1772"/>
  <c r="D6" i="1772" s="1"/>
  <c r="R5" i="1772"/>
  <c r="R4" i="1772"/>
  <c r="R52" i="1771"/>
  <c r="R51" i="1771"/>
  <c r="D50" i="1771"/>
  <c r="R49" i="1771"/>
  <c r="D49" i="1771"/>
  <c r="R48" i="1771"/>
  <c r="D48" i="1771"/>
  <c r="D46" i="1771"/>
  <c r="D45" i="1771"/>
  <c r="R44" i="1771"/>
  <c r="L28" i="1771" s="1"/>
  <c r="D28" i="1771" s="1"/>
  <c r="D44" i="1771"/>
  <c r="R42" i="1771"/>
  <c r="D42" i="1771"/>
  <c r="R41" i="1771"/>
  <c r="D41" i="1771"/>
  <c r="R40" i="1771"/>
  <c r="D40" i="1771"/>
  <c r="R39" i="1771"/>
  <c r="L20" i="1771" s="1"/>
  <c r="D20" i="1771" s="1"/>
  <c r="H39" i="1771"/>
  <c r="D39" i="1771"/>
  <c r="R38" i="1771"/>
  <c r="H38" i="1771"/>
  <c r="D38" i="1771"/>
  <c r="R37" i="1771"/>
  <c r="H37" i="1771"/>
  <c r="D37" i="1771"/>
  <c r="R36" i="1771"/>
  <c r="H36" i="1771"/>
  <c r="D36" i="1771"/>
  <c r="R35" i="1771"/>
  <c r="H35" i="1771"/>
  <c r="D35" i="1771"/>
  <c r="R34" i="1771"/>
  <c r="L12" i="1771" s="1"/>
  <c r="D12" i="1771" s="1"/>
  <c r="H34" i="1771"/>
  <c r="G49" i="1771" s="1"/>
  <c r="D34" i="1771"/>
  <c r="D54" i="1771" s="1"/>
  <c r="H14" i="1771" s="1"/>
  <c r="R33" i="1771"/>
  <c r="R32" i="1771"/>
  <c r="L11" i="1771" s="1"/>
  <c r="D11" i="1771" s="1"/>
  <c r="R31" i="1771"/>
  <c r="R30" i="1771"/>
  <c r="R29" i="1771"/>
  <c r="R28" i="1771"/>
  <c r="R27" i="1771"/>
  <c r="D27" i="1771"/>
  <c r="R26" i="1771"/>
  <c r="L26" i="1771"/>
  <c r="D26" i="1771" s="1"/>
  <c r="R25" i="1771"/>
  <c r="L25" i="1771"/>
  <c r="D25" i="1771"/>
  <c r="R24" i="1771"/>
  <c r="L24" i="1771"/>
  <c r="D24" i="1771"/>
  <c r="R23" i="1771"/>
  <c r="D23" i="1771"/>
  <c r="R22" i="1771"/>
  <c r="D22" i="1771"/>
  <c r="R21" i="1771"/>
  <c r="D21" i="1771"/>
  <c r="R20" i="1771"/>
  <c r="R19" i="1771"/>
  <c r="D19" i="1771"/>
  <c r="R18" i="1771"/>
  <c r="D18" i="1771"/>
  <c r="R17" i="1771"/>
  <c r="L17" i="1771"/>
  <c r="D17" i="1771"/>
  <c r="R16" i="1771"/>
  <c r="L16" i="1771"/>
  <c r="D16" i="1771" s="1"/>
  <c r="R15" i="1771"/>
  <c r="D15" i="1771"/>
  <c r="R14" i="1771"/>
  <c r="D14" i="1771"/>
  <c r="R13" i="1771"/>
  <c r="D13" i="1771"/>
  <c r="R12" i="1771"/>
  <c r="R11" i="1771"/>
  <c r="L10" i="1771"/>
  <c r="D10" i="1771" s="1"/>
  <c r="L9" i="1771"/>
  <c r="D9" i="1771" s="1"/>
  <c r="L8" i="1771"/>
  <c r="D8" i="1771" s="1"/>
  <c r="L7" i="1771"/>
  <c r="D7" i="1771"/>
  <c r="R6" i="1771"/>
  <c r="L6" i="1771"/>
  <c r="D6" i="1771"/>
  <c r="R5" i="1771"/>
  <c r="R4" i="1771"/>
  <c r="R52" i="1770"/>
  <c r="R51" i="1770"/>
  <c r="D50" i="1770"/>
  <c r="R49" i="1770"/>
  <c r="G49" i="1770"/>
  <c r="D49" i="1770"/>
  <c r="R48" i="1770"/>
  <c r="D48" i="1770"/>
  <c r="D46" i="1770"/>
  <c r="D45" i="1770"/>
  <c r="D44" i="1770"/>
  <c r="R42" i="1770"/>
  <c r="L6" i="1770" s="1"/>
  <c r="D6" i="1770" s="1"/>
  <c r="D42" i="1770"/>
  <c r="R41" i="1770"/>
  <c r="L7" i="1770" s="1"/>
  <c r="D7" i="1770" s="1"/>
  <c r="D41" i="1770"/>
  <c r="R40" i="1770"/>
  <c r="D40" i="1770"/>
  <c r="R39" i="1770"/>
  <c r="D39" i="1770"/>
  <c r="R38" i="1770"/>
  <c r="D38" i="1770"/>
  <c r="R37" i="1770"/>
  <c r="D37" i="1770"/>
  <c r="R36" i="1770"/>
  <c r="L10" i="1770" s="1"/>
  <c r="D10" i="1770" s="1"/>
  <c r="D36" i="1770"/>
  <c r="R35" i="1770"/>
  <c r="D35" i="1770"/>
  <c r="R34" i="1770"/>
  <c r="D34" i="1770"/>
  <c r="D54" i="1770" s="1"/>
  <c r="H14" i="1770" s="1"/>
  <c r="R33" i="1770"/>
  <c r="L23" i="1770" s="1"/>
  <c r="D23" i="1770" s="1"/>
  <c r="R32" i="1770"/>
  <c r="R31" i="1770"/>
  <c r="R30" i="1770"/>
  <c r="R29" i="1770"/>
  <c r="R28" i="1770"/>
  <c r="L16" i="1770" s="1"/>
  <c r="D16" i="1770" s="1"/>
  <c r="D28" i="1770"/>
  <c r="R27" i="1770"/>
  <c r="D27" i="1770"/>
  <c r="R26" i="1770"/>
  <c r="L26" i="1770"/>
  <c r="D26" i="1770" s="1"/>
  <c r="R25" i="1770"/>
  <c r="L25" i="1770"/>
  <c r="D25" i="1770"/>
  <c r="R24" i="1770"/>
  <c r="D24" i="1770"/>
  <c r="R23" i="1770"/>
  <c r="R22" i="1770"/>
  <c r="L22" i="1770"/>
  <c r="D22" i="1770" s="1"/>
  <c r="R21" i="1770"/>
  <c r="D21" i="1770"/>
  <c r="R20" i="1770"/>
  <c r="L20" i="1770"/>
  <c r="D20" i="1770" s="1"/>
  <c r="R19" i="1770"/>
  <c r="L19" i="1770"/>
  <c r="D19" i="1770"/>
  <c r="R18" i="1770"/>
  <c r="D18" i="1770"/>
  <c r="R17" i="1770"/>
  <c r="D17" i="1770"/>
  <c r="R16" i="1770"/>
  <c r="S15" i="1770"/>
  <c r="R15" i="1770"/>
  <c r="D15" i="1770"/>
  <c r="S14" i="1770"/>
  <c r="R14" i="1770"/>
  <c r="D14" i="1770"/>
  <c r="R13" i="1770"/>
  <c r="D13" i="1770"/>
  <c r="R12" i="1770"/>
  <c r="L12" i="1770"/>
  <c r="D12" i="1770" s="1"/>
  <c r="R11" i="1770"/>
  <c r="L11" i="1770"/>
  <c r="D11" i="1770" s="1"/>
  <c r="L9" i="1770"/>
  <c r="D9" i="1770"/>
  <c r="L8" i="1770"/>
  <c r="D8" i="1770" s="1"/>
  <c r="R6" i="1770"/>
  <c r="R5" i="1770"/>
  <c r="R4" i="1770"/>
  <c r="R52" i="1769"/>
  <c r="R51" i="1769"/>
  <c r="D50" i="1769"/>
  <c r="R49" i="1769"/>
  <c r="D49" i="1769"/>
  <c r="R48" i="1769"/>
  <c r="D48" i="1769"/>
  <c r="D46" i="1769"/>
  <c r="D45" i="1769"/>
  <c r="R44" i="1769"/>
  <c r="L28" i="1769" s="1"/>
  <c r="D28" i="1769" s="1"/>
  <c r="D44" i="1769"/>
  <c r="R42" i="1769"/>
  <c r="L6" i="1769" s="1"/>
  <c r="D6" i="1769" s="1"/>
  <c r="D42" i="1769"/>
  <c r="R41" i="1769"/>
  <c r="D41" i="1769"/>
  <c r="R40" i="1769"/>
  <c r="D40" i="1769"/>
  <c r="R39" i="1769"/>
  <c r="H39" i="1769"/>
  <c r="D39" i="1769"/>
  <c r="R38" i="1769"/>
  <c r="H38" i="1769"/>
  <c r="D38" i="1769"/>
  <c r="R37" i="1769"/>
  <c r="H37" i="1769"/>
  <c r="D37" i="1769"/>
  <c r="R36" i="1769"/>
  <c r="L10" i="1769" s="1"/>
  <c r="D10" i="1769" s="1"/>
  <c r="H36" i="1769"/>
  <c r="D36" i="1769"/>
  <c r="R35" i="1769"/>
  <c r="L19" i="1769" s="1"/>
  <c r="D19" i="1769" s="1"/>
  <c r="H35" i="1769"/>
  <c r="D35" i="1769"/>
  <c r="R34" i="1769"/>
  <c r="H34" i="1769"/>
  <c r="D34" i="1769"/>
  <c r="R33" i="1769"/>
  <c r="R32" i="1769"/>
  <c r="R31" i="1769"/>
  <c r="R30" i="1769"/>
  <c r="R29" i="1769"/>
  <c r="R28" i="1769"/>
  <c r="L16" i="1769" s="1"/>
  <c r="D16" i="1769" s="1"/>
  <c r="R27" i="1769"/>
  <c r="D27" i="1769"/>
  <c r="R26" i="1769"/>
  <c r="L26" i="1769"/>
  <c r="D26" i="1769" s="1"/>
  <c r="R25" i="1769"/>
  <c r="L25" i="1769"/>
  <c r="D25" i="1769" s="1"/>
  <c r="R24" i="1769"/>
  <c r="D24" i="1769"/>
  <c r="R23" i="1769"/>
  <c r="L23" i="1769"/>
  <c r="D23" i="1769"/>
  <c r="R22" i="1769"/>
  <c r="L22" i="1769"/>
  <c r="D22" i="1769"/>
  <c r="R21" i="1769"/>
  <c r="D21" i="1769"/>
  <c r="R20" i="1769"/>
  <c r="L20" i="1769"/>
  <c r="D20" i="1769"/>
  <c r="R19" i="1769"/>
  <c r="R18" i="1769"/>
  <c r="D18" i="1769"/>
  <c r="R17" i="1769"/>
  <c r="D17" i="1769"/>
  <c r="R16" i="1769"/>
  <c r="R15" i="1769"/>
  <c r="D15" i="1769"/>
  <c r="R14" i="1769"/>
  <c r="D14" i="1769"/>
  <c r="R13" i="1769"/>
  <c r="D13" i="1769"/>
  <c r="R12" i="1769"/>
  <c r="L12" i="1769"/>
  <c r="D12" i="1769" s="1"/>
  <c r="R11" i="1769"/>
  <c r="L11" i="1769"/>
  <c r="D11" i="1769"/>
  <c r="L9" i="1769"/>
  <c r="D9" i="1769" s="1"/>
  <c r="L8" i="1769"/>
  <c r="D8" i="1769"/>
  <c r="L7" i="1769"/>
  <c r="D7" i="1769" s="1"/>
  <c r="R6" i="1769"/>
  <c r="R5" i="1769"/>
  <c r="R4" i="1769"/>
  <c r="R52" i="1768"/>
  <c r="R51" i="1768"/>
  <c r="D50" i="1768"/>
  <c r="R49" i="1768"/>
  <c r="D49" i="1768"/>
  <c r="R48" i="1768"/>
  <c r="D48" i="1768"/>
  <c r="D46" i="1768"/>
  <c r="D45" i="1768"/>
  <c r="R44" i="1768"/>
  <c r="D44" i="1768"/>
  <c r="R42" i="1768"/>
  <c r="D42" i="1768"/>
  <c r="R41" i="1768"/>
  <c r="D41" i="1768"/>
  <c r="R40" i="1768"/>
  <c r="D40" i="1768"/>
  <c r="R39" i="1768"/>
  <c r="H39" i="1768"/>
  <c r="D39" i="1768"/>
  <c r="R38" i="1768"/>
  <c r="H38" i="1768"/>
  <c r="D38" i="1768"/>
  <c r="R37" i="1768"/>
  <c r="H37" i="1768"/>
  <c r="D37" i="1768"/>
  <c r="R36" i="1768"/>
  <c r="L10" i="1768" s="1"/>
  <c r="D10" i="1768" s="1"/>
  <c r="H36" i="1768"/>
  <c r="D36" i="1768"/>
  <c r="R35" i="1768"/>
  <c r="H35" i="1768"/>
  <c r="D35" i="1768"/>
  <c r="R34" i="1768"/>
  <c r="H34" i="1768"/>
  <c r="D34" i="1768"/>
  <c r="R33" i="1768"/>
  <c r="L23" i="1768" s="1"/>
  <c r="D23" i="1768" s="1"/>
  <c r="R32" i="1768"/>
  <c r="R31" i="1768"/>
  <c r="R30" i="1768"/>
  <c r="R29" i="1768"/>
  <c r="R28" i="1768"/>
  <c r="L28" i="1768"/>
  <c r="D28" i="1768"/>
  <c r="R27" i="1768"/>
  <c r="D27" i="1768"/>
  <c r="R26" i="1768"/>
  <c r="L26" i="1768"/>
  <c r="D26" i="1768"/>
  <c r="R25" i="1768"/>
  <c r="L25" i="1768"/>
  <c r="D25" i="1768" s="1"/>
  <c r="R24" i="1768"/>
  <c r="L24" i="1768"/>
  <c r="D24" i="1768" s="1"/>
  <c r="R23" i="1768"/>
  <c r="R22" i="1768"/>
  <c r="L22" i="1768"/>
  <c r="D22" i="1768" s="1"/>
  <c r="R21" i="1768"/>
  <c r="L17" i="1768" s="1"/>
  <c r="D17" i="1768" s="1"/>
  <c r="D21" i="1768"/>
  <c r="R20" i="1768"/>
  <c r="L20" i="1768"/>
  <c r="D20" i="1768" s="1"/>
  <c r="R19" i="1768"/>
  <c r="L19" i="1768"/>
  <c r="D19" i="1768" s="1"/>
  <c r="R18" i="1768"/>
  <c r="D18" i="1768"/>
  <c r="R17" i="1768"/>
  <c r="R16" i="1768"/>
  <c r="L16" i="1768"/>
  <c r="D16" i="1768" s="1"/>
  <c r="R15" i="1768"/>
  <c r="D15" i="1768"/>
  <c r="R14" i="1768"/>
  <c r="D14" i="1768"/>
  <c r="R13" i="1768"/>
  <c r="D13" i="1768"/>
  <c r="R12" i="1768"/>
  <c r="L12" i="1768"/>
  <c r="D12" i="1768" s="1"/>
  <c r="R11" i="1768"/>
  <c r="L11" i="1768"/>
  <c r="D11" i="1768"/>
  <c r="L9" i="1768"/>
  <c r="D9" i="1768"/>
  <c r="L8" i="1768"/>
  <c r="D8" i="1768" s="1"/>
  <c r="L7" i="1768"/>
  <c r="D7" i="1768" s="1"/>
  <c r="R6" i="1768"/>
  <c r="L6" i="1768"/>
  <c r="D6" i="1768" s="1"/>
  <c r="R5" i="1768"/>
  <c r="R4" i="1768"/>
  <c r="R52" i="1767"/>
  <c r="R51" i="1767"/>
  <c r="D50" i="1767"/>
  <c r="R49" i="1767"/>
  <c r="D49" i="1767"/>
  <c r="R48" i="1767"/>
  <c r="D48" i="1767"/>
  <c r="D46" i="1767"/>
  <c r="D45" i="1767"/>
  <c r="R44" i="1767"/>
  <c r="D44" i="1767"/>
  <c r="R42" i="1767"/>
  <c r="L6" i="1767" s="1"/>
  <c r="D6" i="1767" s="1"/>
  <c r="D42" i="1767"/>
  <c r="R41" i="1767"/>
  <c r="L7" i="1767" s="1"/>
  <c r="D7" i="1767" s="1"/>
  <c r="D41" i="1767"/>
  <c r="R40" i="1767"/>
  <c r="D40" i="1767"/>
  <c r="R39" i="1767"/>
  <c r="H39" i="1767"/>
  <c r="D39" i="1767"/>
  <c r="R38" i="1767"/>
  <c r="H38" i="1767"/>
  <c r="D38" i="1767"/>
  <c r="R37" i="1767"/>
  <c r="H37" i="1767"/>
  <c r="D37" i="1767"/>
  <c r="R36" i="1767"/>
  <c r="H36" i="1767"/>
  <c r="D36" i="1767"/>
  <c r="R35" i="1767"/>
  <c r="H35" i="1767"/>
  <c r="D35" i="1767"/>
  <c r="R34" i="1767"/>
  <c r="H34" i="1767"/>
  <c r="D34" i="1767"/>
  <c r="R33" i="1767"/>
  <c r="R32" i="1767"/>
  <c r="L11" i="1767" s="1"/>
  <c r="D11" i="1767" s="1"/>
  <c r="R31" i="1767"/>
  <c r="R30" i="1767"/>
  <c r="R29" i="1767"/>
  <c r="R28" i="1767"/>
  <c r="L28" i="1767"/>
  <c r="D28" i="1767"/>
  <c r="R27" i="1767"/>
  <c r="D27" i="1767"/>
  <c r="R26" i="1767"/>
  <c r="L26" i="1767"/>
  <c r="D26" i="1767" s="1"/>
  <c r="R25" i="1767"/>
  <c r="L25" i="1767"/>
  <c r="D25" i="1767"/>
  <c r="R24" i="1767"/>
  <c r="L24" i="1767"/>
  <c r="D24" i="1767"/>
  <c r="R23" i="1767"/>
  <c r="D23" i="1767"/>
  <c r="R22" i="1767"/>
  <c r="D22" i="1767"/>
  <c r="R21" i="1767"/>
  <c r="D21" i="1767"/>
  <c r="R20" i="1767"/>
  <c r="L20" i="1767"/>
  <c r="D20" i="1767"/>
  <c r="R19" i="1767"/>
  <c r="D19" i="1767"/>
  <c r="R18" i="1767"/>
  <c r="D18" i="1767"/>
  <c r="R17" i="1767"/>
  <c r="L17" i="1767"/>
  <c r="D17" i="1767"/>
  <c r="R16" i="1767"/>
  <c r="L16" i="1767"/>
  <c r="D16" i="1767" s="1"/>
  <c r="R15" i="1767"/>
  <c r="D15" i="1767"/>
  <c r="R14" i="1767"/>
  <c r="D14" i="1767"/>
  <c r="R13" i="1767"/>
  <c r="D13" i="1767"/>
  <c r="R12" i="1767"/>
  <c r="L12" i="1767"/>
  <c r="D12" i="1767" s="1"/>
  <c r="R11" i="1767"/>
  <c r="L10" i="1767"/>
  <c r="D10" i="1767"/>
  <c r="L9" i="1767"/>
  <c r="D9" i="1767"/>
  <c r="L8" i="1767"/>
  <c r="D8" i="1767"/>
  <c r="R6" i="1767"/>
  <c r="R5" i="1767"/>
  <c r="R4" i="1767"/>
  <c r="R52" i="1766"/>
  <c r="R51" i="1766"/>
  <c r="D50" i="1766"/>
  <c r="R49" i="1766"/>
  <c r="G49" i="1766"/>
  <c r="D49" i="1766"/>
  <c r="R48" i="1766"/>
  <c r="D48" i="1766"/>
  <c r="D46" i="1766"/>
  <c r="D45" i="1766"/>
  <c r="D44" i="1766"/>
  <c r="R42" i="1766"/>
  <c r="L6" i="1766" s="1"/>
  <c r="D6" i="1766" s="1"/>
  <c r="D42" i="1766"/>
  <c r="R41" i="1766"/>
  <c r="L7" i="1766" s="1"/>
  <c r="D7" i="1766" s="1"/>
  <c r="D41" i="1766"/>
  <c r="R40" i="1766"/>
  <c r="D40" i="1766"/>
  <c r="R39" i="1766"/>
  <c r="D39" i="1766"/>
  <c r="R38" i="1766"/>
  <c r="L9" i="1766" s="1"/>
  <c r="D9" i="1766" s="1"/>
  <c r="D38" i="1766"/>
  <c r="R37" i="1766"/>
  <c r="D37" i="1766"/>
  <c r="R36" i="1766"/>
  <c r="D36" i="1766"/>
  <c r="R35" i="1766"/>
  <c r="D35" i="1766"/>
  <c r="R34" i="1766"/>
  <c r="L12" i="1766" s="1"/>
  <c r="D12" i="1766" s="1"/>
  <c r="D34" i="1766"/>
  <c r="D54" i="1766" s="1"/>
  <c r="H14" i="1766" s="1"/>
  <c r="R33" i="1766"/>
  <c r="L23" i="1766" s="1"/>
  <c r="D23" i="1766" s="1"/>
  <c r="R32" i="1766"/>
  <c r="R31" i="1766"/>
  <c r="R30" i="1766"/>
  <c r="R29" i="1766"/>
  <c r="R28" i="1766"/>
  <c r="L16" i="1766" s="1"/>
  <c r="D16" i="1766" s="1"/>
  <c r="D28" i="1766"/>
  <c r="R27" i="1766"/>
  <c r="D27" i="1766"/>
  <c r="R26" i="1766"/>
  <c r="L26" i="1766"/>
  <c r="D26" i="1766"/>
  <c r="R25" i="1766"/>
  <c r="L25" i="1766"/>
  <c r="D25" i="1766"/>
  <c r="R24" i="1766"/>
  <c r="D24" i="1766"/>
  <c r="R23" i="1766"/>
  <c r="R22" i="1766"/>
  <c r="L22" i="1766"/>
  <c r="D22" i="1766" s="1"/>
  <c r="R21" i="1766"/>
  <c r="D21" i="1766"/>
  <c r="R20" i="1766"/>
  <c r="L20" i="1766"/>
  <c r="D20" i="1766"/>
  <c r="R19" i="1766"/>
  <c r="L19" i="1766"/>
  <c r="D19" i="1766"/>
  <c r="R18" i="1766"/>
  <c r="D18" i="1766"/>
  <c r="R17" i="1766"/>
  <c r="D17" i="1766"/>
  <c r="R16" i="1766"/>
  <c r="S15" i="1766"/>
  <c r="R15" i="1766"/>
  <c r="D15" i="1766"/>
  <c r="S14" i="1766"/>
  <c r="R14" i="1766"/>
  <c r="D14" i="1766"/>
  <c r="R13" i="1766"/>
  <c r="D13" i="1766"/>
  <c r="R12" i="1766"/>
  <c r="R11" i="1766"/>
  <c r="L11" i="1766"/>
  <c r="D11" i="1766" s="1"/>
  <c r="L10" i="1766"/>
  <c r="D10" i="1766" s="1"/>
  <c r="L8" i="1766"/>
  <c r="D8" i="1766" s="1"/>
  <c r="R6" i="1766"/>
  <c r="R5" i="1766"/>
  <c r="R4" i="1766"/>
  <c r="R52" i="1765"/>
  <c r="R51" i="1765"/>
  <c r="D50" i="1765"/>
  <c r="R49" i="1765"/>
  <c r="D49" i="1765"/>
  <c r="R48" i="1765"/>
  <c r="D48" i="1765"/>
  <c r="D46" i="1765"/>
  <c r="D45" i="1765"/>
  <c r="R44" i="1765"/>
  <c r="D44" i="1765"/>
  <c r="R42" i="1765"/>
  <c r="L6" i="1765" s="1"/>
  <c r="D6" i="1765" s="1"/>
  <c r="D29" i="1765" s="1"/>
  <c r="H13" i="1765" s="1"/>
  <c r="H15" i="1765" s="1"/>
  <c r="H29" i="1765" s="1"/>
  <c r="D42" i="1765"/>
  <c r="R41" i="1765"/>
  <c r="D41" i="1765"/>
  <c r="R40" i="1765"/>
  <c r="D40" i="1765"/>
  <c r="R39" i="1765"/>
  <c r="H39" i="1765"/>
  <c r="D39" i="1765"/>
  <c r="R38" i="1765"/>
  <c r="L9" i="1765" s="1"/>
  <c r="D9" i="1765" s="1"/>
  <c r="H38" i="1765"/>
  <c r="D38" i="1765"/>
  <c r="R37" i="1765"/>
  <c r="H37" i="1765"/>
  <c r="D37" i="1765"/>
  <c r="R36" i="1765"/>
  <c r="H36" i="1765"/>
  <c r="D36" i="1765"/>
  <c r="R35" i="1765"/>
  <c r="H35" i="1765"/>
  <c r="D35" i="1765"/>
  <c r="R34" i="1765"/>
  <c r="H34" i="1765"/>
  <c r="G49" i="1765" s="1"/>
  <c r="D34" i="1765"/>
  <c r="D54" i="1765" s="1"/>
  <c r="H14" i="1765" s="1"/>
  <c r="R33" i="1765"/>
  <c r="R32" i="1765"/>
  <c r="L11" i="1765" s="1"/>
  <c r="D11" i="1765" s="1"/>
  <c r="R31" i="1765"/>
  <c r="R30" i="1765"/>
  <c r="R29" i="1765"/>
  <c r="R28" i="1765"/>
  <c r="L28" i="1765"/>
  <c r="D28" i="1765"/>
  <c r="R27" i="1765"/>
  <c r="D27" i="1765"/>
  <c r="R26" i="1765"/>
  <c r="L26" i="1765"/>
  <c r="D26" i="1765"/>
  <c r="R25" i="1765"/>
  <c r="L25" i="1765"/>
  <c r="D25" i="1765"/>
  <c r="R24" i="1765"/>
  <c r="D24" i="1765"/>
  <c r="R23" i="1765"/>
  <c r="L23" i="1765"/>
  <c r="D23" i="1765"/>
  <c r="R22" i="1765"/>
  <c r="L22" i="1765"/>
  <c r="D22" i="1765"/>
  <c r="R21" i="1765"/>
  <c r="D21" i="1765"/>
  <c r="R20" i="1765"/>
  <c r="L20" i="1765"/>
  <c r="D20" i="1765"/>
  <c r="R19" i="1765"/>
  <c r="L19" i="1765"/>
  <c r="D19" i="1765"/>
  <c r="R18" i="1765"/>
  <c r="D18" i="1765"/>
  <c r="R17" i="1765"/>
  <c r="D17" i="1765"/>
  <c r="R16" i="1765"/>
  <c r="L16" i="1765"/>
  <c r="D16" i="1765"/>
  <c r="R15" i="1765"/>
  <c r="D15" i="1765"/>
  <c r="R14" i="1765"/>
  <c r="D14" i="1765"/>
  <c r="R13" i="1765"/>
  <c r="D13" i="1765"/>
  <c r="R12" i="1765"/>
  <c r="L12" i="1765"/>
  <c r="D12" i="1765"/>
  <c r="R11" i="1765"/>
  <c r="L10" i="1765"/>
  <c r="D10" i="1765"/>
  <c r="L8" i="1765"/>
  <c r="D8" i="1765" s="1"/>
  <c r="L7" i="1765"/>
  <c r="D7" i="1765" s="1"/>
  <c r="R6" i="1765"/>
  <c r="R5" i="1765"/>
  <c r="R4" i="1765"/>
  <c r="R52" i="1764"/>
  <c r="R51" i="1764"/>
  <c r="D50" i="1764"/>
  <c r="R49" i="1764"/>
  <c r="D49" i="1764"/>
  <c r="R48" i="1764"/>
  <c r="D48" i="1764"/>
  <c r="D46" i="1764"/>
  <c r="D45" i="1764"/>
  <c r="R44" i="1764"/>
  <c r="D44" i="1764"/>
  <c r="R42" i="1764"/>
  <c r="D42" i="1764"/>
  <c r="R41" i="1764"/>
  <c r="L7" i="1764" s="1"/>
  <c r="D7" i="1764" s="1"/>
  <c r="D41" i="1764"/>
  <c r="R40" i="1764"/>
  <c r="D40" i="1764"/>
  <c r="R39" i="1764"/>
  <c r="H39" i="1764"/>
  <c r="D39" i="1764"/>
  <c r="R38" i="1764"/>
  <c r="L9" i="1764" s="1"/>
  <c r="D9" i="1764" s="1"/>
  <c r="H38" i="1764"/>
  <c r="D38" i="1764"/>
  <c r="R37" i="1764"/>
  <c r="H37" i="1764"/>
  <c r="D37" i="1764"/>
  <c r="R36" i="1764"/>
  <c r="H36" i="1764"/>
  <c r="D36" i="1764"/>
  <c r="R35" i="1764"/>
  <c r="L19" i="1764" s="1"/>
  <c r="D19" i="1764" s="1"/>
  <c r="H35" i="1764"/>
  <c r="D35" i="1764"/>
  <c r="R34" i="1764"/>
  <c r="H34" i="1764"/>
  <c r="D34" i="1764"/>
  <c r="R33" i="1764"/>
  <c r="L23" i="1764" s="1"/>
  <c r="D23" i="1764" s="1"/>
  <c r="R32" i="1764"/>
  <c r="R31" i="1764"/>
  <c r="R30" i="1764"/>
  <c r="R29" i="1764"/>
  <c r="R28" i="1764"/>
  <c r="L28" i="1764"/>
  <c r="D28" i="1764"/>
  <c r="R27" i="1764"/>
  <c r="D27" i="1764"/>
  <c r="R26" i="1764"/>
  <c r="L26" i="1764"/>
  <c r="D26" i="1764"/>
  <c r="R25" i="1764"/>
  <c r="L25" i="1764"/>
  <c r="D25" i="1764" s="1"/>
  <c r="R24" i="1764"/>
  <c r="L24" i="1764"/>
  <c r="D24" i="1764" s="1"/>
  <c r="R23" i="1764"/>
  <c r="R22" i="1764"/>
  <c r="L22" i="1764"/>
  <c r="D22" i="1764"/>
  <c r="R21" i="1764"/>
  <c r="L17" i="1764" s="1"/>
  <c r="D17" i="1764" s="1"/>
  <c r="D21" i="1764"/>
  <c r="R20" i="1764"/>
  <c r="L20" i="1764"/>
  <c r="D20" i="1764" s="1"/>
  <c r="R19" i="1764"/>
  <c r="R18" i="1764"/>
  <c r="D18" i="1764"/>
  <c r="R17" i="1764"/>
  <c r="R16" i="1764"/>
  <c r="L16" i="1764"/>
  <c r="D16" i="1764"/>
  <c r="R15" i="1764"/>
  <c r="D15" i="1764"/>
  <c r="R14" i="1764"/>
  <c r="D14" i="1764"/>
  <c r="R13" i="1764"/>
  <c r="D13" i="1764"/>
  <c r="R12" i="1764"/>
  <c r="L12" i="1764"/>
  <c r="D12" i="1764"/>
  <c r="R11" i="1764"/>
  <c r="L11" i="1764"/>
  <c r="D11" i="1764"/>
  <c r="L10" i="1764"/>
  <c r="D10" i="1764" s="1"/>
  <c r="L8" i="1764"/>
  <c r="D8" i="1764" s="1"/>
  <c r="R6" i="1764"/>
  <c r="L6" i="1764"/>
  <c r="D6" i="1764" s="1"/>
  <c r="R5" i="1764"/>
  <c r="R4" i="1764"/>
  <c r="R52" i="1763"/>
  <c r="R51" i="1763"/>
  <c r="D50" i="1763"/>
  <c r="R49" i="1763"/>
  <c r="D49" i="1763"/>
  <c r="R48" i="1763"/>
  <c r="D48" i="1763"/>
  <c r="D46" i="1763"/>
  <c r="D45" i="1763"/>
  <c r="R44" i="1763"/>
  <c r="D44" i="1763"/>
  <c r="R42" i="1763"/>
  <c r="D42" i="1763"/>
  <c r="R41" i="1763"/>
  <c r="D41" i="1763"/>
  <c r="R40" i="1763"/>
  <c r="D40" i="1763"/>
  <c r="R39" i="1763"/>
  <c r="L20" i="1763" s="1"/>
  <c r="D20" i="1763" s="1"/>
  <c r="H39" i="1763"/>
  <c r="D39" i="1763"/>
  <c r="R38" i="1763"/>
  <c r="H38" i="1763"/>
  <c r="D38" i="1763"/>
  <c r="R37" i="1763"/>
  <c r="H37" i="1763"/>
  <c r="D37" i="1763"/>
  <c r="R36" i="1763"/>
  <c r="H36" i="1763"/>
  <c r="D36" i="1763"/>
  <c r="R35" i="1763"/>
  <c r="H35" i="1763"/>
  <c r="D35" i="1763"/>
  <c r="R34" i="1763"/>
  <c r="L12" i="1763" s="1"/>
  <c r="D12" i="1763" s="1"/>
  <c r="H34" i="1763"/>
  <c r="D34" i="1763"/>
  <c r="R33" i="1763"/>
  <c r="R32" i="1763"/>
  <c r="R31" i="1763"/>
  <c r="R30" i="1763"/>
  <c r="R29" i="1763"/>
  <c r="R28" i="1763"/>
  <c r="L16" i="1763" s="1"/>
  <c r="D16" i="1763" s="1"/>
  <c r="L28" i="1763"/>
  <c r="D28" i="1763"/>
  <c r="R27" i="1763"/>
  <c r="D27" i="1763"/>
  <c r="R26" i="1763"/>
  <c r="L26" i="1763"/>
  <c r="D26" i="1763"/>
  <c r="R25" i="1763"/>
  <c r="L25" i="1763"/>
  <c r="D25" i="1763" s="1"/>
  <c r="R24" i="1763"/>
  <c r="L24" i="1763"/>
  <c r="D24" i="1763" s="1"/>
  <c r="R23" i="1763"/>
  <c r="D23" i="1763"/>
  <c r="R22" i="1763"/>
  <c r="D22" i="1763"/>
  <c r="R21" i="1763"/>
  <c r="D21" i="1763"/>
  <c r="R20" i="1763"/>
  <c r="R19" i="1763"/>
  <c r="D19" i="1763"/>
  <c r="R18" i="1763"/>
  <c r="D18" i="1763"/>
  <c r="R17" i="1763"/>
  <c r="L17" i="1763"/>
  <c r="D17" i="1763" s="1"/>
  <c r="R16" i="1763"/>
  <c r="R15" i="1763"/>
  <c r="D15" i="1763"/>
  <c r="R14" i="1763"/>
  <c r="D14" i="1763"/>
  <c r="R13" i="1763"/>
  <c r="D13" i="1763"/>
  <c r="R12" i="1763"/>
  <c r="R11" i="1763"/>
  <c r="L11" i="1763"/>
  <c r="D11" i="1763" s="1"/>
  <c r="L10" i="1763"/>
  <c r="D10" i="1763" s="1"/>
  <c r="L9" i="1763"/>
  <c r="D9" i="1763" s="1"/>
  <c r="L8" i="1763"/>
  <c r="D8" i="1763" s="1"/>
  <c r="L7" i="1763"/>
  <c r="D7" i="1763"/>
  <c r="R6" i="1763"/>
  <c r="L6" i="1763"/>
  <c r="D6" i="1763" s="1"/>
  <c r="R5" i="1763"/>
  <c r="R4" i="1763"/>
  <c r="R52" i="1762"/>
  <c r="R51" i="1762"/>
  <c r="D50" i="1762"/>
  <c r="R49" i="1762"/>
  <c r="G49" i="1762"/>
  <c r="D49" i="1762"/>
  <c r="R48" i="1762"/>
  <c r="D48" i="1762"/>
  <c r="D46" i="1762"/>
  <c r="D45" i="1762"/>
  <c r="D44" i="1762"/>
  <c r="R42" i="1762"/>
  <c r="L6" i="1762" s="1"/>
  <c r="D6" i="1762" s="1"/>
  <c r="D42" i="1762"/>
  <c r="R41" i="1762"/>
  <c r="L7" i="1762" s="1"/>
  <c r="D7" i="1762" s="1"/>
  <c r="D41" i="1762"/>
  <c r="R40" i="1762"/>
  <c r="D40" i="1762"/>
  <c r="R39" i="1762"/>
  <c r="D39" i="1762"/>
  <c r="R38" i="1762"/>
  <c r="L9" i="1762" s="1"/>
  <c r="D9" i="1762" s="1"/>
  <c r="D38" i="1762"/>
  <c r="R37" i="1762"/>
  <c r="D37" i="1762"/>
  <c r="R36" i="1762"/>
  <c r="D36" i="1762"/>
  <c r="R35" i="1762"/>
  <c r="D35" i="1762"/>
  <c r="R34" i="1762"/>
  <c r="L12" i="1762" s="1"/>
  <c r="D12" i="1762" s="1"/>
  <c r="D34" i="1762"/>
  <c r="D54" i="1762" s="1"/>
  <c r="H14" i="1762" s="1"/>
  <c r="R33" i="1762"/>
  <c r="L23" i="1762" s="1"/>
  <c r="D23" i="1762" s="1"/>
  <c r="R32" i="1762"/>
  <c r="R31" i="1762"/>
  <c r="R30" i="1762"/>
  <c r="R29" i="1762"/>
  <c r="R28" i="1762"/>
  <c r="D28" i="1762"/>
  <c r="R27" i="1762"/>
  <c r="D27" i="1762"/>
  <c r="R26" i="1762"/>
  <c r="L26" i="1762"/>
  <c r="D26" i="1762"/>
  <c r="R25" i="1762"/>
  <c r="L25" i="1762"/>
  <c r="D25" i="1762"/>
  <c r="R24" i="1762"/>
  <c r="D24" i="1762"/>
  <c r="R23" i="1762"/>
  <c r="R22" i="1762"/>
  <c r="L22" i="1762"/>
  <c r="D22" i="1762"/>
  <c r="R21" i="1762"/>
  <c r="D21" i="1762"/>
  <c r="R20" i="1762"/>
  <c r="L20" i="1762"/>
  <c r="D20" i="1762"/>
  <c r="R19" i="1762"/>
  <c r="L19" i="1762"/>
  <c r="D19" i="1762"/>
  <c r="R18" i="1762"/>
  <c r="D18" i="1762"/>
  <c r="R17" i="1762"/>
  <c r="D17" i="1762"/>
  <c r="R16" i="1762"/>
  <c r="L16" i="1762"/>
  <c r="D16" i="1762" s="1"/>
  <c r="S15" i="1762"/>
  <c r="R15" i="1762"/>
  <c r="D15" i="1762"/>
  <c r="S14" i="1762"/>
  <c r="R14" i="1762"/>
  <c r="D14" i="1762"/>
  <c r="R13" i="1762"/>
  <c r="D13" i="1762"/>
  <c r="R12" i="1762"/>
  <c r="R11" i="1762"/>
  <c r="L11" i="1762"/>
  <c r="D11" i="1762"/>
  <c r="L10" i="1762"/>
  <c r="D10" i="1762"/>
  <c r="L8" i="1762"/>
  <c r="D8" i="1762" s="1"/>
  <c r="R6" i="1762"/>
  <c r="R5" i="1762"/>
  <c r="R4" i="1762"/>
  <c r="R52" i="1761"/>
  <c r="L22" i="1761" s="1"/>
  <c r="D22" i="1761" s="1"/>
  <c r="R51" i="1761"/>
  <c r="D50" i="1761"/>
  <c r="R49" i="1761"/>
  <c r="D49" i="1761"/>
  <c r="R48" i="1761"/>
  <c r="D48" i="1761"/>
  <c r="D46" i="1761"/>
  <c r="D45" i="1761"/>
  <c r="R44" i="1761"/>
  <c r="D44" i="1761"/>
  <c r="R42" i="1761"/>
  <c r="L6" i="1761" s="1"/>
  <c r="D6" i="1761" s="1"/>
  <c r="D42" i="1761"/>
  <c r="R41" i="1761"/>
  <c r="L7" i="1761" s="1"/>
  <c r="D7" i="1761" s="1"/>
  <c r="D41" i="1761"/>
  <c r="R40" i="1761"/>
  <c r="L8" i="1761" s="1"/>
  <c r="D8" i="1761" s="1"/>
  <c r="D40" i="1761"/>
  <c r="R39" i="1761"/>
  <c r="H39" i="1761"/>
  <c r="D39" i="1761"/>
  <c r="R38" i="1761"/>
  <c r="H38" i="1761"/>
  <c r="D38" i="1761"/>
  <c r="R37" i="1761"/>
  <c r="H37" i="1761"/>
  <c r="D37" i="1761"/>
  <c r="R36" i="1761"/>
  <c r="L10" i="1761" s="1"/>
  <c r="D10" i="1761" s="1"/>
  <c r="H36" i="1761"/>
  <c r="D36" i="1761"/>
  <c r="R35" i="1761"/>
  <c r="L19" i="1761" s="1"/>
  <c r="D19" i="1761" s="1"/>
  <c r="H35" i="1761"/>
  <c r="D35" i="1761"/>
  <c r="R34" i="1761"/>
  <c r="L12" i="1761" s="1"/>
  <c r="D12" i="1761" s="1"/>
  <c r="H34" i="1761"/>
  <c r="D34" i="1761"/>
  <c r="R33" i="1761"/>
  <c r="R32" i="1761"/>
  <c r="R31" i="1761"/>
  <c r="R30" i="1761"/>
  <c r="R29" i="1761"/>
  <c r="R28" i="1761"/>
  <c r="L28" i="1761"/>
  <c r="D28" i="1761"/>
  <c r="R27" i="1761"/>
  <c r="D27" i="1761"/>
  <c r="R26" i="1761"/>
  <c r="L26" i="1761"/>
  <c r="D26" i="1761" s="1"/>
  <c r="R25" i="1761"/>
  <c r="D25" i="1761"/>
  <c r="R24" i="1761"/>
  <c r="D24" i="1761"/>
  <c r="R23" i="1761"/>
  <c r="L23" i="1761"/>
  <c r="D23" i="1761"/>
  <c r="R22" i="1761"/>
  <c r="R21" i="1761"/>
  <c r="D21" i="1761"/>
  <c r="R20" i="1761"/>
  <c r="L20" i="1761"/>
  <c r="D20" i="1761" s="1"/>
  <c r="R19" i="1761"/>
  <c r="R18" i="1761"/>
  <c r="D18" i="1761"/>
  <c r="R17" i="1761"/>
  <c r="D17" i="1761"/>
  <c r="R16" i="1761"/>
  <c r="L16" i="1761"/>
  <c r="D16" i="1761" s="1"/>
  <c r="R15" i="1761"/>
  <c r="D15" i="1761"/>
  <c r="R14" i="1761"/>
  <c r="D14" i="1761"/>
  <c r="R13" i="1761"/>
  <c r="D13" i="1761"/>
  <c r="R12" i="1761"/>
  <c r="R11" i="1761"/>
  <c r="L11" i="1761"/>
  <c r="D11" i="1761"/>
  <c r="L9" i="1761"/>
  <c r="D9" i="1761"/>
  <c r="R6" i="1761"/>
  <c r="R5" i="1761"/>
  <c r="R4" i="1761"/>
  <c r="R52" i="1760"/>
  <c r="R51" i="1760"/>
  <c r="D50" i="1760"/>
  <c r="R49" i="1760"/>
  <c r="D49" i="1760"/>
  <c r="R48" i="1760"/>
  <c r="D48" i="1760"/>
  <c r="D46" i="1760"/>
  <c r="D45" i="1760"/>
  <c r="R44" i="1760"/>
  <c r="L28" i="1760" s="1"/>
  <c r="D28" i="1760" s="1"/>
  <c r="D44" i="1760"/>
  <c r="R42" i="1760"/>
  <c r="L6" i="1760" s="1"/>
  <c r="D6" i="1760" s="1"/>
  <c r="D42" i="1760"/>
  <c r="R41" i="1760"/>
  <c r="L7" i="1760" s="1"/>
  <c r="D7" i="1760" s="1"/>
  <c r="D41" i="1760"/>
  <c r="R40" i="1760"/>
  <c r="D40" i="1760"/>
  <c r="R39" i="1760"/>
  <c r="H39" i="1760"/>
  <c r="D39" i="1760"/>
  <c r="R38" i="1760"/>
  <c r="H38" i="1760"/>
  <c r="D38" i="1760"/>
  <c r="R37" i="1760"/>
  <c r="H37" i="1760"/>
  <c r="D37" i="1760"/>
  <c r="R36" i="1760"/>
  <c r="H36" i="1760"/>
  <c r="D36" i="1760"/>
  <c r="R35" i="1760"/>
  <c r="L19" i="1760" s="1"/>
  <c r="D19" i="1760" s="1"/>
  <c r="H35" i="1760"/>
  <c r="D35" i="1760"/>
  <c r="R34" i="1760"/>
  <c r="H34" i="1760"/>
  <c r="D34" i="1760"/>
  <c r="R33" i="1760"/>
  <c r="L23" i="1760" s="1"/>
  <c r="D23" i="1760" s="1"/>
  <c r="R32" i="1760"/>
  <c r="R31" i="1760"/>
  <c r="R30" i="1760"/>
  <c r="R29" i="1760"/>
  <c r="R28" i="1760"/>
  <c r="L16" i="1760" s="1"/>
  <c r="D16" i="1760" s="1"/>
  <c r="R27" i="1760"/>
  <c r="D27" i="1760"/>
  <c r="R26" i="1760"/>
  <c r="L26" i="1760"/>
  <c r="D26" i="1760"/>
  <c r="R25" i="1760"/>
  <c r="L25" i="1760"/>
  <c r="D25" i="1760" s="1"/>
  <c r="R24" i="1760"/>
  <c r="L24" i="1760"/>
  <c r="D24" i="1760"/>
  <c r="R23" i="1760"/>
  <c r="R22" i="1760"/>
  <c r="L22" i="1760"/>
  <c r="D22" i="1760"/>
  <c r="R21" i="1760"/>
  <c r="D21" i="1760"/>
  <c r="R20" i="1760"/>
  <c r="L20" i="1760"/>
  <c r="D20" i="1760"/>
  <c r="R19" i="1760"/>
  <c r="R18" i="1760"/>
  <c r="D18" i="1760"/>
  <c r="R17" i="1760"/>
  <c r="L17" i="1760"/>
  <c r="D17" i="1760"/>
  <c r="R16" i="1760"/>
  <c r="R15" i="1760"/>
  <c r="D15" i="1760"/>
  <c r="R14" i="1760"/>
  <c r="D14" i="1760"/>
  <c r="R13" i="1760"/>
  <c r="D13" i="1760"/>
  <c r="R12" i="1760"/>
  <c r="L12" i="1760"/>
  <c r="D12" i="1760"/>
  <c r="R11" i="1760"/>
  <c r="L11" i="1760"/>
  <c r="D11" i="1760"/>
  <c r="L10" i="1760"/>
  <c r="D10" i="1760" s="1"/>
  <c r="L9" i="1760"/>
  <c r="D9" i="1760" s="1"/>
  <c r="L8" i="1760"/>
  <c r="D8" i="1760"/>
  <c r="R6" i="1760"/>
  <c r="R5" i="1760"/>
  <c r="R4" i="1760"/>
  <c r="R52" i="1759"/>
  <c r="R51" i="1759"/>
  <c r="D50" i="1759"/>
  <c r="R49" i="1759"/>
  <c r="D49" i="1759"/>
  <c r="R48" i="1759"/>
  <c r="D48" i="1759"/>
  <c r="D46" i="1759"/>
  <c r="D45" i="1759"/>
  <c r="R44" i="1759"/>
  <c r="L28" i="1759" s="1"/>
  <c r="D28" i="1759" s="1"/>
  <c r="D44" i="1759"/>
  <c r="R42" i="1759"/>
  <c r="D42" i="1759"/>
  <c r="R41" i="1759"/>
  <c r="L7" i="1759" s="1"/>
  <c r="D7" i="1759" s="1"/>
  <c r="D41" i="1759"/>
  <c r="R40" i="1759"/>
  <c r="L8" i="1759" s="1"/>
  <c r="D8" i="1759" s="1"/>
  <c r="D40" i="1759"/>
  <c r="R39" i="1759"/>
  <c r="L20" i="1759" s="1"/>
  <c r="D20" i="1759" s="1"/>
  <c r="H39" i="1759"/>
  <c r="D39" i="1759"/>
  <c r="R38" i="1759"/>
  <c r="L9" i="1759" s="1"/>
  <c r="D9" i="1759" s="1"/>
  <c r="H38" i="1759"/>
  <c r="D38" i="1759"/>
  <c r="R37" i="1759"/>
  <c r="H37" i="1759"/>
  <c r="D37" i="1759"/>
  <c r="R36" i="1759"/>
  <c r="H36" i="1759"/>
  <c r="D36" i="1759"/>
  <c r="R35" i="1759"/>
  <c r="H35" i="1759"/>
  <c r="D35" i="1759"/>
  <c r="R34" i="1759"/>
  <c r="H34" i="1759"/>
  <c r="D34" i="1759"/>
  <c r="R33" i="1759"/>
  <c r="R32" i="1759"/>
  <c r="L11" i="1759" s="1"/>
  <c r="D11" i="1759" s="1"/>
  <c r="R31" i="1759"/>
  <c r="R30" i="1759"/>
  <c r="R29" i="1759"/>
  <c r="R28" i="1759"/>
  <c r="L16" i="1759" s="1"/>
  <c r="D16" i="1759" s="1"/>
  <c r="R27" i="1759"/>
  <c r="D27" i="1759"/>
  <c r="R26" i="1759"/>
  <c r="L26" i="1759"/>
  <c r="D26" i="1759"/>
  <c r="R25" i="1759"/>
  <c r="L25" i="1759"/>
  <c r="D25" i="1759"/>
  <c r="R24" i="1759"/>
  <c r="L24" i="1759"/>
  <c r="D24" i="1759"/>
  <c r="R23" i="1759"/>
  <c r="D23" i="1759"/>
  <c r="R22" i="1759"/>
  <c r="D22" i="1759"/>
  <c r="R21" i="1759"/>
  <c r="D21" i="1759"/>
  <c r="R20" i="1759"/>
  <c r="R19" i="1759"/>
  <c r="D19" i="1759"/>
  <c r="R18" i="1759"/>
  <c r="D18" i="1759"/>
  <c r="R17" i="1759"/>
  <c r="L17" i="1759"/>
  <c r="D17" i="1759"/>
  <c r="R16" i="1759"/>
  <c r="R15" i="1759"/>
  <c r="D15" i="1759"/>
  <c r="R14" i="1759"/>
  <c r="D14" i="1759"/>
  <c r="R13" i="1759"/>
  <c r="D13" i="1759"/>
  <c r="R12" i="1759"/>
  <c r="L12" i="1759"/>
  <c r="D12" i="1759" s="1"/>
  <c r="R11" i="1759"/>
  <c r="L10" i="1759"/>
  <c r="D10" i="1759" s="1"/>
  <c r="R6" i="1759"/>
  <c r="L6" i="1759"/>
  <c r="D6" i="1759"/>
  <c r="R5" i="1759"/>
  <c r="R4" i="1759"/>
  <c r="R52" i="1758"/>
  <c r="R51" i="1758"/>
  <c r="D50" i="1758"/>
  <c r="R49" i="1758"/>
  <c r="G49" i="1758"/>
  <c r="D49" i="1758"/>
  <c r="R48" i="1758"/>
  <c r="D48" i="1758"/>
  <c r="D46" i="1758"/>
  <c r="D45" i="1758"/>
  <c r="D44" i="1758"/>
  <c r="R42" i="1758"/>
  <c r="L6" i="1758" s="1"/>
  <c r="D6" i="1758" s="1"/>
  <c r="D42" i="1758"/>
  <c r="R41" i="1758"/>
  <c r="L7" i="1758" s="1"/>
  <c r="D7" i="1758" s="1"/>
  <c r="D41" i="1758"/>
  <c r="R40" i="1758"/>
  <c r="D40" i="1758"/>
  <c r="R39" i="1758"/>
  <c r="D39" i="1758"/>
  <c r="R38" i="1758"/>
  <c r="L9" i="1758" s="1"/>
  <c r="D9" i="1758" s="1"/>
  <c r="D38" i="1758"/>
  <c r="R37" i="1758"/>
  <c r="D37" i="1758"/>
  <c r="R36" i="1758"/>
  <c r="L10" i="1758" s="1"/>
  <c r="D10" i="1758" s="1"/>
  <c r="D36" i="1758"/>
  <c r="R35" i="1758"/>
  <c r="D35" i="1758"/>
  <c r="R34" i="1758"/>
  <c r="L12" i="1758" s="1"/>
  <c r="D12" i="1758" s="1"/>
  <c r="D34" i="1758"/>
  <c r="D54" i="1758" s="1"/>
  <c r="H14" i="1758" s="1"/>
  <c r="R33" i="1758"/>
  <c r="L23" i="1758" s="1"/>
  <c r="D23" i="1758" s="1"/>
  <c r="R32" i="1758"/>
  <c r="R31" i="1758"/>
  <c r="R30" i="1758"/>
  <c r="R29" i="1758"/>
  <c r="R28" i="1758"/>
  <c r="D28" i="1758"/>
  <c r="R27" i="1758"/>
  <c r="D27" i="1758"/>
  <c r="R26" i="1758"/>
  <c r="L26" i="1758"/>
  <c r="D26" i="1758"/>
  <c r="R25" i="1758"/>
  <c r="L25" i="1758"/>
  <c r="D25" i="1758"/>
  <c r="R24" i="1758"/>
  <c r="D24" i="1758"/>
  <c r="R23" i="1758"/>
  <c r="R22" i="1758"/>
  <c r="L22" i="1758"/>
  <c r="D22" i="1758"/>
  <c r="R21" i="1758"/>
  <c r="D21" i="1758"/>
  <c r="R20" i="1758"/>
  <c r="L20" i="1758"/>
  <c r="D20" i="1758"/>
  <c r="R19" i="1758"/>
  <c r="L19" i="1758"/>
  <c r="D19" i="1758"/>
  <c r="R18" i="1758"/>
  <c r="D18" i="1758"/>
  <c r="R17" i="1758"/>
  <c r="D17" i="1758"/>
  <c r="R16" i="1758"/>
  <c r="L16" i="1758"/>
  <c r="D16" i="1758" s="1"/>
  <c r="S15" i="1758"/>
  <c r="R15" i="1758"/>
  <c r="D15" i="1758"/>
  <c r="S14" i="1758"/>
  <c r="R14" i="1758"/>
  <c r="D14" i="1758"/>
  <c r="R13" i="1758"/>
  <c r="D13" i="1758"/>
  <c r="R12" i="1758"/>
  <c r="R11" i="1758"/>
  <c r="L11" i="1758"/>
  <c r="D11" i="1758"/>
  <c r="L8" i="1758"/>
  <c r="D8" i="1758"/>
  <c r="R6" i="1758"/>
  <c r="R5" i="1758"/>
  <c r="R4" i="1758"/>
  <c r="R52" i="1757"/>
  <c r="R51" i="1757"/>
  <c r="D50" i="1757"/>
  <c r="R49" i="1757"/>
  <c r="D49" i="1757"/>
  <c r="R48" i="1757"/>
  <c r="D48" i="1757"/>
  <c r="D46" i="1757"/>
  <c r="D45" i="1757"/>
  <c r="R44" i="1757"/>
  <c r="L28" i="1757" s="1"/>
  <c r="D28" i="1757" s="1"/>
  <c r="D44" i="1757"/>
  <c r="R42" i="1757"/>
  <c r="L6" i="1757" s="1"/>
  <c r="D6" i="1757" s="1"/>
  <c r="D42" i="1757"/>
  <c r="R41" i="1757"/>
  <c r="D41" i="1757"/>
  <c r="R40" i="1757"/>
  <c r="D40" i="1757"/>
  <c r="R39" i="1757"/>
  <c r="H39" i="1757"/>
  <c r="D39" i="1757"/>
  <c r="R38" i="1757"/>
  <c r="L9" i="1757" s="1"/>
  <c r="D9" i="1757" s="1"/>
  <c r="H38" i="1757"/>
  <c r="D38" i="1757"/>
  <c r="R37" i="1757"/>
  <c r="H37" i="1757"/>
  <c r="D37" i="1757"/>
  <c r="R36" i="1757"/>
  <c r="H36" i="1757"/>
  <c r="D36" i="1757"/>
  <c r="R35" i="1757"/>
  <c r="H35" i="1757"/>
  <c r="D35" i="1757"/>
  <c r="R34" i="1757"/>
  <c r="L12" i="1757" s="1"/>
  <c r="D12" i="1757" s="1"/>
  <c r="H34" i="1757"/>
  <c r="D34" i="1757"/>
  <c r="R33" i="1757"/>
  <c r="R32" i="1757"/>
  <c r="R31" i="1757"/>
  <c r="R30" i="1757"/>
  <c r="R29" i="1757"/>
  <c r="R28" i="1757"/>
  <c r="R27" i="1757"/>
  <c r="D27" i="1757"/>
  <c r="R26" i="1757"/>
  <c r="L26" i="1757"/>
  <c r="D26" i="1757"/>
  <c r="R25" i="1757"/>
  <c r="L25" i="1757"/>
  <c r="D25" i="1757" s="1"/>
  <c r="R24" i="1757"/>
  <c r="D24" i="1757"/>
  <c r="R23" i="1757"/>
  <c r="L23" i="1757"/>
  <c r="D23" i="1757"/>
  <c r="R22" i="1757"/>
  <c r="L22" i="1757"/>
  <c r="D22" i="1757"/>
  <c r="R21" i="1757"/>
  <c r="D21" i="1757"/>
  <c r="R20" i="1757"/>
  <c r="L20" i="1757"/>
  <c r="D20" i="1757"/>
  <c r="R19" i="1757"/>
  <c r="L19" i="1757"/>
  <c r="D19" i="1757" s="1"/>
  <c r="R18" i="1757"/>
  <c r="D18" i="1757"/>
  <c r="R17" i="1757"/>
  <c r="D17" i="1757"/>
  <c r="R16" i="1757"/>
  <c r="L16" i="1757"/>
  <c r="D16" i="1757"/>
  <c r="R15" i="1757"/>
  <c r="D15" i="1757"/>
  <c r="R14" i="1757"/>
  <c r="D14" i="1757"/>
  <c r="R13" i="1757"/>
  <c r="D13" i="1757"/>
  <c r="R12" i="1757"/>
  <c r="R11" i="1757"/>
  <c r="L11" i="1757"/>
  <c r="D11" i="1757" s="1"/>
  <c r="L10" i="1757"/>
  <c r="D10" i="1757"/>
  <c r="L8" i="1757"/>
  <c r="D8" i="1757"/>
  <c r="L7" i="1757"/>
  <c r="D7" i="1757" s="1"/>
  <c r="R6" i="1757"/>
  <c r="R5" i="1757"/>
  <c r="R4" i="1757"/>
  <c r="R52" i="1756"/>
  <c r="R51" i="1756"/>
  <c r="D50" i="1756"/>
  <c r="R49" i="1756"/>
  <c r="D49" i="1756"/>
  <c r="R48" i="1756"/>
  <c r="D48" i="1756"/>
  <c r="D46" i="1756"/>
  <c r="D45" i="1756"/>
  <c r="R44" i="1756"/>
  <c r="D44" i="1756"/>
  <c r="R42" i="1756"/>
  <c r="L6" i="1756" s="1"/>
  <c r="D6" i="1756" s="1"/>
  <c r="D42" i="1756"/>
  <c r="R41" i="1756"/>
  <c r="D41" i="1756"/>
  <c r="R40" i="1756"/>
  <c r="L8" i="1756" s="1"/>
  <c r="D8" i="1756" s="1"/>
  <c r="D40" i="1756"/>
  <c r="R39" i="1756"/>
  <c r="H39" i="1756"/>
  <c r="D39" i="1756"/>
  <c r="R38" i="1756"/>
  <c r="H38" i="1756"/>
  <c r="D38" i="1756"/>
  <c r="R37" i="1756"/>
  <c r="H37" i="1756"/>
  <c r="D37" i="1756"/>
  <c r="R36" i="1756"/>
  <c r="L10" i="1756" s="1"/>
  <c r="D10" i="1756" s="1"/>
  <c r="H36" i="1756"/>
  <c r="D36" i="1756"/>
  <c r="R35" i="1756"/>
  <c r="H35" i="1756"/>
  <c r="D35" i="1756"/>
  <c r="R34" i="1756"/>
  <c r="H34" i="1756"/>
  <c r="D34" i="1756"/>
  <c r="R33" i="1756"/>
  <c r="R32" i="1756"/>
  <c r="R31" i="1756"/>
  <c r="R30" i="1756"/>
  <c r="R29" i="1756"/>
  <c r="R28" i="1756"/>
  <c r="L16" i="1756" s="1"/>
  <c r="D16" i="1756" s="1"/>
  <c r="L28" i="1756"/>
  <c r="D28" i="1756"/>
  <c r="R27" i="1756"/>
  <c r="D27" i="1756"/>
  <c r="R26" i="1756"/>
  <c r="L26" i="1756"/>
  <c r="D26" i="1756" s="1"/>
  <c r="R25" i="1756"/>
  <c r="L25" i="1756"/>
  <c r="D25" i="1756"/>
  <c r="R24" i="1756"/>
  <c r="L24" i="1756"/>
  <c r="D24" i="1756"/>
  <c r="R23" i="1756"/>
  <c r="L23" i="1756"/>
  <c r="D23" i="1756"/>
  <c r="R22" i="1756"/>
  <c r="L22" i="1756"/>
  <c r="D22" i="1756" s="1"/>
  <c r="R21" i="1756"/>
  <c r="D21" i="1756"/>
  <c r="R20" i="1756"/>
  <c r="L20" i="1756"/>
  <c r="D20" i="1756" s="1"/>
  <c r="R19" i="1756"/>
  <c r="L19" i="1756"/>
  <c r="D19" i="1756"/>
  <c r="R18" i="1756"/>
  <c r="D18" i="1756"/>
  <c r="R17" i="1756"/>
  <c r="L17" i="1756"/>
  <c r="D17" i="1756"/>
  <c r="R16" i="1756"/>
  <c r="R15" i="1756"/>
  <c r="D15" i="1756"/>
  <c r="R14" i="1756"/>
  <c r="D14" i="1756"/>
  <c r="R13" i="1756"/>
  <c r="D13" i="1756"/>
  <c r="R12" i="1756"/>
  <c r="L12" i="1756"/>
  <c r="D12" i="1756" s="1"/>
  <c r="R11" i="1756"/>
  <c r="L11" i="1756"/>
  <c r="D11" i="1756"/>
  <c r="L9" i="1756"/>
  <c r="D9" i="1756"/>
  <c r="L7" i="1756"/>
  <c r="D7" i="1756" s="1"/>
  <c r="R6" i="1756"/>
  <c r="R5" i="1756"/>
  <c r="R4" i="1756"/>
  <c r="R52" i="1755"/>
  <c r="R51" i="1755"/>
  <c r="D50" i="1755"/>
  <c r="R49" i="1755"/>
  <c r="D49" i="1755"/>
  <c r="R48" i="1755"/>
  <c r="D48" i="1755"/>
  <c r="D46" i="1755"/>
  <c r="D45" i="1755"/>
  <c r="R44" i="1755"/>
  <c r="D44" i="1755"/>
  <c r="R42" i="1755"/>
  <c r="L6" i="1755" s="1"/>
  <c r="D6" i="1755" s="1"/>
  <c r="D42" i="1755"/>
  <c r="R41" i="1755"/>
  <c r="D41" i="1755"/>
  <c r="R40" i="1755"/>
  <c r="D40" i="1755"/>
  <c r="R39" i="1755"/>
  <c r="L20" i="1755" s="1"/>
  <c r="D20" i="1755" s="1"/>
  <c r="H39" i="1755"/>
  <c r="D39" i="1755"/>
  <c r="R38" i="1755"/>
  <c r="H38" i="1755"/>
  <c r="D38" i="1755"/>
  <c r="R37" i="1755"/>
  <c r="H37" i="1755"/>
  <c r="D37" i="1755"/>
  <c r="R36" i="1755"/>
  <c r="L10" i="1755" s="1"/>
  <c r="D10" i="1755" s="1"/>
  <c r="H36" i="1755"/>
  <c r="D36" i="1755"/>
  <c r="R35" i="1755"/>
  <c r="H35" i="1755"/>
  <c r="D35" i="1755"/>
  <c r="R34" i="1755"/>
  <c r="H34" i="1755"/>
  <c r="D34" i="1755"/>
  <c r="R33" i="1755"/>
  <c r="R32" i="1755"/>
  <c r="R31" i="1755"/>
  <c r="R30" i="1755"/>
  <c r="R29" i="1755"/>
  <c r="R28" i="1755"/>
  <c r="L16" i="1755" s="1"/>
  <c r="D16" i="1755" s="1"/>
  <c r="L28" i="1755"/>
  <c r="D28" i="1755"/>
  <c r="R27" i="1755"/>
  <c r="D27" i="1755"/>
  <c r="R26" i="1755"/>
  <c r="L26" i="1755"/>
  <c r="D26" i="1755"/>
  <c r="R25" i="1755"/>
  <c r="L25" i="1755"/>
  <c r="D25" i="1755"/>
  <c r="R24" i="1755"/>
  <c r="L24" i="1755"/>
  <c r="D24" i="1755"/>
  <c r="R23" i="1755"/>
  <c r="D23" i="1755"/>
  <c r="R22" i="1755"/>
  <c r="D22" i="1755"/>
  <c r="R21" i="1755"/>
  <c r="D21" i="1755"/>
  <c r="R20" i="1755"/>
  <c r="R19" i="1755"/>
  <c r="D19" i="1755"/>
  <c r="R18" i="1755"/>
  <c r="D18" i="1755"/>
  <c r="R17" i="1755"/>
  <c r="L17" i="1755"/>
  <c r="D17" i="1755"/>
  <c r="R16" i="1755"/>
  <c r="R15" i="1755"/>
  <c r="D15" i="1755"/>
  <c r="R14" i="1755"/>
  <c r="D14" i="1755"/>
  <c r="R13" i="1755"/>
  <c r="D13" i="1755"/>
  <c r="R12" i="1755"/>
  <c r="L12" i="1755"/>
  <c r="D12" i="1755"/>
  <c r="R11" i="1755"/>
  <c r="L11" i="1755"/>
  <c r="D11" i="1755"/>
  <c r="L9" i="1755"/>
  <c r="D9" i="1755" s="1"/>
  <c r="L8" i="1755"/>
  <c r="D8" i="1755" s="1"/>
  <c r="L7" i="1755"/>
  <c r="D7" i="1755"/>
  <c r="R6" i="1755"/>
  <c r="R5" i="1755"/>
  <c r="R4" i="1755"/>
  <c r="R52" i="1754"/>
  <c r="R51" i="1754"/>
  <c r="D50" i="1754"/>
  <c r="R49" i="1754"/>
  <c r="G49" i="1754"/>
  <c r="D49" i="1754"/>
  <c r="R48" i="1754"/>
  <c r="D48" i="1754"/>
  <c r="D46" i="1754"/>
  <c r="D45" i="1754"/>
  <c r="D44" i="1754"/>
  <c r="R42" i="1754"/>
  <c r="D42" i="1754"/>
  <c r="R41" i="1754"/>
  <c r="L7" i="1754" s="1"/>
  <c r="D7" i="1754" s="1"/>
  <c r="D41" i="1754"/>
  <c r="D54" i="1754" s="1"/>
  <c r="H14" i="1754" s="1"/>
  <c r="R40" i="1754"/>
  <c r="L8" i="1754" s="1"/>
  <c r="D8" i="1754" s="1"/>
  <c r="D40" i="1754"/>
  <c r="R39" i="1754"/>
  <c r="D39" i="1754"/>
  <c r="R38" i="1754"/>
  <c r="D38" i="1754"/>
  <c r="R37" i="1754"/>
  <c r="D37" i="1754"/>
  <c r="R36" i="1754"/>
  <c r="D36" i="1754"/>
  <c r="R35" i="1754"/>
  <c r="D35" i="1754"/>
  <c r="R34" i="1754"/>
  <c r="L12" i="1754" s="1"/>
  <c r="D12" i="1754" s="1"/>
  <c r="D34" i="1754"/>
  <c r="R33" i="1754"/>
  <c r="L23" i="1754" s="1"/>
  <c r="D23" i="1754" s="1"/>
  <c r="R32" i="1754"/>
  <c r="L11" i="1754" s="1"/>
  <c r="D11" i="1754" s="1"/>
  <c r="R31" i="1754"/>
  <c r="R30" i="1754"/>
  <c r="R29" i="1754"/>
  <c r="R28" i="1754"/>
  <c r="L16" i="1754" s="1"/>
  <c r="D16" i="1754" s="1"/>
  <c r="D28" i="1754"/>
  <c r="R27" i="1754"/>
  <c r="D27" i="1754"/>
  <c r="R26" i="1754"/>
  <c r="L26" i="1754"/>
  <c r="D26" i="1754"/>
  <c r="R25" i="1754"/>
  <c r="L25" i="1754"/>
  <c r="D25" i="1754"/>
  <c r="R24" i="1754"/>
  <c r="D24" i="1754"/>
  <c r="R23" i="1754"/>
  <c r="R22" i="1754"/>
  <c r="L22" i="1754"/>
  <c r="D22" i="1754" s="1"/>
  <c r="R21" i="1754"/>
  <c r="D21" i="1754"/>
  <c r="R20" i="1754"/>
  <c r="L20" i="1754"/>
  <c r="D20" i="1754"/>
  <c r="R19" i="1754"/>
  <c r="L19" i="1754"/>
  <c r="D19" i="1754"/>
  <c r="R18" i="1754"/>
  <c r="D18" i="1754"/>
  <c r="R17" i="1754"/>
  <c r="D17" i="1754"/>
  <c r="R16" i="1754"/>
  <c r="S15" i="1754"/>
  <c r="R15" i="1754"/>
  <c r="D15" i="1754"/>
  <c r="S14" i="1754"/>
  <c r="R14" i="1754"/>
  <c r="D14" i="1754"/>
  <c r="R13" i="1754"/>
  <c r="D13" i="1754"/>
  <c r="R12" i="1754"/>
  <c r="R11" i="1754"/>
  <c r="L10" i="1754"/>
  <c r="D10" i="1754"/>
  <c r="L9" i="1754"/>
  <c r="D9" i="1754"/>
  <c r="R6" i="1754"/>
  <c r="L6" i="1754"/>
  <c r="D6" i="1754" s="1"/>
  <c r="R5" i="1754"/>
  <c r="R4" i="1754"/>
  <c r="R52" i="1753"/>
  <c r="R51" i="1753"/>
  <c r="D50" i="1753"/>
  <c r="R49" i="1753"/>
  <c r="D49" i="1753"/>
  <c r="R48" i="1753"/>
  <c r="D48" i="1753"/>
  <c r="D46" i="1753"/>
  <c r="D45" i="1753"/>
  <c r="R44" i="1753"/>
  <c r="D44" i="1753"/>
  <c r="R42" i="1753"/>
  <c r="L6" i="1753" s="1"/>
  <c r="D6" i="1753" s="1"/>
  <c r="D42" i="1753"/>
  <c r="R41" i="1753"/>
  <c r="L7" i="1753" s="1"/>
  <c r="D7" i="1753" s="1"/>
  <c r="D41" i="1753"/>
  <c r="R40" i="1753"/>
  <c r="D40" i="1753"/>
  <c r="R39" i="1753"/>
  <c r="H39" i="1753"/>
  <c r="D39" i="1753"/>
  <c r="R38" i="1753"/>
  <c r="H38" i="1753"/>
  <c r="D38" i="1753"/>
  <c r="R37" i="1753"/>
  <c r="H37" i="1753"/>
  <c r="D37" i="1753"/>
  <c r="R36" i="1753"/>
  <c r="L10" i="1753" s="1"/>
  <c r="D10" i="1753" s="1"/>
  <c r="H36" i="1753"/>
  <c r="D36" i="1753"/>
  <c r="R35" i="1753"/>
  <c r="L19" i="1753" s="1"/>
  <c r="D19" i="1753" s="1"/>
  <c r="H35" i="1753"/>
  <c r="D35" i="1753"/>
  <c r="R34" i="1753"/>
  <c r="H34" i="1753"/>
  <c r="D34" i="1753"/>
  <c r="R33" i="1753"/>
  <c r="L23" i="1753" s="1"/>
  <c r="D23" i="1753" s="1"/>
  <c r="R32" i="1753"/>
  <c r="R31" i="1753"/>
  <c r="R30" i="1753"/>
  <c r="R29" i="1753"/>
  <c r="R28" i="1753"/>
  <c r="L16" i="1753" s="1"/>
  <c r="D16" i="1753" s="1"/>
  <c r="L28" i="1753"/>
  <c r="D28" i="1753"/>
  <c r="R27" i="1753"/>
  <c r="D27" i="1753"/>
  <c r="R26" i="1753"/>
  <c r="L26" i="1753"/>
  <c r="D26" i="1753"/>
  <c r="R25" i="1753"/>
  <c r="L25" i="1753"/>
  <c r="D25" i="1753" s="1"/>
  <c r="R24" i="1753"/>
  <c r="D24" i="1753"/>
  <c r="R23" i="1753"/>
  <c r="R22" i="1753"/>
  <c r="L22" i="1753"/>
  <c r="D22" i="1753"/>
  <c r="R21" i="1753"/>
  <c r="D21" i="1753"/>
  <c r="R20" i="1753"/>
  <c r="L20" i="1753"/>
  <c r="D20" i="1753"/>
  <c r="R19" i="1753"/>
  <c r="R18" i="1753"/>
  <c r="D18" i="1753"/>
  <c r="R17" i="1753"/>
  <c r="D17" i="1753"/>
  <c r="R16" i="1753"/>
  <c r="R15" i="1753"/>
  <c r="D15" i="1753"/>
  <c r="R14" i="1753"/>
  <c r="D14" i="1753"/>
  <c r="R13" i="1753"/>
  <c r="D13" i="1753"/>
  <c r="R12" i="1753"/>
  <c r="L12" i="1753"/>
  <c r="D12" i="1753"/>
  <c r="R11" i="1753"/>
  <c r="L11" i="1753"/>
  <c r="D11" i="1753"/>
  <c r="L9" i="1753"/>
  <c r="D9" i="1753" s="1"/>
  <c r="L8" i="1753"/>
  <c r="D8" i="1753"/>
  <c r="R6" i="1753"/>
  <c r="R5" i="1753"/>
  <c r="R4" i="1753"/>
  <c r="R52" i="1752"/>
  <c r="R51" i="1752"/>
  <c r="D50" i="1752"/>
  <c r="R49" i="1752"/>
  <c r="D49" i="1752"/>
  <c r="R48" i="1752"/>
  <c r="D48" i="1752"/>
  <c r="D46" i="1752"/>
  <c r="D45" i="1752"/>
  <c r="R44" i="1752"/>
  <c r="D44" i="1752"/>
  <c r="R42" i="1752"/>
  <c r="L6" i="1752" s="1"/>
  <c r="D6" i="1752" s="1"/>
  <c r="D42" i="1752"/>
  <c r="R41" i="1752"/>
  <c r="D41" i="1752"/>
  <c r="R40" i="1752"/>
  <c r="L8" i="1752" s="1"/>
  <c r="D8" i="1752" s="1"/>
  <c r="D40" i="1752"/>
  <c r="R39" i="1752"/>
  <c r="H39" i="1752"/>
  <c r="D39" i="1752"/>
  <c r="R38" i="1752"/>
  <c r="H38" i="1752"/>
  <c r="D38" i="1752"/>
  <c r="R37" i="1752"/>
  <c r="H37" i="1752"/>
  <c r="D37" i="1752"/>
  <c r="R36" i="1752"/>
  <c r="L10" i="1752" s="1"/>
  <c r="D10" i="1752" s="1"/>
  <c r="H36" i="1752"/>
  <c r="D36" i="1752"/>
  <c r="R35" i="1752"/>
  <c r="H35" i="1752"/>
  <c r="D35" i="1752"/>
  <c r="R34" i="1752"/>
  <c r="H34" i="1752"/>
  <c r="D34" i="1752"/>
  <c r="R33" i="1752"/>
  <c r="R32" i="1752"/>
  <c r="R31" i="1752"/>
  <c r="R30" i="1752"/>
  <c r="R29" i="1752"/>
  <c r="R28" i="1752"/>
  <c r="L28" i="1752"/>
  <c r="D28" i="1752"/>
  <c r="R27" i="1752"/>
  <c r="D27" i="1752"/>
  <c r="R26" i="1752"/>
  <c r="L26" i="1752"/>
  <c r="D26" i="1752" s="1"/>
  <c r="R25" i="1752"/>
  <c r="L25" i="1752"/>
  <c r="D25" i="1752"/>
  <c r="R24" i="1752"/>
  <c r="L24" i="1752"/>
  <c r="D24" i="1752"/>
  <c r="R23" i="1752"/>
  <c r="L23" i="1752"/>
  <c r="D23" i="1752"/>
  <c r="R22" i="1752"/>
  <c r="L22" i="1752"/>
  <c r="D22" i="1752" s="1"/>
  <c r="R21" i="1752"/>
  <c r="D21" i="1752"/>
  <c r="R20" i="1752"/>
  <c r="L20" i="1752"/>
  <c r="D20" i="1752"/>
  <c r="R19" i="1752"/>
  <c r="L19" i="1752"/>
  <c r="D19" i="1752"/>
  <c r="R18" i="1752"/>
  <c r="D18" i="1752"/>
  <c r="R17" i="1752"/>
  <c r="L17" i="1752"/>
  <c r="D17" i="1752"/>
  <c r="R16" i="1752"/>
  <c r="L16" i="1752"/>
  <c r="D16" i="1752" s="1"/>
  <c r="R15" i="1752"/>
  <c r="D15" i="1752"/>
  <c r="R14" i="1752"/>
  <c r="D14" i="1752"/>
  <c r="R13" i="1752"/>
  <c r="D13" i="1752"/>
  <c r="R12" i="1752"/>
  <c r="L12" i="1752"/>
  <c r="D12" i="1752"/>
  <c r="R11" i="1752"/>
  <c r="L11" i="1752"/>
  <c r="D11" i="1752"/>
  <c r="L9" i="1752"/>
  <c r="D9" i="1752" s="1"/>
  <c r="L7" i="1752"/>
  <c r="D7" i="1752"/>
  <c r="R6" i="1752"/>
  <c r="R5" i="1752"/>
  <c r="R4" i="1752"/>
  <c r="R52" i="1751"/>
  <c r="R51" i="1751"/>
  <c r="D50" i="1751"/>
  <c r="R49" i="1751"/>
  <c r="D49" i="1751"/>
  <c r="R48" i="1751"/>
  <c r="D48" i="1751"/>
  <c r="D46" i="1751"/>
  <c r="D45" i="1751"/>
  <c r="R44" i="1751"/>
  <c r="D44" i="1751"/>
  <c r="R42" i="1751"/>
  <c r="D42" i="1751"/>
  <c r="R41" i="1751"/>
  <c r="D41" i="1751"/>
  <c r="R40" i="1751"/>
  <c r="L8" i="1751" s="1"/>
  <c r="D8" i="1751" s="1"/>
  <c r="D40" i="1751"/>
  <c r="R39" i="1751"/>
  <c r="L20" i="1751" s="1"/>
  <c r="D20" i="1751" s="1"/>
  <c r="H39" i="1751"/>
  <c r="D39" i="1751"/>
  <c r="R38" i="1751"/>
  <c r="H38" i="1751"/>
  <c r="D38" i="1751"/>
  <c r="R37" i="1751"/>
  <c r="H37" i="1751"/>
  <c r="D37" i="1751"/>
  <c r="R36" i="1751"/>
  <c r="H36" i="1751"/>
  <c r="D36" i="1751"/>
  <c r="R35" i="1751"/>
  <c r="H35" i="1751"/>
  <c r="D35" i="1751"/>
  <c r="R34" i="1751"/>
  <c r="L12" i="1751" s="1"/>
  <c r="D12" i="1751" s="1"/>
  <c r="H34" i="1751"/>
  <c r="D34" i="1751"/>
  <c r="R33" i="1751"/>
  <c r="R32" i="1751"/>
  <c r="L11" i="1751" s="1"/>
  <c r="D11" i="1751" s="1"/>
  <c r="R31" i="1751"/>
  <c r="R30" i="1751"/>
  <c r="R29" i="1751"/>
  <c r="R28" i="1751"/>
  <c r="L28" i="1751"/>
  <c r="D28" i="1751"/>
  <c r="R27" i="1751"/>
  <c r="D27" i="1751"/>
  <c r="R26" i="1751"/>
  <c r="D26" i="1751"/>
  <c r="R25" i="1751"/>
  <c r="D25" i="1751"/>
  <c r="R24" i="1751"/>
  <c r="L24" i="1751"/>
  <c r="D24" i="1751"/>
  <c r="R23" i="1751"/>
  <c r="D23" i="1751"/>
  <c r="R22" i="1751"/>
  <c r="D22" i="1751"/>
  <c r="R21" i="1751"/>
  <c r="D21" i="1751"/>
  <c r="R20" i="1751"/>
  <c r="R19" i="1751"/>
  <c r="D19" i="1751"/>
  <c r="R18" i="1751"/>
  <c r="D18" i="1751"/>
  <c r="R17" i="1751"/>
  <c r="L17" i="1751"/>
  <c r="D17" i="1751"/>
  <c r="R16" i="1751"/>
  <c r="L16" i="1751"/>
  <c r="D16" i="1751" s="1"/>
  <c r="R15" i="1751"/>
  <c r="D15" i="1751"/>
  <c r="R14" i="1751"/>
  <c r="D14" i="1751"/>
  <c r="R13" i="1751"/>
  <c r="D13" i="1751"/>
  <c r="R12" i="1751"/>
  <c r="R11" i="1751"/>
  <c r="L10" i="1751"/>
  <c r="D10" i="1751"/>
  <c r="L9" i="1751"/>
  <c r="D9" i="1751"/>
  <c r="L7" i="1751"/>
  <c r="D7" i="1751"/>
  <c r="R6" i="1751"/>
  <c r="L6" i="1751"/>
  <c r="D6" i="1751"/>
  <c r="R5" i="1751"/>
  <c r="R4" i="1751"/>
  <c r="R52" i="1750"/>
  <c r="R51" i="1750"/>
  <c r="D50" i="1750"/>
  <c r="R49" i="1750"/>
  <c r="G49" i="1750"/>
  <c r="D49" i="1750"/>
  <c r="R48" i="1750"/>
  <c r="D48" i="1750"/>
  <c r="D46" i="1750"/>
  <c r="D45" i="1750"/>
  <c r="D44" i="1750"/>
  <c r="R42" i="1750"/>
  <c r="L6" i="1750" s="1"/>
  <c r="D6" i="1750" s="1"/>
  <c r="D42" i="1750"/>
  <c r="R41" i="1750"/>
  <c r="L7" i="1750" s="1"/>
  <c r="D7" i="1750" s="1"/>
  <c r="D41" i="1750"/>
  <c r="R40" i="1750"/>
  <c r="D40" i="1750"/>
  <c r="R39" i="1750"/>
  <c r="D39" i="1750"/>
  <c r="R38" i="1750"/>
  <c r="D38" i="1750"/>
  <c r="R37" i="1750"/>
  <c r="D37" i="1750"/>
  <c r="R36" i="1750"/>
  <c r="D36" i="1750"/>
  <c r="R35" i="1750"/>
  <c r="D35" i="1750"/>
  <c r="R34" i="1750"/>
  <c r="L12" i="1750" s="1"/>
  <c r="D12" i="1750" s="1"/>
  <c r="D34" i="1750"/>
  <c r="D54" i="1750" s="1"/>
  <c r="H14" i="1750" s="1"/>
  <c r="R33" i="1750"/>
  <c r="L23" i="1750" s="1"/>
  <c r="D23" i="1750" s="1"/>
  <c r="R32" i="1750"/>
  <c r="R31" i="1750"/>
  <c r="R30" i="1750"/>
  <c r="R29" i="1750"/>
  <c r="R28" i="1750"/>
  <c r="L16" i="1750" s="1"/>
  <c r="D16" i="1750" s="1"/>
  <c r="D28" i="1750"/>
  <c r="R27" i="1750"/>
  <c r="D27" i="1750"/>
  <c r="R26" i="1750"/>
  <c r="L26" i="1750"/>
  <c r="D26" i="1750"/>
  <c r="R25" i="1750"/>
  <c r="L25" i="1750"/>
  <c r="D25" i="1750"/>
  <c r="R24" i="1750"/>
  <c r="D24" i="1750"/>
  <c r="R23" i="1750"/>
  <c r="R22" i="1750"/>
  <c r="L22" i="1750"/>
  <c r="D22" i="1750"/>
  <c r="R21" i="1750"/>
  <c r="D21" i="1750"/>
  <c r="R20" i="1750"/>
  <c r="L20" i="1750"/>
  <c r="D20" i="1750"/>
  <c r="R19" i="1750"/>
  <c r="L19" i="1750"/>
  <c r="D19" i="1750"/>
  <c r="R18" i="1750"/>
  <c r="D18" i="1750"/>
  <c r="R17" i="1750"/>
  <c r="D17" i="1750"/>
  <c r="R16" i="1750"/>
  <c r="S15" i="1750"/>
  <c r="R15" i="1750"/>
  <c r="D15" i="1750"/>
  <c r="S14" i="1750"/>
  <c r="R14" i="1750"/>
  <c r="D14" i="1750"/>
  <c r="R13" i="1750"/>
  <c r="D13" i="1750"/>
  <c r="R12" i="1750"/>
  <c r="R11" i="1750"/>
  <c r="L11" i="1750"/>
  <c r="D11" i="1750"/>
  <c r="L10" i="1750"/>
  <c r="D10" i="1750"/>
  <c r="L9" i="1750"/>
  <c r="D9" i="1750"/>
  <c r="L8" i="1750"/>
  <c r="D8" i="1750"/>
  <c r="R6" i="1750"/>
  <c r="R5" i="1750"/>
  <c r="R4" i="1750"/>
  <c r="G49" i="1769" l="1"/>
  <c r="G49" i="1768"/>
  <c r="G49" i="1767"/>
  <c r="D54" i="1769"/>
  <c r="H14" i="1769" s="1"/>
  <c r="D54" i="1768"/>
  <c r="H14" i="1768" s="1"/>
  <c r="D54" i="1767"/>
  <c r="H14" i="1767" s="1"/>
  <c r="G49" i="1764"/>
  <c r="G49" i="1763"/>
  <c r="D54" i="1764"/>
  <c r="H14" i="1764" s="1"/>
  <c r="D54" i="1763"/>
  <c r="H14" i="1763" s="1"/>
  <c r="D54" i="1761"/>
  <c r="H14" i="1761" s="1"/>
  <c r="D54" i="1760"/>
  <c r="H14" i="1760" s="1"/>
  <c r="D54" i="1759"/>
  <c r="H14" i="1759" s="1"/>
  <c r="G49" i="1761"/>
  <c r="G49" i="1760"/>
  <c r="G49" i="1759"/>
  <c r="D54" i="1757"/>
  <c r="H14" i="1757" s="1"/>
  <c r="D54" i="1756"/>
  <c r="H14" i="1756" s="1"/>
  <c r="D54" i="1755"/>
  <c r="H14" i="1755" s="1"/>
  <c r="D29" i="1755"/>
  <c r="H13" i="1755" s="1"/>
  <c r="G49" i="1757"/>
  <c r="G49" i="1756"/>
  <c r="G49" i="1755"/>
  <c r="G49" i="1753"/>
  <c r="G49" i="1752"/>
  <c r="G49" i="1751"/>
  <c r="D54" i="1753"/>
  <c r="H14" i="1753" s="1"/>
  <c r="D54" i="1752"/>
  <c r="H14" i="1752" s="1"/>
  <c r="D54" i="1751"/>
  <c r="H14" i="1751" s="1"/>
  <c r="D29" i="1773"/>
  <c r="H13" i="1773" s="1"/>
  <c r="H15" i="1773" s="1"/>
  <c r="H29" i="1773" s="1"/>
  <c r="G51" i="1773" s="1"/>
  <c r="D29" i="1772"/>
  <c r="H13" i="1772" s="1"/>
  <c r="H15" i="1772" s="1"/>
  <c r="H29" i="1772" s="1"/>
  <c r="G51" i="1772" s="1"/>
  <c r="D29" i="1771"/>
  <c r="H13" i="1771" s="1"/>
  <c r="H15" i="1771" s="1"/>
  <c r="H29" i="1771" s="1"/>
  <c r="G51" i="1771" s="1"/>
  <c r="D29" i="1770"/>
  <c r="H13" i="1770" s="1"/>
  <c r="H15" i="1770" s="1"/>
  <c r="H29" i="1770" s="1"/>
  <c r="G51" i="1770" s="1"/>
  <c r="D29" i="1769"/>
  <c r="H13" i="1769" s="1"/>
  <c r="D29" i="1768"/>
  <c r="H13" i="1768" s="1"/>
  <c r="H15" i="1768" s="1"/>
  <c r="H29" i="1768" s="1"/>
  <c r="D29" i="1767"/>
  <c r="H13" i="1767" s="1"/>
  <c r="D29" i="1766"/>
  <c r="H13" i="1766" s="1"/>
  <c r="H15" i="1766" s="1"/>
  <c r="H29" i="1766" s="1"/>
  <c r="G51" i="1766" s="1"/>
  <c r="G51" i="1765"/>
  <c r="D29" i="1764"/>
  <c r="H13" i="1764" s="1"/>
  <c r="D29" i="1763"/>
  <c r="H13" i="1763" s="1"/>
  <c r="D29" i="1762"/>
  <c r="H13" i="1762" s="1"/>
  <c r="H15" i="1762" s="1"/>
  <c r="H29" i="1762" s="1"/>
  <c r="G51" i="1762" s="1"/>
  <c r="D29" i="1761"/>
  <c r="H13" i="1761" s="1"/>
  <c r="D29" i="1760"/>
  <c r="H13" i="1760" s="1"/>
  <c r="D29" i="1759"/>
  <c r="H13" i="1759" s="1"/>
  <c r="D29" i="1758"/>
  <c r="H13" i="1758" s="1"/>
  <c r="H15" i="1758" s="1"/>
  <c r="H29" i="1758" s="1"/>
  <c r="G51" i="1758" s="1"/>
  <c r="D29" i="1757"/>
  <c r="H13" i="1757" s="1"/>
  <c r="D29" i="1756"/>
  <c r="H13" i="1756" s="1"/>
  <c r="D29" i="1754"/>
  <c r="H13" i="1754" s="1"/>
  <c r="H15" i="1754" s="1"/>
  <c r="H29" i="1754" s="1"/>
  <c r="G51" i="1754" s="1"/>
  <c r="D29" i="1753"/>
  <c r="H13" i="1753" s="1"/>
  <c r="D29" i="1752"/>
  <c r="H13" i="1752" s="1"/>
  <c r="D29" i="1751"/>
  <c r="H13" i="1751" s="1"/>
  <c r="D29" i="1750"/>
  <c r="H13" i="1750" s="1"/>
  <c r="H15" i="1750" s="1"/>
  <c r="H29" i="1750" s="1"/>
  <c r="G51" i="1750"/>
  <c r="R52" i="1737"/>
  <c r="L22" i="1737" s="1"/>
  <c r="D22" i="1737" s="1"/>
  <c r="R51" i="1737"/>
  <c r="D50" i="1737"/>
  <c r="R49" i="1737"/>
  <c r="D49" i="1737"/>
  <c r="R48" i="1737"/>
  <c r="D48" i="1737"/>
  <c r="D46" i="1737"/>
  <c r="D45" i="1737"/>
  <c r="R44" i="1737"/>
  <c r="L28" i="1737" s="1"/>
  <c r="D28" i="1737" s="1"/>
  <c r="D44" i="1737"/>
  <c r="R42" i="1737"/>
  <c r="L6" i="1737" s="1"/>
  <c r="D6" i="1737" s="1"/>
  <c r="D42" i="1737"/>
  <c r="R41" i="1737"/>
  <c r="L7" i="1737" s="1"/>
  <c r="D7" i="1737" s="1"/>
  <c r="D41" i="1737"/>
  <c r="R40" i="1737"/>
  <c r="D40" i="1737"/>
  <c r="R39" i="1737"/>
  <c r="H39" i="1737"/>
  <c r="D39" i="1737"/>
  <c r="R38" i="1737"/>
  <c r="H38" i="1737"/>
  <c r="D38" i="1737"/>
  <c r="R37" i="1737"/>
  <c r="H37" i="1737"/>
  <c r="D37" i="1737"/>
  <c r="R36" i="1737"/>
  <c r="L10" i="1737" s="1"/>
  <c r="D10" i="1737" s="1"/>
  <c r="H36" i="1737"/>
  <c r="D36" i="1737"/>
  <c r="R35" i="1737"/>
  <c r="H35" i="1737"/>
  <c r="D35" i="1737"/>
  <c r="R34" i="1737"/>
  <c r="L12" i="1737" s="1"/>
  <c r="D12" i="1737" s="1"/>
  <c r="H34" i="1737"/>
  <c r="D34" i="1737"/>
  <c r="R33" i="1737"/>
  <c r="L23" i="1737" s="1"/>
  <c r="D23" i="1737" s="1"/>
  <c r="R32" i="1737"/>
  <c r="R31" i="1737"/>
  <c r="R30" i="1737"/>
  <c r="R29" i="1737"/>
  <c r="R28" i="1737"/>
  <c r="R27" i="1737"/>
  <c r="D27" i="1737"/>
  <c r="R26" i="1737"/>
  <c r="L26" i="1737"/>
  <c r="D26" i="1737" s="1"/>
  <c r="R25" i="1737"/>
  <c r="L25" i="1737"/>
  <c r="D25" i="1737" s="1"/>
  <c r="R24" i="1737"/>
  <c r="D24" i="1737"/>
  <c r="R23" i="1737"/>
  <c r="R22" i="1737"/>
  <c r="R21" i="1737"/>
  <c r="D21" i="1737"/>
  <c r="R20" i="1737"/>
  <c r="L20" i="1737"/>
  <c r="D20" i="1737" s="1"/>
  <c r="R19" i="1737"/>
  <c r="L19" i="1737"/>
  <c r="D19" i="1737" s="1"/>
  <c r="R18" i="1737"/>
  <c r="D18" i="1737"/>
  <c r="R17" i="1737"/>
  <c r="D17" i="1737"/>
  <c r="R16" i="1737"/>
  <c r="L16" i="1737"/>
  <c r="D16" i="1737" s="1"/>
  <c r="R15" i="1737"/>
  <c r="D15" i="1737"/>
  <c r="R14" i="1737"/>
  <c r="D14" i="1737"/>
  <c r="R13" i="1737"/>
  <c r="D13" i="1737"/>
  <c r="R12" i="1737"/>
  <c r="R11" i="1737"/>
  <c r="L11" i="1737"/>
  <c r="D11" i="1737" s="1"/>
  <c r="L9" i="1737"/>
  <c r="D9" i="1737"/>
  <c r="L8" i="1737"/>
  <c r="D8" i="1737"/>
  <c r="R6" i="1737"/>
  <c r="R5" i="1737"/>
  <c r="R4" i="1737"/>
  <c r="R52" i="1736"/>
  <c r="R51" i="1736"/>
  <c r="D50" i="1736"/>
  <c r="R49" i="1736"/>
  <c r="D49" i="1736"/>
  <c r="R48" i="1736"/>
  <c r="D48" i="1736"/>
  <c r="D46" i="1736"/>
  <c r="D45" i="1736"/>
  <c r="R44" i="1736"/>
  <c r="L28" i="1736" s="1"/>
  <c r="D28" i="1736" s="1"/>
  <c r="D44" i="1736"/>
  <c r="R42" i="1736"/>
  <c r="D42" i="1736"/>
  <c r="R41" i="1736"/>
  <c r="L7" i="1736" s="1"/>
  <c r="D7" i="1736" s="1"/>
  <c r="D41" i="1736"/>
  <c r="R40" i="1736"/>
  <c r="D40" i="1736"/>
  <c r="R39" i="1736"/>
  <c r="H39" i="1736"/>
  <c r="D39" i="1736"/>
  <c r="R38" i="1736"/>
  <c r="H38" i="1736"/>
  <c r="D38" i="1736"/>
  <c r="R37" i="1736"/>
  <c r="H37" i="1736"/>
  <c r="D37" i="1736"/>
  <c r="R36" i="1736"/>
  <c r="L10" i="1736" s="1"/>
  <c r="D10" i="1736" s="1"/>
  <c r="H36" i="1736"/>
  <c r="D36" i="1736"/>
  <c r="R35" i="1736"/>
  <c r="L19" i="1736" s="1"/>
  <c r="D19" i="1736" s="1"/>
  <c r="H35" i="1736"/>
  <c r="D35" i="1736"/>
  <c r="R34" i="1736"/>
  <c r="L12" i="1736" s="1"/>
  <c r="D12" i="1736" s="1"/>
  <c r="H34" i="1736"/>
  <c r="D34" i="1736"/>
  <c r="R33" i="1736"/>
  <c r="R32" i="1736"/>
  <c r="R31" i="1736"/>
  <c r="R30" i="1736"/>
  <c r="R29" i="1736"/>
  <c r="R28" i="1736"/>
  <c r="L16" i="1736" s="1"/>
  <c r="D16" i="1736" s="1"/>
  <c r="R27" i="1736"/>
  <c r="D27" i="1736"/>
  <c r="R26" i="1736"/>
  <c r="L26" i="1736"/>
  <c r="D26" i="1736"/>
  <c r="R25" i="1736"/>
  <c r="L25" i="1736"/>
  <c r="D25" i="1736" s="1"/>
  <c r="R24" i="1736"/>
  <c r="L24" i="1736"/>
  <c r="D24" i="1736" s="1"/>
  <c r="R23" i="1736"/>
  <c r="L23" i="1736"/>
  <c r="D23" i="1736"/>
  <c r="R22" i="1736"/>
  <c r="L22" i="1736"/>
  <c r="D22" i="1736"/>
  <c r="R21" i="1736"/>
  <c r="L17" i="1736" s="1"/>
  <c r="D17" i="1736" s="1"/>
  <c r="D21" i="1736"/>
  <c r="R20" i="1736"/>
  <c r="L20" i="1736"/>
  <c r="D20" i="1736" s="1"/>
  <c r="R19" i="1736"/>
  <c r="R18" i="1736"/>
  <c r="D18" i="1736"/>
  <c r="R17" i="1736"/>
  <c r="R16" i="1736"/>
  <c r="R15" i="1736"/>
  <c r="D15" i="1736"/>
  <c r="R14" i="1736"/>
  <c r="D14" i="1736"/>
  <c r="R13" i="1736"/>
  <c r="D13" i="1736"/>
  <c r="R12" i="1736"/>
  <c r="R11" i="1736"/>
  <c r="L11" i="1736"/>
  <c r="D11" i="1736"/>
  <c r="L9" i="1736"/>
  <c r="D9" i="1736"/>
  <c r="L8" i="1736"/>
  <c r="D8" i="1736" s="1"/>
  <c r="R6" i="1736"/>
  <c r="L6" i="1736"/>
  <c r="D6" i="1736" s="1"/>
  <c r="R5" i="1736"/>
  <c r="R4" i="1736"/>
  <c r="R52" i="1735"/>
  <c r="R51" i="1735"/>
  <c r="D50" i="1735"/>
  <c r="R49" i="1735"/>
  <c r="D49" i="1735"/>
  <c r="R48" i="1735"/>
  <c r="D48" i="1735"/>
  <c r="D46" i="1735"/>
  <c r="D45" i="1735"/>
  <c r="R44" i="1735"/>
  <c r="L28" i="1735" s="1"/>
  <c r="D28" i="1735" s="1"/>
  <c r="D44" i="1735"/>
  <c r="R42" i="1735"/>
  <c r="L6" i="1735" s="1"/>
  <c r="D6" i="1735" s="1"/>
  <c r="D42" i="1735"/>
  <c r="R41" i="1735"/>
  <c r="D41" i="1735"/>
  <c r="R40" i="1735"/>
  <c r="L8" i="1735" s="1"/>
  <c r="D8" i="1735" s="1"/>
  <c r="D40" i="1735"/>
  <c r="R39" i="1735"/>
  <c r="L20" i="1735" s="1"/>
  <c r="D20" i="1735" s="1"/>
  <c r="H39" i="1735"/>
  <c r="D39" i="1735"/>
  <c r="R38" i="1735"/>
  <c r="H38" i="1735"/>
  <c r="D38" i="1735"/>
  <c r="R37" i="1735"/>
  <c r="H37" i="1735"/>
  <c r="D37" i="1735"/>
  <c r="R36" i="1735"/>
  <c r="L10" i="1735" s="1"/>
  <c r="D10" i="1735" s="1"/>
  <c r="H36" i="1735"/>
  <c r="D36" i="1735"/>
  <c r="R35" i="1735"/>
  <c r="H35" i="1735"/>
  <c r="D35" i="1735"/>
  <c r="R34" i="1735"/>
  <c r="H34" i="1735"/>
  <c r="D34" i="1735"/>
  <c r="R33" i="1735"/>
  <c r="R32" i="1735"/>
  <c r="R31" i="1735"/>
  <c r="R30" i="1735"/>
  <c r="R29" i="1735"/>
  <c r="R28" i="1735"/>
  <c r="L16" i="1735" s="1"/>
  <c r="D16" i="1735" s="1"/>
  <c r="R27" i="1735"/>
  <c r="D27" i="1735"/>
  <c r="R26" i="1735"/>
  <c r="L26" i="1735"/>
  <c r="D26" i="1735"/>
  <c r="R25" i="1735"/>
  <c r="L25" i="1735"/>
  <c r="D25" i="1735"/>
  <c r="R24" i="1735"/>
  <c r="L24" i="1735"/>
  <c r="D24" i="1735"/>
  <c r="R23" i="1735"/>
  <c r="D23" i="1735"/>
  <c r="R22" i="1735"/>
  <c r="D22" i="1735"/>
  <c r="R21" i="1735"/>
  <c r="D21" i="1735"/>
  <c r="R20" i="1735"/>
  <c r="R19" i="1735"/>
  <c r="D19" i="1735"/>
  <c r="R18" i="1735"/>
  <c r="D18" i="1735"/>
  <c r="R17" i="1735"/>
  <c r="L17" i="1735"/>
  <c r="D17" i="1735"/>
  <c r="R16" i="1735"/>
  <c r="R15" i="1735"/>
  <c r="D15" i="1735"/>
  <c r="R14" i="1735"/>
  <c r="D14" i="1735"/>
  <c r="R13" i="1735"/>
  <c r="D13" i="1735"/>
  <c r="R12" i="1735"/>
  <c r="L12" i="1735"/>
  <c r="D12" i="1735"/>
  <c r="R11" i="1735"/>
  <c r="L11" i="1735"/>
  <c r="D11" i="1735"/>
  <c r="L9" i="1735"/>
  <c r="D9" i="1735" s="1"/>
  <c r="L7" i="1735"/>
  <c r="D7" i="1735"/>
  <c r="R6" i="1735"/>
  <c r="R5" i="1735"/>
  <c r="R4" i="1735"/>
  <c r="R52" i="1734"/>
  <c r="R51" i="1734"/>
  <c r="D50" i="1734"/>
  <c r="R49" i="1734"/>
  <c r="G49" i="1734"/>
  <c r="D49" i="1734"/>
  <c r="R48" i="1734"/>
  <c r="D48" i="1734"/>
  <c r="D46" i="1734"/>
  <c r="D45" i="1734"/>
  <c r="D44" i="1734"/>
  <c r="R42" i="1734"/>
  <c r="L6" i="1734" s="1"/>
  <c r="D6" i="1734" s="1"/>
  <c r="D42" i="1734"/>
  <c r="R41" i="1734"/>
  <c r="L7" i="1734" s="1"/>
  <c r="D7" i="1734" s="1"/>
  <c r="D41" i="1734"/>
  <c r="R40" i="1734"/>
  <c r="D40" i="1734"/>
  <c r="R39" i="1734"/>
  <c r="D39" i="1734"/>
  <c r="R38" i="1734"/>
  <c r="D38" i="1734"/>
  <c r="R37" i="1734"/>
  <c r="D37" i="1734"/>
  <c r="R36" i="1734"/>
  <c r="L10" i="1734" s="1"/>
  <c r="D10" i="1734" s="1"/>
  <c r="D36" i="1734"/>
  <c r="R35" i="1734"/>
  <c r="D35" i="1734"/>
  <c r="R34" i="1734"/>
  <c r="L12" i="1734" s="1"/>
  <c r="D12" i="1734" s="1"/>
  <c r="D34" i="1734"/>
  <c r="D54" i="1734" s="1"/>
  <c r="H14" i="1734" s="1"/>
  <c r="R33" i="1734"/>
  <c r="L23" i="1734" s="1"/>
  <c r="D23" i="1734" s="1"/>
  <c r="R32" i="1734"/>
  <c r="R31" i="1734"/>
  <c r="R30" i="1734"/>
  <c r="R29" i="1734"/>
  <c r="R28" i="1734"/>
  <c r="L16" i="1734" s="1"/>
  <c r="D16" i="1734" s="1"/>
  <c r="D28" i="1734"/>
  <c r="R27" i="1734"/>
  <c r="D27" i="1734"/>
  <c r="R26" i="1734"/>
  <c r="L26" i="1734"/>
  <c r="D26" i="1734" s="1"/>
  <c r="R25" i="1734"/>
  <c r="L25" i="1734"/>
  <c r="D25" i="1734"/>
  <c r="R24" i="1734"/>
  <c r="D24" i="1734"/>
  <c r="R23" i="1734"/>
  <c r="R22" i="1734"/>
  <c r="L22" i="1734"/>
  <c r="D22" i="1734"/>
  <c r="R21" i="1734"/>
  <c r="D21" i="1734"/>
  <c r="R20" i="1734"/>
  <c r="L20" i="1734"/>
  <c r="D20" i="1734"/>
  <c r="R19" i="1734"/>
  <c r="L19" i="1734"/>
  <c r="D19" i="1734"/>
  <c r="R18" i="1734"/>
  <c r="D18" i="1734"/>
  <c r="R17" i="1734"/>
  <c r="D17" i="1734"/>
  <c r="R16" i="1734"/>
  <c r="S15" i="1734"/>
  <c r="R15" i="1734"/>
  <c r="D15" i="1734"/>
  <c r="S14" i="1734"/>
  <c r="R14" i="1734"/>
  <c r="D14" i="1734"/>
  <c r="R13" i="1734"/>
  <c r="D13" i="1734"/>
  <c r="R12" i="1734"/>
  <c r="R11" i="1734"/>
  <c r="L11" i="1734"/>
  <c r="D11" i="1734"/>
  <c r="L9" i="1734"/>
  <c r="D9" i="1734"/>
  <c r="L8" i="1734"/>
  <c r="D8" i="1734"/>
  <c r="R6" i="1734"/>
  <c r="R5" i="1734"/>
  <c r="R4" i="1734"/>
  <c r="G51" i="1768" l="1"/>
  <c r="H15" i="1769"/>
  <c r="H29" i="1769" s="1"/>
  <c r="G51" i="1769" s="1"/>
  <c r="H15" i="1767"/>
  <c r="H29" i="1767" s="1"/>
  <c r="G51" i="1767" s="1"/>
  <c r="H15" i="1764"/>
  <c r="H29" i="1764" s="1"/>
  <c r="G51" i="1764" s="1"/>
  <c r="H15" i="1763"/>
  <c r="H29" i="1763" s="1"/>
  <c r="G51" i="1763" s="1"/>
  <c r="H15" i="1761"/>
  <c r="H29" i="1761" s="1"/>
  <c r="G51" i="1761" s="1"/>
  <c r="H15" i="1760"/>
  <c r="H29" i="1760" s="1"/>
  <c r="G51" i="1760" s="1"/>
  <c r="H15" i="1759"/>
  <c r="H29" i="1759" s="1"/>
  <c r="G51" i="1759" s="1"/>
  <c r="H15" i="1757"/>
  <c r="H29" i="1757" s="1"/>
  <c r="G51" i="1757" s="1"/>
  <c r="H15" i="1756"/>
  <c r="H29" i="1756" s="1"/>
  <c r="G51" i="1756" s="1"/>
  <c r="H15" i="1755"/>
  <c r="H29" i="1755" s="1"/>
  <c r="G51" i="1755" s="1"/>
  <c r="H15" i="1753"/>
  <c r="H29" i="1753" s="1"/>
  <c r="G51" i="1753" s="1"/>
  <c r="H15" i="1752"/>
  <c r="H29" i="1752" s="1"/>
  <c r="G51" i="1752" s="1"/>
  <c r="H15" i="1751"/>
  <c r="H29" i="1751" s="1"/>
  <c r="G51" i="1751" s="1"/>
  <c r="G49" i="1737"/>
  <c r="G49" i="1736"/>
  <c r="G49" i="1735"/>
  <c r="D54" i="1737"/>
  <c r="H14" i="1737" s="1"/>
  <c r="D54" i="1736"/>
  <c r="H14" i="1736" s="1"/>
  <c r="D54" i="1735"/>
  <c r="H14" i="1735" s="1"/>
  <c r="D29" i="1737"/>
  <c r="H13" i="1737" s="1"/>
  <c r="D29" i="1736"/>
  <c r="H13" i="1736" s="1"/>
  <c r="D29" i="1735"/>
  <c r="H13" i="1735" s="1"/>
  <c r="D29" i="1734"/>
  <c r="H13" i="1734" s="1"/>
  <c r="H15" i="1734" s="1"/>
  <c r="H29" i="1734" s="1"/>
  <c r="G51" i="1734" s="1"/>
  <c r="H15" i="1737" l="1"/>
  <c r="H29" i="1737" s="1"/>
  <c r="G51" i="1737" s="1"/>
  <c r="H15" i="1736"/>
  <c r="H29" i="1736" s="1"/>
  <c r="G51" i="1736" s="1"/>
  <c r="H15" i="1735"/>
  <c r="H29" i="1735" s="1"/>
  <c r="G51" i="1735" s="1"/>
</calcChain>
</file>

<file path=xl/sharedStrings.xml><?xml version="1.0" encoding="utf-8"?>
<sst xmlns="http://schemas.openxmlformats.org/spreadsheetml/2006/main" count="3777" uniqueCount="174">
  <si>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</si>
  <si>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</si>
  <si>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</si>
  <si>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</si>
  <si>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</si>
  <si>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</si>
  <si>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</si>
  <si>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</si>
  <si>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</si>
  <si>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</si>
  <si>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</si>
  <si>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</si>
  <si>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</si>
  <si>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</si>
  <si>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</si>
  <si>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</si>
  <si>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</si>
  <si>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</si>
  <si>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</si>
  <si>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</si>
  <si>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</si>
  <si>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</si>
  <si>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</si>
  <si>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</si>
  <si>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</si>
  <si>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</si>
  <si>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</si>
  <si>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</si>
  <si>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</si>
  <si>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</si>
  <si>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</si>
  <si>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</si>
  <si>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</si>
  <si>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</si>
  <si>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</si>
  <si>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</si>
  <si>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</si>
  <si>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</si>
  <si>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</si>
  <si>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</si>
  <si>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</si>
  <si>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</si>
  <si>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</si>
  <si>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</si>
  <si>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</si>
  <si>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</si>
  <si>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</si>
  <si>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</si>
  <si>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</si>
  <si>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</si>
  <si>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</si>
  <si>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</si>
  <si>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</si>
  <si>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</si>
  <si>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</si>
  <si>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</si>
  <si>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</si>
  <si>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</si>
  <si>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</si>
  <si>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</si>
  <si>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</si>
  <si>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</si>
  <si>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</si>
  <si>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</si>
  <si>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</si>
  <si>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</si>
  <si>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</si>
  <si>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</si>
  <si>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</si>
  <si>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</si>
  <si>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</si>
  <si>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</si>
  <si>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</si>
  <si>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</si>
  <si>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</si>
  <si>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</si>
  <si>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</si>
  <si>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</si>
  <si>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</si>
  <si>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</si>
  <si>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</si>
  <si>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</si>
  <si>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</si>
  <si>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</si>
  <si>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</si>
  <si>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</si>
  <si>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</si>
  <si>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</si>
  <si>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</si>
  <si>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</si>
  <si>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</si>
  <si>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</si>
  <si>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</si>
  <si>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</si>
  <si>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</si>
  <si>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</si>
  <si>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</si>
  <si>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</si>
  <si>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</si>
  <si>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</si>
  <si>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</si>
  <si>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</si>
  <si>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</si>
  <si>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</si>
  <si>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</si>
  <si>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</si>
  <si>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</si>
  <si>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</si>
  <si>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</si>
  <si>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</si>
  <si>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</si>
  <si>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</si>
  <si>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PAMC</t>
  </si>
  <si>
    <t>ENCLONAR, JEROME</t>
  </si>
  <si>
    <t>SALIG, JOVANI</t>
  </si>
  <si>
    <t>SDC</t>
  </si>
  <si>
    <t>FBAC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</si>
  <si>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</si>
  <si>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</si>
  <si>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</si>
  <si>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</si>
  <si>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</si>
  <si>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</si>
  <si>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</si>
  <si>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</si>
  <si>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</si>
  <si>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</si>
  <si>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</si>
  <si>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</si>
  <si>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FBAC/FBLC</t>
  </si>
  <si>
    <t>GOMORA, JURLAN</t>
  </si>
  <si>
    <t>CC/CIC/C10C</t>
  </si>
  <si>
    <t>CBB</t>
  </si>
  <si>
    <t>CLC/SDC</t>
  </si>
  <si>
    <t>SMZB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</si>
  <si>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</si>
  <si>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</si>
  <si>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</si>
  <si>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</si>
  <si>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RACAZA, ALEX</t>
  </si>
  <si>
    <t xml:space="preserve">                           RONNEL DANDAYO</t>
  </si>
  <si>
    <t>GICA, GRACE</t>
  </si>
  <si>
    <t xml:space="preserve">                            GRACE B. GICA</t>
  </si>
  <si>
    <t xml:space="preserve">                            ESTEMARK PORMENTO</t>
  </si>
  <si>
    <t>SALIG, JULIVEN</t>
  </si>
  <si>
    <t>BDO</t>
  </si>
  <si>
    <t>PNB</t>
  </si>
  <si>
    <t>147136</t>
  </si>
  <si>
    <t>1ST VALLEY BANK</t>
  </si>
  <si>
    <t>5089308</t>
  </si>
  <si>
    <t>SML BOTT.</t>
  </si>
  <si>
    <t>FB BOTT.</t>
  </si>
  <si>
    <t>FBLYC/FBAC</t>
  </si>
  <si>
    <t>SMLC/RHC/PPC</t>
  </si>
  <si>
    <t>BAOC, PRECILLANO / PODIOTAN, AIR JOHN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</si>
  <si>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</si>
  <si>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2000002766</t>
  </si>
  <si>
    <t>G-CASH</t>
  </si>
  <si>
    <t>42966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</si>
  <si>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 OVER</t>
    </r>
  </si>
  <si>
    <t>PSBC</t>
  </si>
  <si>
    <t>2120012839</t>
  </si>
  <si>
    <t>146923</t>
  </si>
  <si>
    <t>2000007261</t>
  </si>
  <si>
    <t>2000005779</t>
  </si>
  <si>
    <t>PAMC/CBC/CLC</t>
  </si>
  <si>
    <t>FBLYC/FBAC/FBLC</t>
  </si>
  <si>
    <t>PP BOTT.</t>
  </si>
  <si>
    <t>CLC/SDC/CBC</t>
  </si>
  <si>
    <t>SML500C/PP500C</t>
  </si>
  <si>
    <t>130458</t>
  </si>
  <si>
    <t>BANK ACCOUNT</t>
  </si>
  <si>
    <t>2130016745</t>
  </si>
  <si>
    <t>2778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</si>
</sst>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42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16" xfId="0" applyFont="1" applyFill="1" applyBorder="1"/>
    <xf numFmtId="49" fontId="23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49" fontId="0" fillId="0" borderId="16" xfId="0" applyNumberFormat="1" applyFont="1" applyBorder="1" applyAlignment="1">
      <alignment horizontal="right"/>
    </xf>
    <xf numFmtId="0" fontId="9" fillId="0" borderId="16" xfId="0" applyFont="1" applyBorder="1" applyAlignment="1">
      <alignment horizontal="right"/>
    </xf>
    <xf numFmtId="0" fontId="24" fillId="0" borderId="16" xfId="0" applyFont="1" applyBorder="1"/>
    <xf numFmtId="49" fontId="9" fillId="0" borderId="16" xfId="0" applyNumberFormat="1" applyFont="1" applyBorder="1" applyAlignment="1">
      <alignment horizontal="right"/>
    </xf>
    <xf numFmtId="0" fontId="23" fillId="0" borderId="16" xfId="0" applyFont="1" applyBorder="1"/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318524-6039-44C5-A449-11E763D2FF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879EA69-D85F-4788-AB65-A86F5D1492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2ACD056-479C-4E78-814E-B49E4DBAAC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5E525CA-AF68-4066-A847-7CEAE693EF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BEC3A4B-375A-4033-A172-15BB9AD8BD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833B590-3D42-4BAC-A5CB-0FED7B37F3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6A5D576-8C3D-4D53-AE8E-14D9AA977C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B4DA8D9-0A23-4F08-BC5C-3D86CF0614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44C33C-495E-43C6-A19C-E42E626C5E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72ACA88-B1F2-47F8-829E-B599DF9F05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6B43F0-6310-4B5A-A3DE-2C82192274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AC5ED1-D03C-4606-B695-91E2CC4C5E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3030D2-03DE-4DC9-B983-04751BAA0E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859F430-B2B2-4181-AF0B-1CDAEB2835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C9AE3CC-09F5-445F-A90D-9615110E44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E145EA-1BF5-49E8-825E-3D4ABC677F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DE2173-88A9-4C36-B915-80DE98E9C5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941979A-657F-4EF7-9C2F-8B0EE531AC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BCA23A5-E851-4AF6-9BCC-28147F8411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2690E72-B010-4D0D-AA87-F70E4DA568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FC7FDD3-CC27-4423-8EFB-C7219299B8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BBAE813-21FE-4681-B0F5-0301D0FE1F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7F6DD5-F951-46EC-9DD0-A79D00923D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0C0915-6EA4-48F0-8BCA-069AFDE345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EE4DE2E-D218-4FA8-BE7A-A94F950600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694B452-9D9D-4DFB-8F38-39C1EE76E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782DB2-6394-4EE9-B4CD-5D91C236F2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7B49FF-CD35-494D-BD40-DEA1DBE267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CAE6D-987F-449B-9B98-3BB0F27B695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7" t="s">
        <v>1</v>
      </c>
      <c r="O1" s="197"/>
      <c r="P1" s="86" t="s">
        <v>2</v>
      </c>
      <c r="Q1" s="8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8" t="s">
        <v>7</v>
      </c>
      <c r="B4" s="149"/>
      <c r="C4" s="149"/>
      <c r="D4" s="150"/>
      <c r="F4" s="198" t="s">
        <v>8</v>
      </c>
      <c r="G4" s="200"/>
      <c r="H4" s="202" t="s">
        <v>9</v>
      </c>
      <c r="I4" s="204"/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3"/>
      <c r="B6" s="16"/>
      <c r="C6" s="10"/>
      <c r="D6" s="13">
        <f t="shared" ref="D6:D28" si="1">C6*L6</f>
        <v>0</v>
      </c>
      <c r="F6" s="208" t="s">
        <v>16</v>
      </c>
      <c r="G6" s="210"/>
      <c r="H6" s="211"/>
      <c r="I6" s="211"/>
      <c r="J6" s="21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3"/>
      <c r="B7" s="16"/>
      <c r="C7" s="10"/>
      <c r="D7" s="13">
        <f t="shared" si="1"/>
        <v>0</v>
      </c>
      <c r="F7" s="209"/>
      <c r="G7" s="213"/>
      <c r="H7" s="214"/>
      <c r="I7" s="214"/>
      <c r="J7" s="21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3"/>
      <c r="B8" s="16"/>
      <c r="C8" s="10"/>
      <c r="D8" s="13">
        <f t="shared" si="1"/>
        <v>0</v>
      </c>
      <c r="F8" s="216" t="s">
        <v>21</v>
      </c>
      <c r="G8" s="217"/>
      <c r="H8" s="218"/>
      <c r="I8" s="218"/>
      <c r="J8" s="21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3"/>
      <c r="B9" s="16"/>
      <c r="C9" s="10"/>
      <c r="D9" s="13">
        <f t="shared" si="1"/>
        <v>0</v>
      </c>
      <c r="F9" s="209"/>
      <c r="G9" s="220"/>
      <c r="H9" s="221"/>
      <c r="I9" s="221"/>
      <c r="J9" s="22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3"/>
      <c r="C10" s="10"/>
      <c r="D10" s="13">
        <f t="shared" si="1"/>
        <v>0</v>
      </c>
      <c r="F10" s="208" t="s">
        <v>26</v>
      </c>
      <c r="G10" s="223"/>
      <c r="H10" s="224"/>
      <c r="I10" s="224"/>
      <c r="J10" s="225"/>
      <c r="K10" s="8"/>
      <c r="L10" s="6">
        <f>R36</f>
        <v>972</v>
      </c>
      <c r="P10" s="4"/>
      <c r="Q10" s="4"/>
      <c r="R10" s="5"/>
    </row>
    <row r="11" spans="1:19" ht="15.75" x14ac:dyDescent="0.25">
      <c r="A11" s="143"/>
      <c r="B11" s="17"/>
      <c r="C11" s="10"/>
      <c r="D11" s="13">
        <f t="shared" si="1"/>
        <v>0</v>
      </c>
      <c r="F11" s="209"/>
      <c r="G11" s="220"/>
      <c r="H11" s="221"/>
      <c r="I11" s="221"/>
      <c r="J11" s="22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3"/>
      <c r="B12" s="17"/>
      <c r="C12" s="10"/>
      <c r="D12" s="48">
        <f t="shared" si="1"/>
        <v>0</v>
      </c>
      <c r="F12" s="226" t="s">
        <v>33</v>
      </c>
      <c r="G12" s="227"/>
      <c r="H12" s="227"/>
      <c r="I12" s="227"/>
      <c r="J12" s="22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3"/>
      <c r="B13" s="17"/>
      <c r="C13" s="10"/>
      <c r="D13" s="48">
        <f t="shared" si="1"/>
        <v>0</v>
      </c>
      <c r="F13" s="229" t="s">
        <v>36</v>
      </c>
      <c r="G13" s="19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3"/>
      <c r="B14" s="14"/>
      <c r="C14" s="10"/>
      <c r="D14" s="31">
        <f t="shared" si="1"/>
        <v>0</v>
      </c>
      <c r="F14" s="187" t="s">
        <v>39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3"/>
      <c r="B15" s="14"/>
      <c r="C15" s="10"/>
      <c r="D15" s="31">
        <f t="shared" si="1"/>
        <v>0</v>
      </c>
      <c r="F15" s="192" t="s">
        <v>40</v>
      </c>
      <c r="G15" s="193"/>
      <c r="H15" s="194">
        <f>H13-H14</f>
        <v>0</v>
      </c>
      <c r="I15" s="195"/>
      <c r="J15" s="19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4"/>
      <c r="I16" s="154"/>
      <c r="J16" s="15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C17" s="10"/>
      <c r="D17" s="48">
        <f t="shared" si="1"/>
        <v>0</v>
      </c>
      <c r="F17" s="56"/>
      <c r="G17" s="66" t="s">
        <v>45</v>
      </c>
      <c r="H17" s="165"/>
      <c r="I17" s="165"/>
      <c r="J17" s="16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/>
      <c r="C18" s="10"/>
      <c r="D18" s="48">
        <f t="shared" si="1"/>
        <v>0</v>
      </c>
      <c r="F18" s="56"/>
      <c r="G18" s="66" t="s">
        <v>47</v>
      </c>
      <c r="H18" s="165"/>
      <c r="I18" s="165"/>
      <c r="J18" s="16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/>
      <c r="C19" s="10"/>
      <c r="D19" s="48">
        <f t="shared" si="1"/>
        <v>0</v>
      </c>
      <c r="F19" s="56"/>
      <c r="G19" s="68" t="s">
        <v>50</v>
      </c>
      <c r="H19" s="166"/>
      <c r="I19" s="166"/>
      <c r="J19" s="1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3"/>
      <c r="B20" s="46"/>
      <c r="C20" s="10"/>
      <c r="D20" s="13">
        <f t="shared" si="1"/>
        <v>0</v>
      </c>
      <c r="F20" s="57"/>
      <c r="G20" s="70" t="s">
        <v>117</v>
      </c>
      <c r="H20" s="154"/>
      <c r="I20" s="154"/>
      <c r="J20" s="15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7" t="s">
        <v>13</v>
      </c>
      <c r="I21" s="168"/>
      <c r="J21" s="16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3"/>
      <c r="B22" s="46"/>
      <c r="C22" s="10"/>
      <c r="D22" s="48">
        <f t="shared" si="1"/>
        <v>0</v>
      </c>
      <c r="F22" s="77"/>
      <c r="G22" s="73"/>
      <c r="H22" s="170"/>
      <c r="I22" s="170"/>
      <c r="J22" s="17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/>
      <c r="C23" s="10"/>
      <c r="D23" s="48">
        <f t="shared" si="1"/>
        <v>0</v>
      </c>
      <c r="F23" s="78"/>
      <c r="G23" s="79"/>
      <c r="H23" s="171"/>
      <c r="I23" s="140"/>
      <c r="J23" s="14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/>
      <c r="C24" s="10"/>
      <c r="D24" s="48">
        <f t="shared" si="1"/>
        <v>0</v>
      </c>
      <c r="F24" s="38"/>
      <c r="G24" s="37"/>
      <c r="H24" s="171"/>
      <c r="I24" s="140"/>
      <c r="J24" s="14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2" t="s">
        <v>13</v>
      </c>
      <c r="I25" s="173"/>
      <c r="J25" s="17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/>
      <c r="C26" s="10"/>
      <c r="D26" s="48">
        <f t="shared" si="1"/>
        <v>0</v>
      </c>
      <c r="F26" s="64"/>
      <c r="G26" s="59"/>
      <c r="H26" s="175"/>
      <c r="I26" s="176"/>
      <c r="J26" s="17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3"/>
      <c r="B27" s="14"/>
      <c r="C27" s="10"/>
      <c r="D27" s="44">
        <f t="shared" si="1"/>
        <v>0</v>
      </c>
      <c r="F27" s="25"/>
      <c r="G27" s="80"/>
      <c r="H27" s="178"/>
      <c r="I27" s="179"/>
      <c r="J27" s="18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/>
      <c r="C28" s="10"/>
      <c r="D28" s="48">
        <f t="shared" si="1"/>
        <v>0</v>
      </c>
      <c r="F28" s="87"/>
      <c r="G28" s="61"/>
      <c r="H28" s="181"/>
      <c r="I28" s="182"/>
      <c r="J28" s="18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5" t="s">
        <v>36</v>
      </c>
      <c r="B29" s="156"/>
      <c r="C29" s="157"/>
      <c r="D29" s="161">
        <f>SUM(D6:D28)</f>
        <v>0</v>
      </c>
      <c r="F29" s="101" t="s">
        <v>55</v>
      </c>
      <c r="G29" s="163"/>
      <c r="H29" s="123">
        <f>H15-H16-H17-H18-H19-H20-H22-H23-H24+H26+H27</f>
        <v>0</v>
      </c>
      <c r="I29" s="124"/>
      <c r="J29" s="12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8" t="s">
        <v>58</v>
      </c>
      <c r="B32" s="149"/>
      <c r="C32" s="149"/>
      <c r="D32" s="150"/>
      <c r="F32" s="151" t="s">
        <v>59</v>
      </c>
      <c r="G32" s="152"/>
      <c r="H32" s="152"/>
      <c r="I32" s="152"/>
      <c r="J32" s="15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51" t="s">
        <v>13</v>
      </c>
      <c r="I33" s="152"/>
      <c r="J33" s="15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5"/>
      <c r="I34" s="146"/>
      <c r="J34" s="14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3"/>
      <c r="B35" s="27" t="s">
        <v>68</v>
      </c>
      <c r="C35" s="52"/>
      <c r="D35" s="30">
        <f>C35*84</f>
        <v>0</v>
      </c>
      <c r="F35" s="58">
        <v>500</v>
      </c>
      <c r="G35" s="41"/>
      <c r="H35" s="145"/>
      <c r="I35" s="146"/>
      <c r="J35" s="14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70</v>
      </c>
      <c r="C36" s="10"/>
      <c r="D36" s="12">
        <f>C36*1.5</f>
        <v>0</v>
      </c>
      <c r="F36" s="12">
        <v>200</v>
      </c>
      <c r="G36" s="37"/>
      <c r="H36" s="145"/>
      <c r="I36" s="146"/>
      <c r="J36" s="14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5"/>
      <c r="I37" s="146"/>
      <c r="J37" s="14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3"/>
      <c r="B38" s="29" t="s">
        <v>68</v>
      </c>
      <c r="C38" s="54"/>
      <c r="D38" s="12">
        <f>C38*84</f>
        <v>0</v>
      </c>
      <c r="F38" s="30">
        <v>50</v>
      </c>
      <c r="G38" s="39"/>
      <c r="H38" s="145"/>
      <c r="I38" s="146"/>
      <c r="J38" s="14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4"/>
      <c r="B39" s="29" t="s">
        <v>70</v>
      </c>
      <c r="C39" s="52"/>
      <c r="D39" s="31">
        <f>C39*4.5</f>
        <v>0</v>
      </c>
      <c r="F39" s="12">
        <v>20</v>
      </c>
      <c r="G39" s="37"/>
      <c r="H39" s="145"/>
      <c r="I39" s="146"/>
      <c r="J39" s="14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5"/>
      <c r="I40" s="146"/>
      <c r="J40" s="14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3"/>
      <c r="B41" s="27" t="s">
        <v>68</v>
      </c>
      <c r="C41" s="10"/>
      <c r="D41" s="12">
        <f>C41*84</f>
        <v>0</v>
      </c>
      <c r="F41" s="12">
        <v>5</v>
      </c>
      <c r="G41" s="42"/>
      <c r="H41" s="145"/>
      <c r="I41" s="146"/>
      <c r="J41" s="14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4"/>
      <c r="B42" s="27" t="s">
        <v>70</v>
      </c>
      <c r="C42" s="11"/>
      <c r="D42" s="12">
        <f>C42*2.25</f>
        <v>0</v>
      </c>
      <c r="F42" s="39" t="s">
        <v>79</v>
      </c>
      <c r="G42" s="145"/>
      <c r="H42" s="146"/>
      <c r="I42" s="146"/>
      <c r="J42" s="14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5" t="s">
        <v>81</v>
      </c>
      <c r="C43" s="11"/>
      <c r="D43" s="12"/>
      <c r="F43" s="59" t="s">
        <v>82</v>
      </c>
      <c r="G43" s="90" t="s">
        <v>83</v>
      </c>
      <c r="H43" s="137" t="s">
        <v>13</v>
      </c>
      <c r="I43" s="138"/>
      <c r="J43" s="139"/>
      <c r="K43" s="21"/>
      <c r="P43" s="4"/>
      <c r="Q43" s="4"/>
      <c r="R43" s="5"/>
    </row>
    <row r="44" spans="1:18" ht="15.75" x14ac:dyDescent="0.25">
      <c r="A44" s="116"/>
      <c r="B44" s="27" t="s">
        <v>66</v>
      </c>
      <c r="C44" s="10"/>
      <c r="D44" s="12">
        <f>C44*120</f>
        <v>0</v>
      </c>
      <c r="F44" s="37"/>
      <c r="G44" s="76"/>
      <c r="H44" s="140"/>
      <c r="I44" s="140"/>
      <c r="J44" s="140"/>
      <c r="K44" s="21"/>
      <c r="P44" s="4"/>
      <c r="Q44" s="4"/>
      <c r="R44" s="5"/>
    </row>
    <row r="45" spans="1:18" ht="15.75" x14ac:dyDescent="0.25">
      <c r="A45" s="116"/>
      <c r="B45" s="27" t="s">
        <v>68</v>
      </c>
      <c r="C45" s="33"/>
      <c r="D45" s="12">
        <f>C45*84</f>
        <v>0</v>
      </c>
      <c r="F45" s="37"/>
      <c r="G45" s="76"/>
      <c r="H45" s="140"/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70</v>
      </c>
      <c r="C46" s="81"/>
      <c r="D46" s="12">
        <f>C46*1.5</f>
        <v>0</v>
      </c>
      <c r="F46" s="37"/>
      <c r="G46" s="62"/>
      <c r="H46" s="141"/>
      <c r="I46" s="141"/>
      <c r="J46" s="141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66</v>
      </c>
      <c r="C48" s="10"/>
      <c r="D48" s="12">
        <f>C48*78</f>
        <v>0</v>
      </c>
      <c r="F48" s="59"/>
      <c r="G48" s="59"/>
      <c r="H48" s="118"/>
      <c r="I48" s="119"/>
      <c r="J48" s="12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68</v>
      </c>
      <c r="C49" s="33"/>
      <c r="D49" s="12">
        <f>C49*42</f>
        <v>0</v>
      </c>
      <c r="F49" s="121" t="s">
        <v>86</v>
      </c>
      <c r="G49" s="123">
        <f>H34+H35+H36+H37+H38+H39+H40+H41+G42+H44+H45+H46</f>
        <v>0</v>
      </c>
      <c r="H49" s="124"/>
      <c r="I49" s="124"/>
      <c r="J49" s="12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70</v>
      </c>
      <c r="C50" s="11"/>
      <c r="D50" s="12">
        <f>C50*1.5</f>
        <v>0</v>
      </c>
      <c r="F50" s="122"/>
      <c r="G50" s="126"/>
      <c r="H50" s="127"/>
      <c r="I50" s="127"/>
      <c r="J50" s="128"/>
      <c r="P50" s="4"/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125</v>
      </c>
      <c r="G51" s="131">
        <f>G49-H29</f>
        <v>0</v>
      </c>
      <c r="H51" s="132"/>
      <c r="I51" s="132"/>
      <c r="J51" s="13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6"/>
      <c r="B52" s="29"/>
      <c r="C52" s="33"/>
      <c r="D52" s="45"/>
      <c r="F52" s="130"/>
      <c r="G52" s="134"/>
      <c r="H52" s="135"/>
      <c r="I52" s="135"/>
      <c r="J52" s="1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1" t="s">
        <v>90</v>
      </c>
      <c r="B54" s="102"/>
      <c r="C54" s="103"/>
      <c r="D54" s="107">
        <f>SUM(D34:D53)</f>
        <v>0</v>
      </c>
      <c r="F54" s="21"/>
      <c r="J54" s="34"/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9" t="s">
        <v>91</v>
      </c>
      <c r="B58" s="110"/>
      <c r="C58" s="110"/>
      <c r="D58" s="111"/>
      <c r="F58" s="109" t="s">
        <v>92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3DB5-0E29-40F6-8BCD-BE1BF448058D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7" t="s">
        <v>1</v>
      </c>
      <c r="O1" s="197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98" t="s">
        <v>8</v>
      </c>
      <c r="G4" s="200">
        <v>1</v>
      </c>
      <c r="H4" s="202" t="s">
        <v>9</v>
      </c>
      <c r="I4" s="204">
        <v>46055</v>
      </c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84">
        <v>283</v>
      </c>
      <c r="D6" s="13">
        <f t="shared" ref="D6:D28" si="1">C6*L6</f>
        <v>215363</v>
      </c>
      <c r="F6" s="208" t="s">
        <v>16</v>
      </c>
      <c r="G6" s="210" t="s">
        <v>111</v>
      </c>
      <c r="H6" s="211"/>
      <c r="I6" s="211"/>
      <c r="J6" s="2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84">
        <v>10</v>
      </c>
      <c r="D7" s="13">
        <f t="shared" si="1"/>
        <v>7810</v>
      </c>
      <c r="F7" s="209"/>
      <c r="G7" s="213"/>
      <c r="H7" s="214"/>
      <c r="I7" s="214"/>
      <c r="J7" s="2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84"/>
      <c r="D8" s="13">
        <f t="shared" si="1"/>
        <v>0</v>
      </c>
      <c r="F8" s="216" t="s">
        <v>21</v>
      </c>
      <c r="G8" s="217" t="s">
        <v>144</v>
      </c>
      <c r="H8" s="218"/>
      <c r="I8" s="218"/>
      <c r="J8" s="21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84">
        <v>118</v>
      </c>
      <c r="D9" s="13">
        <f t="shared" si="1"/>
        <v>86494</v>
      </c>
      <c r="F9" s="209"/>
      <c r="G9" s="220"/>
      <c r="H9" s="221"/>
      <c r="I9" s="221"/>
      <c r="J9" s="22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84"/>
      <c r="D10" s="13">
        <f t="shared" si="1"/>
        <v>0</v>
      </c>
      <c r="F10" s="208" t="s">
        <v>26</v>
      </c>
      <c r="G10" s="223" t="s">
        <v>139</v>
      </c>
      <c r="H10" s="224"/>
      <c r="I10" s="224"/>
      <c r="J10" s="225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84"/>
      <c r="D11" s="13">
        <f t="shared" si="1"/>
        <v>0</v>
      </c>
      <c r="F11" s="209"/>
      <c r="G11" s="220"/>
      <c r="H11" s="221"/>
      <c r="I11" s="221"/>
      <c r="J11" s="22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84"/>
      <c r="D12" s="48">
        <f t="shared" si="1"/>
        <v>0</v>
      </c>
      <c r="F12" s="226" t="s">
        <v>33</v>
      </c>
      <c r="G12" s="227"/>
      <c r="H12" s="227"/>
      <c r="I12" s="227"/>
      <c r="J12" s="22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84">
        <v>14</v>
      </c>
      <c r="D13" s="48">
        <f t="shared" si="1"/>
        <v>4298</v>
      </c>
      <c r="F13" s="229" t="s">
        <v>36</v>
      </c>
      <c r="G13" s="193"/>
      <c r="H13" s="184">
        <f>D29</f>
        <v>314042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84">
        <v>7</v>
      </c>
      <c r="D14" s="31">
        <f t="shared" si="1"/>
        <v>77</v>
      </c>
      <c r="F14" s="187" t="s">
        <v>39</v>
      </c>
      <c r="G14" s="188"/>
      <c r="H14" s="189">
        <f>D54</f>
        <v>21381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38</v>
      </c>
      <c r="C15" s="84"/>
      <c r="D15" s="31">
        <f t="shared" si="1"/>
        <v>0</v>
      </c>
      <c r="F15" s="192" t="s">
        <v>40</v>
      </c>
      <c r="G15" s="193"/>
      <c r="H15" s="194">
        <f>H13-H14</f>
        <v>292661</v>
      </c>
      <c r="I15" s="195"/>
      <c r="J15" s="19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4">
        <f>324*6</f>
        <v>1944</v>
      </c>
      <c r="I16" s="154"/>
      <c r="J16" s="15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t="s">
        <v>133</v>
      </c>
      <c r="C17" s="84"/>
      <c r="D17" s="48">
        <f t="shared" si="1"/>
        <v>0</v>
      </c>
      <c r="F17" s="56"/>
      <c r="G17" s="66" t="s">
        <v>45</v>
      </c>
      <c r="H17" s="165"/>
      <c r="I17" s="165"/>
      <c r="J17" s="16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5"/>
      <c r="I18" s="165"/>
      <c r="J18" s="16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5"/>
      <c r="I19" s="165"/>
      <c r="J19" s="165"/>
      <c r="L19" s="6">
        <v>1102</v>
      </c>
      <c r="Q19" s="4"/>
      <c r="R19" s="5">
        <f t="shared" si="0"/>
        <v>0</v>
      </c>
    </row>
    <row r="20" spans="1:18" ht="15.75" x14ac:dyDescent="0.25">
      <c r="A20" s="143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54"/>
      <c r="I20" s="154"/>
      <c r="J20" s="15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3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67" t="s">
        <v>13</v>
      </c>
      <c r="I21" s="168"/>
      <c r="J21" s="16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124</v>
      </c>
      <c r="C22" s="84"/>
      <c r="D22" s="48">
        <f t="shared" si="1"/>
        <v>0</v>
      </c>
      <c r="F22" s="77"/>
      <c r="G22" s="73"/>
      <c r="H22" s="170"/>
      <c r="I22" s="170"/>
      <c r="J22" s="17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101</v>
      </c>
      <c r="C23" s="84"/>
      <c r="D23" s="48">
        <f t="shared" si="1"/>
        <v>0</v>
      </c>
      <c r="F23" s="77"/>
      <c r="G23" s="79"/>
      <c r="H23" s="236"/>
      <c r="I23" s="237"/>
      <c r="J23" s="23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118</v>
      </c>
      <c r="C24" s="84"/>
      <c r="D24" s="48">
        <f t="shared" si="1"/>
        <v>0</v>
      </c>
      <c r="F24" s="77"/>
      <c r="G24" s="79"/>
      <c r="H24" s="236"/>
      <c r="I24" s="237"/>
      <c r="J24" s="23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72" t="s">
        <v>13</v>
      </c>
      <c r="I25" s="173"/>
      <c r="J25" s="17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132</v>
      </c>
      <c r="C26" s="84"/>
      <c r="D26" s="48">
        <f t="shared" si="1"/>
        <v>0</v>
      </c>
      <c r="F26" s="75"/>
      <c r="G26" s="65"/>
      <c r="H26" s="140"/>
      <c r="I26" s="140"/>
      <c r="J26" s="14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110</v>
      </c>
      <c r="C27" s="84"/>
      <c r="D27" s="44">
        <f t="shared" si="1"/>
        <v>0</v>
      </c>
      <c r="F27" s="71"/>
      <c r="G27" s="90"/>
      <c r="H27" s="238"/>
      <c r="I27" s="239"/>
      <c r="J27" s="23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97</v>
      </c>
      <c r="C28" s="84"/>
      <c r="D28" s="48">
        <f t="shared" si="1"/>
        <v>0</v>
      </c>
      <c r="F28" s="87"/>
      <c r="G28" s="61"/>
      <c r="H28" s="181"/>
      <c r="I28" s="182"/>
      <c r="J28" s="18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314042</v>
      </c>
      <c r="F29" s="101" t="s">
        <v>55</v>
      </c>
      <c r="G29" s="163"/>
      <c r="H29" s="123">
        <f>H15-H16-H17-H18-H19-H20-H22-H23-H24+H26+H27+H28</f>
        <v>290717</v>
      </c>
      <c r="I29" s="124"/>
      <c r="J29" s="12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58</v>
      </c>
      <c r="B32" s="149"/>
      <c r="C32" s="149"/>
      <c r="D32" s="150"/>
      <c r="F32" s="151" t="s">
        <v>59</v>
      </c>
      <c r="G32" s="152"/>
      <c r="H32" s="152"/>
      <c r="I32" s="152"/>
      <c r="J32" s="15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51" t="s">
        <v>13</v>
      </c>
      <c r="I33" s="152"/>
      <c r="J33" s="15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40">
        <v>35</v>
      </c>
      <c r="H34" s="145">
        <f t="shared" ref="H34:H39" si="2">F34*G34</f>
        <v>35000</v>
      </c>
      <c r="I34" s="146"/>
      <c r="J34" s="14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19</v>
      </c>
      <c r="H35" s="145">
        <f t="shared" si="2"/>
        <v>9500</v>
      </c>
      <c r="I35" s="146"/>
      <c r="J35" s="14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70</v>
      </c>
      <c r="C36" s="10">
        <v>21</v>
      </c>
      <c r="D36" s="12">
        <f>C36*1.5</f>
        <v>31.5</v>
      </c>
      <c r="F36" s="12">
        <v>200</v>
      </c>
      <c r="G36" s="37"/>
      <c r="H36" s="145">
        <f t="shared" si="2"/>
        <v>0</v>
      </c>
      <c r="I36" s="146"/>
      <c r="J36" s="14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72</v>
      </c>
      <c r="B37" s="28" t="s">
        <v>66</v>
      </c>
      <c r="C37" s="53">
        <v>165</v>
      </c>
      <c r="D37" s="12">
        <f>C37*111</f>
        <v>18315</v>
      </c>
      <c r="F37" s="12">
        <v>100</v>
      </c>
      <c r="G37" s="39">
        <v>58</v>
      </c>
      <c r="H37" s="145">
        <f t="shared" si="2"/>
        <v>5800</v>
      </c>
      <c r="I37" s="146"/>
      <c r="J37" s="14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68</v>
      </c>
      <c r="C38" s="54">
        <v>13</v>
      </c>
      <c r="D38" s="12">
        <f>C38*84</f>
        <v>1092</v>
      </c>
      <c r="F38" s="30">
        <v>50</v>
      </c>
      <c r="G38" s="39">
        <v>14</v>
      </c>
      <c r="H38" s="145">
        <f t="shared" si="2"/>
        <v>700</v>
      </c>
      <c r="I38" s="146"/>
      <c r="J38" s="14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70</v>
      </c>
      <c r="C39" s="52">
        <v>9</v>
      </c>
      <c r="D39" s="31">
        <f>C39*4.5</f>
        <v>40.5</v>
      </c>
      <c r="F39" s="12">
        <v>20</v>
      </c>
      <c r="G39" s="37"/>
      <c r="H39" s="145">
        <f t="shared" si="2"/>
        <v>0</v>
      </c>
      <c r="I39" s="146"/>
      <c r="J39" s="14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45"/>
      <c r="I40" s="146"/>
      <c r="J40" s="14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5"/>
      <c r="I41" s="146"/>
      <c r="J41" s="14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70</v>
      </c>
      <c r="C42" s="11"/>
      <c r="D42" s="12">
        <f>C42*2.25</f>
        <v>0</v>
      </c>
      <c r="F42" s="39" t="s">
        <v>79</v>
      </c>
      <c r="G42" s="145">
        <v>101</v>
      </c>
      <c r="H42" s="146"/>
      <c r="I42" s="146"/>
      <c r="J42" s="14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5" t="s">
        <v>81</v>
      </c>
      <c r="C43" s="11"/>
      <c r="D43" s="12"/>
      <c r="F43" s="59" t="s">
        <v>82</v>
      </c>
      <c r="G43" s="90" t="s">
        <v>83</v>
      </c>
      <c r="H43" s="137" t="s">
        <v>13</v>
      </c>
      <c r="I43" s="138"/>
      <c r="J43" s="13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6"/>
      <c r="B44" s="27" t="s">
        <v>66</v>
      </c>
      <c r="C44" s="10">
        <v>2</v>
      </c>
      <c r="D44" s="12">
        <f>C44*120</f>
        <v>240</v>
      </c>
      <c r="F44" s="37" t="s">
        <v>145</v>
      </c>
      <c r="G44" s="96" t="s">
        <v>147</v>
      </c>
      <c r="H44" s="140">
        <v>233510.5</v>
      </c>
      <c r="I44" s="140"/>
      <c r="J44" s="14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6"/>
      <c r="B45" s="27" t="s">
        <v>68</v>
      </c>
      <c r="C45" s="33"/>
      <c r="D45" s="12">
        <f>C45*84</f>
        <v>0</v>
      </c>
      <c r="F45" s="37" t="s">
        <v>146</v>
      </c>
      <c r="G45" s="62"/>
      <c r="H45" s="140">
        <v>5935.5</v>
      </c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70</v>
      </c>
      <c r="C46" s="81"/>
      <c r="D46" s="12">
        <f>C46*1.5</f>
        <v>0</v>
      </c>
      <c r="F46" s="37"/>
      <c r="G46" s="62"/>
      <c r="H46" s="140"/>
      <c r="I46" s="140"/>
      <c r="J46" s="140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18"/>
      <c r="I48" s="119"/>
      <c r="J48" s="12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68</v>
      </c>
      <c r="C49" s="33">
        <v>3</v>
      </c>
      <c r="D49" s="12">
        <f>C49*42</f>
        <v>126</v>
      </c>
      <c r="F49" s="121" t="s">
        <v>86</v>
      </c>
      <c r="G49" s="123">
        <f>H34+H35+H36+H37+H38+H39+H40+H41+G42+H44+H45+H46</f>
        <v>290547</v>
      </c>
      <c r="H49" s="124"/>
      <c r="I49" s="124"/>
      <c r="J49" s="12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70</v>
      </c>
      <c r="C50" s="11">
        <v>34</v>
      </c>
      <c r="D50" s="12">
        <f>C50*1.5</f>
        <v>51</v>
      </c>
      <c r="F50" s="122"/>
      <c r="G50" s="126"/>
      <c r="H50" s="127"/>
      <c r="I50" s="127"/>
      <c r="J50" s="128"/>
      <c r="O50" t="s">
        <v>137</v>
      </c>
      <c r="P50" s="4">
        <v>1204</v>
      </c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128</v>
      </c>
      <c r="G51" s="230">
        <f>G49-H29</f>
        <v>-170</v>
      </c>
      <c r="H51" s="231"/>
      <c r="I51" s="231"/>
      <c r="J51" s="23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6"/>
      <c r="B52" s="29"/>
      <c r="C52" s="33"/>
      <c r="D52" s="45"/>
      <c r="F52" s="130"/>
      <c r="G52" s="233"/>
      <c r="H52" s="234"/>
      <c r="I52" s="234"/>
      <c r="J52" s="23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1" t="s">
        <v>90</v>
      </c>
      <c r="B54" s="102"/>
      <c r="C54" s="103"/>
      <c r="D54" s="107">
        <f>SUM(D34:D53)</f>
        <v>21381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9" t="s">
        <v>91</v>
      </c>
      <c r="B58" s="110"/>
      <c r="C58" s="110"/>
      <c r="D58" s="111"/>
      <c r="F58" s="109" t="s">
        <v>92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CB3A9-2952-4790-BA7C-78F4763ABC6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7" t="s">
        <v>1</v>
      </c>
      <c r="O1" s="197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98" t="s">
        <v>8</v>
      </c>
      <c r="G4" s="200">
        <v>2</v>
      </c>
      <c r="H4" s="202" t="s">
        <v>9</v>
      </c>
      <c r="I4" s="204">
        <v>46055</v>
      </c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10">
        <v>458</v>
      </c>
      <c r="D6" s="13">
        <f t="shared" ref="D6:D28" si="1">C6*L6</f>
        <v>348538</v>
      </c>
      <c r="F6" s="208" t="s">
        <v>16</v>
      </c>
      <c r="G6" s="210" t="s">
        <v>126</v>
      </c>
      <c r="H6" s="211"/>
      <c r="I6" s="211"/>
      <c r="J6" s="2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10">
        <v>11</v>
      </c>
      <c r="D7" s="13">
        <f t="shared" si="1"/>
        <v>8591</v>
      </c>
      <c r="F7" s="209"/>
      <c r="G7" s="213"/>
      <c r="H7" s="214"/>
      <c r="I7" s="214"/>
      <c r="J7" s="2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10"/>
      <c r="D8" s="13">
        <f t="shared" si="1"/>
        <v>0</v>
      </c>
      <c r="F8" s="216" t="s">
        <v>21</v>
      </c>
      <c r="G8" s="217" t="s">
        <v>113</v>
      </c>
      <c r="H8" s="218"/>
      <c r="I8" s="218"/>
      <c r="J8" s="21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10">
        <v>53</v>
      </c>
      <c r="D9" s="13">
        <f t="shared" si="1"/>
        <v>38849</v>
      </c>
      <c r="F9" s="209"/>
      <c r="G9" s="220"/>
      <c r="H9" s="221"/>
      <c r="I9" s="221"/>
      <c r="J9" s="22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10"/>
      <c r="D10" s="13">
        <f t="shared" si="1"/>
        <v>0</v>
      </c>
      <c r="F10" s="208" t="s">
        <v>26</v>
      </c>
      <c r="G10" s="223" t="s">
        <v>114</v>
      </c>
      <c r="H10" s="224"/>
      <c r="I10" s="224"/>
      <c r="J10" s="225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10"/>
      <c r="D11" s="13">
        <f t="shared" si="1"/>
        <v>0</v>
      </c>
      <c r="F11" s="209"/>
      <c r="G11" s="220"/>
      <c r="H11" s="221"/>
      <c r="I11" s="221"/>
      <c r="J11" s="22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10"/>
      <c r="D12" s="48">
        <f t="shared" si="1"/>
        <v>0</v>
      </c>
      <c r="F12" s="226" t="s">
        <v>33</v>
      </c>
      <c r="G12" s="227"/>
      <c r="H12" s="227"/>
      <c r="I12" s="227"/>
      <c r="J12" s="22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10">
        <v>20</v>
      </c>
      <c r="D13" s="48">
        <f t="shared" si="1"/>
        <v>6140</v>
      </c>
      <c r="F13" s="229" t="s">
        <v>36</v>
      </c>
      <c r="G13" s="193"/>
      <c r="H13" s="184">
        <f>D29</f>
        <v>403660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10">
        <v>22</v>
      </c>
      <c r="D14" s="31">
        <f t="shared" si="1"/>
        <v>242</v>
      </c>
      <c r="F14" s="187" t="s">
        <v>39</v>
      </c>
      <c r="G14" s="188"/>
      <c r="H14" s="189">
        <f>D54</f>
        <v>63054.75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38</v>
      </c>
      <c r="C15" s="10"/>
      <c r="D15" s="31">
        <f t="shared" si="1"/>
        <v>0</v>
      </c>
      <c r="F15" s="192" t="s">
        <v>40</v>
      </c>
      <c r="G15" s="193"/>
      <c r="H15" s="194">
        <f>H13-H14</f>
        <v>340605.25</v>
      </c>
      <c r="I15" s="195"/>
      <c r="J15" s="19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4">
        <f>492*6</f>
        <v>2952</v>
      </c>
      <c r="I16" s="154"/>
      <c r="J16" s="15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t="s">
        <v>93</v>
      </c>
      <c r="C17" s="10"/>
      <c r="D17" s="48">
        <f t="shared" si="1"/>
        <v>0</v>
      </c>
      <c r="F17" s="56"/>
      <c r="G17" s="66" t="s">
        <v>45</v>
      </c>
      <c r="H17" s="165"/>
      <c r="I17" s="165"/>
      <c r="J17" s="16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5"/>
      <c r="I18" s="165"/>
      <c r="J18" s="16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0"/>
      <c r="I19" s="240"/>
      <c r="J19" s="24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3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3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67" t="s">
        <v>13</v>
      </c>
      <c r="I21" s="168"/>
      <c r="J21" s="16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104</v>
      </c>
      <c r="C22" s="10"/>
      <c r="D22" s="48">
        <f t="shared" si="1"/>
        <v>0</v>
      </c>
      <c r="F22" s="72"/>
      <c r="G22" s="73"/>
      <c r="H22" s="170"/>
      <c r="I22" s="170"/>
      <c r="J22" s="17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107</v>
      </c>
      <c r="C23" s="10"/>
      <c r="D23" s="48">
        <f t="shared" si="1"/>
        <v>0</v>
      </c>
      <c r="F23" s="25"/>
      <c r="G23" s="37"/>
      <c r="H23" s="171"/>
      <c r="I23" s="140"/>
      <c r="J23" s="14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120</v>
      </c>
      <c r="C24" s="10"/>
      <c r="D24" s="48">
        <f t="shared" si="1"/>
        <v>0</v>
      </c>
      <c r="F24" s="38"/>
      <c r="G24" s="37"/>
      <c r="H24" s="171"/>
      <c r="I24" s="140"/>
      <c r="J24" s="14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2" t="s">
        <v>13</v>
      </c>
      <c r="I25" s="173"/>
      <c r="J25" s="17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105</v>
      </c>
      <c r="C26" s="10"/>
      <c r="D26" s="48">
        <f t="shared" si="1"/>
        <v>0</v>
      </c>
      <c r="F26" s="64"/>
      <c r="G26" s="10"/>
      <c r="H26" s="175"/>
      <c r="I26" s="176"/>
      <c r="J26" s="17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109</v>
      </c>
      <c r="C27" s="10"/>
      <c r="D27" s="44">
        <f t="shared" si="1"/>
        <v>0</v>
      </c>
      <c r="F27" s="14"/>
      <c r="G27" s="14"/>
      <c r="H27" s="178"/>
      <c r="I27" s="179"/>
      <c r="J27" s="18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97</v>
      </c>
      <c r="C28" s="10"/>
      <c r="D28" s="48">
        <f t="shared" si="1"/>
        <v>0</v>
      </c>
      <c r="F28" s="87"/>
      <c r="G28" s="61"/>
      <c r="H28" s="181"/>
      <c r="I28" s="182"/>
      <c r="J28" s="18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403660</v>
      </c>
      <c r="F29" s="101" t="s">
        <v>55</v>
      </c>
      <c r="G29" s="163"/>
      <c r="H29" s="123">
        <f>H15-H16-H17-H18-H19-H20-H22-H23-H24+H26+H27</f>
        <v>337653.25</v>
      </c>
      <c r="I29" s="124"/>
      <c r="J29" s="12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58</v>
      </c>
      <c r="B32" s="149"/>
      <c r="C32" s="149"/>
      <c r="D32" s="150"/>
      <c r="F32" s="151" t="s">
        <v>59</v>
      </c>
      <c r="G32" s="152"/>
      <c r="H32" s="152"/>
      <c r="I32" s="152"/>
      <c r="J32" s="15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51" t="s">
        <v>13</v>
      </c>
      <c r="I33" s="152"/>
      <c r="J33" s="15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154</v>
      </c>
      <c r="H34" s="145">
        <f>F34*G34</f>
        <v>154000</v>
      </c>
      <c r="I34" s="146"/>
      <c r="J34" s="14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68</v>
      </c>
      <c r="C35" s="52"/>
      <c r="D35" s="30">
        <f>C35*84</f>
        <v>0</v>
      </c>
      <c r="F35" s="58">
        <v>500</v>
      </c>
      <c r="G35" s="41">
        <v>309</v>
      </c>
      <c r="H35" s="145">
        <f t="shared" ref="H35:H39" si="2">F35*G35</f>
        <v>154500</v>
      </c>
      <c r="I35" s="146"/>
      <c r="J35" s="14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45">
        <f>F36*G36</f>
        <v>400</v>
      </c>
      <c r="I36" s="146"/>
      <c r="J36" s="14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72</v>
      </c>
      <c r="B37" s="28" t="s">
        <v>66</v>
      </c>
      <c r="C37" s="53">
        <v>558</v>
      </c>
      <c r="D37" s="12">
        <f>C37*111</f>
        <v>61938</v>
      </c>
      <c r="F37" s="12">
        <v>100</v>
      </c>
      <c r="G37" s="39">
        <v>187</v>
      </c>
      <c r="H37" s="145">
        <f t="shared" si="2"/>
        <v>18700</v>
      </c>
      <c r="I37" s="146"/>
      <c r="J37" s="14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202</v>
      </c>
      <c r="H38" s="145">
        <f t="shared" si="2"/>
        <v>10100</v>
      </c>
      <c r="I38" s="146"/>
      <c r="J38" s="14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45">
        <f t="shared" si="2"/>
        <v>0</v>
      </c>
      <c r="I39" s="146"/>
      <c r="J39" s="14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5"/>
      <c r="I40" s="146"/>
      <c r="J40" s="14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5"/>
      <c r="I41" s="146"/>
      <c r="J41" s="14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45">
        <v>66</v>
      </c>
      <c r="H42" s="146"/>
      <c r="I42" s="146"/>
      <c r="J42" s="14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5" t="s">
        <v>81</v>
      </c>
      <c r="C43" s="11"/>
      <c r="D43" s="12"/>
      <c r="F43" s="59" t="s">
        <v>82</v>
      </c>
      <c r="G43" s="90" t="s">
        <v>83</v>
      </c>
      <c r="H43" s="137" t="s">
        <v>13</v>
      </c>
      <c r="I43" s="138"/>
      <c r="J43" s="13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6"/>
      <c r="B44" s="27" t="s">
        <v>66</v>
      </c>
      <c r="C44" s="10"/>
      <c r="D44" s="12">
        <f>C44*120</f>
        <v>0</v>
      </c>
      <c r="F44" s="37"/>
      <c r="G44" s="62"/>
      <c r="H44" s="140"/>
      <c r="I44" s="140"/>
      <c r="J44" s="14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6"/>
      <c r="B45" s="27" t="s">
        <v>68</v>
      </c>
      <c r="C45" s="33"/>
      <c r="D45" s="12">
        <f>C45*84</f>
        <v>0</v>
      </c>
      <c r="F45" s="37"/>
      <c r="G45" s="62"/>
      <c r="H45" s="140"/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70</v>
      </c>
      <c r="C46" s="81">
        <v>1</v>
      </c>
      <c r="D46" s="12">
        <f>C46*1.5</f>
        <v>1.5</v>
      </c>
      <c r="F46" s="37"/>
      <c r="G46" s="89"/>
      <c r="H46" s="141"/>
      <c r="I46" s="141"/>
      <c r="J46" s="141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66</v>
      </c>
      <c r="C48" s="10"/>
      <c r="D48" s="12">
        <f>C48*78</f>
        <v>0</v>
      </c>
      <c r="F48" s="59"/>
      <c r="G48" s="59"/>
      <c r="H48" s="118"/>
      <c r="I48" s="119"/>
      <c r="J48" s="12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68</v>
      </c>
      <c r="C49" s="33">
        <v>21</v>
      </c>
      <c r="D49" s="12">
        <f>C49*42</f>
        <v>882</v>
      </c>
      <c r="F49" s="121" t="s">
        <v>86</v>
      </c>
      <c r="G49" s="123">
        <f>H34+H35+H36+H37+H38+H39+H40+H41+G42+H44+H45+H46</f>
        <v>337766</v>
      </c>
      <c r="H49" s="124"/>
      <c r="I49" s="124"/>
      <c r="J49" s="12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70</v>
      </c>
      <c r="C50" s="11">
        <v>18</v>
      </c>
      <c r="D50" s="12">
        <f>C50*1.5</f>
        <v>27</v>
      </c>
      <c r="F50" s="122"/>
      <c r="G50" s="126"/>
      <c r="H50" s="127"/>
      <c r="I50" s="127"/>
      <c r="J50" s="128"/>
      <c r="O50" t="s">
        <v>137</v>
      </c>
      <c r="P50" s="4">
        <v>1204</v>
      </c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135</v>
      </c>
      <c r="G51" s="131">
        <f>G49-H29</f>
        <v>112.75</v>
      </c>
      <c r="H51" s="132"/>
      <c r="I51" s="132"/>
      <c r="J51" s="1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6"/>
      <c r="B52" s="29"/>
      <c r="C52" s="33"/>
      <c r="D52" s="45"/>
      <c r="F52" s="130"/>
      <c r="G52" s="134"/>
      <c r="H52" s="135"/>
      <c r="I52" s="135"/>
      <c r="J52" s="1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1" t="s">
        <v>90</v>
      </c>
      <c r="B54" s="102"/>
      <c r="C54" s="103"/>
      <c r="D54" s="107">
        <f>SUM(D34:D53)</f>
        <v>63054.75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9" t="s">
        <v>91</v>
      </c>
      <c r="B58" s="110"/>
      <c r="C58" s="110"/>
      <c r="D58" s="111"/>
      <c r="F58" s="109" t="s">
        <v>92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AB19F-E938-4316-92AE-1A8F0CB46C7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7" t="s">
        <v>1</v>
      </c>
      <c r="O1" s="197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98" t="s">
        <v>8</v>
      </c>
      <c r="G4" s="200">
        <v>3</v>
      </c>
      <c r="H4" s="202" t="s">
        <v>9</v>
      </c>
      <c r="I4" s="204">
        <v>46055</v>
      </c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10">
        <v>330</v>
      </c>
      <c r="D6" s="13">
        <f t="shared" ref="D6:D28" si="1">C6*L6</f>
        <v>251130</v>
      </c>
      <c r="F6" s="208" t="s">
        <v>16</v>
      </c>
      <c r="G6" s="210" t="s">
        <v>141</v>
      </c>
      <c r="H6" s="211"/>
      <c r="I6" s="211"/>
      <c r="J6" s="2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10">
        <v>7</v>
      </c>
      <c r="D7" s="13">
        <f t="shared" si="1"/>
        <v>5467</v>
      </c>
      <c r="F7" s="209"/>
      <c r="G7" s="213"/>
      <c r="H7" s="214"/>
      <c r="I7" s="214"/>
      <c r="J7" s="2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10"/>
      <c r="D8" s="13">
        <f t="shared" si="1"/>
        <v>0</v>
      </c>
      <c r="F8" s="216" t="s">
        <v>21</v>
      </c>
      <c r="G8" s="217" t="s">
        <v>130</v>
      </c>
      <c r="H8" s="218"/>
      <c r="I8" s="218"/>
      <c r="J8" s="21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10">
        <v>40</v>
      </c>
      <c r="D9" s="13">
        <f t="shared" si="1"/>
        <v>29320</v>
      </c>
      <c r="F9" s="209"/>
      <c r="G9" s="220"/>
      <c r="H9" s="221"/>
      <c r="I9" s="221"/>
      <c r="J9" s="22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10"/>
      <c r="D10" s="13">
        <f t="shared" si="1"/>
        <v>0</v>
      </c>
      <c r="F10" s="208" t="s">
        <v>26</v>
      </c>
      <c r="G10" s="223" t="s">
        <v>127</v>
      </c>
      <c r="H10" s="224"/>
      <c r="I10" s="224"/>
      <c r="J10" s="225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10"/>
      <c r="D11" s="13">
        <f t="shared" si="1"/>
        <v>0</v>
      </c>
      <c r="F11" s="209"/>
      <c r="G11" s="220"/>
      <c r="H11" s="221"/>
      <c r="I11" s="221"/>
      <c r="J11" s="22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10">
        <v>5</v>
      </c>
      <c r="D12" s="48">
        <f t="shared" si="1"/>
        <v>4960</v>
      </c>
      <c r="F12" s="226" t="s">
        <v>33</v>
      </c>
      <c r="G12" s="227"/>
      <c r="H12" s="227"/>
      <c r="I12" s="227"/>
      <c r="J12" s="22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10">
        <v>7</v>
      </c>
      <c r="D13" s="48">
        <f t="shared" si="1"/>
        <v>2149</v>
      </c>
      <c r="F13" s="229" t="s">
        <v>36</v>
      </c>
      <c r="G13" s="193"/>
      <c r="H13" s="184">
        <f>D29</f>
        <v>293070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10">
        <v>4</v>
      </c>
      <c r="D14" s="31">
        <f t="shared" si="1"/>
        <v>44</v>
      </c>
      <c r="F14" s="187" t="s">
        <v>39</v>
      </c>
      <c r="G14" s="188"/>
      <c r="H14" s="189">
        <f>D54</f>
        <v>43414.5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38</v>
      </c>
      <c r="C15" s="10"/>
      <c r="D15" s="31">
        <f t="shared" si="1"/>
        <v>0</v>
      </c>
      <c r="F15" s="192" t="s">
        <v>40</v>
      </c>
      <c r="G15" s="193"/>
      <c r="H15" s="194">
        <f>H13-H14</f>
        <v>249655.5</v>
      </c>
      <c r="I15" s="195"/>
      <c r="J15" s="19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4">
        <f>108*6</f>
        <v>648</v>
      </c>
      <c r="I16" s="154"/>
      <c r="J16" s="15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t="s">
        <v>112</v>
      </c>
      <c r="C17" s="10"/>
      <c r="D17" s="48">
        <f t="shared" si="1"/>
        <v>0</v>
      </c>
      <c r="F17" s="56"/>
      <c r="G17" s="66" t="s">
        <v>45</v>
      </c>
      <c r="H17" s="165"/>
      <c r="I17" s="165"/>
      <c r="J17" s="16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5"/>
      <c r="I18" s="165"/>
      <c r="J18" s="16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41"/>
      <c r="I19" s="241"/>
      <c r="J19" s="24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3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4"/>
      <c r="I20" s="154"/>
      <c r="J20" s="15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3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7" t="s">
        <v>13</v>
      </c>
      <c r="I21" s="168"/>
      <c r="J21" s="16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104</v>
      </c>
      <c r="C22" s="10"/>
      <c r="D22" s="48">
        <f t="shared" si="1"/>
        <v>0</v>
      </c>
      <c r="F22" s="77"/>
      <c r="G22" s="73"/>
      <c r="H22" s="170"/>
      <c r="I22" s="170"/>
      <c r="J22" s="17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107</v>
      </c>
      <c r="C23" s="10"/>
      <c r="D23" s="48">
        <f t="shared" si="1"/>
        <v>0</v>
      </c>
      <c r="F23" s="78"/>
      <c r="G23" s="79"/>
      <c r="H23" s="171"/>
      <c r="I23" s="140"/>
      <c r="J23" s="14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101</v>
      </c>
      <c r="C24" s="10"/>
      <c r="D24" s="48">
        <f t="shared" si="1"/>
        <v>0</v>
      </c>
      <c r="F24" s="38"/>
      <c r="G24" s="37"/>
      <c r="H24" s="171"/>
      <c r="I24" s="140"/>
      <c r="J24" s="14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2" t="s">
        <v>13</v>
      </c>
      <c r="I25" s="173"/>
      <c r="J25" s="17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105</v>
      </c>
      <c r="C26" s="10"/>
      <c r="D26" s="48">
        <f t="shared" si="1"/>
        <v>0</v>
      </c>
      <c r="F26" s="64"/>
      <c r="G26" s="59"/>
      <c r="H26" s="175"/>
      <c r="I26" s="176"/>
      <c r="J26" s="17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109</v>
      </c>
      <c r="C27" s="10"/>
      <c r="D27" s="44">
        <f t="shared" si="1"/>
        <v>0</v>
      </c>
      <c r="F27" s="25"/>
      <c r="G27" s="80"/>
      <c r="H27" s="178"/>
      <c r="I27" s="179"/>
      <c r="J27" s="18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97</v>
      </c>
      <c r="C28" s="10"/>
      <c r="D28" s="48">
        <f t="shared" si="1"/>
        <v>0</v>
      </c>
      <c r="F28" s="87"/>
      <c r="G28" s="61"/>
      <c r="H28" s="181"/>
      <c r="I28" s="182"/>
      <c r="J28" s="18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293070</v>
      </c>
      <c r="F29" s="101" t="s">
        <v>55</v>
      </c>
      <c r="G29" s="163"/>
      <c r="H29" s="123">
        <f>H15-H16-H17-H18-H19-H20-H22-H23-H24+H26+H27</f>
        <v>249007.5</v>
      </c>
      <c r="I29" s="124"/>
      <c r="J29" s="12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58</v>
      </c>
      <c r="B32" s="149"/>
      <c r="C32" s="149"/>
      <c r="D32" s="150"/>
      <c r="F32" s="151" t="s">
        <v>59</v>
      </c>
      <c r="G32" s="152"/>
      <c r="H32" s="152"/>
      <c r="I32" s="152"/>
      <c r="J32" s="15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51" t="s">
        <v>13</v>
      </c>
      <c r="I33" s="152"/>
      <c r="J33" s="15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144</v>
      </c>
      <c r="H34" s="145">
        <f>F34*G34</f>
        <v>144000</v>
      </c>
      <c r="I34" s="146"/>
      <c r="J34" s="14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68</v>
      </c>
      <c r="C35" s="52"/>
      <c r="D35" s="30">
        <f>C35*84</f>
        <v>0</v>
      </c>
      <c r="F35" s="58">
        <v>500</v>
      </c>
      <c r="G35" s="41">
        <v>57</v>
      </c>
      <c r="H35" s="145">
        <f>F35*G35</f>
        <v>28500</v>
      </c>
      <c r="I35" s="146"/>
      <c r="J35" s="14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70</v>
      </c>
      <c r="C36" s="10"/>
      <c r="D36" s="12">
        <f>C36*1.5</f>
        <v>0</v>
      </c>
      <c r="F36" s="12">
        <v>200</v>
      </c>
      <c r="G36" s="37"/>
      <c r="H36" s="145">
        <f t="shared" ref="H36:H39" si="2">F36*G36</f>
        <v>0</v>
      </c>
      <c r="I36" s="146"/>
      <c r="J36" s="14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72</v>
      </c>
      <c r="B37" s="28" t="s">
        <v>66</v>
      </c>
      <c r="C37" s="53">
        <v>367</v>
      </c>
      <c r="D37" s="12">
        <f>C37*111</f>
        <v>40737</v>
      </c>
      <c r="F37" s="12">
        <v>100</v>
      </c>
      <c r="G37" s="39">
        <v>92</v>
      </c>
      <c r="H37" s="145">
        <f t="shared" si="2"/>
        <v>9200</v>
      </c>
      <c r="I37" s="146"/>
      <c r="J37" s="14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7</v>
      </c>
      <c r="H38" s="145">
        <f t="shared" si="2"/>
        <v>350</v>
      </c>
      <c r="I38" s="146"/>
      <c r="J38" s="14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70</v>
      </c>
      <c r="C39" s="52">
        <v>2</v>
      </c>
      <c r="D39" s="31">
        <f>C39*4.5</f>
        <v>9</v>
      </c>
      <c r="F39" s="12">
        <v>20</v>
      </c>
      <c r="G39" s="37">
        <v>2</v>
      </c>
      <c r="H39" s="145">
        <f t="shared" si="2"/>
        <v>40</v>
      </c>
      <c r="I39" s="146"/>
      <c r="J39" s="14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45"/>
      <c r="I40" s="146"/>
      <c r="J40" s="14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68</v>
      </c>
      <c r="C41" s="10"/>
      <c r="D41" s="12">
        <f>C41*84</f>
        <v>0</v>
      </c>
      <c r="F41" s="12">
        <v>5</v>
      </c>
      <c r="G41" s="42"/>
      <c r="H41" s="145"/>
      <c r="I41" s="146"/>
      <c r="J41" s="14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70</v>
      </c>
      <c r="C42" s="11">
        <v>4</v>
      </c>
      <c r="D42" s="12">
        <f>C42*2.25</f>
        <v>9</v>
      </c>
      <c r="F42" s="39" t="s">
        <v>79</v>
      </c>
      <c r="G42" s="145">
        <v>119</v>
      </c>
      <c r="H42" s="146"/>
      <c r="I42" s="146"/>
      <c r="J42" s="14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5" t="s">
        <v>81</v>
      </c>
      <c r="C43" s="11"/>
      <c r="D43" s="12"/>
      <c r="F43" s="59" t="s">
        <v>82</v>
      </c>
      <c r="G43" s="90" t="s">
        <v>83</v>
      </c>
      <c r="H43" s="137" t="s">
        <v>13</v>
      </c>
      <c r="I43" s="138"/>
      <c r="J43" s="13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6"/>
      <c r="B44" s="27" t="s">
        <v>66</v>
      </c>
      <c r="C44" s="10">
        <v>4</v>
      </c>
      <c r="D44" s="12">
        <f>C44*120</f>
        <v>480</v>
      </c>
      <c r="F44" s="97" t="s">
        <v>148</v>
      </c>
      <c r="G44" s="76" t="s">
        <v>149</v>
      </c>
      <c r="H44" s="140">
        <v>67807</v>
      </c>
      <c r="I44" s="140"/>
      <c r="J44" s="14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6"/>
      <c r="B45" s="27" t="s">
        <v>68</v>
      </c>
      <c r="C45" s="33"/>
      <c r="D45" s="12">
        <f>C45*84</f>
        <v>0</v>
      </c>
      <c r="F45" s="37"/>
      <c r="G45" s="76"/>
      <c r="H45" s="140"/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70</v>
      </c>
      <c r="C46" s="81"/>
      <c r="D46" s="12">
        <f>C46*1.5</f>
        <v>0</v>
      </c>
      <c r="F46" s="37"/>
      <c r="G46" s="62"/>
      <c r="H46" s="141"/>
      <c r="I46" s="141"/>
      <c r="J46" s="141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18"/>
      <c r="I48" s="119"/>
      <c r="J48" s="12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68</v>
      </c>
      <c r="C49" s="33">
        <v>2</v>
      </c>
      <c r="D49" s="12">
        <f>C49*42</f>
        <v>84</v>
      </c>
      <c r="F49" s="121" t="s">
        <v>86</v>
      </c>
      <c r="G49" s="123">
        <f>H34+H35+H36+H37+H38+H39+H40+H41+G42+H44+H45+H46</f>
        <v>250016</v>
      </c>
      <c r="H49" s="124"/>
      <c r="I49" s="124"/>
      <c r="J49" s="12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70</v>
      </c>
      <c r="C50" s="11">
        <v>7</v>
      </c>
      <c r="D50" s="12">
        <f>C50*1.5</f>
        <v>10.5</v>
      </c>
      <c r="F50" s="122"/>
      <c r="G50" s="126"/>
      <c r="H50" s="127"/>
      <c r="I50" s="127"/>
      <c r="J50" s="128"/>
      <c r="O50" t="s">
        <v>137</v>
      </c>
      <c r="P50" s="4">
        <v>1204</v>
      </c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138</v>
      </c>
      <c r="G51" s="131">
        <f>G49-H29</f>
        <v>1008.5</v>
      </c>
      <c r="H51" s="132"/>
      <c r="I51" s="132"/>
      <c r="J51" s="1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6"/>
      <c r="B52" s="29"/>
      <c r="C52" s="33"/>
      <c r="D52" s="45"/>
      <c r="F52" s="130"/>
      <c r="G52" s="134"/>
      <c r="H52" s="135"/>
      <c r="I52" s="135"/>
      <c r="J52" s="1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1" t="s">
        <v>90</v>
      </c>
      <c r="B54" s="102"/>
      <c r="C54" s="103"/>
      <c r="D54" s="107">
        <f>SUM(D34:D53)</f>
        <v>43414.5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9" t="s">
        <v>91</v>
      </c>
      <c r="B58" s="110"/>
      <c r="C58" s="110"/>
      <c r="D58" s="111"/>
      <c r="F58" s="109" t="s">
        <v>92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1BFFA4-AA74-40F9-9C4E-FB957192CE6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7" t="s">
        <v>1</v>
      </c>
      <c r="O1" s="197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8" t="s">
        <v>7</v>
      </c>
      <c r="B4" s="149"/>
      <c r="C4" s="149"/>
      <c r="D4" s="150"/>
      <c r="F4" s="198" t="s">
        <v>8</v>
      </c>
      <c r="G4" s="200"/>
      <c r="H4" s="202" t="s">
        <v>9</v>
      </c>
      <c r="I4" s="204"/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3"/>
      <c r="B6" s="16"/>
      <c r="C6" s="10"/>
      <c r="D6" s="13">
        <f t="shared" ref="D6:D28" si="1">C6*L6</f>
        <v>0</v>
      </c>
      <c r="F6" s="208" t="s">
        <v>16</v>
      </c>
      <c r="G6" s="210"/>
      <c r="H6" s="211"/>
      <c r="I6" s="211"/>
      <c r="J6" s="21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3"/>
      <c r="B7" s="16"/>
      <c r="C7" s="10"/>
      <c r="D7" s="13">
        <f t="shared" si="1"/>
        <v>0</v>
      </c>
      <c r="F7" s="209"/>
      <c r="G7" s="213"/>
      <c r="H7" s="214"/>
      <c r="I7" s="214"/>
      <c r="J7" s="21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3"/>
      <c r="B8" s="16"/>
      <c r="C8" s="10"/>
      <c r="D8" s="13">
        <f t="shared" si="1"/>
        <v>0</v>
      </c>
      <c r="F8" s="216" t="s">
        <v>21</v>
      </c>
      <c r="G8" s="217"/>
      <c r="H8" s="218"/>
      <c r="I8" s="218"/>
      <c r="J8" s="21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3"/>
      <c r="B9" s="16"/>
      <c r="C9" s="10"/>
      <c r="D9" s="13">
        <f t="shared" si="1"/>
        <v>0</v>
      </c>
      <c r="F9" s="209"/>
      <c r="G9" s="220"/>
      <c r="H9" s="221"/>
      <c r="I9" s="221"/>
      <c r="J9" s="22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3"/>
      <c r="C10" s="10"/>
      <c r="D10" s="13">
        <f t="shared" si="1"/>
        <v>0</v>
      </c>
      <c r="F10" s="208" t="s">
        <v>26</v>
      </c>
      <c r="G10" s="223"/>
      <c r="H10" s="224"/>
      <c r="I10" s="224"/>
      <c r="J10" s="225"/>
      <c r="K10" s="8"/>
      <c r="L10" s="6">
        <f>R36</f>
        <v>972</v>
      </c>
      <c r="P10" s="4"/>
      <c r="Q10" s="4"/>
      <c r="R10" s="5"/>
    </row>
    <row r="11" spans="1:19" ht="15.75" x14ac:dyDescent="0.25">
      <c r="A11" s="143"/>
      <c r="B11" s="17"/>
      <c r="C11" s="10"/>
      <c r="D11" s="13">
        <f t="shared" si="1"/>
        <v>0</v>
      </c>
      <c r="F11" s="209"/>
      <c r="G11" s="220"/>
      <c r="H11" s="221"/>
      <c r="I11" s="221"/>
      <c r="J11" s="22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3"/>
      <c r="B12" s="17"/>
      <c r="C12" s="10"/>
      <c r="D12" s="48">
        <f t="shared" si="1"/>
        <v>0</v>
      </c>
      <c r="F12" s="226" t="s">
        <v>33</v>
      </c>
      <c r="G12" s="227"/>
      <c r="H12" s="227"/>
      <c r="I12" s="227"/>
      <c r="J12" s="22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3"/>
      <c r="B13" s="17"/>
      <c r="C13" s="10"/>
      <c r="D13" s="48">
        <f t="shared" si="1"/>
        <v>0</v>
      </c>
      <c r="F13" s="229" t="s">
        <v>36</v>
      </c>
      <c r="G13" s="19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3"/>
      <c r="B14" s="14"/>
      <c r="C14" s="10"/>
      <c r="D14" s="31">
        <f t="shared" si="1"/>
        <v>0</v>
      </c>
      <c r="F14" s="187" t="s">
        <v>39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3"/>
      <c r="B15" s="14"/>
      <c r="C15" s="10"/>
      <c r="D15" s="31">
        <f t="shared" si="1"/>
        <v>0</v>
      </c>
      <c r="F15" s="192" t="s">
        <v>40</v>
      </c>
      <c r="G15" s="193"/>
      <c r="H15" s="194">
        <f>H13-H14</f>
        <v>0</v>
      </c>
      <c r="I15" s="195"/>
      <c r="J15" s="19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4"/>
      <c r="I16" s="154"/>
      <c r="J16" s="15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C17" s="10"/>
      <c r="D17" s="48">
        <f t="shared" si="1"/>
        <v>0</v>
      </c>
      <c r="F17" s="56"/>
      <c r="G17" s="66" t="s">
        <v>45</v>
      </c>
      <c r="H17" s="165"/>
      <c r="I17" s="165"/>
      <c r="J17" s="16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/>
      <c r="C18" s="10"/>
      <c r="D18" s="48">
        <f t="shared" si="1"/>
        <v>0</v>
      </c>
      <c r="F18" s="56"/>
      <c r="G18" s="66" t="s">
        <v>47</v>
      </c>
      <c r="H18" s="165"/>
      <c r="I18" s="165"/>
      <c r="J18" s="16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/>
      <c r="C19" s="10"/>
      <c r="D19" s="48">
        <f t="shared" si="1"/>
        <v>0</v>
      </c>
      <c r="F19" s="56"/>
      <c r="G19" s="68" t="s">
        <v>50</v>
      </c>
      <c r="H19" s="166"/>
      <c r="I19" s="166"/>
      <c r="J19" s="1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3"/>
      <c r="B20" s="46"/>
      <c r="C20" s="10"/>
      <c r="D20" s="13">
        <f t="shared" si="1"/>
        <v>0</v>
      </c>
      <c r="F20" s="57"/>
      <c r="G20" s="70" t="s">
        <v>117</v>
      </c>
      <c r="H20" s="154"/>
      <c r="I20" s="154"/>
      <c r="J20" s="15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7" t="s">
        <v>13</v>
      </c>
      <c r="I21" s="168"/>
      <c r="J21" s="16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3"/>
      <c r="B22" s="46"/>
      <c r="C22" s="10"/>
      <c r="D22" s="48">
        <f t="shared" si="1"/>
        <v>0</v>
      </c>
      <c r="F22" s="77"/>
      <c r="G22" s="73"/>
      <c r="H22" s="170"/>
      <c r="I22" s="170"/>
      <c r="J22" s="17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/>
      <c r="C23" s="10"/>
      <c r="D23" s="48">
        <f t="shared" si="1"/>
        <v>0</v>
      </c>
      <c r="F23" s="78"/>
      <c r="G23" s="79"/>
      <c r="H23" s="171"/>
      <c r="I23" s="140"/>
      <c r="J23" s="14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/>
      <c r="C24" s="10"/>
      <c r="D24" s="48">
        <f t="shared" si="1"/>
        <v>0</v>
      </c>
      <c r="F24" s="38"/>
      <c r="G24" s="37"/>
      <c r="H24" s="171"/>
      <c r="I24" s="140"/>
      <c r="J24" s="14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2" t="s">
        <v>13</v>
      </c>
      <c r="I25" s="173"/>
      <c r="J25" s="17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/>
      <c r="C26" s="10"/>
      <c r="D26" s="48">
        <f t="shared" si="1"/>
        <v>0</v>
      </c>
      <c r="F26" s="64"/>
      <c r="G26" s="59"/>
      <c r="H26" s="175"/>
      <c r="I26" s="176"/>
      <c r="J26" s="17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3"/>
      <c r="B27" s="14"/>
      <c r="C27" s="10"/>
      <c r="D27" s="44">
        <f t="shared" si="1"/>
        <v>0</v>
      </c>
      <c r="F27" s="25"/>
      <c r="G27" s="80"/>
      <c r="H27" s="178"/>
      <c r="I27" s="179"/>
      <c r="J27" s="18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/>
      <c r="C28" s="10"/>
      <c r="D28" s="48">
        <f t="shared" si="1"/>
        <v>0</v>
      </c>
      <c r="F28" s="92"/>
      <c r="G28" s="61"/>
      <c r="H28" s="181"/>
      <c r="I28" s="182"/>
      <c r="J28" s="18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5" t="s">
        <v>36</v>
      </c>
      <c r="B29" s="156"/>
      <c r="C29" s="157"/>
      <c r="D29" s="161">
        <f>SUM(D6:D28)</f>
        <v>0</v>
      </c>
      <c r="F29" s="101" t="s">
        <v>55</v>
      </c>
      <c r="G29" s="163"/>
      <c r="H29" s="123">
        <f>H15-H16-H17-H18-H19-H20-H22-H23-H24+H26+H27</f>
        <v>0</v>
      </c>
      <c r="I29" s="124"/>
      <c r="J29" s="12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8" t="s">
        <v>58</v>
      </c>
      <c r="B32" s="149"/>
      <c r="C32" s="149"/>
      <c r="D32" s="150"/>
      <c r="F32" s="151" t="s">
        <v>59</v>
      </c>
      <c r="G32" s="152"/>
      <c r="H32" s="152"/>
      <c r="I32" s="152"/>
      <c r="J32" s="15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51" t="s">
        <v>13</v>
      </c>
      <c r="I33" s="152"/>
      <c r="J33" s="15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5"/>
      <c r="I34" s="146"/>
      <c r="J34" s="14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3"/>
      <c r="B35" s="27" t="s">
        <v>68</v>
      </c>
      <c r="C35" s="52"/>
      <c r="D35" s="30">
        <f>C35*84</f>
        <v>0</v>
      </c>
      <c r="F35" s="58">
        <v>500</v>
      </c>
      <c r="G35" s="41"/>
      <c r="H35" s="145"/>
      <c r="I35" s="146"/>
      <c r="J35" s="14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70</v>
      </c>
      <c r="C36" s="10"/>
      <c r="D36" s="12">
        <f>C36*1.5</f>
        <v>0</v>
      </c>
      <c r="F36" s="12">
        <v>200</v>
      </c>
      <c r="G36" s="37"/>
      <c r="H36" s="145"/>
      <c r="I36" s="146"/>
      <c r="J36" s="14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5"/>
      <c r="I37" s="146"/>
      <c r="J37" s="14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3"/>
      <c r="B38" s="29" t="s">
        <v>68</v>
      </c>
      <c r="C38" s="54"/>
      <c r="D38" s="12">
        <f>C38*84</f>
        <v>0</v>
      </c>
      <c r="F38" s="30">
        <v>50</v>
      </c>
      <c r="G38" s="39"/>
      <c r="H38" s="145"/>
      <c r="I38" s="146"/>
      <c r="J38" s="14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4"/>
      <c r="B39" s="29" t="s">
        <v>70</v>
      </c>
      <c r="C39" s="52"/>
      <c r="D39" s="31">
        <f>C39*4.5</f>
        <v>0</v>
      </c>
      <c r="F39" s="12">
        <v>20</v>
      </c>
      <c r="G39" s="37"/>
      <c r="H39" s="145"/>
      <c r="I39" s="146"/>
      <c r="J39" s="14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5"/>
      <c r="I40" s="146"/>
      <c r="J40" s="14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3"/>
      <c r="B41" s="27" t="s">
        <v>68</v>
      </c>
      <c r="C41" s="10"/>
      <c r="D41" s="12">
        <f>C41*84</f>
        <v>0</v>
      </c>
      <c r="F41" s="12">
        <v>5</v>
      </c>
      <c r="G41" s="42"/>
      <c r="H41" s="145"/>
      <c r="I41" s="146"/>
      <c r="J41" s="14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4"/>
      <c r="B42" s="27" t="s">
        <v>70</v>
      </c>
      <c r="C42" s="11"/>
      <c r="D42" s="12">
        <f>C42*2.25</f>
        <v>0</v>
      </c>
      <c r="F42" s="39" t="s">
        <v>79</v>
      </c>
      <c r="G42" s="145"/>
      <c r="H42" s="146"/>
      <c r="I42" s="146"/>
      <c r="J42" s="14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5" t="s">
        <v>81</v>
      </c>
      <c r="C43" s="11"/>
      <c r="D43" s="12"/>
      <c r="F43" s="59" t="s">
        <v>82</v>
      </c>
      <c r="G43" s="95" t="s">
        <v>83</v>
      </c>
      <c r="H43" s="137" t="s">
        <v>13</v>
      </c>
      <c r="I43" s="138"/>
      <c r="J43" s="139"/>
      <c r="K43" s="21"/>
      <c r="P43" s="4"/>
      <c r="Q43" s="4"/>
      <c r="R43" s="5"/>
    </row>
    <row r="44" spans="1:18" ht="15.75" x14ac:dyDescent="0.25">
      <c r="A44" s="116"/>
      <c r="B44" s="27" t="s">
        <v>66</v>
      </c>
      <c r="C44" s="10"/>
      <c r="D44" s="12">
        <f>C44*120</f>
        <v>0</v>
      </c>
      <c r="F44" s="37"/>
      <c r="G44" s="76"/>
      <c r="H44" s="140"/>
      <c r="I44" s="140"/>
      <c r="J44" s="140"/>
      <c r="K44" s="21"/>
      <c r="P44" s="4"/>
      <c r="Q44" s="4"/>
      <c r="R44" s="5"/>
    </row>
    <row r="45" spans="1:18" ht="15.75" x14ac:dyDescent="0.25">
      <c r="A45" s="116"/>
      <c r="B45" s="27" t="s">
        <v>68</v>
      </c>
      <c r="C45" s="33"/>
      <c r="D45" s="12">
        <f>C45*84</f>
        <v>0</v>
      </c>
      <c r="F45" s="37"/>
      <c r="G45" s="76"/>
      <c r="H45" s="140"/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70</v>
      </c>
      <c r="C46" s="81"/>
      <c r="D46" s="12">
        <f>C46*1.5</f>
        <v>0</v>
      </c>
      <c r="F46" s="37"/>
      <c r="G46" s="62"/>
      <c r="H46" s="141"/>
      <c r="I46" s="141"/>
      <c r="J46" s="141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66</v>
      </c>
      <c r="C48" s="10"/>
      <c r="D48" s="12">
        <f>C48*78</f>
        <v>0</v>
      </c>
      <c r="F48" s="59"/>
      <c r="G48" s="59"/>
      <c r="H48" s="118"/>
      <c r="I48" s="119"/>
      <c r="J48" s="12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68</v>
      </c>
      <c r="C49" s="33"/>
      <c r="D49" s="12">
        <f>C49*42</f>
        <v>0</v>
      </c>
      <c r="F49" s="121" t="s">
        <v>86</v>
      </c>
      <c r="G49" s="123">
        <f>H34+H35+H36+H37+H38+H39+H40+H41+G42+H44+H45+H46</f>
        <v>0</v>
      </c>
      <c r="H49" s="124"/>
      <c r="I49" s="124"/>
      <c r="J49" s="12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70</v>
      </c>
      <c r="C50" s="11"/>
      <c r="D50" s="12">
        <f>C50*1.5</f>
        <v>0</v>
      </c>
      <c r="F50" s="122"/>
      <c r="G50" s="126"/>
      <c r="H50" s="127"/>
      <c r="I50" s="127"/>
      <c r="J50" s="128"/>
      <c r="P50" s="4"/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125</v>
      </c>
      <c r="G51" s="131">
        <f>G49-H29</f>
        <v>0</v>
      </c>
      <c r="H51" s="132"/>
      <c r="I51" s="132"/>
      <c r="J51" s="13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6"/>
      <c r="B52" s="29"/>
      <c r="C52" s="33"/>
      <c r="D52" s="45"/>
      <c r="F52" s="130"/>
      <c r="G52" s="134"/>
      <c r="H52" s="135"/>
      <c r="I52" s="135"/>
      <c r="J52" s="1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1" t="s">
        <v>90</v>
      </c>
      <c r="B54" s="102"/>
      <c r="C54" s="103"/>
      <c r="D54" s="107">
        <f>SUM(D34:D53)</f>
        <v>0</v>
      </c>
      <c r="F54" s="21"/>
      <c r="J54" s="34"/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9" t="s">
        <v>91</v>
      </c>
      <c r="B58" s="110"/>
      <c r="C58" s="110"/>
      <c r="D58" s="111"/>
      <c r="F58" s="109" t="s">
        <v>92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5A1956-5230-4113-9027-A64E3FB55813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7" t="s">
        <v>1</v>
      </c>
      <c r="O1" s="197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98" t="s">
        <v>8</v>
      </c>
      <c r="G4" s="200">
        <v>1</v>
      </c>
      <c r="H4" s="202" t="s">
        <v>9</v>
      </c>
      <c r="I4" s="204">
        <v>46056</v>
      </c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84">
        <v>307</v>
      </c>
      <c r="D6" s="13">
        <f t="shared" ref="D6:D28" si="1">C6*L6</f>
        <v>233627</v>
      </c>
      <c r="F6" s="208" t="s">
        <v>16</v>
      </c>
      <c r="G6" s="210" t="s">
        <v>111</v>
      </c>
      <c r="H6" s="211"/>
      <c r="I6" s="211"/>
      <c r="J6" s="2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84">
        <v>8</v>
      </c>
      <c r="D7" s="13">
        <f t="shared" si="1"/>
        <v>6248</v>
      </c>
      <c r="F7" s="209"/>
      <c r="G7" s="213"/>
      <c r="H7" s="214"/>
      <c r="I7" s="214"/>
      <c r="J7" s="2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84"/>
      <c r="D8" s="13">
        <f t="shared" si="1"/>
        <v>0</v>
      </c>
      <c r="F8" s="216" t="s">
        <v>21</v>
      </c>
      <c r="G8" s="217" t="s">
        <v>144</v>
      </c>
      <c r="H8" s="218"/>
      <c r="I8" s="218"/>
      <c r="J8" s="21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84">
        <v>20</v>
      </c>
      <c r="D9" s="13">
        <f t="shared" si="1"/>
        <v>14660</v>
      </c>
      <c r="F9" s="209"/>
      <c r="G9" s="220"/>
      <c r="H9" s="221"/>
      <c r="I9" s="221"/>
      <c r="J9" s="22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84"/>
      <c r="D10" s="13">
        <f t="shared" si="1"/>
        <v>0</v>
      </c>
      <c r="F10" s="208" t="s">
        <v>26</v>
      </c>
      <c r="G10" s="223" t="s">
        <v>139</v>
      </c>
      <c r="H10" s="224"/>
      <c r="I10" s="224"/>
      <c r="J10" s="225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84"/>
      <c r="D11" s="13">
        <f t="shared" si="1"/>
        <v>0</v>
      </c>
      <c r="F11" s="209"/>
      <c r="G11" s="220"/>
      <c r="H11" s="221"/>
      <c r="I11" s="221"/>
      <c r="J11" s="22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84">
        <v>1</v>
      </c>
      <c r="D12" s="48">
        <f t="shared" si="1"/>
        <v>992</v>
      </c>
      <c r="F12" s="226" t="s">
        <v>33</v>
      </c>
      <c r="G12" s="227"/>
      <c r="H12" s="227"/>
      <c r="I12" s="227"/>
      <c r="J12" s="22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84">
        <v>2</v>
      </c>
      <c r="D13" s="48">
        <f t="shared" si="1"/>
        <v>614</v>
      </c>
      <c r="F13" s="229" t="s">
        <v>36</v>
      </c>
      <c r="G13" s="193"/>
      <c r="H13" s="184">
        <f>D29</f>
        <v>263815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84">
        <v>2</v>
      </c>
      <c r="D14" s="31">
        <f t="shared" si="1"/>
        <v>22</v>
      </c>
      <c r="F14" s="187" t="s">
        <v>39</v>
      </c>
      <c r="G14" s="188"/>
      <c r="H14" s="189">
        <f>D54</f>
        <v>36288.75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38</v>
      </c>
      <c r="C15" s="84"/>
      <c r="D15" s="31">
        <f t="shared" si="1"/>
        <v>0</v>
      </c>
      <c r="F15" s="192" t="s">
        <v>40</v>
      </c>
      <c r="G15" s="193"/>
      <c r="H15" s="194">
        <f>H13-H14</f>
        <v>227526.25</v>
      </c>
      <c r="I15" s="195"/>
      <c r="J15" s="19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4">
        <f>6*6</f>
        <v>36</v>
      </c>
      <c r="I16" s="154"/>
      <c r="J16" s="15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t="s">
        <v>133</v>
      </c>
      <c r="C17" s="84"/>
      <c r="D17" s="48">
        <f t="shared" si="1"/>
        <v>0</v>
      </c>
      <c r="F17" s="56"/>
      <c r="G17" s="66" t="s">
        <v>45</v>
      </c>
      <c r="H17" s="165"/>
      <c r="I17" s="165"/>
      <c r="J17" s="16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5"/>
      <c r="I18" s="165"/>
      <c r="J18" s="16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54">
        <v>50</v>
      </c>
      <c r="I19" s="154"/>
      <c r="J19" s="154"/>
      <c r="L19" s="6">
        <v>1102</v>
      </c>
      <c r="Q19" s="4"/>
      <c r="R19" s="5">
        <f t="shared" si="0"/>
        <v>0</v>
      </c>
    </row>
    <row r="20" spans="1:18" ht="15.75" x14ac:dyDescent="0.25">
      <c r="A20" s="143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54"/>
      <c r="I20" s="154"/>
      <c r="J20" s="15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3"/>
      <c r="B21" s="14" t="s">
        <v>131</v>
      </c>
      <c r="C21" s="84">
        <f>2+2</f>
        <v>4</v>
      </c>
      <c r="D21" s="48">
        <f t="shared" si="1"/>
        <v>2600</v>
      </c>
      <c r="F21" s="69" t="s">
        <v>99</v>
      </c>
      <c r="G21" s="82" t="s">
        <v>98</v>
      </c>
      <c r="H21" s="167" t="s">
        <v>13</v>
      </c>
      <c r="I21" s="168"/>
      <c r="J21" s="16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124</v>
      </c>
      <c r="C22" s="84"/>
      <c r="D22" s="48">
        <f t="shared" si="1"/>
        <v>0</v>
      </c>
      <c r="F22" s="77"/>
      <c r="G22" s="73"/>
      <c r="H22" s="170"/>
      <c r="I22" s="170"/>
      <c r="J22" s="17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101</v>
      </c>
      <c r="C23" s="84"/>
      <c r="D23" s="48">
        <f t="shared" si="1"/>
        <v>0</v>
      </c>
      <c r="F23" s="77"/>
      <c r="G23" s="79"/>
      <c r="H23" s="236"/>
      <c r="I23" s="237"/>
      <c r="J23" s="23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118</v>
      </c>
      <c r="C24" s="84"/>
      <c r="D24" s="48">
        <f t="shared" si="1"/>
        <v>0</v>
      </c>
      <c r="F24" s="77"/>
      <c r="G24" s="79"/>
      <c r="H24" s="236"/>
      <c r="I24" s="237"/>
      <c r="J24" s="23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150</v>
      </c>
      <c r="C25" s="84">
        <v>12</v>
      </c>
      <c r="D25" s="48">
        <f t="shared" si="1"/>
        <v>543</v>
      </c>
      <c r="F25" s="60" t="s">
        <v>100</v>
      </c>
      <c r="G25" s="55" t="s">
        <v>98</v>
      </c>
      <c r="H25" s="172" t="s">
        <v>13</v>
      </c>
      <c r="I25" s="173"/>
      <c r="J25" s="174"/>
      <c r="L25" s="47">
        <f>1050/24+1.5</f>
        <v>45.25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151</v>
      </c>
      <c r="C26" s="84">
        <v>12</v>
      </c>
      <c r="D26" s="48">
        <f t="shared" si="1"/>
        <v>454</v>
      </c>
      <c r="F26" s="75"/>
      <c r="G26" s="65"/>
      <c r="H26" s="140"/>
      <c r="I26" s="140"/>
      <c r="J26" s="140"/>
      <c r="L26" s="7">
        <f>872/24+1.5</f>
        <v>37.833333333333336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110</v>
      </c>
      <c r="C27" s="84"/>
      <c r="D27" s="44">
        <f t="shared" si="1"/>
        <v>0</v>
      </c>
      <c r="F27" s="71"/>
      <c r="G27" s="95"/>
      <c r="H27" s="238"/>
      <c r="I27" s="239"/>
      <c r="J27" s="23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97</v>
      </c>
      <c r="C28" s="84">
        <v>5</v>
      </c>
      <c r="D28" s="48">
        <f t="shared" si="1"/>
        <v>4055</v>
      </c>
      <c r="F28" s="92"/>
      <c r="G28" s="61"/>
      <c r="H28" s="181"/>
      <c r="I28" s="182"/>
      <c r="J28" s="18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263815</v>
      </c>
      <c r="F29" s="101" t="s">
        <v>55</v>
      </c>
      <c r="G29" s="163"/>
      <c r="H29" s="123">
        <f>H15-H16-H17-H18-H19-H20-H22-H23-H24+H26+H27+H28</f>
        <v>227440.25</v>
      </c>
      <c r="I29" s="124"/>
      <c r="J29" s="12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58</v>
      </c>
      <c r="B32" s="149"/>
      <c r="C32" s="149"/>
      <c r="D32" s="150"/>
      <c r="F32" s="151" t="s">
        <v>59</v>
      </c>
      <c r="G32" s="152"/>
      <c r="H32" s="152"/>
      <c r="I32" s="152"/>
      <c r="J32" s="15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51" t="s">
        <v>13</v>
      </c>
      <c r="I33" s="152"/>
      <c r="J33" s="15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191</v>
      </c>
      <c r="H34" s="145">
        <f t="shared" ref="H34:H39" si="2">F34*G34</f>
        <v>191000</v>
      </c>
      <c r="I34" s="146"/>
      <c r="J34" s="14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68</v>
      </c>
      <c r="C35" s="52"/>
      <c r="D35" s="30">
        <f>C35*84</f>
        <v>0</v>
      </c>
      <c r="F35" s="58">
        <v>500</v>
      </c>
      <c r="G35" s="41">
        <v>67</v>
      </c>
      <c r="H35" s="145">
        <f t="shared" si="2"/>
        <v>33500</v>
      </c>
      <c r="I35" s="146"/>
      <c r="J35" s="14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70</v>
      </c>
      <c r="C36" s="10"/>
      <c r="D36" s="12">
        <f>C36*1.5</f>
        <v>0</v>
      </c>
      <c r="F36" s="12">
        <v>200</v>
      </c>
      <c r="G36" s="37"/>
      <c r="H36" s="145">
        <f t="shared" si="2"/>
        <v>0</v>
      </c>
      <c r="I36" s="146"/>
      <c r="J36" s="14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72</v>
      </c>
      <c r="B37" s="28" t="s">
        <v>66</v>
      </c>
      <c r="C37" s="53">
        <v>313</v>
      </c>
      <c r="D37" s="12">
        <f>C37*111</f>
        <v>34743</v>
      </c>
      <c r="F37" s="12">
        <v>100</v>
      </c>
      <c r="G37" s="39">
        <v>26</v>
      </c>
      <c r="H37" s="145">
        <f t="shared" si="2"/>
        <v>2600</v>
      </c>
      <c r="I37" s="146"/>
      <c r="J37" s="14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2</v>
      </c>
      <c r="H38" s="145">
        <f t="shared" si="2"/>
        <v>100</v>
      </c>
      <c r="I38" s="146"/>
      <c r="J38" s="14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45">
        <f t="shared" si="2"/>
        <v>0</v>
      </c>
      <c r="I39" s="146"/>
      <c r="J39" s="14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45"/>
      <c r="I40" s="146"/>
      <c r="J40" s="14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5"/>
      <c r="I41" s="146"/>
      <c r="J41" s="14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70</v>
      </c>
      <c r="C42" s="11">
        <v>5</v>
      </c>
      <c r="D42" s="12">
        <f>C42*2.25</f>
        <v>11.25</v>
      </c>
      <c r="F42" s="39" t="s">
        <v>79</v>
      </c>
      <c r="G42" s="145">
        <v>19</v>
      </c>
      <c r="H42" s="146"/>
      <c r="I42" s="146"/>
      <c r="J42" s="14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5" t="s">
        <v>81</v>
      </c>
      <c r="C43" s="11"/>
      <c r="D43" s="12"/>
      <c r="F43" s="59" t="s">
        <v>82</v>
      </c>
      <c r="G43" s="95" t="s">
        <v>83</v>
      </c>
      <c r="H43" s="137" t="s">
        <v>13</v>
      </c>
      <c r="I43" s="138"/>
      <c r="J43" s="13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6"/>
      <c r="B44" s="27" t="s">
        <v>66</v>
      </c>
      <c r="C44" s="10">
        <v>1</v>
      </c>
      <c r="D44" s="12">
        <f>C44*120</f>
        <v>120</v>
      </c>
      <c r="F44" s="37"/>
      <c r="G44" s="85"/>
      <c r="H44" s="140"/>
      <c r="I44" s="140"/>
      <c r="J44" s="14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6"/>
      <c r="B45" s="27" t="s">
        <v>68</v>
      </c>
      <c r="C45" s="33">
        <v>2</v>
      </c>
      <c r="D45" s="12">
        <f>C45*84</f>
        <v>168</v>
      </c>
      <c r="F45" s="37"/>
      <c r="G45" s="62"/>
      <c r="H45" s="140"/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70</v>
      </c>
      <c r="C46" s="81">
        <v>20</v>
      </c>
      <c r="D46" s="12">
        <f>C46*1.5</f>
        <v>30</v>
      </c>
      <c r="F46" s="37"/>
      <c r="G46" s="62"/>
      <c r="H46" s="140"/>
      <c r="I46" s="140"/>
      <c r="J46" s="140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18"/>
      <c r="I48" s="119"/>
      <c r="J48" s="12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68</v>
      </c>
      <c r="C49" s="33"/>
      <c r="D49" s="12">
        <f>C49*42</f>
        <v>0</v>
      </c>
      <c r="F49" s="121" t="s">
        <v>86</v>
      </c>
      <c r="G49" s="123">
        <f>H34+H35+H36+H37+H38+H39+H40+H41+G42+H44+H45+H46</f>
        <v>227219</v>
      </c>
      <c r="H49" s="124"/>
      <c r="I49" s="124"/>
      <c r="J49" s="12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70</v>
      </c>
      <c r="C50" s="11">
        <v>10</v>
      </c>
      <c r="D50" s="12">
        <f>C50*1.5</f>
        <v>15</v>
      </c>
      <c r="F50" s="122"/>
      <c r="G50" s="126"/>
      <c r="H50" s="127"/>
      <c r="I50" s="127"/>
      <c r="J50" s="128"/>
      <c r="O50" t="s">
        <v>137</v>
      </c>
      <c r="P50" s="4">
        <v>1204</v>
      </c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128</v>
      </c>
      <c r="G51" s="230">
        <f>G49-H29</f>
        <v>-221.25</v>
      </c>
      <c r="H51" s="231"/>
      <c r="I51" s="231"/>
      <c r="J51" s="23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6"/>
      <c r="B52" s="29"/>
      <c r="C52" s="33"/>
      <c r="D52" s="45"/>
      <c r="F52" s="130"/>
      <c r="G52" s="233"/>
      <c r="H52" s="234"/>
      <c r="I52" s="234"/>
      <c r="J52" s="23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1" t="s">
        <v>90</v>
      </c>
      <c r="B54" s="102"/>
      <c r="C54" s="103"/>
      <c r="D54" s="107">
        <f>SUM(D34:D53)</f>
        <v>36288.75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9" t="s">
        <v>91</v>
      </c>
      <c r="B58" s="110"/>
      <c r="C58" s="110"/>
      <c r="D58" s="111"/>
      <c r="F58" s="109" t="s">
        <v>92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8262BB-DBC3-4912-B74E-C5C21089E9C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7" t="s">
        <v>1</v>
      </c>
      <c r="O1" s="197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98" t="s">
        <v>8</v>
      </c>
      <c r="G4" s="200">
        <v>2</v>
      </c>
      <c r="H4" s="202" t="s">
        <v>9</v>
      </c>
      <c r="I4" s="204">
        <v>46056</v>
      </c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10">
        <v>242</v>
      </c>
      <c r="D6" s="13">
        <f t="shared" ref="D6:D28" si="1">C6*L6</f>
        <v>184162</v>
      </c>
      <c r="F6" s="208" t="s">
        <v>16</v>
      </c>
      <c r="G6" s="210" t="s">
        <v>126</v>
      </c>
      <c r="H6" s="211"/>
      <c r="I6" s="211"/>
      <c r="J6" s="2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10">
        <v>7</v>
      </c>
      <c r="D7" s="13">
        <f t="shared" si="1"/>
        <v>5467</v>
      </c>
      <c r="F7" s="209"/>
      <c r="G7" s="213"/>
      <c r="H7" s="214"/>
      <c r="I7" s="214"/>
      <c r="J7" s="2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10"/>
      <c r="D8" s="13">
        <f t="shared" si="1"/>
        <v>0</v>
      </c>
      <c r="F8" s="216" t="s">
        <v>21</v>
      </c>
      <c r="G8" s="217" t="s">
        <v>113</v>
      </c>
      <c r="H8" s="218"/>
      <c r="I8" s="218"/>
      <c r="J8" s="21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10">
        <v>33</v>
      </c>
      <c r="D9" s="13">
        <f t="shared" si="1"/>
        <v>24189</v>
      </c>
      <c r="F9" s="209"/>
      <c r="G9" s="220"/>
      <c r="H9" s="221"/>
      <c r="I9" s="221"/>
      <c r="J9" s="22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10"/>
      <c r="D10" s="13">
        <f t="shared" si="1"/>
        <v>0</v>
      </c>
      <c r="F10" s="208" t="s">
        <v>26</v>
      </c>
      <c r="G10" s="223" t="s">
        <v>114</v>
      </c>
      <c r="H10" s="224"/>
      <c r="I10" s="224"/>
      <c r="J10" s="225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10"/>
      <c r="D11" s="13">
        <f t="shared" si="1"/>
        <v>0</v>
      </c>
      <c r="F11" s="209"/>
      <c r="G11" s="220"/>
      <c r="H11" s="221"/>
      <c r="I11" s="221"/>
      <c r="J11" s="22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10"/>
      <c r="D12" s="48">
        <f t="shared" si="1"/>
        <v>0</v>
      </c>
      <c r="F12" s="226" t="s">
        <v>33</v>
      </c>
      <c r="G12" s="227"/>
      <c r="H12" s="227"/>
      <c r="I12" s="227"/>
      <c r="J12" s="22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10">
        <v>4</v>
      </c>
      <c r="D13" s="48">
        <f t="shared" si="1"/>
        <v>1228</v>
      </c>
      <c r="F13" s="229" t="s">
        <v>36</v>
      </c>
      <c r="G13" s="193"/>
      <c r="H13" s="184">
        <f>D29</f>
        <v>216897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10">
        <v>9</v>
      </c>
      <c r="D14" s="31">
        <f t="shared" si="1"/>
        <v>99</v>
      </c>
      <c r="F14" s="187" t="s">
        <v>39</v>
      </c>
      <c r="G14" s="188"/>
      <c r="H14" s="189">
        <f>D54</f>
        <v>35701.5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38</v>
      </c>
      <c r="C15" s="10"/>
      <c r="D15" s="31">
        <f t="shared" si="1"/>
        <v>0</v>
      </c>
      <c r="F15" s="192" t="s">
        <v>40</v>
      </c>
      <c r="G15" s="193"/>
      <c r="H15" s="194">
        <f>H13-H14</f>
        <v>181195.5</v>
      </c>
      <c r="I15" s="195"/>
      <c r="J15" s="19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4">
        <f>140*6</f>
        <v>840</v>
      </c>
      <c r="I16" s="154"/>
      <c r="J16" s="15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t="s">
        <v>93</v>
      </c>
      <c r="C17" s="10"/>
      <c r="D17" s="48">
        <f t="shared" si="1"/>
        <v>0</v>
      </c>
      <c r="F17" s="56"/>
      <c r="G17" s="66" t="s">
        <v>45</v>
      </c>
      <c r="H17" s="165"/>
      <c r="I17" s="165"/>
      <c r="J17" s="16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5"/>
      <c r="I18" s="165"/>
      <c r="J18" s="16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 t="s">
        <v>152</v>
      </c>
      <c r="C19" s="10">
        <v>1</v>
      </c>
      <c r="D19" s="48">
        <f t="shared" si="1"/>
        <v>1102</v>
      </c>
      <c r="F19" s="56"/>
      <c r="G19" s="68" t="s">
        <v>50</v>
      </c>
      <c r="H19" s="240"/>
      <c r="I19" s="240"/>
      <c r="J19" s="24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3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3"/>
      <c r="B21" s="14" t="s">
        <v>131</v>
      </c>
      <c r="C21" s="10">
        <f>1</f>
        <v>1</v>
      </c>
      <c r="D21" s="48">
        <f t="shared" si="1"/>
        <v>650</v>
      </c>
      <c r="F21" s="69" t="s">
        <v>99</v>
      </c>
      <c r="G21" s="82" t="s">
        <v>98</v>
      </c>
      <c r="H21" s="167" t="s">
        <v>13</v>
      </c>
      <c r="I21" s="168"/>
      <c r="J21" s="16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104</v>
      </c>
      <c r="C22" s="10"/>
      <c r="D22" s="48">
        <f t="shared" si="1"/>
        <v>0</v>
      </c>
      <c r="F22" s="72"/>
      <c r="G22" s="73"/>
      <c r="H22" s="170"/>
      <c r="I22" s="170"/>
      <c r="J22" s="17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107</v>
      </c>
      <c r="C23" s="10"/>
      <c r="D23" s="48">
        <f t="shared" si="1"/>
        <v>0</v>
      </c>
      <c r="F23" s="25"/>
      <c r="G23" s="37"/>
      <c r="H23" s="171"/>
      <c r="I23" s="140"/>
      <c r="J23" s="14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120</v>
      </c>
      <c r="C24" s="10"/>
      <c r="D24" s="48">
        <f t="shared" si="1"/>
        <v>0</v>
      </c>
      <c r="F24" s="38"/>
      <c r="G24" s="37"/>
      <c r="H24" s="171"/>
      <c r="I24" s="140"/>
      <c r="J24" s="14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2" t="s">
        <v>13</v>
      </c>
      <c r="I25" s="173"/>
      <c r="J25" s="17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105</v>
      </c>
      <c r="C26" s="10"/>
      <c r="D26" s="48">
        <f t="shared" si="1"/>
        <v>0</v>
      </c>
      <c r="F26" s="64"/>
      <c r="G26" s="10"/>
      <c r="H26" s="175"/>
      <c r="I26" s="176"/>
      <c r="J26" s="17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109</v>
      </c>
      <c r="C27" s="10"/>
      <c r="D27" s="44">
        <f t="shared" si="1"/>
        <v>0</v>
      </c>
      <c r="F27" s="14"/>
      <c r="G27" s="14"/>
      <c r="H27" s="178"/>
      <c r="I27" s="179"/>
      <c r="J27" s="18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97</v>
      </c>
      <c r="C28" s="10"/>
      <c r="D28" s="48">
        <f t="shared" si="1"/>
        <v>0</v>
      </c>
      <c r="F28" s="92"/>
      <c r="G28" s="61"/>
      <c r="H28" s="181"/>
      <c r="I28" s="182"/>
      <c r="J28" s="18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216897</v>
      </c>
      <c r="F29" s="101" t="s">
        <v>55</v>
      </c>
      <c r="G29" s="163"/>
      <c r="H29" s="123">
        <f>H15-H16-H17-H18-H19-H20-H22-H23-H24+H26+H27</f>
        <v>180355.5</v>
      </c>
      <c r="I29" s="124"/>
      <c r="J29" s="12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58</v>
      </c>
      <c r="B32" s="149"/>
      <c r="C32" s="149"/>
      <c r="D32" s="150"/>
      <c r="F32" s="151" t="s">
        <v>59</v>
      </c>
      <c r="G32" s="152"/>
      <c r="H32" s="152"/>
      <c r="I32" s="152"/>
      <c r="J32" s="15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51" t="s">
        <v>13</v>
      </c>
      <c r="I33" s="152"/>
      <c r="J33" s="15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154</v>
      </c>
      <c r="H34" s="145">
        <f>F34*G34</f>
        <v>154000</v>
      </c>
      <c r="I34" s="146"/>
      <c r="J34" s="14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68</v>
      </c>
      <c r="C35" s="52"/>
      <c r="D35" s="30">
        <f>C35*84</f>
        <v>0</v>
      </c>
      <c r="F35" s="58">
        <v>500</v>
      </c>
      <c r="G35" s="41">
        <v>51</v>
      </c>
      <c r="H35" s="145">
        <f t="shared" ref="H35:H39" si="2">F35*G35</f>
        <v>25500</v>
      </c>
      <c r="I35" s="146"/>
      <c r="J35" s="14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70</v>
      </c>
      <c r="C36" s="10"/>
      <c r="D36" s="12">
        <f>C36*1.5</f>
        <v>0</v>
      </c>
      <c r="F36" s="12">
        <v>200</v>
      </c>
      <c r="G36" s="37"/>
      <c r="H36" s="145">
        <f>F36*G36</f>
        <v>0</v>
      </c>
      <c r="I36" s="146"/>
      <c r="J36" s="14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72</v>
      </c>
      <c r="B37" s="28" t="s">
        <v>66</v>
      </c>
      <c r="C37" s="53">
        <v>316</v>
      </c>
      <c r="D37" s="12">
        <f>C37*111</f>
        <v>35076</v>
      </c>
      <c r="F37" s="12">
        <v>100</v>
      </c>
      <c r="G37" s="39">
        <v>7</v>
      </c>
      <c r="H37" s="145">
        <f t="shared" si="2"/>
        <v>700</v>
      </c>
      <c r="I37" s="146"/>
      <c r="J37" s="14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1</v>
      </c>
      <c r="H38" s="145">
        <f t="shared" si="2"/>
        <v>50</v>
      </c>
      <c r="I38" s="146"/>
      <c r="J38" s="14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45">
        <f t="shared" si="2"/>
        <v>0</v>
      </c>
      <c r="I39" s="146"/>
      <c r="J39" s="14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5"/>
      <c r="I40" s="146"/>
      <c r="J40" s="14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68</v>
      </c>
      <c r="C41" s="10"/>
      <c r="D41" s="12">
        <f>C41*84</f>
        <v>0</v>
      </c>
      <c r="F41" s="12">
        <v>5</v>
      </c>
      <c r="G41" s="42"/>
      <c r="H41" s="145"/>
      <c r="I41" s="146"/>
      <c r="J41" s="14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70</v>
      </c>
      <c r="C42" s="11">
        <v>12</v>
      </c>
      <c r="D42" s="12">
        <f>C42*2.25</f>
        <v>27</v>
      </c>
      <c r="F42" s="39" t="s">
        <v>79</v>
      </c>
      <c r="G42" s="145"/>
      <c r="H42" s="146"/>
      <c r="I42" s="146"/>
      <c r="J42" s="14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5" t="s">
        <v>81</v>
      </c>
      <c r="C43" s="11"/>
      <c r="D43" s="12"/>
      <c r="F43" s="59" t="s">
        <v>82</v>
      </c>
      <c r="G43" s="95" t="s">
        <v>83</v>
      </c>
      <c r="H43" s="137" t="s">
        <v>13</v>
      </c>
      <c r="I43" s="138"/>
      <c r="J43" s="13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6"/>
      <c r="B44" s="27" t="s">
        <v>66</v>
      </c>
      <c r="C44" s="10"/>
      <c r="D44" s="12">
        <f>C44*120</f>
        <v>0</v>
      </c>
      <c r="F44" s="37"/>
      <c r="G44" s="62"/>
      <c r="H44" s="140"/>
      <c r="I44" s="140"/>
      <c r="J44" s="14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6"/>
      <c r="B45" s="27" t="s">
        <v>68</v>
      </c>
      <c r="C45" s="33"/>
      <c r="D45" s="12">
        <f>C45*84</f>
        <v>0</v>
      </c>
      <c r="F45" s="37"/>
      <c r="G45" s="62"/>
      <c r="H45" s="140"/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70</v>
      </c>
      <c r="C46" s="81"/>
      <c r="D46" s="12">
        <f>C46*1.5</f>
        <v>0</v>
      </c>
      <c r="F46" s="37"/>
      <c r="G46" s="94"/>
      <c r="H46" s="141"/>
      <c r="I46" s="141"/>
      <c r="J46" s="141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18"/>
      <c r="I48" s="119"/>
      <c r="J48" s="12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68</v>
      </c>
      <c r="C49" s="33">
        <v>2</v>
      </c>
      <c r="D49" s="12">
        <f>C49*42</f>
        <v>84</v>
      </c>
      <c r="F49" s="121" t="s">
        <v>86</v>
      </c>
      <c r="G49" s="123">
        <f>H34+H35+H36+H37+H38+H39+H40+H41+G42+H44+H45+H46</f>
        <v>180250</v>
      </c>
      <c r="H49" s="124"/>
      <c r="I49" s="124"/>
      <c r="J49" s="12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70</v>
      </c>
      <c r="C50" s="11">
        <v>4</v>
      </c>
      <c r="D50" s="12">
        <f>C50*1.5</f>
        <v>6</v>
      </c>
      <c r="F50" s="122"/>
      <c r="G50" s="126"/>
      <c r="H50" s="127"/>
      <c r="I50" s="127"/>
      <c r="J50" s="128"/>
      <c r="O50" t="s">
        <v>137</v>
      </c>
      <c r="P50" s="4">
        <v>1204</v>
      </c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155</v>
      </c>
      <c r="G51" s="230">
        <f>G49-H29</f>
        <v>-105.5</v>
      </c>
      <c r="H51" s="231"/>
      <c r="I51" s="231"/>
      <c r="J51" s="23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6"/>
      <c r="B52" s="29"/>
      <c r="C52" s="33"/>
      <c r="D52" s="45"/>
      <c r="F52" s="130"/>
      <c r="G52" s="233"/>
      <c r="H52" s="234"/>
      <c r="I52" s="234"/>
      <c r="J52" s="23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1" t="s">
        <v>90</v>
      </c>
      <c r="B54" s="102"/>
      <c r="C54" s="103"/>
      <c r="D54" s="107">
        <f>SUM(D34:D53)</f>
        <v>35701.5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9" t="s">
        <v>91</v>
      </c>
      <c r="B58" s="110"/>
      <c r="C58" s="110"/>
      <c r="D58" s="111"/>
      <c r="F58" s="109" t="s">
        <v>92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8FD61-F949-4349-89B0-A5556641628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7" t="s">
        <v>1</v>
      </c>
      <c r="O1" s="197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98" t="s">
        <v>8</v>
      </c>
      <c r="G4" s="200">
        <v>3</v>
      </c>
      <c r="H4" s="202" t="s">
        <v>9</v>
      </c>
      <c r="I4" s="204">
        <v>46056</v>
      </c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10">
        <v>414</v>
      </c>
      <c r="D6" s="13">
        <f t="shared" ref="D6:D28" si="1">C6*L6</f>
        <v>315054</v>
      </c>
      <c r="F6" s="208" t="s">
        <v>16</v>
      </c>
      <c r="G6" s="210" t="s">
        <v>141</v>
      </c>
      <c r="H6" s="211"/>
      <c r="I6" s="211"/>
      <c r="J6" s="2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10">
        <v>4</v>
      </c>
      <c r="D7" s="13">
        <f t="shared" si="1"/>
        <v>3124</v>
      </c>
      <c r="F7" s="209"/>
      <c r="G7" s="213"/>
      <c r="H7" s="214"/>
      <c r="I7" s="214"/>
      <c r="J7" s="2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10"/>
      <c r="D8" s="13">
        <f t="shared" si="1"/>
        <v>0</v>
      </c>
      <c r="F8" s="216" t="s">
        <v>21</v>
      </c>
      <c r="G8" s="217" t="s">
        <v>130</v>
      </c>
      <c r="H8" s="218"/>
      <c r="I8" s="218"/>
      <c r="J8" s="21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10">
        <v>35</v>
      </c>
      <c r="D9" s="13">
        <f t="shared" si="1"/>
        <v>25655</v>
      </c>
      <c r="F9" s="209"/>
      <c r="G9" s="220"/>
      <c r="H9" s="221"/>
      <c r="I9" s="221"/>
      <c r="J9" s="22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10"/>
      <c r="D10" s="13">
        <f t="shared" si="1"/>
        <v>0</v>
      </c>
      <c r="F10" s="208" t="s">
        <v>26</v>
      </c>
      <c r="G10" s="223" t="s">
        <v>154</v>
      </c>
      <c r="H10" s="224"/>
      <c r="I10" s="224"/>
      <c r="J10" s="225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10"/>
      <c r="D11" s="13">
        <f t="shared" si="1"/>
        <v>0</v>
      </c>
      <c r="F11" s="209"/>
      <c r="G11" s="220"/>
      <c r="H11" s="221"/>
      <c r="I11" s="221"/>
      <c r="J11" s="22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10">
        <v>3</v>
      </c>
      <c r="D12" s="48">
        <f t="shared" si="1"/>
        <v>2976</v>
      </c>
      <c r="F12" s="226" t="s">
        <v>33</v>
      </c>
      <c r="G12" s="227"/>
      <c r="H12" s="227"/>
      <c r="I12" s="227"/>
      <c r="J12" s="22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10">
        <v>12</v>
      </c>
      <c r="D13" s="48">
        <f t="shared" si="1"/>
        <v>3684</v>
      </c>
      <c r="F13" s="229" t="s">
        <v>36</v>
      </c>
      <c r="G13" s="193"/>
      <c r="H13" s="184">
        <f>D29</f>
        <v>355427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10">
        <v>4</v>
      </c>
      <c r="D14" s="31">
        <f t="shared" si="1"/>
        <v>44</v>
      </c>
      <c r="F14" s="187" t="s">
        <v>39</v>
      </c>
      <c r="G14" s="188"/>
      <c r="H14" s="189">
        <f>D54</f>
        <v>51192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38</v>
      </c>
      <c r="C15" s="10"/>
      <c r="D15" s="31">
        <f t="shared" si="1"/>
        <v>0</v>
      </c>
      <c r="F15" s="192" t="s">
        <v>40</v>
      </c>
      <c r="G15" s="193"/>
      <c r="H15" s="194">
        <f>H13-H14</f>
        <v>304235</v>
      </c>
      <c r="I15" s="195"/>
      <c r="J15" s="19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4">
        <f>329*6+50*6</f>
        <v>2274</v>
      </c>
      <c r="I16" s="154"/>
      <c r="J16" s="15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t="s">
        <v>112</v>
      </c>
      <c r="C17" s="10"/>
      <c r="D17" s="48">
        <f t="shared" si="1"/>
        <v>0</v>
      </c>
      <c r="F17" s="56"/>
      <c r="G17" s="66" t="s">
        <v>45</v>
      </c>
      <c r="H17" s="165"/>
      <c r="I17" s="165"/>
      <c r="J17" s="16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 t="s">
        <v>95</v>
      </c>
      <c r="C18" s="10">
        <v>2</v>
      </c>
      <c r="D18" s="48">
        <f t="shared" si="1"/>
        <v>1240</v>
      </c>
      <c r="F18" s="56"/>
      <c r="G18" s="66" t="s">
        <v>47</v>
      </c>
      <c r="H18" s="165"/>
      <c r="I18" s="165"/>
      <c r="J18" s="16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41"/>
      <c r="I19" s="241"/>
      <c r="J19" s="24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3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4"/>
      <c r="I20" s="154"/>
      <c r="J20" s="15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3"/>
      <c r="B21" s="14" t="s">
        <v>123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67" t="s">
        <v>13</v>
      </c>
      <c r="I21" s="168"/>
      <c r="J21" s="16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104</v>
      </c>
      <c r="C22" s="10"/>
      <c r="D22" s="48">
        <f t="shared" si="1"/>
        <v>0</v>
      </c>
      <c r="F22" s="77"/>
      <c r="G22" s="73"/>
      <c r="H22" s="170"/>
      <c r="I22" s="170"/>
      <c r="J22" s="17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98" t="s">
        <v>153</v>
      </c>
      <c r="C23" s="10">
        <f>1+1</f>
        <v>2</v>
      </c>
      <c r="D23" s="48">
        <f t="shared" si="1"/>
        <v>2350</v>
      </c>
      <c r="F23" s="78"/>
      <c r="G23" s="79"/>
      <c r="H23" s="171"/>
      <c r="I23" s="140"/>
      <c r="J23" s="14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101</v>
      </c>
      <c r="C24" s="10"/>
      <c r="D24" s="48">
        <f t="shared" si="1"/>
        <v>0</v>
      </c>
      <c r="F24" s="38"/>
      <c r="G24" s="37"/>
      <c r="H24" s="171"/>
      <c r="I24" s="140"/>
      <c r="J24" s="14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2" t="s">
        <v>13</v>
      </c>
      <c r="I25" s="173"/>
      <c r="J25" s="17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105</v>
      </c>
      <c r="C26" s="10"/>
      <c r="D26" s="48">
        <f t="shared" si="1"/>
        <v>0</v>
      </c>
      <c r="F26" s="64"/>
      <c r="G26" s="59"/>
      <c r="H26" s="175"/>
      <c r="I26" s="176"/>
      <c r="J26" s="17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109</v>
      </c>
      <c r="C27" s="10"/>
      <c r="D27" s="44">
        <f t="shared" si="1"/>
        <v>0</v>
      </c>
      <c r="F27" s="25"/>
      <c r="G27" s="80"/>
      <c r="H27" s="178"/>
      <c r="I27" s="179"/>
      <c r="J27" s="18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97</v>
      </c>
      <c r="C28" s="10"/>
      <c r="D28" s="48">
        <f t="shared" si="1"/>
        <v>0</v>
      </c>
      <c r="F28" s="92"/>
      <c r="G28" s="61"/>
      <c r="H28" s="181"/>
      <c r="I28" s="182"/>
      <c r="J28" s="18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355427</v>
      </c>
      <c r="F29" s="101" t="s">
        <v>55</v>
      </c>
      <c r="G29" s="163"/>
      <c r="H29" s="123">
        <f>H15-H16-H17-H18-H19-H20-H22-H23-H24+H26+H27</f>
        <v>301961</v>
      </c>
      <c r="I29" s="124"/>
      <c r="J29" s="12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58</v>
      </c>
      <c r="B32" s="149"/>
      <c r="C32" s="149"/>
      <c r="D32" s="150"/>
      <c r="F32" s="151" t="s">
        <v>59</v>
      </c>
      <c r="G32" s="152"/>
      <c r="H32" s="152"/>
      <c r="I32" s="152"/>
      <c r="J32" s="15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51" t="s">
        <v>13</v>
      </c>
      <c r="I33" s="152"/>
      <c r="J33" s="15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54</v>
      </c>
      <c r="H34" s="145">
        <f>F34*G34</f>
        <v>54000</v>
      </c>
      <c r="I34" s="146"/>
      <c r="J34" s="14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68</v>
      </c>
      <c r="C35" s="52"/>
      <c r="D35" s="30">
        <f>C35*84</f>
        <v>0</v>
      </c>
      <c r="F35" s="58">
        <v>500</v>
      </c>
      <c r="G35" s="41">
        <v>42</v>
      </c>
      <c r="H35" s="145">
        <f>F35*G35</f>
        <v>21000</v>
      </c>
      <c r="I35" s="146"/>
      <c r="J35" s="14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145">
        <f t="shared" ref="H36:H39" si="2">F36*G36</f>
        <v>600</v>
      </c>
      <c r="I36" s="146"/>
      <c r="J36" s="14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72</v>
      </c>
      <c r="B37" s="28" t="s">
        <v>66</v>
      </c>
      <c r="C37" s="53">
        <v>429</v>
      </c>
      <c r="D37" s="12">
        <f>C37*111</f>
        <v>47619</v>
      </c>
      <c r="F37" s="12">
        <v>100</v>
      </c>
      <c r="G37" s="39">
        <v>83</v>
      </c>
      <c r="H37" s="145">
        <f t="shared" si="2"/>
        <v>8300</v>
      </c>
      <c r="I37" s="146"/>
      <c r="J37" s="14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68</v>
      </c>
      <c r="C38" s="54">
        <v>17</v>
      </c>
      <c r="D38" s="12">
        <f>C38*84</f>
        <v>1428</v>
      </c>
      <c r="F38" s="30">
        <v>50</v>
      </c>
      <c r="G38" s="39">
        <v>11</v>
      </c>
      <c r="H38" s="145">
        <f t="shared" si="2"/>
        <v>550</v>
      </c>
      <c r="I38" s="146"/>
      <c r="J38" s="14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45">
        <f t="shared" si="2"/>
        <v>0</v>
      </c>
      <c r="I39" s="146"/>
      <c r="J39" s="14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45"/>
      <c r="I40" s="146"/>
      <c r="J40" s="14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68</v>
      </c>
      <c r="C41" s="10"/>
      <c r="D41" s="12">
        <f>C41*84</f>
        <v>0</v>
      </c>
      <c r="F41" s="12">
        <v>5</v>
      </c>
      <c r="G41" s="42"/>
      <c r="H41" s="145"/>
      <c r="I41" s="146"/>
      <c r="J41" s="14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70</v>
      </c>
      <c r="C42" s="11">
        <v>6</v>
      </c>
      <c r="D42" s="12">
        <f>C42*2.25</f>
        <v>13.5</v>
      </c>
      <c r="F42" s="39" t="s">
        <v>79</v>
      </c>
      <c r="G42" s="145">
        <v>480</v>
      </c>
      <c r="H42" s="146"/>
      <c r="I42" s="146"/>
      <c r="J42" s="14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5" t="s">
        <v>81</v>
      </c>
      <c r="C43" s="11"/>
      <c r="D43" s="12"/>
      <c r="F43" s="59" t="s">
        <v>82</v>
      </c>
      <c r="G43" s="95" t="s">
        <v>83</v>
      </c>
      <c r="H43" s="137" t="s">
        <v>13</v>
      </c>
      <c r="I43" s="138"/>
      <c r="J43" s="13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6"/>
      <c r="B44" s="27" t="s">
        <v>66</v>
      </c>
      <c r="C44" s="10">
        <v>4</v>
      </c>
      <c r="D44" s="12">
        <f>C44*120</f>
        <v>480</v>
      </c>
      <c r="F44" s="37" t="s">
        <v>146</v>
      </c>
      <c r="G44" s="76" t="s">
        <v>156</v>
      </c>
      <c r="H44" s="140">
        <v>216552</v>
      </c>
      <c r="I44" s="140"/>
      <c r="J44" s="14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6"/>
      <c r="B45" s="27" t="s">
        <v>68</v>
      </c>
      <c r="C45" s="33">
        <v>1</v>
      </c>
      <c r="D45" s="12">
        <f>C45*84</f>
        <v>84</v>
      </c>
      <c r="F45" s="37"/>
      <c r="G45" s="76"/>
      <c r="H45" s="140"/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70</v>
      </c>
      <c r="C46" s="81">
        <v>23</v>
      </c>
      <c r="D46" s="12">
        <f>C46*1.5</f>
        <v>34.5</v>
      </c>
      <c r="F46" s="37"/>
      <c r="G46" s="62"/>
      <c r="H46" s="141"/>
      <c r="I46" s="141"/>
      <c r="J46" s="141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18"/>
      <c r="I48" s="119"/>
      <c r="J48" s="12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68</v>
      </c>
      <c r="C49" s="33">
        <v>7</v>
      </c>
      <c r="D49" s="12">
        <f>C49*42</f>
        <v>294</v>
      </c>
      <c r="F49" s="121" t="s">
        <v>86</v>
      </c>
      <c r="G49" s="123">
        <f>H34+H35+H36+H37+H38+H39+H40+H41+G42+H44+H45+H46</f>
        <v>301482</v>
      </c>
      <c r="H49" s="124"/>
      <c r="I49" s="124"/>
      <c r="J49" s="12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70</v>
      </c>
      <c r="C50" s="11">
        <v>20</v>
      </c>
      <c r="D50" s="12">
        <f>C50*1.5</f>
        <v>30</v>
      </c>
      <c r="F50" s="122"/>
      <c r="G50" s="126"/>
      <c r="H50" s="127"/>
      <c r="I50" s="127"/>
      <c r="J50" s="128"/>
      <c r="O50" t="s">
        <v>137</v>
      </c>
      <c r="P50" s="4">
        <v>1204</v>
      </c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128</v>
      </c>
      <c r="G51" s="230">
        <f>G49-H29</f>
        <v>-479</v>
      </c>
      <c r="H51" s="231"/>
      <c r="I51" s="231"/>
      <c r="J51" s="23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6"/>
      <c r="B52" s="29"/>
      <c r="C52" s="33"/>
      <c r="D52" s="45"/>
      <c r="F52" s="130"/>
      <c r="G52" s="233"/>
      <c r="H52" s="234"/>
      <c r="I52" s="234"/>
      <c r="J52" s="23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1" t="s">
        <v>90</v>
      </c>
      <c r="B54" s="102"/>
      <c r="C54" s="103"/>
      <c r="D54" s="107">
        <f>SUM(D34:D53)</f>
        <v>51192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9" t="s">
        <v>91</v>
      </c>
      <c r="B58" s="110"/>
      <c r="C58" s="110"/>
      <c r="D58" s="111"/>
      <c r="F58" s="109" t="s">
        <v>92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4438E-57EA-43F8-92B7-103FD7C563F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7" t="s">
        <v>1</v>
      </c>
      <c r="O1" s="197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8" t="s">
        <v>7</v>
      </c>
      <c r="B4" s="149"/>
      <c r="C4" s="149"/>
      <c r="D4" s="150"/>
      <c r="F4" s="198" t="s">
        <v>8</v>
      </c>
      <c r="G4" s="200"/>
      <c r="H4" s="202" t="s">
        <v>9</v>
      </c>
      <c r="I4" s="204"/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3"/>
      <c r="B6" s="16"/>
      <c r="C6" s="10"/>
      <c r="D6" s="13">
        <f t="shared" ref="D6:D28" si="1">C6*L6</f>
        <v>0</v>
      </c>
      <c r="F6" s="208" t="s">
        <v>16</v>
      </c>
      <c r="G6" s="210"/>
      <c r="H6" s="211"/>
      <c r="I6" s="211"/>
      <c r="J6" s="21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3"/>
      <c r="B7" s="16"/>
      <c r="C7" s="10"/>
      <c r="D7" s="13">
        <f t="shared" si="1"/>
        <v>0</v>
      </c>
      <c r="F7" s="209"/>
      <c r="G7" s="213"/>
      <c r="H7" s="214"/>
      <c r="I7" s="214"/>
      <c r="J7" s="21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3"/>
      <c r="B8" s="16"/>
      <c r="C8" s="10"/>
      <c r="D8" s="13">
        <f t="shared" si="1"/>
        <v>0</v>
      </c>
      <c r="F8" s="216" t="s">
        <v>21</v>
      </c>
      <c r="G8" s="217"/>
      <c r="H8" s="218"/>
      <c r="I8" s="218"/>
      <c r="J8" s="21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3"/>
      <c r="B9" s="16"/>
      <c r="C9" s="10"/>
      <c r="D9" s="13">
        <f t="shared" si="1"/>
        <v>0</v>
      </c>
      <c r="F9" s="209"/>
      <c r="G9" s="220"/>
      <c r="H9" s="221"/>
      <c r="I9" s="221"/>
      <c r="J9" s="22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3"/>
      <c r="C10" s="10"/>
      <c r="D10" s="13">
        <f t="shared" si="1"/>
        <v>0</v>
      </c>
      <c r="F10" s="208" t="s">
        <v>26</v>
      </c>
      <c r="G10" s="223"/>
      <c r="H10" s="224"/>
      <c r="I10" s="224"/>
      <c r="J10" s="225"/>
      <c r="K10" s="8"/>
      <c r="L10" s="6">
        <f>R36</f>
        <v>972</v>
      </c>
      <c r="P10" s="4"/>
      <c r="Q10" s="4"/>
      <c r="R10" s="5"/>
    </row>
    <row r="11" spans="1:19" ht="15.75" x14ac:dyDescent="0.25">
      <c r="A11" s="143"/>
      <c r="B11" s="17"/>
      <c r="C11" s="10"/>
      <c r="D11" s="13">
        <f t="shared" si="1"/>
        <v>0</v>
      </c>
      <c r="F11" s="209"/>
      <c r="G11" s="220"/>
      <c r="H11" s="221"/>
      <c r="I11" s="221"/>
      <c r="J11" s="22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3"/>
      <c r="B12" s="17"/>
      <c r="C12" s="10"/>
      <c r="D12" s="48">
        <f t="shared" si="1"/>
        <v>0</v>
      </c>
      <c r="F12" s="226" t="s">
        <v>33</v>
      </c>
      <c r="G12" s="227"/>
      <c r="H12" s="227"/>
      <c r="I12" s="227"/>
      <c r="J12" s="22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3"/>
      <c r="B13" s="17"/>
      <c r="C13" s="10"/>
      <c r="D13" s="48">
        <f t="shared" si="1"/>
        <v>0</v>
      </c>
      <c r="F13" s="229" t="s">
        <v>36</v>
      </c>
      <c r="G13" s="19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3"/>
      <c r="B14" s="14"/>
      <c r="C14" s="10"/>
      <c r="D14" s="31">
        <f t="shared" si="1"/>
        <v>0</v>
      </c>
      <c r="F14" s="187" t="s">
        <v>39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3"/>
      <c r="B15" s="14"/>
      <c r="C15" s="10"/>
      <c r="D15" s="31">
        <f t="shared" si="1"/>
        <v>0</v>
      </c>
      <c r="F15" s="192" t="s">
        <v>40</v>
      </c>
      <c r="G15" s="193"/>
      <c r="H15" s="194">
        <f>H13-H14</f>
        <v>0</v>
      </c>
      <c r="I15" s="195"/>
      <c r="J15" s="19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4"/>
      <c r="I16" s="154"/>
      <c r="J16" s="15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C17" s="10"/>
      <c r="D17" s="48">
        <f t="shared" si="1"/>
        <v>0</v>
      </c>
      <c r="F17" s="56"/>
      <c r="G17" s="66" t="s">
        <v>45</v>
      </c>
      <c r="H17" s="165"/>
      <c r="I17" s="165"/>
      <c r="J17" s="16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/>
      <c r="C18" s="10"/>
      <c r="D18" s="48">
        <f t="shared" si="1"/>
        <v>0</v>
      </c>
      <c r="F18" s="56"/>
      <c r="G18" s="66" t="s">
        <v>47</v>
      </c>
      <c r="H18" s="165"/>
      <c r="I18" s="165"/>
      <c r="J18" s="16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/>
      <c r="C19" s="10"/>
      <c r="D19" s="48">
        <f t="shared" si="1"/>
        <v>0</v>
      </c>
      <c r="F19" s="56"/>
      <c r="G19" s="68" t="s">
        <v>50</v>
      </c>
      <c r="H19" s="166"/>
      <c r="I19" s="166"/>
      <c r="J19" s="1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3"/>
      <c r="B20" s="46"/>
      <c r="C20" s="10"/>
      <c r="D20" s="13">
        <f t="shared" si="1"/>
        <v>0</v>
      </c>
      <c r="F20" s="57"/>
      <c r="G20" s="70" t="s">
        <v>117</v>
      </c>
      <c r="H20" s="154"/>
      <c r="I20" s="154"/>
      <c r="J20" s="15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7" t="s">
        <v>13</v>
      </c>
      <c r="I21" s="168"/>
      <c r="J21" s="16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3"/>
      <c r="B22" s="46"/>
      <c r="C22" s="10"/>
      <c r="D22" s="48">
        <f t="shared" si="1"/>
        <v>0</v>
      </c>
      <c r="F22" s="77"/>
      <c r="G22" s="73"/>
      <c r="H22" s="170"/>
      <c r="I22" s="170"/>
      <c r="J22" s="17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/>
      <c r="C23" s="10"/>
      <c r="D23" s="48">
        <f t="shared" si="1"/>
        <v>0</v>
      </c>
      <c r="F23" s="78"/>
      <c r="G23" s="79"/>
      <c r="H23" s="171"/>
      <c r="I23" s="140"/>
      <c r="J23" s="14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/>
      <c r="C24" s="10"/>
      <c r="D24" s="48">
        <f t="shared" si="1"/>
        <v>0</v>
      </c>
      <c r="F24" s="38"/>
      <c r="G24" s="37"/>
      <c r="H24" s="171"/>
      <c r="I24" s="140"/>
      <c r="J24" s="14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2" t="s">
        <v>13</v>
      </c>
      <c r="I25" s="173"/>
      <c r="J25" s="17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/>
      <c r="C26" s="10"/>
      <c r="D26" s="48">
        <f t="shared" si="1"/>
        <v>0</v>
      </c>
      <c r="F26" s="64"/>
      <c r="G26" s="59"/>
      <c r="H26" s="175"/>
      <c r="I26" s="176"/>
      <c r="J26" s="17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3"/>
      <c r="B27" s="14"/>
      <c r="C27" s="10"/>
      <c r="D27" s="44">
        <f t="shared" si="1"/>
        <v>0</v>
      </c>
      <c r="F27" s="25"/>
      <c r="G27" s="80"/>
      <c r="H27" s="178"/>
      <c r="I27" s="179"/>
      <c r="J27" s="18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/>
      <c r="C28" s="10"/>
      <c r="D28" s="48">
        <f t="shared" si="1"/>
        <v>0</v>
      </c>
      <c r="F28" s="92"/>
      <c r="G28" s="61"/>
      <c r="H28" s="181"/>
      <c r="I28" s="182"/>
      <c r="J28" s="18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5" t="s">
        <v>36</v>
      </c>
      <c r="B29" s="156"/>
      <c r="C29" s="157"/>
      <c r="D29" s="161">
        <f>SUM(D6:D28)</f>
        <v>0</v>
      </c>
      <c r="F29" s="101" t="s">
        <v>55</v>
      </c>
      <c r="G29" s="163"/>
      <c r="H29" s="123">
        <f>H15-H16-H17-H18-H19-H20-H22-H23-H24+H26+H27</f>
        <v>0</v>
      </c>
      <c r="I29" s="124"/>
      <c r="J29" s="12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8" t="s">
        <v>58</v>
      </c>
      <c r="B32" s="149"/>
      <c r="C32" s="149"/>
      <c r="D32" s="150"/>
      <c r="F32" s="151" t="s">
        <v>59</v>
      </c>
      <c r="G32" s="152"/>
      <c r="H32" s="152"/>
      <c r="I32" s="152"/>
      <c r="J32" s="15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51" t="s">
        <v>13</v>
      </c>
      <c r="I33" s="152"/>
      <c r="J33" s="15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5"/>
      <c r="I34" s="146"/>
      <c r="J34" s="14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3"/>
      <c r="B35" s="27" t="s">
        <v>68</v>
      </c>
      <c r="C35" s="52"/>
      <c r="D35" s="30">
        <f>C35*84</f>
        <v>0</v>
      </c>
      <c r="F35" s="58">
        <v>500</v>
      </c>
      <c r="G35" s="41"/>
      <c r="H35" s="145"/>
      <c r="I35" s="146"/>
      <c r="J35" s="14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70</v>
      </c>
      <c r="C36" s="10"/>
      <c r="D36" s="12">
        <f>C36*1.5</f>
        <v>0</v>
      </c>
      <c r="F36" s="12">
        <v>200</v>
      </c>
      <c r="G36" s="37"/>
      <c r="H36" s="145"/>
      <c r="I36" s="146"/>
      <c r="J36" s="14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5"/>
      <c r="I37" s="146"/>
      <c r="J37" s="14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3"/>
      <c r="B38" s="29" t="s">
        <v>68</v>
      </c>
      <c r="C38" s="54"/>
      <c r="D38" s="12">
        <f>C38*84</f>
        <v>0</v>
      </c>
      <c r="F38" s="30">
        <v>50</v>
      </c>
      <c r="G38" s="39"/>
      <c r="H38" s="145"/>
      <c r="I38" s="146"/>
      <c r="J38" s="14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4"/>
      <c r="B39" s="29" t="s">
        <v>70</v>
      </c>
      <c r="C39" s="52"/>
      <c r="D39" s="31">
        <f>C39*4.5</f>
        <v>0</v>
      </c>
      <c r="F39" s="12">
        <v>20</v>
      </c>
      <c r="G39" s="37"/>
      <c r="H39" s="145"/>
      <c r="I39" s="146"/>
      <c r="J39" s="14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5"/>
      <c r="I40" s="146"/>
      <c r="J40" s="14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3"/>
      <c r="B41" s="27" t="s">
        <v>68</v>
      </c>
      <c r="C41" s="10"/>
      <c r="D41" s="12">
        <f>C41*84</f>
        <v>0</v>
      </c>
      <c r="F41" s="12">
        <v>5</v>
      </c>
      <c r="G41" s="42"/>
      <c r="H41" s="145"/>
      <c r="I41" s="146"/>
      <c r="J41" s="14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4"/>
      <c r="B42" s="27" t="s">
        <v>70</v>
      </c>
      <c r="C42" s="11"/>
      <c r="D42" s="12">
        <f>C42*2.25</f>
        <v>0</v>
      </c>
      <c r="F42" s="39" t="s">
        <v>79</v>
      </c>
      <c r="G42" s="145"/>
      <c r="H42" s="146"/>
      <c r="I42" s="146"/>
      <c r="J42" s="14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5" t="s">
        <v>81</v>
      </c>
      <c r="C43" s="11"/>
      <c r="D43" s="12"/>
      <c r="F43" s="59" t="s">
        <v>82</v>
      </c>
      <c r="G43" s="95" t="s">
        <v>83</v>
      </c>
      <c r="H43" s="137" t="s">
        <v>13</v>
      </c>
      <c r="I43" s="138"/>
      <c r="J43" s="139"/>
      <c r="K43" s="21"/>
      <c r="P43" s="4"/>
      <c r="Q43" s="4"/>
      <c r="R43" s="5"/>
    </row>
    <row r="44" spans="1:18" ht="15.75" x14ac:dyDescent="0.25">
      <c r="A44" s="116"/>
      <c r="B44" s="27" t="s">
        <v>66</v>
      </c>
      <c r="C44" s="10"/>
      <c r="D44" s="12">
        <f>C44*120</f>
        <v>0</v>
      </c>
      <c r="F44" s="37"/>
      <c r="G44" s="76"/>
      <c r="H44" s="140"/>
      <c r="I44" s="140"/>
      <c r="J44" s="140"/>
      <c r="K44" s="21"/>
      <c r="P44" s="4"/>
      <c r="Q44" s="4"/>
      <c r="R44" s="5"/>
    </row>
    <row r="45" spans="1:18" ht="15.75" x14ac:dyDescent="0.25">
      <c r="A45" s="116"/>
      <c r="B45" s="27" t="s">
        <v>68</v>
      </c>
      <c r="C45" s="33"/>
      <c r="D45" s="12">
        <f>C45*84</f>
        <v>0</v>
      </c>
      <c r="F45" s="37"/>
      <c r="G45" s="76"/>
      <c r="H45" s="140"/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70</v>
      </c>
      <c r="C46" s="81"/>
      <c r="D46" s="12">
        <f>C46*1.5</f>
        <v>0</v>
      </c>
      <c r="F46" s="37"/>
      <c r="G46" s="62"/>
      <c r="H46" s="141"/>
      <c r="I46" s="141"/>
      <c r="J46" s="141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66</v>
      </c>
      <c r="C48" s="10"/>
      <c r="D48" s="12">
        <f>C48*78</f>
        <v>0</v>
      </c>
      <c r="F48" s="59"/>
      <c r="G48" s="59"/>
      <c r="H48" s="118"/>
      <c r="I48" s="119"/>
      <c r="J48" s="12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68</v>
      </c>
      <c r="C49" s="33"/>
      <c r="D49" s="12">
        <f>C49*42</f>
        <v>0</v>
      </c>
      <c r="F49" s="121" t="s">
        <v>86</v>
      </c>
      <c r="G49" s="123">
        <f>H34+H35+H36+H37+H38+H39+H40+H41+G42+H44+H45+H46</f>
        <v>0</v>
      </c>
      <c r="H49" s="124"/>
      <c r="I49" s="124"/>
      <c r="J49" s="12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70</v>
      </c>
      <c r="C50" s="11"/>
      <c r="D50" s="12">
        <f>C50*1.5</f>
        <v>0</v>
      </c>
      <c r="F50" s="122"/>
      <c r="G50" s="126"/>
      <c r="H50" s="127"/>
      <c r="I50" s="127"/>
      <c r="J50" s="128"/>
      <c r="P50" s="4"/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125</v>
      </c>
      <c r="G51" s="131">
        <f>G49-H29</f>
        <v>0</v>
      </c>
      <c r="H51" s="132"/>
      <c r="I51" s="132"/>
      <c r="J51" s="13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6"/>
      <c r="B52" s="29"/>
      <c r="C52" s="33"/>
      <c r="D52" s="45"/>
      <c r="F52" s="130"/>
      <c r="G52" s="134"/>
      <c r="H52" s="135"/>
      <c r="I52" s="135"/>
      <c r="J52" s="1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1" t="s">
        <v>90</v>
      </c>
      <c r="B54" s="102"/>
      <c r="C54" s="103"/>
      <c r="D54" s="107">
        <f>SUM(D34:D53)</f>
        <v>0</v>
      </c>
      <c r="F54" s="21"/>
      <c r="J54" s="34"/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9" t="s">
        <v>91</v>
      </c>
      <c r="B58" s="110"/>
      <c r="C58" s="110"/>
      <c r="D58" s="111"/>
      <c r="F58" s="109" t="s">
        <v>92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3B5E3-B725-4C85-AFE2-F772B06C14D8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7" t="s">
        <v>1</v>
      </c>
      <c r="O1" s="197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98" t="s">
        <v>8</v>
      </c>
      <c r="G4" s="200">
        <v>1</v>
      </c>
      <c r="H4" s="202" t="s">
        <v>9</v>
      </c>
      <c r="I4" s="204">
        <v>46057</v>
      </c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84">
        <v>235</v>
      </c>
      <c r="D6" s="13">
        <f t="shared" ref="D6:D28" si="1">C6*L6</f>
        <v>178835</v>
      </c>
      <c r="F6" s="208" t="s">
        <v>16</v>
      </c>
      <c r="G6" s="210" t="s">
        <v>111</v>
      </c>
      <c r="H6" s="211"/>
      <c r="I6" s="211"/>
      <c r="J6" s="2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84">
        <v>2</v>
      </c>
      <c r="D7" s="13">
        <f t="shared" si="1"/>
        <v>1562</v>
      </c>
      <c r="F7" s="209"/>
      <c r="G7" s="213"/>
      <c r="H7" s="214"/>
      <c r="I7" s="214"/>
      <c r="J7" s="2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84"/>
      <c r="D8" s="13">
        <f t="shared" si="1"/>
        <v>0</v>
      </c>
      <c r="F8" s="216" t="s">
        <v>21</v>
      </c>
      <c r="G8" s="217" t="s">
        <v>144</v>
      </c>
      <c r="H8" s="218"/>
      <c r="I8" s="218"/>
      <c r="J8" s="21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84">
        <v>22</v>
      </c>
      <c r="D9" s="13">
        <f t="shared" si="1"/>
        <v>16126</v>
      </c>
      <c r="F9" s="209"/>
      <c r="G9" s="220"/>
      <c r="H9" s="221"/>
      <c r="I9" s="221"/>
      <c r="J9" s="22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84"/>
      <c r="D10" s="13">
        <f t="shared" si="1"/>
        <v>0</v>
      </c>
      <c r="F10" s="208" t="s">
        <v>26</v>
      </c>
      <c r="G10" s="223" t="s">
        <v>139</v>
      </c>
      <c r="H10" s="224"/>
      <c r="I10" s="224"/>
      <c r="J10" s="225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84"/>
      <c r="D11" s="13">
        <f t="shared" si="1"/>
        <v>0</v>
      </c>
      <c r="F11" s="209"/>
      <c r="G11" s="220"/>
      <c r="H11" s="221"/>
      <c r="I11" s="221"/>
      <c r="J11" s="22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84"/>
      <c r="D12" s="48">
        <f t="shared" si="1"/>
        <v>0</v>
      </c>
      <c r="F12" s="226" t="s">
        <v>33</v>
      </c>
      <c r="G12" s="227"/>
      <c r="H12" s="227"/>
      <c r="I12" s="227"/>
      <c r="J12" s="22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84">
        <v>5</v>
      </c>
      <c r="D13" s="48">
        <f t="shared" si="1"/>
        <v>1535</v>
      </c>
      <c r="F13" s="229" t="s">
        <v>36</v>
      </c>
      <c r="G13" s="193"/>
      <c r="H13" s="184">
        <f>D29</f>
        <v>198091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84">
        <v>3</v>
      </c>
      <c r="D14" s="31">
        <f t="shared" si="1"/>
        <v>33</v>
      </c>
      <c r="F14" s="187" t="s">
        <v>39</v>
      </c>
      <c r="G14" s="188"/>
      <c r="H14" s="189">
        <f>D54</f>
        <v>31146.75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38</v>
      </c>
      <c r="C15" s="84"/>
      <c r="D15" s="31">
        <f t="shared" si="1"/>
        <v>0</v>
      </c>
      <c r="F15" s="192" t="s">
        <v>40</v>
      </c>
      <c r="G15" s="193"/>
      <c r="H15" s="194">
        <f>H13-H14</f>
        <v>166944.25</v>
      </c>
      <c r="I15" s="195"/>
      <c r="J15" s="19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4"/>
      <c r="I16" s="154"/>
      <c r="J16" s="15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t="s">
        <v>133</v>
      </c>
      <c r="C17" s="84"/>
      <c r="D17" s="48">
        <f t="shared" si="1"/>
        <v>0</v>
      </c>
      <c r="F17" s="56"/>
      <c r="G17" s="66" t="s">
        <v>45</v>
      </c>
      <c r="H17" s="165"/>
      <c r="I17" s="165"/>
      <c r="J17" s="16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5"/>
      <c r="I18" s="165"/>
      <c r="J18" s="16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5"/>
      <c r="I19" s="165"/>
      <c r="J19" s="165"/>
      <c r="L19" s="6">
        <v>1102</v>
      </c>
      <c r="Q19" s="4"/>
      <c r="R19" s="5">
        <f t="shared" si="0"/>
        <v>0</v>
      </c>
    </row>
    <row r="20" spans="1:18" ht="15.75" x14ac:dyDescent="0.25">
      <c r="A20" s="143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54"/>
      <c r="I20" s="154"/>
      <c r="J20" s="15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3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67" t="s">
        <v>13</v>
      </c>
      <c r="I21" s="168"/>
      <c r="J21" s="16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124</v>
      </c>
      <c r="C22" s="84"/>
      <c r="D22" s="48">
        <f t="shared" si="1"/>
        <v>0</v>
      </c>
      <c r="F22" s="77"/>
      <c r="G22" s="73"/>
      <c r="H22" s="170"/>
      <c r="I22" s="170"/>
      <c r="J22" s="17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101</v>
      </c>
      <c r="C23" s="84"/>
      <c r="D23" s="48">
        <f t="shared" si="1"/>
        <v>0</v>
      </c>
      <c r="F23" s="77"/>
      <c r="G23" s="79"/>
      <c r="H23" s="236"/>
      <c r="I23" s="237"/>
      <c r="J23" s="23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118</v>
      </c>
      <c r="C24" s="84"/>
      <c r="D24" s="48">
        <f t="shared" si="1"/>
        <v>0</v>
      </c>
      <c r="F24" s="77"/>
      <c r="G24" s="79"/>
      <c r="H24" s="236"/>
      <c r="I24" s="237"/>
      <c r="J24" s="23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72" t="s">
        <v>13</v>
      </c>
      <c r="I25" s="173"/>
      <c r="J25" s="17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132</v>
      </c>
      <c r="C26" s="84"/>
      <c r="D26" s="48">
        <f t="shared" si="1"/>
        <v>0</v>
      </c>
      <c r="F26" s="75"/>
      <c r="G26" s="65"/>
      <c r="H26" s="140"/>
      <c r="I26" s="140"/>
      <c r="J26" s="14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110</v>
      </c>
      <c r="C27" s="84"/>
      <c r="D27" s="44">
        <f t="shared" si="1"/>
        <v>0</v>
      </c>
      <c r="F27" s="71"/>
      <c r="G27" s="95"/>
      <c r="H27" s="238"/>
      <c r="I27" s="239"/>
      <c r="J27" s="23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97</v>
      </c>
      <c r="C28" s="84"/>
      <c r="D28" s="48">
        <f t="shared" si="1"/>
        <v>0</v>
      </c>
      <c r="F28" s="92"/>
      <c r="G28" s="61"/>
      <c r="H28" s="181"/>
      <c r="I28" s="182"/>
      <c r="J28" s="18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198091</v>
      </c>
      <c r="F29" s="101" t="s">
        <v>55</v>
      </c>
      <c r="G29" s="163"/>
      <c r="H29" s="123">
        <f>H15-H16-H17-H18-H19-H20-H22-H23-H24+H26+H27+H28</f>
        <v>166944.25</v>
      </c>
      <c r="I29" s="124"/>
      <c r="J29" s="12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58</v>
      </c>
      <c r="B32" s="149"/>
      <c r="C32" s="149"/>
      <c r="D32" s="150"/>
      <c r="F32" s="151" t="s">
        <v>59</v>
      </c>
      <c r="G32" s="152"/>
      <c r="H32" s="152"/>
      <c r="I32" s="152"/>
      <c r="J32" s="15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51" t="s">
        <v>13</v>
      </c>
      <c r="I33" s="152"/>
      <c r="J33" s="15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120</v>
      </c>
      <c r="H34" s="145">
        <f t="shared" ref="H34:H39" si="2">F34*G34</f>
        <v>120000</v>
      </c>
      <c r="I34" s="146"/>
      <c r="J34" s="14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68</v>
      </c>
      <c r="C35" s="52"/>
      <c r="D35" s="30">
        <f>C35*84</f>
        <v>0</v>
      </c>
      <c r="F35" s="58">
        <v>500</v>
      </c>
      <c r="G35" s="41">
        <v>32</v>
      </c>
      <c r="H35" s="145">
        <f t="shared" si="2"/>
        <v>16000</v>
      </c>
      <c r="I35" s="146"/>
      <c r="J35" s="14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45">
        <f t="shared" si="2"/>
        <v>200</v>
      </c>
      <c r="I36" s="146"/>
      <c r="J36" s="14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72</v>
      </c>
      <c r="B37" s="28" t="s">
        <v>66</v>
      </c>
      <c r="C37" s="53">
        <v>273</v>
      </c>
      <c r="D37" s="12">
        <f>C37*111</f>
        <v>30303</v>
      </c>
      <c r="F37" s="12">
        <v>100</v>
      </c>
      <c r="G37" s="39">
        <v>5</v>
      </c>
      <c r="H37" s="145">
        <f t="shared" si="2"/>
        <v>500</v>
      </c>
      <c r="I37" s="146"/>
      <c r="J37" s="14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4</v>
      </c>
      <c r="H38" s="145">
        <f t="shared" si="2"/>
        <v>200</v>
      </c>
      <c r="I38" s="146"/>
      <c r="J38" s="14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45">
        <f t="shared" si="2"/>
        <v>0</v>
      </c>
      <c r="I39" s="146"/>
      <c r="J39" s="14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45"/>
      <c r="I40" s="146"/>
      <c r="J40" s="14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68</v>
      </c>
      <c r="C41" s="10"/>
      <c r="D41" s="12">
        <f>C41*84</f>
        <v>0</v>
      </c>
      <c r="F41" s="12">
        <v>5</v>
      </c>
      <c r="G41" s="42"/>
      <c r="H41" s="145"/>
      <c r="I41" s="146"/>
      <c r="J41" s="14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70</v>
      </c>
      <c r="C42" s="11">
        <v>5</v>
      </c>
      <c r="D42" s="12">
        <f>C42*2.25</f>
        <v>11.25</v>
      </c>
      <c r="F42" s="39" t="s">
        <v>79</v>
      </c>
      <c r="G42" s="145">
        <v>25</v>
      </c>
      <c r="H42" s="146"/>
      <c r="I42" s="146"/>
      <c r="J42" s="14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5" t="s">
        <v>81</v>
      </c>
      <c r="C43" s="11"/>
      <c r="D43" s="12"/>
      <c r="F43" s="59" t="s">
        <v>82</v>
      </c>
      <c r="G43" s="95" t="s">
        <v>83</v>
      </c>
      <c r="H43" s="137" t="s">
        <v>13</v>
      </c>
      <c r="I43" s="138"/>
      <c r="J43" s="13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6"/>
      <c r="B44" s="27" t="s">
        <v>66</v>
      </c>
      <c r="C44" s="10"/>
      <c r="D44" s="12">
        <f>C44*120</f>
        <v>0</v>
      </c>
      <c r="F44" s="37" t="s">
        <v>157</v>
      </c>
      <c r="G44" s="85"/>
      <c r="H44" s="140">
        <v>30000</v>
      </c>
      <c r="I44" s="140"/>
      <c r="J44" s="14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6"/>
      <c r="B45" s="27" t="s">
        <v>68</v>
      </c>
      <c r="C45" s="33"/>
      <c r="D45" s="12">
        <f>C45*84</f>
        <v>0</v>
      </c>
      <c r="F45" s="37"/>
      <c r="G45" s="62"/>
      <c r="H45" s="140"/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70</v>
      </c>
      <c r="C46" s="81"/>
      <c r="D46" s="12">
        <f>C46*1.5</f>
        <v>0</v>
      </c>
      <c r="F46" s="37"/>
      <c r="G46" s="62"/>
      <c r="H46" s="140"/>
      <c r="I46" s="140"/>
      <c r="J46" s="140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18"/>
      <c r="I48" s="119"/>
      <c r="J48" s="12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68</v>
      </c>
      <c r="C49" s="33"/>
      <c r="D49" s="12">
        <f>C49*42</f>
        <v>0</v>
      </c>
      <c r="F49" s="121" t="s">
        <v>86</v>
      </c>
      <c r="G49" s="123">
        <f>H34+H35+H36+H37+H38+H39+H40+H41+G42+H44+H45+H46</f>
        <v>166925</v>
      </c>
      <c r="H49" s="124"/>
      <c r="I49" s="124"/>
      <c r="J49" s="12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70</v>
      </c>
      <c r="C50" s="11">
        <v>43</v>
      </c>
      <c r="D50" s="12">
        <f>C50*1.5</f>
        <v>64.5</v>
      </c>
      <c r="F50" s="122"/>
      <c r="G50" s="126"/>
      <c r="H50" s="127"/>
      <c r="I50" s="127"/>
      <c r="J50" s="128"/>
      <c r="O50" t="s">
        <v>137</v>
      </c>
      <c r="P50" s="4">
        <v>1204</v>
      </c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128</v>
      </c>
      <c r="G51" s="230">
        <f>G49-H29</f>
        <v>-19.25</v>
      </c>
      <c r="H51" s="231"/>
      <c r="I51" s="231"/>
      <c r="J51" s="23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6"/>
      <c r="B52" s="29"/>
      <c r="C52" s="33"/>
      <c r="D52" s="45"/>
      <c r="F52" s="130"/>
      <c r="G52" s="233"/>
      <c r="H52" s="234"/>
      <c r="I52" s="234"/>
      <c r="J52" s="23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1" t="s">
        <v>90</v>
      </c>
      <c r="B54" s="102"/>
      <c r="C54" s="103"/>
      <c r="D54" s="107">
        <f>SUM(D34:D53)</f>
        <v>31146.75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9" t="s">
        <v>91</v>
      </c>
      <c r="B58" s="110"/>
      <c r="C58" s="110"/>
      <c r="D58" s="111"/>
      <c r="F58" s="109" t="s">
        <v>92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4B011-43F4-476B-9D41-9D992395F6FC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7" t="s">
        <v>1</v>
      </c>
      <c r="O1" s="197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98" t="s">
        <v>8</v>
      </c>
      <c r="G4" s="200">
        <v>2</v>
      </c>
      <c r="H4" s="202" t="s">
        <v>9</v>
      </c>
      <c r="I4" s="204">
        <v>46057</v>
      </c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10">
        <v>203</v>
      </c>
      <c r="D6" s="13">
        <f t="shared" ref="D6:D28" si="1">C6*L6</f>
        <v>154483</v>
      </c>
      <c r="F6" s="208" t="s">
        <v>16</v>
      </c>
      <c r="G6" s="210" t="s">
        <v>126</v>
      </c>
      <c r="H6" s="211"/>
      <c r="I6" s="211"/>
      <c r="J6" s="2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10">
        <v>5</v>
      </c>
      <c r="D7" s="13">
        <f t="shared" si="1"/>
        <v>3905</v>
      </c>
      <c r="F7" s="209"/>
      <c r="G7" s="213"/>
      <c r="H7" s="214"/>
      <c r="I7" s="214"/>
      <c r="J7" s="2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10"/>
      <c r="D8" s="13">
        <f t="shared" si="1"/>
        <v>0</v>
      </c>
      <c r="F8" s="216" t="s">
        <v>21</v>
      </c>
      <c r="G8" s="217" t="s">
        <v>113</v>
      </c>
      <c r="H8" s="218"/>
      <c r="I8" s="218"/>
      <c r="J8" s="21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10">
        <v>18</v>
      </c>
      <c r="D9" s="13">
        <f t="shared" si="1"/>
        <v>13194</v>
      </c>
      <c r="F9" s="209"/>
      <c r="G9" s="220"/>
      <c r="H9" s="221"/>
      <c r="I9" s="221"/>
      <c r="J9" s="22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10"/>
      <c r="D10" s="13">
        <f t="shared" si="1"/>
        <v>0</v>
      </c>
      <c r="F10" s="208" t="s">
        <v>26</v>
      </c>
      <c r="G10" s="223" t="s">
        <v>114</v>
      </c>
      <c r="H10" s="224"/>
      <c r="I10" s="224"/>
      <c r="J10" s="225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10"/>
      <c r="D11" s="13">
        <f t="shared" si="1"/>
        <v>0</v>
      </c>
      <c r="F11" s="209"/>
      <c r="G11" s="220"/>
      <c r="H11" s="221"/>
      <c r="I11" s="221"/>
      <c r="J11" s="22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10"/>
      <c r="D12" s="48">
        <f t="shared" si="1"/>
        <v>0</v>
      </c>
      <c r="F12" s="226" t="s">
        <v>33</v>
      </c>
      <c r="G12" s="227"/>
      <c r="H12" s="227"/>
      <c r="I12" s="227"/>
      <c r="J12" s="22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10">
        <v>8</v>
      </c>
      <c r="D13" s="48">
        <f t="shared" si="1"/>
        <v>2456</v>
      </c>
      <c r="F13" s="229" t="s">
        <v>36</v>
      </c>
      <c r="G13" s="193"/>
      <c r="H13" s="184">
        <f>D29</f>
        <v>176482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10">
        <v>1</v>
      </c>
      <c r="D14" s="31">
        <f t="shared" si="1"/>
        <v>11</v>
      </c>
      <c r="F14" s="187" t="s">
        <v>39</v>
      </c>
      <c r="G14" s="188"/>
      <c r="H14" s="189">
        <f>D54</f>
        <v>26237.25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38</v>
      </c>
      <c r="C15" s="10"/>
      <c r="D15" s="31">
        <f t="shared" si="1"/>
        <v>0</v>
      </c>
      <c r="F15" s="192" t="s">
        <v>40</v>
      </c>
      <c r="G15" s="193"/>
      <c r="H15" s="194">
        <f>H13-H14</f>
        <v>150244.75</v>
      </c>
      <c r="I15" s="195"/>
      <c r="J15" s="19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4"/>
      <c r="I16" s="154"/>
      <c r="J16" s="15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t="s">
        <v>93</v>
      </c>
      <c r="C17" s="10"/>
      <c r="D17" s="48">
        <f t="shared" si="1"/>
        <v>0</v>
      </c>
      <c r="F17" s="56"/>
      <c r="G17" s="66" t="s">
        <v>45</v>
      </c>
      <c r="H17" s="165"/>
      <c r="I17" s="165"/>
      <c r="J17" s="16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5"/>
      <c r="I18" s="165"/>
      <c r="J18" s="16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0"/>
      <c r="I19" s="240"/>
      <c r="J19" s="24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3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3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7" t="s">
        <v>13</v>
      </c>
      <c r="I21" s="168"/>
      <c r="J21" s="16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104</v>
      </c>
      <c r="C22" s="10"/>
      <c r="D22" s="48">
        <f t="shared" si="1"/>
        <v>0</v>
      </c>
      <c r="F22" s="72"/>
      <c r="G22" s="73"/>
      <c r="H22" s="170"/>
      <c r="I22" s="170"/>
      <c r="J22" s="17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107</v>
      </c>
      <c r="C23" s="10"/>
      <c r="D23" s="48">
        <f t="shared" si="1"/>
        <v>0</v>
      </c>
      <c r="F23" s="25"/>
      <c r="G23" s="37"/>
      <c r="H23" s="171"/>
      <c r="I23" s="140"/>
      <c r="J23" s="14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120</v>
      </c>
      <c r="C24" s="10"/>
      <c r="D24" s="48">
        <f t="shared" si="1"/>
        <v>0</v>
      </c>
      <c r="F24" s="38"/>
      <c r="G24" s="37"/>
      <c r="H24" s="171"/>
      <c r="I24" s="140"/>
      <c r="J24" s="14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2" t="s">
        <v>13</v>
      </c>
      <c r="I25" s="173"/>
      <c r="J25" s="17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105</v>
      </c>
      <c r="C26" s="10"/>
      <c r="D26" s="48">
        <f t="shared" si="1"/>
        <v>0</v>
      </c>
      <c r="F26" s="64"/>
      <c r="G26" s="10"/>
      <c r="H26" s="175"/>
      <c r="I26" s="176"/>
      <c r="J26" s="17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109</v>
      </c>
      <c r="C27" s="10"/>
      <c r="D27" s="44">
        <f t="shared" si="1"/>
        <v>0</v>
      </c>
      <c r="F27" s="14"/>
      <c r="G27" s="14"/>
      <c r="H27" s="178"/>
      <c r="I27" s="179"/>
      <c r="J27" s="18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97</v>
      </c>
      <c r="C28" s="10">
        <v>3</v>
      </c>
      <c r="D28" s="48">
        <f t="shared" si="1"/>
        <v>2433</v>
      </c>
      <c r="F28" s="92"/>
      <c r="G28" s="61"/>
      <c r="H28" s="181"/>
      <c r="I28" s="182"/>
      <c r="J28" s="18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176482</v>
      </c>
      <c r="F29" s="101" t="s">
        <v>55</v>
      </c>
      <c r="G29" s="163"/>
      <c r="H29" s="123">
        <f>H15-H16-H17-H18-H19-H20-H22-H23-H24+H26+H27</f>
        <v>150244.75</v>
      </c>
      <c r="I29" s="124"/>
      <c r="J29" s="12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58</v>
      </c>
      <c r="B32" s="149"/>
      <c r="C32" s="149"/>
      <c r="D32" s="150"/>
      <c r="F32" s="151" t="s">
        <v>59</v>
      </c>
      <c r="G32" s="152"/>
      <c r="H32" s="152"/>
      <c r="I32" s="152"/>
      <c r="J32" s="15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51" t="s">
        <v>13</v>
      </c>
      <c r="I33" s="152"/>
      <c r="J33" s="15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129</v>
      </c>
      <c r="H34" s="145">
        <f>F34*G34</f>
        <v>129000</v>
      </c>
      <c r="I34" s="146"/>
      <c r="J34" s="14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68</v>
      </c>
      <c r="C35" s="52"/>
      <c r="D35" s="30">
        <f>C35*84</f>
        <v>0</v>
      </c>
      <c r="F35" s="58">
        <v>500</v>
      </c>
      <c r="G35" s="41">
        <v>24</v>
      </c>
      <c r="H35" s="145">
        <f t="shared" ref="H35:H39" si="2">F35*G35</f>
        <v>12000</v>
      </c>
      <c r="I35" s="146"/>
      <c r="J35" s="14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45">
        <f>F36*G36</f>
        <v>400</v>
      </c>
      <c r="I36" s="146"/>
      <c r="J36" s="14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72</v>
      </c>
      <c r="B37" s="28" t="s">
        <v>66</v>
      </c>
      <c r="C37" s="53">
        <v>223</v>
      </c>
      <c r="D37" s="12">
        <f>C37*111</f>
        <v>24753</v>
      </c>
      <c r="F37" s="12">
        <v>100</v>
      </c>
      <c r="G37" s="39">
        <v>71</v>
      </c>
      <c r="H37" s="145">
        <f t="shared" si="2"/>
        <v>7100</v>
      </c>
      <c r="I37" s="146"/>
      <c r="J37" s="14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37</v>
      </c>
      <c r="H38" s="145">
        <f t="shared" si="2"/>
        <v>1850</v>
      </c>
      <c r="I38" s="146"/>
      <c r="J38" s="14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45">
        <f t="shared" si="2"/>
        <v>0</v>
      </c>
      <c r="I39" s="146"/>
      <c r="J39" s="14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45"/>
      <c r="I40" s="146"/>
      <c r="J40" s="14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5"/>
      <c r="I41" s="146"/>
      <c r="J41" s="14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70</v>
      </c>
      <c r="C42" s="11">
        <v>9</v>
      </c>
      <c r="D42" s="12">
        <f>C42*2.25</f>
        <v>20.25</v>
      </c>
      <c r="F42" s="39" t="s">
        <v>79</v>
      </c>
      <c r="G42" s="145">
        <v>110</v>
      </c>
      <c r="H42" s="146"/>
      <c r="I42" s="146"/>
      <c r="J42" s="14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5" t="s">
        <v>81</v>
      </c>
      <c r="C43" s="11"/>
      <c r="D43" s="12"/>
      <c r="F43" s="59" t="s">
        <v>82</v>
      </c>
      <c r="G43" s="95" t="s">
        <v>83</v>
      </c>
      <c r="H43" s="137" t="s">
        <v>13</v>
      </c>
      <c r="I43" s="138"/>
      <c r="J43" s="13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6"/>
      <c r="B44" s="27" t="s">
        <v>66</v>
      </c>
      <c r="C44" s="10"/>
      <c r="D44" s="12">
        <f>C44*120</f>
        <v>0</v>
      </c>
      <c r="F44" s="37"/>
      <c r="G44" s="62"/>
      <c r="H44" s="140"/>
      <c r="I44" s="140"/>
      <c r="J44" s="14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6"/>
      <c r="B45" s="27" t="s">
        <v>68</v>
      </c>
      <c r="C45" s="33"/>
      <c r="D45" s="12">
        <f>C45*84</f>
        <v>0</v>
      </c>
      <c r="F45" s="37"/>
      <c r="G45" s="62"/>
      <c r="H45" s="140"/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70</v>
      </c>
      <c r="C46" s="81">
        <v>2</v>
      </c>
      <c r="D46" s="12">
        <f>C46*1.5</f>
        <v>3</v>
      </c>
      <c r="F46" s="37"/>
      <c r="G46" s="94"/>
      <c r="H46" s="141"/>
      <c r="I46" s="141"/>
      <c r="J46" s="141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18"/>
      <c r="I48" s="119"/>
      <c r="J48" s="12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68</v>
      </c>
      <c r="C49" s="33">
        <v>1</v>
      </c>
      <c r="D49" s="12">
        <f>C49*42</f>
        <v>42</v>
      </c>
      <c r="F49" s="121" t="s">
        <v>86</v>
      </c>
      <c r="G49" s="123">
        <f>H34+H35+H36+H37+H38+H39+H40+H41+G42+H44+H45+H46</f>
        <v>150460</v>
      </c>
      <c r="H49" s="124"/>
      <c r="I49" s="124"/>
      <c r="J49" s="12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70</v>
      </c>
      <c r="C50" s="11">
        <v>3</v>
      </c>
      <c r="D50" s="12">
        <f>C50*1.5</f>
        <v>4.5</v>
      </c>
      <c r="F50" s="122"/>
      <c r="G50" s="126"/>
      <c r="H50" s="127"/>
      <c r="I50" s="127"/>
      <c r="J50" s="128"/>
      <c r="O50" t="s">
        <v>137</v>
      </c>
      <c r="P50" s="4">
        <v>1204</v>
      </c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135</v>
      </c>
      <c r="G51" s="131">
        <f>G49-H29</f>
        <v>215.25</v>
      </c>
      <c r="H51" s="132"/>
      <c r="I51" s="132"/>
      <c r="J51" s="1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6"/>
      <c r="B52" s="29"/>
      <c r="C52" s="33"/>
      <c r="D52" s="45"/>
      <c r="F52" s="130"/>
      <c r="G52" s="134"/>
      <c r="H52" s="135"/>
      <c r="I52" s="135"/>
      <c r="J52" s="1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1" t="s">
        <v>90</v>
      </c>
      <c r="B54" s="102"/>
      <c r="C54" s="103"/>
      <c r="D54" s="107">
        <f>SUM(D34:D53)</f>
        <v>26237.25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9" t="s">
        <v>91</v>
      </c>
      <c r="B58" s="110"/>
      <c r="C58" s="110"/>
      <c r="D58" s="111"/>
      <c r="F58" s="109" t="s">
        <v>92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A27FD-76F8-46F6-84AA-F61536AE69B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7" t="s">
        <v>1</v>
      </c>
      <c r="O1" s="197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98" t="s">
        <v>8</v>
      </c>
      <c r="G4" s="200">
        <v>3</v>
      </c>
      <c r="H4" s="202" t="s">
        <v>9</v>
      </c>
      <c r="I4" s="204">
        <v>46057</v>
      </c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10">
        <v>474</v>
      </c>
      <c r="D6" s="13">
        <f t="shared" ref="D6:D28" si="1">C6*L6</f>
        <v>360714</v>
      </c>
      <c r="F6" s="208" t="s">
        <v>16</v>
      </c>
      <c r="G6" s="210" t="s">
        <v>141</v>
      </c>
      <c r="H6" s="211"/>
      <c r="I6" s="211"/>
      <c r="J6" s="2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10">
        <v>20</v>
      </c>
      <c r="D7" s="13">
        <f t="shared" si="1"/>
        <v>15620</v>
      </c>
      <c r="F7" s="209"/>
      <c r="G7" s="213"/>
      <c r="H7" s="214"/>
      <c r="I7" s="214"/>
      <c r="J7" s="2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10">
        <v>2</v>
      </c>
      <c r="D8" s="13">
        <f t="shared" si="1"/>
        <v>2186</v>
      </c>
      <c r="F8" s="216" t="s">
        <v>21</v>
      </c>
      <c r="G8" s="217" t="s">
        <v>130</v>
      </c>
      <c r="H8" s="218"/>
      <c r="I8" s="218"/>
      <c r="J8" s="21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10">
        <v>143</v>
      </c>
      <c r="D9" s="13">
        <f t="shared" si="1"/>
        <v>104819</v>
      </c>
      <c r="F9" s="209"/>
      <c r="G9" s="220"/>
      <c r="H9" s="221"/>
      <c r="I9" s="221"/>
      <c r="J9" s="22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10">
        <v>3</v>
      </c>
      <c r="D10" s="13">
        <f t="shared" si="1"/>
        <v>3096</v>
      </c>
      <c r="F10" s="208" t="s">
        <v>26</v>
      </c>
      <c r="G10" s="223" t="s">
        <v>127</v>
      </c>
      <c r="H10" s="224"/>
      <c r="I10" s="224"/>
      <c r="J10" s="225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10">
        <v>2</v>
      </c>
      <c r="D11" s="13">
        <f t="shared" si="1"/>
        <v>2340</v>
      </c>
      <c r="F11" s="209"/>
      <c r="G11" s="220"/>
      <c r="H11" s="221"/>
      <c r="I11" s="221"/>
      <c r="J11" s="22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10">
        <v>5</v>
      </c>
      <c r="D12" s="48">
        <f t="shared" si="1"/>
        <v>4960</v>
      </c>
      <c r="F12" s="226" t="s">
        <v>33</v>
      </c>
      <c r="G12" s="227"/>
      <c r="H12" s="227"/>
      <c r="I12" s="227"/>
      <c r="J12" s="22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10">
        <v>13</v>
      </c>
      <c r="D13" s="48">
        <f t="shared" si="1"/>
        <v>3991</v>
      </c>
      <c r="F13" s="229" t="s">
        <v>36</v>
      </c>
      <c r="G13" s="193"/>
      <c r="H13" s="184">
        <f>D29</f>
        <v>505520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10"/>
      <c r="D14" s="31">
        <f t="shared" si="1"/>
        <v>0</v>
      </c>
      <c r="F14" s="187" t="s">
        <v>39</v>
      </c>
      <c r="G14" s="188"/>
      <c r="H14" s="189">
        <f>D54</f>
        <v>73287.75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38</v>
      </c>
      <c r="C15" s="10"/>
      <c r="D15" s="31">
        <f t="shared" si="1"/>
        <v>0</v>
      </c>
      <c r="F15" s="192" t="s">
        <v>40</v>
      </c>
      <c r="G15" s="193"/>
      <c r="H15" s="194">
        <f>H13-H14</f>
        <v>432232.25</v>
      </c>
      <c r="I15" s="195"/>
      <c r="J15" s="19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4">
        <f>144*6+329*6+121*6</f>
        <v>3564</v>
      </c>
      <c r="I16" s="154"/>
      <c r="J16" s="15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t="s">
        <v>112</v>
      </c>
      <c r="C17" s="10"/>
      <c r="D17" s="48">
        <f t="shared" si="1"/>
        <v>0</v>
      </c>
      <c r="F17" s="56"/>
      <c r="G17" s="66" t="s">
        <v>45</v>
      </c>
      <c r="H17" s="165"/>
      <c r="I17" s="165"/>
      <c r="J17" s="16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5"/>
      <c r="I18" s="165"/>
      <c r="J18" s="16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41">
        <v>50</v>
      </c>
      <c r="I19" s="241"/>
      <c r="J19" s="24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3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4"/>
      <c r="I20" s="154"/>
      <c r="J20" s="15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3"/>
      <c r="B21" s="14" t="s">
        <v>123</v>
      </c>
      <c r="C21" s="10">
        <v>7</v>
      </c>
      <c r="D21" s="48">
        <f t="shared" si="1"/>
        <v>4550</v>
      </c>
      <c r="F21" s="69" t="s">
        <v>99</v>
      </c>
      <c r="G21" s="82" t="s">
        <v>98</v>
      </c>
      <c r="H21" s="167" t="s">
        <v>13</v>
      </c>
      <c r="I21" s="168"/>
      <c r="J21" s="16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104</v>
      </c>
      <c r="C22" s="10"/>
      <c r="D22" s="48">
        <f t="shared" si="1"/>
        <v>0</v>
      </c>
      <c r="F22" s="77"/>
      <c r="G22" s="73"/>
      <c r="H22" s="170"/>
      <c r="I22" s="170"/>
      <c r="J22" s="17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107</v>
      </c>
      <c r="C23" s="10"/>
      <c r="D23" s="48">
        <f t="shared" si="1"/>
        <v>0</v>
      </c>
      <c r="F23" s="78"/>
      <c r="G23" s="79"/>
      <c r="H23" s="171"/>
      <c r="I23" s="140"/>
      <c r="J23" s="14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101</v>
      </c>
      <c r="C24" s="10"/>
      <c r="D24" s="48">
        <f t="shared" si="1"/>
        <v>0</v>
      </c>
      <c r="F24" s="38"/>
      <c r="G24" s="37"/>
      <c r="H24" s="171"/>
      <c r="I24" s="140"/>
      <c r="J24" s="14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2" t="s">
        <v>13</v>
      </c>
      <c r="I25" s="173"/>
      <c r="J25" s="17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105</v>
      </c>
      <c r="C26" s="10"/>
      <c r="D26" s="48">
        <f t="shared" si="1"/>
        <v>0</v>
      </c>
      <c r="F26" s="64"/>
      <c r="G26" s="59"/>
      <c r="H26" s="175"/>
      <c r="I26" s="176"/>
      <c r="J26" s="17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109</v>
      </c>
      <c r="C27" s="10"/>
      <c r="D27" s="44">
        <f t="shared" si="1"/>
        <v>0</v>
      </c>
      <c r="F27" s="25"/>
      <c r="G27" s="80"/>
      <c r="H27" s="178"/>
      <c r="I27" s="179"/>
      <c r="J27" s="18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97</v>
      </c>
      <c r="C28" s="10">
        <v>4</v>
      </c>
      <c r="D28" s="48">
        <f t="shared" si="1"/>
        <v>3244</v>
      </c>
      <c r="F28" s="92"/>
      <c r="G28" s="61"/>
      <c r="H28" s="181"/>
      <c r="I28" s="182"/>
      <c r="J28" s="18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505520</v>
      </c>
      <c r="F29" s="101" t="s">
        <v>55</v>
      </c>
      <c r="G29" s="163"/>
      <c r="H29" s="123">
        <f>H15-H16-H17-H18-H19-H20-H22-H23-H24+H26+H27</f>
        <v>428618.25</v>
      </c>
      <c r="I29" s="124"/>
      <c r="J29" s="12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58</v>
      </c>
      <c r="B32" s="149"/>
      <c r="C32" s="149"/>
      <c r="D32" s="150"/>
      <c r="F32" s="151" t="s">
        <v>59</v>
      </c>
      <c r="G32" s="152"/>
      <c r="H32" s="152"/>
      <c r="I32" s="152"/>
      <c r="J32" s="15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51" t="s">
        <v>13</v>
      </c>
      <c r="I33" s="152"/>
      <c r="J33" s="15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184</v>
      </c>
      <c r="H34" s="145">
        <f>F34*G34</f>
        <v>184000</v>
      </c>
      <c r="I34" s="146"/>
      <c r="J34" s="14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60</v>
      </c>
      <c r="H35" s="145">
        <f>F35*G35</f>
        <v>30000</v>
      </c>
      <c r="I35" s="146"/>
      <c r="J35" s="14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70</v>
      </c>
      <c r="C36" s="10">
        <v>17</v>
      </c>
      <c r="D36" s="12">
        <f>C36*1.5</f>
        <v>25.5</v>
      </c>
      <c r="F36" s="12">
        <v>200</v>
      </c>
      <c r="G36" s="37">
        <v>1</v>
      </c>
      <c r="H36" s="145">
        <f t="shared" ref="H36:H39" si="2">F36*G36</f>
        <v>200</v>
      </c>
      <c r="I36" s="146"/>
      <c r="J36" s="14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72</v>
      </c>
      <c r="B37" s="28" t="s">
        <v>66</v>
      </c>
      <c r="C37" s="53">
        <v>616</v>
      </c>
      <c r="D37" s="12">
        <f>C37*111</f>
        <v>68376</v>
      </c>
      <c r="F37" s="12">
        <v>100</v>
      </c>
      <c r="G37" s="39">
        <v>36</v>
      </c>
      <c r="H37" s="145">
        <f t="shared" si="2"/>
        <v>3600</v>
      </c>
      <c r="I37" s="146"/>
      <c r="J37" s="14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21</v>
      </c>
      <c r="H38" s="145">
        <f t="shared" si="2"/>
        <v>1050</v>
      </c>
      <c r="I38" s="146"/>
      <c r="J38" s="14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45">
        <f t="shared" si="2"/>
        <v>0</v>
      </c>
      <c r="I39" s="146"/>
      <c r="J39" s="14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45"/>
      <c r="I40" s="146"/>
      <c r="J40" s="14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45"/>
      <c r="I41" s="146"/>
      <c r="J41" s="14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70</v>
      </c>
      <c r="C42" s="11">
        <v>3</v>
      </c>
      <c r="D42" s="12">
        <f>C42*2.25</f>
        <v>6.75</v>
      </c>
      <c r="F42" s="39" t="s">
        <v>79</v>
      </c>
      <c r="G42" s="145">
        <v>106</v>
      </c>
      <c r="H42" s="146"/>
      <c r="I42" s="146"/>
      <c r="J42" s="14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5" t="s">
        <v>81</v>
      </c>
      <c r="C43" s="11"/>
      <c r="D43" s="12"/>
      <c r="F43" s="59" t="s">
        <v>82</v>
      </c>
      <c r="G43" s="95" t="s">
        <v>83</v>
      </c>
      <c r="H43" s="137" t="s">
        <v>13</v>
      </c>
      <c r="I43" s="138"/>
      <c r="J43" s="13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6"/>
      <c r="B44" s="27" t="s">
        <v>66</v>
      </c>
      <c r="C44" s="10"/>
      <c r="D44" s="12">
        <f>C44*120</f>
        <v>0</v>
      </c>
      <c r="F44" s="37" t="s">
        <v>145</v>
      </c>
      <c r="G44" s="76" t="s">
        <v>158</v>
      </c>
      <c r="H44" s="140">
        <v>209026</v>
      </c>
      <c r="I44" s="140"/>
      <c r="J44" s="14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6"/>
      <c r="B45" s="27" t="s">
        <v>68</v>
      </c>
      <c r="C45" s="33">
        <v>6</v>
      </c>
      <c r="D45" s="12">
        <f>C45*84</f>
        <v>504</v>
      </c>
      <c r="F45" s="37"/>
      <c r="G45" s="76"/>
      <c r="H45" s="140"/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70</v>
      </c>
      <c r="C46" s="81">
        <v>22</v>
      </c>
      <c r="D46" s="12">
        <f>C46*1.5</f>
        <v>33</v>
      </c>
      <c r="F46" s="37"/>
      <c r="G46" s="62"/>
      <c r="H46" s="141"/>
      <c r="I46" s="141"/>
      <c r="J46" s="141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66</v>
      </c>
      <c r="C48" s="10">
        <v>26</v>
      </c>
      <c r="D48" s="12">
        <f>C48*78</f>
        <v>2028</v>
      </c>
      <c r="F48" s="59"/>
      <c r="G48" s="59"/>
      <c r="H48" s="118"/>
      <c r="I48" s="119"/>
      <c r="J48" s="12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68</v>
      </c>
      <c r="C49" s="33">
        <v>5</v>
      </c>
      <c r="D49" s="12">
        <f>C49*42</f>
        <v>210</v>
      </c>
      <c r="F49" s="121" t="s">
        <v>86</v>
      </c>
      <c r="G49" s="123">
        <f>H34+H35+H36+H37+H38+H39+H40+H41+G42+H44+H45+H46</f>
        <v>427982</v>
      </c>
      <c r="H49" s="124"/>
      <c r="I49" s="124"/>
      <c r="J49" s="12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70</v>
      </c>
      <c r="C50" s="11">
        <v>23</v>
      </c>
      <c r="D50" s="12">
        <f>C50*1.5</f>
        <v>34.5</v>
      </c>
      <c r="F50" s="122"/>
      <c r="G50" s="126"/>
      <c r="H50" s="127"/>
      <c r="I50" s="127"/>
      <c r="J50" s="128"/>
      <c r="O50" t="s">
        <v>137</v>
      </c>
      <c r="P50" s="4">
        <v>1204</v>
      </c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159</v>
      </c>
      <c r="G51" s="230">
        <f>G49-H29</f>
        <v>-636.25</v>
      </c>
      <c r="H51" s="231"/>
      <c r="I51" s="231"/>
      <c r="J51" s="23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6"/>
      <c r="B52" s="29"/>
      <c r="C52" s="33"/>
      <c r="D52" s="45"/>
      <c r="F52" s="130"/>
      <c r="G52" s="233"/>
      <c r="H52" s="234"/>
      <c r="I52" s="234"/>
      <c r="J52" s="23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1" t="s">
        <v>90</v>
      </c>
      <c r="B54" s="102"/>
      <c r="C54" s="103"/>
      <c r="D54" s="107">
        <f>SUM(D34:D53)</f>
        <v>73287.75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9" t="s">
        <v>91</v>
      </c>
      <c r="B58" s="110"/>
      <c r="C58" s="110"/>
      <c r="D58" s="111"/>
      <c r="F58" s="109" t="s">
        <v>92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D27E8-61CB-448F-BDCF-2D1796DA201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7" t="s">
        <v>1</v>
      </c>
      <c r="O1" s="197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8" t="s">
        <v>7</v>
      </c>
      <c r="B4" s="149"/>
      <c r="C4" s="149"/>
      <c r="D4" s="150"/>
      <c r="F4" s="198" t="s">
        <v>8</v>
      </c>
      <c r="G4" s="200"/>
      <c r="H4" s="202" t="s">
        <v>9</v>
      </c>
      <c r="I4" s="204"/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3"/>
      <c r="B6" s="16"/>
      <c r="C6" s="10"/>
      <c r="D6" s="13">
        <f t="shared" ref="D6:D28" si="1">C6*L6</f>
        <v>0</v>
      </c>
      <c r="F6" s="208" t="s">
        <v>16</v>
      </c>
      <c r="G6" s="210"/>
      <c r="H6" s="211"/>
      <c r="I6" s="211"/>
      <c r="J6" s="21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3"/>
      <c r="B7" s="16"/>
      <c r="C7" s="10"/>
      <c r="D7" s="13">
        <f t="shared" si="1"/>
        <v>0</v>
      </c>
      <c r="F7" s="209"/>
      <c r="G7" s="213"/>
      <c r="H7" s="214"/>
      <c r="I7" s="214"/>
      <c r="J7" s="21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3"/>
      <c r="B8" s="16"/>
      <c r="C8" s="10"/>
      <c r="D8" s="13">
        <f t="shared" si="1"/>
        <v>0</v>
      </c>
      <c r="F8" s="216" t="s">
        <v>21</v>
      </c>
      <c r="G8" s="217"/>
      <c r="H8" s="218"/>
      <c r="I8" s="218"/>
      <c r="J8" s="21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3"/>
      <c r="B9" s="16"/>
      <c r="C9" s="10"/>
      <c r="D9" s="13">
        <f t="shared" si="1"/>
        <v>0</v>
      </c>
      <c r="F9" s="209"/>
      <c r="G9" s="220"/>
      <c r="H9" s="221"/>
      <c r="I9" s="221"/>
      <c r="J9" s="22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3"/>
      <c r="C10" s="10"/>
      <c r="D10" s="13">
        <f t="shared" si="1"/>
        <v>0</v>
      </c>
      <c r="F10" s="208" t="s">
        <v>26</v>
      </c>
      <c r="G10" s="223"/>
      <c r="H10" s="224"/>
      <c r="I10" s="224"/>
      <c r="J10" s="225"/>
      <c r="K10" s="8"/>
      <c r="L10" s="6">
        <f>R36</f>
        <v>972</v>
      </c>
      <c r="P10" s="4"/>
      <c r="Q10" s="4"/>
      <c r="R10" s="5"/>
    </row>
    <row r="11" spans="1:19" ht="15.75" x14ac:dyDescent="0.25">
      <c r="A11" s="143"/>
      <c r="B11" s="17"/>
      <c r="C11" s="10"/>
      <c r="D11" s="13">
        <f t="shared" si="1"/>
        <v>0</v>
      </c>
      <c r="F11" s="209"/>
      <c r="G11" s="220"/>
      <c r="H11" s="221"/>
      <c r="I11" s="221"/>
      <c r="J11" s="22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3"/>
      <c r="B12" s="17"/>
      <c r="C12" s="10"/>
      <c r="D12" s="48">
        <f t="shared" si="1"/>
        <v>0</v>
      </c>
      <c r="F12" s="226" t="s">
        <v>33</v>
      </c>
      <c r="G12" s="227"/>
      <c r="H12" s="227"/>
      <c r="I12" s="227"/>
      <c r="J12" s="22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3"/>
      <c r="B13" s="17"/>
      <c r="C13" s="10"/>
      <c r="D13" s="48">
        <f t="shared" si="1"/>
        <v>0</v>
      </c>
      <c r="F13" s="229" t="s">
        <v>36</v>
      </c>
      <c r="G13" s="19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3"/>
      <c r="B14" s="14"/>
      <c r="C14" s="10"/>
      <c r="D14" s="31">
        <f t="shared" si="1"/>
        <v>0</v>
      </c>
      <c r="F14" s="187" t="s">
        <v>39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3"/>
      <c r="B15" s="14"/>
      <c r="C15" s="10"/>
      <c r="D15" s="31">
        <f t="shared" si="1"/>
        <v>0</v>
      </c>
      <c r="F15" s="192" t="s">
        <v>40</v>
      </c>
      <c r="G15" s="193"/>
      <c r="H15" s="194">
        <f>H13-H14</f>
        <v>0</v>
      </c>
      <c r="I15" s="195"/>
      <c r="J15" s="19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4"/>
      <c r="I16" s="154"/>
      <c r="J16" s="15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C17" s="10"/>
      <c r="D17" s="48">
        <f t="shared" si="1"/>
        <v>0</v>
      </c>
      <c r="F17" s="56"/>
      <c r="G17" s="66" t="s">
        <v>45</v>
      </c>
      <c r="H17" s="165"/>
      <c r="I17" s="165"/>
      <c r="J17" s="16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/>
      <c r="C18" s="10"/>
      <c r="D18" s="48">
        <f t="shared" si="1"/>
        <v>0</v>
      </c>
      <c r="F18" s="56"/>
      <c r="G18" s="66" t="s">
        <v>47</v>
      </c>
      <c r="H18" s="165"/>
      <c r="I18" s="165"/>
      <c r="J18" s="16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/>
      <c r="C19" s="10"/>
      <c r="D19" s="48">
        <f t="shared" si="1"/>
        <v>0</v>
      </c>
      <c r="F19" s="56"/>
      <c r="G19" s="68" t="s">
        <v>50</v>
      </c>
      <c r="H19" s="166"/>
      <c r="I19" s="166"/>
      <c r="J19" s="1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3"/>
      <c r="B20" s="46"/>
      <c r="C20" s="10"/>
      <c r="D20" s="13">
        <f t="shared" si="1"/>
        <v>0</v>
      </c>
      <c r="F20" s="57"/>
      <c r="G20" s="70" t="s">
        <v>117</v>
      </c>
      <c r="H20" s="154"/>
      <c r="I20" s="154"/>
      <c r="J20" s="15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7" t="s">
        <v>13</v>
      </c>
      <c r="I21" s="168"/>
      <c r="J21" s="16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3"/>
      <c r="B22" s="46"/>
      <c r="C22" s="10"/>
      <c r="D22" s="48">
        <f t="shared" si="1"/>
        <v>0</v>
      </c>
      <c r="F22" s="77"/>
      <c r="G22" s="73"/>
      <c r="H22" s="170"/>
      <c r="I22" s="170"/>
      <c r="J22" s="17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/>
      <c r="C23" s="10"/>
      <c r="D23" s="48">
        <f t="shared" si="1"/>
        <v>0</v>
      </c>
      <c r="F23" s="78"/>
      <c r="G23" s="79"/>
      <c r="H23" s="171"/>
      <c r="I23" s="140"/>
      <c r="J23" s="14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/>
      <c r="C24" s="10"/>
      <c r="D24" s="48">
        <f t="shared" si="1"/>
        <v>0</v>
      </c>
      <c r="F24" s="38"/>
      <c r="G24" s="37"/>
      <c r="H24" s="171"/>
      <c r="I24" s="140"/>
      <c r="J24" s="14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2" t="s">
        <v>13</v>
      </c>
      <c r="I25" s="173"/>
      <c r="J25" s="17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/>
      <c r="C26" s="10"/>
      <c r="D26" s="48">
        <f t="shared" si="1"/>
        <v>0</v>
      </c>
      <c r="F26" s="64"/>
      <c r="G26" s="59"/>
      <c r="H26" s="175"/>
      <c r="I26" s="176"/>
      <c r="J26" s="17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3"/>
      <c r="B27" s="14"/>
      <c r="C27" s="10"/>
      <c r="D27" s="44">
        <f t="shared" si="1"/>
        <v>0</v>
      </c>
      <c r="F27" s="25"/>
      <c r="G27" s="80"/>
      <c r="H27" s="178"/>
      <c r="I27" s="179"/>
      <c r="J27" s="18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/>
      <c r="C28" s="10"/>
      <c r="D28" s="48">
        <f t="shared" si="1"/>
        <v>0</v>
      </c>
      <c r="F28" s="92"/>
      <c r="G28" s="61"/>
      <c r="H28" s="181"/>
      <c r="I28" s="182"/>
      <c r="J28" s="18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5" t="s">
        <v>36</v>
      </c>
      <c r="B29" s="156"/>
      <c r="C29" s="157"/>
      <c r="D29" s="161">
        <f>SUM(D6:D28)</f>
        <v>0</v>
      </c>
      <c r="F29" s="101" t="s">
        <v>55</v>
      </c>
      <c r="G29" s="163"/>
      <c r="H29" s="123">
        <f>H15-H16-H17-H18-H19-H20-H22-H23-H24+H26+H27</f>
        <v>0</v>
      </c>
      <c r="I29" s="124"/>
      <c r="J29" s="12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8" t="s">
        <v>58</v>
      </c>
      <c r="B32" s="149"/>
      <c r="C32" s="149"/>
      <c r="D32" s="150"/>
      <c r="F32" s="151" t="s">
        <v>59</v>
      </c>
      <c r="G32" s="152"/>
      <c r="H32" s="152"/>
      <c r="I32" s="152"/>
      <c r="J32" s="15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51" t="s">
        <v>13</v>
      </c>
      <c r="I33" s="152"/>
      <c r="J33" s="15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5"/>
      <c r="I34" s="146"/>
      <c r="J34" s="14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3"/>
      <c r="B35" s="27" t="s">
        <v>68</v>
      </c>
      <c r="C35" s="52"/>
      <c r="D35" s="30">
        <f>C35*84</f>
        <v>0</v>
      </c>
      <c r="F35" s="58">
        <v>500</v>
      </c>
      <c r="G35" s="41"/>
      <c r="H35" s="145"/>
      <c r="I35" s="146"/>
      <c r="J35" s="14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70</v>
      </c>
      <c r="C36" s="10"/>
      <c r="D36" s="12">
        <f>C36*1.5</f>
        <v>0</v>
      </c>
      <c r="F36" s="12">
        <v>200</v>
      </c>
      <c r="G36" s="37"/>
      <c r="H36" s="145"/>
      <c r="I36" s="146"/>
      <c r="J36" s="14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5"/>
      <c r="I37" s="146"/>
      <c r="J37" s="14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3"/>
      <c r="B38" s="29" t="s">
        <v>68</v>
      </c>
      <c r="C38" s="54"/>
      <c r="D38" s="12">
        <f>C38*84</f>
        <v>0</v>
      </c>
      <c r="F38" s="30">
        <v>50</v>
      </c>
      <c r="G38" s="39"/>
      <c r="H38" s="145"/>
      <c r="I38" s="146"/>
      <c r="J38" s="14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4"/>
      <c r="B39" s="29" t="s">
        <v>70</v>
      </c>
      <c r="C39" s="52"/>
      <c r="D39" s="31">
        <f>C39*4.5</f>
        <v>0</v>
      </c>
      <c r="F39" s="12">
        <v>20</v>
      </c>
      <c r="G39" s="37"/>
      <c r="H39" s="145"/>
      <c r="I39" s="146"/>
      <c r="J39" s="14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5"/>
      <c r="I40" s="146"/>
      <c r="J40" s="14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3"/>
      <c r="B41" s="27" t="s">
        <v>68</v>
      </c>
      <c r="C41" s="10"/>
      <c r="D41" s="12">
        <f>C41*84</f>
        <v>0</v>
      </c>
      <c r="F41" s="12">
        <v>5</v>
      </c>
      <c r="G41" s="42"/>
      <c r="H41" s="145"/>
      <c r="I41" s="146"/>
      <c r="J41" s="14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4"/>
      <c r="B42" s="27" t="s">
        <v>70</v>
      </c>
      <c r="C42" s="11"/>
      <c r="D42" s="12">
        <f>C42*2.25</f>
        <v>0</v>
      </c>
      <c r="F42" s="39" t="s">
        <v>79</v>
      </c>
      <c r="G42" s="145"/>
      <c r="H42" s="146"/>
      <c r="I42" s="146"/>
      <c r="J42" s="14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5" t="s">
        <v>81</v>
      </c>
      <c r="C43" s="11"/>
      <c r="D43" s="12"/>
      <c r="F43" s="59" t="s">
        <v>82</v>
      </c>
      <c r="G43" s="95" t="s">
        <v>83</v>
      </c>
      <c r="H43" s="137" t="s">
        <v>13</v>
      </c>
      <c r="I43" s="138"/>
      <c r="J43" s="139"/>
      <c r="K43" s="21"/>
      <c r="P43" s="4"/>
      <c r="Q43" s="4"/>
      <c r="R43" s="5"/>
    </row>
    <row r="44" spans="1:18" ht="15.75" x14ac:dyDescent="0.25">
      <c r="A44" s="116"/>
      <c r="B44" s="27" t="s">
        <v>66</v>
      </c>
      <c r="C44" s="10"/>
      <c r="D44" s="12">
        <f>C44*120</f>
        <v>0</v>
      </c>
      <c r="F44" s="37"/>
      <c r="G44" s="76"/>
      <c r="H44" s="140"/>
      <c r="I44" s="140"/>
      <c r="J44" s="140"/>
      <c r="K44" s="21"/>
      <c r="P44" s="4"/>
      <c r="Q44" s="4"/>
      <c r="R44" s="5"/>
    </row>
    <row r="45" spans="1:18" ht="15.75" x14ac:dyDescent="0.25">
      <c r="A45" s="116"/>
      <c r="B45" s="27" t="s">
        <v>68</v>
      </c>
      <c r="C45" s="33"/>
      <c r="D45" s="12">
        <f>C45*84</f>
        <v>0</v>
      </c>
      <c r="F45" s="37"/>
      <c r="G45" s="76"/>
      <c r="H45" s="140"/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70</v>
      </c>
      <c r="C46" s="81"/>
      <c r="D46" s="12">
        <f>C46*1.5</f>
        <v>0</v>
      </c>
      <c r="F46" s="37"/>
      <c r="G46" s="62"/>
      <c r="H46" s="141"/>
      <c r="I46" s="141"/>
      <c r="J46" s="141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66</v>
      </c>
      <c r="C48" s="10"/>
      <c r="D48" s="12">
        <f>C48*78</f>
        <v>0</v>
      </c>
      <c r="F48" s="59"/>
      <c r="G48" s="59"/>
      <c r="H48" s="118"/>
      <c r="I48" s="119"/>
      <c r="J48" s="12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68</v>
      </c>
      <c r="C49" s="33"/>
      <c r="D49" s="12">
        <f>C49*42</f>
        <v>0</v>
      </c>
      <c r="F49" s="121" t="s">
        <v>86</v>
      </c>
      <c r="G49" s="123">
        <f>H34+H35+H36+H37+H38+H39+H40+H41+G42+H44+H45+H46</f>
        <v>0</v>
      </c>
      <c r="H49" s="124"/>
      <c r="I49" s="124"/>
      <c r="J49" s="12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70</v>
      </c>
      <c r="C50" s="11"/>
      <c r="D50" s="12">
        <f>C50*1.5</f>
        <v>0</v>
      </c>
      <c r="F50" s="122"/>
      <c r="G50" s="126"/>
      <c r="H50" s="127"/>
      <c r="I50" s="127"/>
      <c r="J50" s="128"/>
      <c r="P50" s="4"/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125</v>
      </c>
      <c r="G51" s="131">
        <f>G49-H29</f>
        <v>0</v>
      </c>
      <c r="H51" s="132"/>
      <c r="I51" s="132"/>
      <c r="J51" s="13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6"/>
      <c r="B52" s="29"/>
      <c r="C52" s="33"/>
      <c r="D52" s="45"/>
      <c r="F52" s="130"/>
      <c r="G52" s="134"/>
      <c r="H52" s="135"/>
      <c r="I52" s="135"/>
      <c r="J52" s="1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1" t="s">
        <v>90</v>
      </c>
      <c r="B54" s="102"/>
      <c r="C54" s="103"/>
      <c r="D54" s="107">
        <f>SUM(D34:D53)</f>
        <v>0</v>
      </c>
      <c r="F54" s="21"/>
      <c r="J54" s="34"/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9" t="s">
        <v>91</v>
      </c>
      <c r="B58" s="110"/>
      <c r="C58" s="110"/>
      <c r="D58" s="111"/>
      <c r="F58" s="109" t="s">
        <v>92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5D2B3-BC63-4C67-8393-A2DD8D452AF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7" t="s">
        <v>1</v>
      </c>
      <c r="O1" s="197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98" t="s">
        <v>8</v>
      </c>
      <c r="G4" s="200">
        <v>1</v>
      </c>
      <c r="H4" s="202" t="s">
        <v>9</v>
      </c>
      <c r="I4" s="204">
        <v>46058</v>
      </c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84">
        <v>207</v>
      </c>
      <c r="D6" s="13">
        <f t="shared" ref="D6:D28" si="1">C6*L6</f>
        <v>157527</v>
      </c>
      <c r="F6" s="208" t="s">
        <v>16</v>
      </c>
      <c r="G6" s="210" t="s">
        <v>111</v>
      </c>
      <c r="H6" s="211"/>
      <c r="I6" s="211"/>
      <c r="J6" s="2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84">
        <v>1</v>
      </c>
      <c r="D7" s="13">
        <f t="shared" si="1"/>
        <v>781</v>
      </c>
      <c r="F7" s="209"/>
      <c r="G7" s="213"/>
      <c r="H7" s="214"/>
      <c r="I7" s="214"/>
      <c r="J7" s="2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84"/>
      <c r="D8" s="13">
        <f t="shared" si="1"/>
        <v>0</v>
      </c>
      <c r="F8" s="216" t="s">
        <v>21</v>
      </c>
      <c r="G8" s="217" t="s">
        <v>144</v>
      </c>
      <c r="H8" s="218"/>
      <c r="I8" s="218"/>
      <c r="J8" s="21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84">
        <v>33</v>
      </c>
      <c r="D9" s="13">
        <f t="shared" si="1"/>
        <v>24189</v>
      </c>
      <c r="F9" s="209"/>
      <c r="G9" s="220"/>
      <c r="H9" s="221"/>
      <c r="I9" s="221"/>
      <c r="J9" s="22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84"/>
      <c r="D10" s="13">
        <f t="shared" si="1"/>
        <v>0</v>
      </c>
      <c r="F10" s="208" t="s">
        <v>26</v>
      </c>
      <c r="G10" s="223" t="s">
        <v>139</v>
      </c>
      <c r="H10" s="224"/>
      <c r="I10" s="224"/>
      <c r="J10" s="225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84"/>
      <c r="D11" s="13">
        <f t="shared" si="1"/>
        <v>0</v>
      </c>
      <c r="F11" s="209"/>
      <c r="G11" s="220"/>
      <c r="H11" s="221"/>
      <c r="I11" s="221"/>
      <c r="J11" s="22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84">
        <v>2</v>
      </c>
      <c r="D12" s="48">
        <f t="shared" si="1"/>
        <v>1984</v>
      </c>
      <c r="F12" s="226" t="s">
        <v>33</v>
      </c>
      <c r="G12" s="227"/>
      <c r="H12" s="227"/>
      <c r="I12" s="227"/>
      <c r="J12" s="22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84">
        <v>4</v>
      </c>
      <c r="D13" s="48">
        <f t="shared" si="1"/>
        <v>1228</v>
      </c>
      <c r="F13" s="229" t="s">
        <v>36</v>
      </c>
      <c r="G13" s="193"/>
      <c r="H13" s="184">
        <f>D29</f>
        <v>194843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84">
        <v>6</v>
      </c>
      <c r="D14" s="31">
        <f t="shared" si="1"/>
        <v>66</v>
      </c>
      <c r="F14" s="187" t="s">
        <v>39</v>
      </c>
      <c r="G14" s="188"/>
      <c r="H14" s="189">
        <f>D54</f>
        <v>28632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38</v>
      </c>
      <c r="C15" s="84">
        <v>1</v>
      </c>
      <c r="D15" s="31">
        <f t="shared" si="1"/>
        <v>620</v>
      </c>
      <c r="F15" s="192" t="s">
        <v>40</v>
      </c>
      <c r="G15" s="193"/>
      <c r="H15" s="194">
        <f>H13-H14</f>
        <v>166211</v>
      </c>
      <c r="I15" s="195"/>
      <c r="J15" s="19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4"/>
      <c r="I16" s="154"/>
      <c r="J16" s="15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t="s">
        <v>133</v>
      </c>
      <c r="C17" s="84"/>
      <c r="D17" s="48">
        <f t="shared" si="1"/>
        <v>0</v>
      </c>
      <c r="F17" s="56"/>
      <c r="G17" s="66" t="s">
        <v>45</v>
      </c>
      <c r="H17" s="165"/>
      <c r="I17" s="165"/>
      <c r="J17" s="16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5"/>
      <c r="I18" s="165"/>
      <c r="J18" s="16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 t="s">
        <v>129</v>
      </c>
      <c r="C19" s="84">
        <v>1</v>
      </c>
      <c r="D19" s="48">
        <f t="shared" si="1"/>
        <v>1102</v>
      </c>
      <c r="F19" s="56"/>
      <c r="G19" s="68" t="s">
        <v>50</v>
      </c>
      <c r="H19" s="165"/>
      <c r="I19" s="165"/>
      <c r="J19" s="165"/>
      <c r="L19" s="6">
        <v>1102</v>
      </c>
      <c r="Q19" s="4"/>
      <c r="R19" s="5">
        <f t="shared" si="0"/>
        <v>0</v>
      </c>
    </row>
    <row r="20" spans="1:18" ht="15.75" x14ac:dyDescent="0.25">
      <c r="A20" s="143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54"/>
      <c r="I20" s="154"/>
      <c r="J20" s="15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3"/>
      <c r="B21" s="14" t="s">
        <v>131</v>
      </c>
      <c r="C21" s="84">
        <v>4</v>
      </c>
      <c r="D21" s="48">
        <f t="shared" si="1"/>
        <v>2600</v>
      </c>
      <c r="F21" s="69" t="s">
        <v>99</v>
      </c>
      <c r="G21" s="82" t="s">
        <v>98</v>
      </c>
      <c r="H21" s="167" t="s">
        <v>13</v>
      </c>
      <c r="I21" s="168"/>
      <c r="J21" s="16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83" t="s">
        <v>165</v>
      </c>
      <c r="C22" s="84">
        <v>3</v>
      </c>
      <c r="D22" s="48">
        <f t="shared" si="1"/>
        <v>4746</v>
      </c>
      <c r="F22" s="77"/>
      <c r="G22" s="73"/>
      <c r="H22" s="170"/>
      <c r="I22" s="170"/>
      <c r="J22" s="17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101</v>
      </c>
      <c r="C23" s="84"/>
      <c r="D23" s="48">
        <f t="shared" si="1"/>
        <v>0</v>
      </c>
      <c r="F23" s="77"/>
      <c r="G23" s="79"/>
      <c r="H23" s="236"/>
      <c r="I23" s="237"/>
      <c r="J23" s="23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118</v>
      </c>
      <c r="C24" s="84"/>
      <c r="D24" s="48">
        <f t="shared" si="1"/>
        <v>0</v>
      </c>
      <c r="F24" s="77"/>
      <c r="G24" s="79"/>
      <c r="H24" s="236"/>
      <c r="I24" s="237"/>
      <c r="J24" s="23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72" t="s">
        <v>13</v>
      </c>
      <c r="I25" s="173"/>
      <c r="J25" s="17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132</v>
      </c>
      <c r="C26" s="84"/>
      <c r="D26" s="48">
        <f t="shared" si="1"/>
        <v>0</v>
      </c>
      <c r="F26" s="75"/>
      <c r="G26" s="65"/>
      <c r="H26" s="140"/>
      <c r="I26" s="140"/>
      <c r="J26" s="14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110</v>
      </c>
      <c r="C27" s="84"/>
      <c r="D27" s="44">
        <f t="shared" si="1"/>
        <v>0</v>
      </c>
      <c r="F27" s="71"/>
      <c r="G27" s="95"/>
      <c r="H27" s="238"/>
      <c r="I27" s="239"/>
      <c r="J27" s="23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97</v>
      </c>
      <c r="C28" s="84"/>
      <c r="D28" s="48">
        <f t="shared" si="1"/>
        <v>0</v>
      </c>
      <c r="F28" s="92"/>
      <c r="G28" s="61"/>
      <c r="H28" s="181"/>
      <c r="I28" s="182"/>
      <c r="J28" s="18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194843</v>
      </c>
      <c r="F29" s="101" t="s">
        <v>55</v>
      </c>
      <c r="G29" s="163"/>
      <c r="H29" s="123">
        <f>H15-H16-H17-H18-H19-H20-H22-H23-H24+H26+H27+H28</f>
        <v>166211</v>
      </c>
      <c r="I29" s="124"/>
      <c r="J29" s="12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58</v>
      </c>
      <c r="B32" s="149"/>
      <c r="C32" s="149"/>
      <c r="D32" s="150"/>
      <c r="F32" s="151" t="s">
        <v>59</v>
      </c>
      <c r="G32" s="152"/>
      <c r="H32" s="152"/>
      <c r="I32" s="152"/>
      <c r="J32" s="15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51" t="s">
        <v>13</v>
      </c>
      <c r="I33" s="152"/>
      <c r="J33" s="15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66</v>
      </c>
      <c r="H34" s="145">
        <f t="shared" ref="H34:H39" si="2">F34*G34</f>
        <v>66000</v>
      </c>
      <c r="I34" s="146"/>
      <c r="J34" s="14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19</v>
      </c>
      <c r="H35" s="145">
        <f t="shared" si="2"/>
        <v>9500</v>
      </c>
      <c r="I35" s="146"/>
      <c r="J35" s="14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70</v>
      </c>
      <c r="C36" s="10">
        <v>16</v>
      </c>
      <c r="D36" s="12">
        <f>C36*1.5</f>
        <v>24</v>
      </c>
      <c r="F36" s="12">
        <v>200</v>
      </c>
      <c r="G36" s="37"/>
      <c r="H36" s="145">
        <f t="shared" si="2"/>
        <v>0</v>
      </c>
      <c r="I36" s="146"/>
      <c r="J36" s="14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72</v>
      </c>
      <c r="B37" s="28" t="s">
        <v>66</v>
      </c>
      <c r="C37" s="53">
        <v>232</v>
      </c>
      <c r="D37" s="12">
        <f>C37*111</f>
        <v>25752</v>
      </c>
      <c r="F37" s="12">
        <v>100</v>
      </c>
      <c r="G37" s="39">
        <v>31</v>
      </c>
      <c r="H37" s="145">
        <f t="shared" si="2"/>
        <v>3100</v>
      </c>
      <c r="I37" s="146"/>
      <c r="J37" s="14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68</v>
      </c>
      <c r="C38" s="54">
        <v>9</v>
      </c>
      <c r="D38" s="12">
        <f>C38*84</f>
        <v>756</v>
      </c>
      <c r="F38" s="30">
        <v>50</v>
      </c>
      <c r="G38" s="39">
        <v>30</v>
      </c>
      <c r="H38" s="145">
        <f t="shared" si="2"/>
        <v>1500</v>
      </c>
      <c r="I38" s="146"/>
      <c r="J38" s="14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70</v>
      </c>
      <c r="C39" s="52"/>
      <c r="D39" s="31">
        <f>C39*4.5</f>
        <v>0</v>
      </c>
      <c r="F39" s="12">
        <v>20</v>
      </c>
      <c r="G39" s="37">
        <v>2</v>
      </c>
      <c r="H39" s="145">
        <f t="shared" si="2"/>
        <v>40</v>
      </c>
      <c r="I39" s="146"/>
      <c r="J39" s="14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45"/>
      <c r="I40" s="146"/>
      <c r="J40" s="14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5"/>
      <c r="I41" s="146"/>
      <c r="J41" s="14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70</v>
      </c>
      <c r="C42" s="11"/>
      <c r="D42" s="12">
        <f>C42*2.25</f>
        <v>0</v>
      </c>
      <c r="F42" s="39" t="s">
        <v>79</v>
      </c>
      <c r="G42" s="145">
        <v>49</v>
      </c>
      <c r="H42" s="146"/>
      <c r="I42" s="146"/>
      <c r="J42" s="14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5" t="s">
        <v>81</v>
      </c>
      <c r="C43" s="11"/>
      <c r="D43" s="12"/>
      <c r="F43" s="59" t="s">
        <v>82</v>
      </c>
      <c r="G43" s="95" t="s">
        <v>83</v>
      </c>
      <c r="H43" s="137" t="s">
        <v>13</v>
      </c>
      <c r="I43" s="138"/>
      <c r="J43" s="13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6"/>
      <c r="B44" s="27" t="s">
        <v>66</v>
      </c>
      <c r="C44" s="10">
        <v>3</v>
      </c>
      <c r="D44" s="12">
        <f>C44*120</f>
        <v>360</v>
      </c>
      <c r="F44" s="37" t="s">
        <v>160</v>
      </c>
      <c r="G44" s="99" t="s">
        <v>161</v>
      </c>
      <c r="H44" s="140">
        <v>85702</v>
      </c>
      <c r="I44" s="140"/>
      <c r="J44" s="14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6"/>
      <c r="B45" s="27" t="s">
        <v>68</v>
      </c>
      <c r="C45" s="33"/>
      <c r="D45" s="12">
        <f>C45*84</f>
        <v>0</v>
      </c>
      <c r="F45" s="37"/>
      <c r="G45" s="62"/>
      <c r="H45" s="140"/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70</v>
      </c>
      <c r="C46" s="81">
        <v>7</v>
      </c>
      <c r="D46" s="12">
        <f>C46*1.5</f>
        <v>10.5</v>
      </c>
      <c r="F46" s="37"/>
      <c r="G46" s="62"/>
      <c r="H46" s="140"/>
      <c r="I46" s="140"/>
      <c r="J46" s="140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18"/>
      <c r="I48" s="119"/>
      <c r="J48" s="12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68</v>
      </c>
      <c r="C49" s="33"/>
      <c r="D49" s="12">
        <f>C49*42</f>
        <v>0</v>
      </c>
      <c r="F49" s="121" t="s">
        <v>86</v>
      </c>
      <c r="G49" s="123">
        <f>H34+H35+H36+H37+H38+H39+H40+H41+G42+H44+H45+H46</f>
        <v>165891</v>
      </c>
      <c r="H49" s="124"/>
      <c r="I49" s="124"/>
      <c r="J49" s="12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70</v>
      </c>
      <c r="C50" s="11">
        <v>5</v>
      </c>
      <c r="D50" s="12">
        <f>C50*1.5</f>
        <v>7.5</v>
      </c>
      <c r="F50" s="122"/>
      <c r="G50" s="126"/>
      <c r="H50" s="127"/>
      <c r="I50" s="127"/>
      <c r="J50" s="128"/>
      <c r="O50" t="s">
        <v>137</v>
      </c>
      <c r="P50" s="4">
        <v>1204</v>
      </c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128</v>
      </c>
      <c r="G51" s="230">
        <f>G49-H29</f>
        <v>-320</v>
      </c>
      <c r="H51" s="231"/>
      <c r="I51" s="231"/>
      <c r="J51" s="23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6"/>
      <c r="B52" s="29"/>
      <c r="C52" s="33"/>
      <c r="D52" s="45"/>
      <c r="F52" s="130"/>
      <c r="G52" s="233"/>
      <c r="H52" s="234"/>
      <c r="I52" s="234"/>
      <c r="J52" s="23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1" t="s">
        <v>90</v>
      </c>
      <c r="B54" s="102"/>
      <c r="C54" s="103"/>
      <c r="D54" s="107">
        <f>SUM(D34:D53)</f>
        <v>28632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9" t="s">
        <v>91</v>
      </c>
      <c r="B58" s="110"/>
      <c r="C58" s="110"/>
      <c r="D58" s="111"/>
      <c r="F58" s="109" t="s">
        <v>92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65A8C5-DCFC-4834-9A7A-5D0488C2EDE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7" t="s">
        <v>1</v>
      </c>
      <c r="O1" s="197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98" t="s">
        <v>8</v>
      </c>
      <c r="G4" s="200">
        <v>2</v>
      </c>
      <c r="H4" s="202" t="s">
        <v>9</v>
      </c>
      <c r="I4" s="204">
        <v>46058</v>
      </c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10">
        <v>205</v>
      </c>
      <c r="D6" s="13">
        <f t="shared" ref="D6:D28" si="1">C6*L6</f>
        <v>156005</v>
      </c>
      <c r="F6" s="208" t="s">
        <v>16</v>
      </c>
      <c r="G6" s="210" t="s">
        <v>126</v>
      </c>
      <c r="H6" s="211"/>
      <c r="I6" s="211"/>
      <c r="J6" s="2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10"/>
      <c r="D7" s="13">
        <f t="shared" si="1"/>
        <v>0</v>
      </c>
      <c r="F7" s="209"/>
      <c r="G7" s="213"/>
      <c r="H7" s="214"/>
      <c r="I7" s="214"/>
      <c r="J7" s="2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10"/>
      <c r="D8" s="13">
        <f t="shared" si="1"/>
        <v>0</v>
      </c>
      <c r="F8" s="216" t="s">
        <v>21</v>
      </c>
      <c r="G8" s="217" t="s">
        <v>113</v>
      </c>
      <c r="H8" s="218"/>
      <c r="I8" s="218"/>
      <c r="J8" s="21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10">
        <v>29</v>
      </c>
      <c r="D9" s="13">
        <f t="shared" si="1"/>
        <v>21257</v>
      </c>
      <c r="F9" s="209"/>
      <c r="G9" s="220"/>
      <c r="H9" s="221"/>
      <c r="I9" s="221"/>
      <c r="J9" s="22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10">
        <v>2</v>
      </c>
      <c r="D10" s="13">
        <f t="shared" si="1"/>
        <v>2064</v>
      </c>
      <c r="F10" s="208" t="s">
        <v>26</v>
      </c>
      <c r="G10" s="223" t="s">
        <v>114</v>
      </c>
      <c r="H10" s="224"/>
      <c r="I10" s="224"/>
      <c r="J10" s="225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10"/>
      <c r="D11" s="13">
        <f t="shared" si="1"/>
        <v>0</v>
      </c>
      <c r="F11" s="209"/>
      <c r="G11" s="220"/>
      <c r="H11" s="221"/>
      <c r="I11" s="221"/>
      <c r="J11" s="22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10">
        <v>1</v>
      </c>
      <c r="D12" s="48">
        <f t="shared" si="1"/>
        <v>992</v>
      </c>
      <c r="F12" s="226" t="s">
        <v>33</v>
      </c>
      <c r="G12" s="227"/>
      <c r="H12" s="227"/>
      <c r="I12" s="227"/>
      <c r="J12" s="22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10">
        <v>8</v>
      </c>
      <c r="D13" s="48">
        <f t="shared" si="1"/>
        <v>2456</v>
      </c>
      <c r="F13" s="229" t="s">
        <v>36</v>
      </c>
      <c r="G13" s="193"/>
      <c r="H13" s="184">
        <f>D29</f>
        <v>187600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10">
        <v>2</v>
      </c>
      <c r="D14" s="31">
        <f t="shared" si="1"/>
        <v>22</v>
      </c>
      <c r="F14" s="187" t="s">
        <v>39</v>
      </c>
      <c r="G14" s="188"/>
      <c r="H14" s="189">
        <f>D54</f>
        <v>23733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38</v>
      </c>
      <c r="C15" s="10"/>
      <c r="D15" s="31">
        <f t="shared" si="1"/>
        <v>0</v>
      </c>
      <c r="F15" s="192" t="s">
        <v>40</v>
      </c>
      <c r="G15" s="193"/>
      <c r="H15" s="194">
        <f>H13-H14</f>
        <v>163867</v>
      </c>
      <c r="I15" s="195"/>
      <c r="J15" s="19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4">
        <f>192*6</f>
        <v>1152</v>
      </c>
      <c r="I16" s="154"/>
      <c r="J16" s="15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t="s">
        <v>93</v>
      </c>
      <c r="C17" s="10"/>
      <c r="D17" s="48">
        <f t="shared" si="1"/>
        <v>0</v>
      </c>
      <c r="F17" s="56"/>
      <c r="G17" s="66" t="s">
        <v>45</v>
      </c>
      <c r="H17" s="165"/>
      <c r="I17" s="165"/>
      <c r="J17" s="16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5"/>
      <c r="I18" s="165"/>
      <c r="J18" s="16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00" t="s">
        <v>166</v>
      </c>
      <c r="C19" s="10">
        <f>1+1</f>
        <v>2</v>
      </c>
      <c r="D19" s="48">
        <f t="shared" si="1"/>
        <v>2204</v>
      </c>
      <c r="F19" s="56"/>
      <c r="G19" s="68" t="s">
        <v>50</v>
      </c>
      <c r="H19" s="240"/>
      <c r="I19" s="240"/>
      <c r="J19" s="24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3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3"/>
      <c r="B21" s="14" t="s">
        <v>131</v>
      </c>
      <c r="C21" s="10">
        <v>4</v>
      </c>
      <c r="D21" s="48">
        <f t="shared" si="1"/>
        <v>2600</v>
      </c>
      <c r="F21" s="69" t="s">
        <v>99</v>
      </c>
      <c r="G21" s="82" t="s">
        <v>98</v>
      </c>
      <c r="H21" s="167" t="s">
        <v>13</v>
      </c>
      <c r="I21" s="168"/>
      <c r="J21" s="16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104</v>
      </c>
      <c r="C22" s="10"/>
      <c r="D22" s="48">
        <f t="shared" si="1"/>
        <v>0</v>
      </c>
      <c r="F22" s="72"/>
      <c r="G22" s="73"/>
      <c r="H22" s="170"/>
      <c r="I22" s="170"/>
      <c r="J22" s="17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107</v>
      </c>
      <c r="C23" s="10"/>
      <c r="D23" s="48">
        <f t="shared" si="1"/>
        <v>0</v>
      </c>
      <c r="F23" s="25"/>
      <c r="G23" s="37"/>
      <c r="H23" s="171"/>
      <c r="I23" s="140"/>
      <c r="J23" s="14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120</v>
      </c>
      <c r="C24" s="10"/>
      <c r="D24" s="48">
        <f t="shared" si="1"/>
        <v>0</v>
      </c>
      <c r="F24" s="38"/>
      <c r="G24" s="37"/>
      <c r="H24" s="171"/>
      <c r="I24" s="140"/>
      <c r="J24" s="14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2" t="s">
        <v>13</v>
      </c>
      <c r="I25" s="173"/>
      <c r="J25" s="17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105</v>
      </c>
      <c r="C26" s="10"/>
      <c r="D26" s="48">
        <f t="shared" si="1"/>
        <v>0</v>
      </c>
      <c r="F26" s="64"/>
      <c r="G26" s="10"/>
      <c r="H26" s="175"/>
      <c r="I26" s="176"/>
      <c r="J26" s="17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109</v>
      </c>
      <c r="C27" s="10"/>
      <c r="D27" s="44">
        <f t="shared" si="1"/>
        <v>0</v>
      </c>
      <c r="F27" s="14"/>
      <c r="G27" s="14"/>
      <c r="H27" s="178"/>
      <c r="I27" s="179"/>
      <c r="J27" s="18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97</v>
      </c>
      <c r="C28" s="10"/>
      <c r="D28" s="48">
        <f t="shared" si="1"/>
        <v>0</v>
      </c>
      <c r="F28" s="92"/>
      <c r="G28" s="61"/>
      <c r="H28" s="181"/>
      <c r="I28" s="182"/>
      <c r="J28" s="18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187600</v>
      </c>
      <c r="F29" s="101" t="s">
        <v>55</v>
      </c>
      <c r="G29" s="163"/>
      <c r="H29" s="123">
        <f>H15-H16-H17-H18-H19-H20-H22-H23-H24+H26+H27</f>
        <v>162715</v>
      </c>
      <c r="I29" s="124"/>
      <c r="J29" s="12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58</v>
      </c>
      <c r="B32" s="149"/>
      <c r="C32" s="149"/>
      <c r="D32" s="150"/>
      <c r="F32" s="151" t="s">
        <v>59</v>
      </c>
      <c r="G32" s="152"/>
      <c r="H32" s="152"/>
      <c r="I32" s="152"/>
      <c r="J32" s="15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51" t="s">
        <v>13</v>
      </c>
      <c r="I33" s="152"/>
      <c r="J33" s="15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65</v>
      </c>
      <c r="B34" s="26" t="s">
        <v>66</v>
      </c>
      <c r="C34" s="51">
        <v>5</v>
      </c>
      <c r="D34" s="30">
        <f>C34*120</f>
        <v>600</v>
      </c>
      <c r="F34" s="12">
        <v>1000</v>
      </c>
      <c r="G34" s="74">
        <v>28</v>
      </c>
      <c r="H34" s="145">
        <f>F34*G34</f>
        <v>28000</v>
      </c>
      <c r="I34" s="146"/>
      <c r="J34" s="14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145">
        <f t="shared" ref="H35:H39" si="2">F35*G35</f>
        <v>500</v>
      </c>
      <c r="I35" s="146"/>
      <c r="J35" s="14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70</v>
      </c>
      <c r="C36" s="10"/>
      <c r="D36" s="12">
        <f>C36*1.5</f>
        <v>0</v>
      </c>
      <c r="F36" s="12">
        <v>200</v>
      </c>
      <c r="G36" s="37"/>
      <c r="H36" s="145">
        <f>F36*G36</f>
        <v>0</v>
      </c>
      <c r="I36" s="146"/>
      <c r="J36" s="14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72</v>
      </c>
      <c r="B37" s="28" t="s">
        <v>66</v>
      </c>
      <c r="C37" s="53">
        <v>196</v>
      </c>
      <c r="D37" s="12">
        <f>C37*111</f>
        <v>21756</v>
      </c>
      <c r="F37" s="12">
        <v>100</v>
      </c>
      <c r="G37" s="39">
        <v>2</v>
      </c>
      <c r="H37" s="145">
        <f t="shared" si="2"/>
        <v>200</v>
      </c>
      <c r="I37" s="146"/>
      <c r="J37" s="14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68</v>
      </c>
      <c r="C38" s="54">
        <v>2</v>
      </c>
      <c r="D38" s="12">
        <f>C38*84</f>
        <v>168</v>
      </c>
      <c r="F38" s="30">
        <v>50</v>
      </c>
      <c r="G38" s="39"/>
      <c r="H38" s="145">
        <f t="shared" si="2"/>
        <v>0</v>
      </c>
      <c r="I38" s="146"/>
      <c r="J38" s="14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45">
        <f t="shared" si="2"/>
        <v>0</v>
      </c>
      <c r="I39" s="146"/>
      <c r="J39" s="14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45"/>
      <c r="I40" s="146"/>
      <c r="J40" s="14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68</v>
      </c>
      <c r="C41" s="10"/>
      <c r="D41" s="12">
        <f>C41*84</f>
        <v>0</v>
      </c>
      <c r="F41" s="12">
        <v>5</v>
      </c>
      <c r="G41" s="42"/>
      <c r="H41" s="145"/>
      <c r="I41" s="146"/>
      <c r="J41" s="14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70</v>
      </c>
      <c r="C42" s="11">
        <v>4</v>
      </c>
      <c r="D42" s="12">
        <f>C42*2.25</f>
        <v>9</v>
      </c>
      <c r="F42" s="39" t="s">
        <v>79</v>
      </c>
      <c r="G42" s="145">
        <v>150</v>
      </c>
      <c r="H42" s="146"/>
      <c r="I42" s="146"/>
      <c r="J42" s="14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5" t="s">
        <v>81</v>
      </c>
      <c r="C43" s="11"/>
      <c r="D43" s="12"/>
      <c r="F43" s="59" t="s">
        <v>82</v>
      </c>
      <c r="G43" s="95" t="s">
        <v>83</v>
      </c>
      <c r="H43" s="137" t="s">
        <v>13</v>
      </c>
      <c r="I43" s="138"/>
      <c r="J43" s="13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6"/>
      <c r="B44" s="27" t="s">
        <v>66</v>
      </c>
      <c r="C44" s="10">
        <v>2</v>
      </c>
      <c r="D44" s="12">
        <f>C44*120</f>
        <v>240</v>
      </c>
      <c r="F44" s="37" t="s">
        <v>145</v>
      </c>
      <c r="G44" s="62" t="s">
        <v>162</v>
      </c>
      <c r="H44" s="140">
        <v>134176</v>
      </c>
      <c r="I44" s="140"/>
      <c r="J44" s="14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6"/>
      <c r="B45" s="27" t="s">
        <v>68</v>
      </c>
      <c r="C45" s="33"/>
      <c r="D45" s="12">
        <f>C45*84</f>
        <v>0</v>
      </c>
      <c r="F45" s="37"/>
      <c r="G45" s="62"/>
      <c r="H45" s="140"/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70</v>
      </c>
      <c r="C46" s="81"/>
      <c r="D46" s="12">
        <f>C46*1.5</f>
        <v>0</v>
      </c>
      <c r="F46" s="37"/>
      <c r="G46" s="94"/>
      <c r="H46" s="141"/>
      <c r="I46" s="141"/>
      <c r="J46" s="141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18"/>
      <c r="I48" s="119"/>
      <c r="J48" s="12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68</v>
      </c>
      <c r="C49" s="33">
        <v>9</v>
      </c>
      <c r="D49" s="12">
        <f>C49*42</f>
        <v>378</v>
      </c>
      <c r="F49" s="121" t="s">
        <v>86</v>
      </c>
      <c r="G49" s="123">
        <f>H34+H35+H36+H37+H38+H39+H40+H41+G42+H44+H45+H46</f>
        <v>163026</v>
      </c>
      <c r="H49" s="124"/>
      <c r="I49" s="124"/>
      <c r="J49" s="12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70</v>
      </c>
      <c r="C50" s="11">
        <v>4</v>
      </c>
      <c r="D50" s="12">
        <f>C50*1.5</f>
        <v>6</v>
      </c>
      <c r="F50" s="122"/>
      <c r="G50" s="126"/>
      <c r="H50" s="127"/>
      <c r="I50" s="127"/>
      <c r="J50" s="128"/>
      <c r="O50" t="s">
        <v>137</v>
      </c>
      <c r="P50" s="4">
        <v>1204</v>
      </c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135</v>
      </c>
      <c r="G51" s="131">
        <f>G49-H29</f>
        <v>311</v>
      </c>
      <c r="H51" s="132"/>
      <c r="I51" s="132"/>
      <c r="J51" s="1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6"/>
      <c r="B52" s="29"/>
      <c r="C52" s="33"/>
      <c r="D52" s="45"/>
      <c r="F52" s="130"/>
      <c r="G52" s="134"/>
      <c r="H52" s="135"/>
      <c r="I52" s="135"/>
      <c r="J52" s="1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1" t="s">
        <v>90</v>
      </c>
      <c r="B54" s="102"/>
      <c r="C54" s="103"/>
      <c r="D54" s="107">
        <f>SUM(D34:D53)</f>
        <v>23733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9" t="s">
        <v>91</v>
      </c>
      <c r="B58" s="110"/>
      <c r="C58" s="110"/>
      <c r="D58" s="111"/>
      <c r="F58" s="109" t="s">
        <v>92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22E4A5-2A6A-4D16-A0EC-3D80AD8BA8E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7" t="s">
        <v>1</v>
      </c>
      <c r="O1" s="197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98" t="s">
        <v>8</v>
      </c>
      <c r="G4" s="200">
        <v>3</v>
      </c>
      <c r="H4" s="202" t="s">
        <v>9</v>
      </c>
      <c r="I4" s="204">
        <v>46058</v>
      </c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10">
        <v>248</v>
      </c>
      <c r="D6" s="13">
        <f t="shared" ref="D6:D28" si="1">C6*L6</f>
        <v>188728</v>
      </c>
      <c r="F6" s="208" t="s">
        <v>16</v>
      </c>
      <c r="G6" s="210" t="s">
        <v>141</v>
      </c>
      <c r="H6" s="211"/>
      <c r="I6" s="211"/>
      <c r="J6" s="2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10"/>
      <c r="D7" s="13">
        <f t="shared" si="1"/>
        <v>0</v>
      </c>
      <c r="F7" s="209"/>
      <c r="G7" s="213"/>
      <c r="H7" s="214"/>
      <c r="I7" s="214"/>
      <c r="J7" s="2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10"/>
      <c r="D8" s="13">
        <f t="shared" si="1"/>
        <v>0</v>
      </c>
      <c r="F8" s="216" t="s">
        <v>21</v>
      </c>
      <c r="G8" s="217" t="s">
        <v>130</v>
      </c>
      <c r="H8" s="218"/>
      <c r="I8" s="218"/>
      <c r="J8" s="21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10">
        <v>6</v>
      </c>
      <c r="D9" s="13">
        <f t="shared" si="1"/>
        <v>4398</v>
      </c>
      <c r="F9" s="209"/>
      <c r="G9" s="220"/>
      <c r="H9" s="221"/>
      <c r="I9" s="221"/>
      <c r="J9" s="22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10"/>
      <c r="D10" s="13">
        <f t="shared" si="1"/>
        <v>0</v>
      </c>
      <c r="F10" s="208" t="s">
        <v>26</v>
      </c>
      <c r="G10" s="223" t="s">
        <v>127</v>
      </c>
      <c r="H10" s="224"/>
      <c r="I10" s="224"/>
      <c r="J10" s="225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10">
        <v>4</v>
      </c>
      <c r="D11" s="13">
        <f t="shared" si="1"/>
        <v>4680</v>
      </c>
      <c r="F11" s="209"/>
      <c r="G11" s="220"/>
      <c r="H11" s="221"/>
      <c r="I11" s="221"/>
      <c r="J11" s="22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10">
        <v>3</v>
      </c>
      <c r="D12" s="48">
        <f t="shared" si="1"/>
        <v>2976</v>
      </c>
      <c r="F12" s="226" t="s">
        <v>33</v>
      </c>
      <c r="G12" s="227"/>
      <c r="H12" s="227"/>
      <c r="I12" s="227"/>
      <c r="J12" s="22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10">
        <v>10</v>
      </c>
      <c r="D13" s="48">
        <f t="shared" si="1"/>
        <v>3070</v>
      </c>
      <c r="F13" s="229" t="s">
        <v>36</v>
      </c>
      <c r="G13" s="193"/>
      <c r="H13" s="184">
        <f>D29</f>
        <v>206767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10">
        <v>9</v>
      </c>
      <c r="D14" s="31">
        <f t="shared" si="1"/>
        <v>99</v>
      </c>
      <c r="F14" s="187" t="s">
        <v>39</v>
      </c>
      <c r="G14" s="188"/>
      <c r="H14" s="189">
        <f>D54</f>
        <v>50062.5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38</v>
      </c>
      <c r="C15" s="10">
        <v>1</v>
      </c>
      <c r="D15" s="31">
        <f t="shared" si="1"/>
        <v>620</v>
      </c>
      <c r="F15" s="192" t="s">
        <v>40</v>
      </c>
      <c r="G15" s="193"/>
      <c r="H15" s="194">
        <f>H13-H14</f>
        <v>156704.5</v>
      </c>
      <c r="I15" s="195"/>
      <c r="J15" s="19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4">
        <f>103*6+108*6</f>
        <v>1266</v>
      </c>
      <c r="I16" s="154"/>
      <c r="J16" s="15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t="s">
        <v>112</v>
      </c>
      <c r="C17" s="10"/>
      <c r="D17" s="48">
        <f t="shared" si="1"/>
        <v>0</v>
      </c>
      <c r="F17" s="56"/>
      <c r="G17" s="66" t="s">
        <v>45</v>
      </c>
      <c r="H17" s="165"/>
      <c r="I17" s="165"/>
      <c r="J17" s="16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65"/>
      <c r="I18" s="165"/>
      <c r="J18" s="16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41"/>
      <c r="I19" s="241"/>
      <c r="J19" s="24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3"/>
      <c r="B20" s="46" t="s">
        <v>108</v>
      </c>
      <c r="C20" s="10">
        <v>1</v>
      </c>
      <c r="D20" s="13">
        <f t="shared" si="1"/>
        <v>1102</v>
      </c>
      <c r="F20" s="57"/>
      <c r="G20" s="70" t="s">
        <v>117</v>
      </c>
      <c r="H20" s="154"/>
      <c r="I20" s="154"/>
      <c r="J20" s="15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3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7" t="s">
        <v>13</v>
      </c>
      <c r="I21" s="168"/>
      <c r="J21" s="16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104</v>
      </c>
      <c r="C22" s="10"/>
      <c r="D22" s="48">
        <f t="shared" si="1"/>
        <v>0</v>
      </c>
      <c r="F22" s="77"/>
      <c r="G22" s="73"/>
      <c r="H22" s="170"/>
      <c r="I22" s="170"/>
      <c r="J22" s="17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107</v>
      </c>
      <c r="C23" s="10"/>
      <c r="D23" s="48">
        <f t="shared" si="1"/>
        <v>0</v>
      </c>
      <c r="F23" s="78"/>
      <c r="G23" s="79"/>
      <c r="H23" s="171"/>
      <c r="I23" s="140"/>
      <c r="J23" s="14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101</v>
      </c>
      <c r="C24" s="10"/>
      <c r="D24" s="48">
        <f t="shared" si="1"/>
        <v>0</v>
      </c>
      <c r="F24" s="38"/>
      <c r="G24" s="37"/>
      <c r="H24" s="171"/>
      <c r="I24" s="140"/>
      <c r="J24" s="14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167</v>
      </c>
      <c r="C25" s="10">
        <v>12</v>
      </c>
      <c r="D25" s="48">
        <f t="shared" si="1"/>
        <v>474</v>
      </c>
      <c r="F25" s="60" t="s">
        <v>100</v>
      </c>
      <c r="G25" s="55" t="s">
        <v>98</v>
      </c>
      <c r="H25" s="172" t="s">
        <v>13</v>
      </c>
      <c r="I25" s="173"/>
      <c r="J25" s="174"/>
      <c r="L25" s="47">
        <f>912/24+1.5</f>
        <v>39.5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105</v>
      </c>
      <c r="C26" s="10"/>
      <c r="D26" s="48">
        <f t="shared" si="1"/>
        <v>0</v>
      </c>
      <c r="F26" s="64"/>
      <c r="G26" s="59"/>
      <c r="H26" s="175"/>
      <c r="I26" s="176"/>
      <c r="J26" s="17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109</v>
      </c>
      <c r="C27" s="10"/>
      <c r="D27" s="44">
        <f t="shared" si="1"/>
        <v>0</v>
      </c>
      <c r="F27" s="25"/>
      <c r="G27" s="80"/>
      <c r="H27" s="178"/>
      <c r="I27" s="179"/>
      <c r="J27" s="18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97</v>
      </c>
      <c r="C28" s="10"/>
      <c r="D28" s="48">
        <f t="shared" si="1"/>
        <v>0</v>
      </c>
      <c r="F28" s="92"/>
      <c r="G28" s="61"/>
      <c r="H28" s="181"/>
      <c r="I28" s="182"/>
      <c r="J28" s="18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206767</v>
      </c>
      <c r="F29" s="101" t="s">
        <v>55</v>
      </c>
      <c r="G29" s="163"/>
      <c r="H29" s="123">
        <f>H15-H16-H17-H18-H19-H20-H22-H23-H24+H26+H27</f>
        <v>155438.5</v>
      </c>
      <c r="I29" s="124"/>
      <c r="J29" s="12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58</v>
      </c>
      <c r="B32" s="149"/>
      <c r="C32" s="149"/>
      <c r="D32" s="150"/>
      <c r="F32" s="151" t="s">
        <v>59</v>
      </c>
      <c r="G32" s="152"/>
      <c r="H32" s="152"/>
      <c r="I32" s="152"/>
      <c r="J32" s="15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51" t="s">
        <v>13</v>
      </c>
      <c r="I33" s="152"/>
      <c r="J33" s="15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65</v>
      </c>
      <c r="B34" s="26" t="s">
        <v>66</v>
      </c>
      <c r="C34" s="51">
        <v>6</v>
      </c>
      <c r="D34" s="30">
        <f>C34*120</f>
        <v>720</v>
      </c>
      <c r="F34" s="12">
        <v>1000</v>
      </c>
      <c r="G34" s="74">
        <v>36</v>
      </c>
      <c r="H34" s="145">
        <f>F34*G34</f>
        <v>36000</v>
      </c>
      <c r="I34" s="146"/>
      <c r="J34" s="14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145">
        <f>F35*G35</f>
        <v>500</v>
      </c>
      <c r="I35" s="146"/>
      <c r="J35" s="14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70</v>
      </c>
      <c r="C36" s="10">
        <v>12</v>
      </c>
      <c r="D36" s="12">
        <f>C36*1.5</f>
        <v>18</v>
      </c>
      <c r="F36" s="12">
        <v>200</v>
      </c>
      <c r="G36" s="37"/>
      <c r="H36" s="145">
        <f t="shared" ref="H36:H39" si="2">F36*G36</f>
        <v>0</v>
      </c>
      <c r="I36" s="146"/>
      <c r="J36" s="14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72</v>
      </c>
      <c r="B37" s="28" t="s">
        <v>66</v>
      </c>
      <c r="C37" s="53">
        <v>409</v>
      </c>
      <c r="D37" s="12">
        <f>C37*111</f>
        <v>45399</v>
      </c>
      <c r="F37" s="12">
        <v>100</v>
      </c>
      <c r="G37" s="39"/>
      <c r="H37" s="145">
        <f t="shared" si="2"/>
        <v>0</v>
      </c>
      <c r="I37" s="146"/>
      <c r="J37" s="14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45">
        <f t="shared" si="2"/>
        <v>0</v>
      </c>
      <c r="I38" s="146"/>
      <c r="J38" s="14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45">
        <f t="shared" si="2"/>
        <v>0</v>
      </c>
      <c r="I39" s="146"/>
      <c r="J39" s="14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45"/>
      <c r="I40" s="146"/>
      <c r="J40" s="14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68</v>
      </c>
      <c r="C41" s="10"/>
      <c r="D41" s="12">
        <f>C41*84</f>
        <v>0</v>
      </c>
      <c r="F41" s="12">
        <v>5</v>
      </c>
      <c r="G41" s="42"/>
      <c r="H41" s="145"/>
      <c r="I41" s="146"/>
      <c r="J41" s="14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70</v>
      </c>
      <c r="C42" s="11">
        <v>4</v>
      </c>
      <c r="D42" s="12">
        <f>C42*2.25</f>
        <v>9</v>
      </c>
      <c r="F42" s="39" t="s">
        <v>79</v>
      </c>
      <c r="G42" s="145"/>
      <c r="H42" s="146"/>
      <c r="I42" s="146"/>
      <c r="J42" s="14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5" t="s">
        <v>81</v>
      </c>
      <c r="C43" s="11"/>
      <c r="D43" s="12"/>
      <c r="F43" s="59" t="s">
        <v>82</v>
      </c>
      <c r="G43" s="95" t="s">
        <v>83</v>
      </c>
      <c r="H43" s="137" t="s">
        <v>13</v>
      </c>
      <c r="I43" s="138"/>
      <c r="J43" s="13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6"/>
      <c r="B44" s="27" t="s">
        <v>66</v>
      </c>
      <c r="C44" s="10">
        <v>14</v>
      </c>
      <c r="D44" s="12">
        <f>C44*120</f>
        <v>1680</v>
      </c>
      <c r="F44" s="37" t="s">
        <v>146</v>
      </c>
      <c r="G44" s="76" t="s">
        <v>163</v>
      </c>
      <c r="H44" s="140">
        <f>56380</f>
        <v>56380</v>
      </c>
      <c r="I44" s="140"/>
      <c r="J44" s="14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6"/>
      <c r="B45" s="27" t="s">
        <v>68</v>
      </c>
      <c r="C45" s="33">
        <v>1</v>
      </c>
      <c r="D45" s="12">
        <f>C45*84</f>
        <v>84</v>
      </c>
      <c r="F45" s="37" t="s">
        <v>146</v>
      </c>
      <c r="G45" s="76" t="s">
        <v>164</v>
      </c>
      <c r="H45" s="140">
        <v>62596</v>
      </c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70</v>
      </c>
      <c r="C46" s="81">
        <v>23</v>
      </c>
      <c r="D46" s="12">
        <f>C46*1.5</f>
        <v>34.5</v>
      </c>
      <c r="F46" s="37"/>
      <c r="G46" s="62"/>
      <c r="H46" s="141"/>
      <c r="I46" s="141"/>
      <c r="J46" s="141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66</v>
      </c>
      <c r="C48" s="10">
        <v>23</v>
      </c>
      <c r="D48" s="12">
        <f>C48*78</f>
        <v>1794</v>
      </c>
      <c r="F48" s="59"/>
      <c r="G48" s="59"/>
      <c r="H48" s="118"/>
      <c r="I48" s="119"/>
      <c r="J48" s="12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68</v>
      </c>
      <c r="C49" s="33"/>
      <c r="D49" s="12">
        <f>C49*42</f>
        <v>0</v>
      </c>
      <c r="F49" s="121" t="s">
        <v>86</v>
      </c>
      <c r="G49" s="123">
        <f>H34+H35+H36+H37+H38+H39+H40+H41+G42+H44+H45+H46</f>
        <v>155476</v>
      </c>
      <c r="H49" s="124"/>
      <c r="I49" s="124"/>
      <c r="J49" s="12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70</v>
      </c>
      <c r="C50" s="11"/>
      <c r="D50" s="12">
        <f>C50*1.5</f>
        <v>0</v>
      </c>
      <c r="F50" s="122"/>
      <c r="G50" s="126"/>
      <c r="H50" s="127"/>
      <c r="I50" s="127"/>
      <c r="J50" s="128"/>
      <c r="O50" t="s">
        <v>137</v>
      </c>
      <c r="P50" s="4">
        <v>1204</v>
      </c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138</v>
      </c>
      <c r="G51" s="131">
        <f>G49-H29</f>
        <v>37.5</v>
      </c>
      <c r="H51" s="132"/>
      <c r="I51" s="132"/>
      <c r="J51" s="1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6"/>
      <c r="B52" s="29"/>
      <c r="C52" s="33"/>
      <c r="D52" s="45"/>
      <c r="F52" s="130"/>
      <c r="G52" s="134"/>
      <c r="H52" s="135"/>
      <c r="I52" s="135"/>
      <c r="J52" s="1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1" t="s">
        <v>90</v>
      </c>
      <c r="B54" s="102"/>
      <c r="C54" s="103"/>
      <c r="D54" s="107">
        <f>SUM(D34:D53)</f>
        <v>50062.5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9" t="s">
        <v>91</v>
      </c>
      <c r="B58" s="110"/>
      <c r="C58" s="110"/>
      <c r="D58" s="111"/>
      <c r="F58" s="109" t="s">
        <v>92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D548D2-5E62-4EF4-9678-742BB9B8C58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7" t="s">
        <v>1</v>
      </c>
      <c r="O1" s="197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8" t="s">
        <v>7</v>
      </c>
      <c r="B4" s="149"/>
      <c r="C4" s="149"/>
      <c r="D4" s="150"/>
      <c r="F4" s="198" t="s">
        <v>8</v>
      </c>
      <c r="G4" s="200"/>
      <c r="H4" s="202" t="s">
        <v>9</v>
      </c>
      <c r="I4" s="204"/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3"/>
      <c r="B6" s="16"/>
      <c r="C6" s="10"/>
      <c r="D6" s="13">
        <f t="shared" ref="D6:D28" si="1">C6*L6</f>
        <v>0</v>
      </c>
      <c r="F6" s="208" t="s">
        <v>16</v>
      </c>
      <c r="G6" s="210"/>
      <c r="H6" s="211"/>
      <c r="I6" s="211"/>
      <c r="J6" s="21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3"/>
      <c r="B7" s="16"/>
      <c r="C7" s="10"/>
      <c r="D7" s="13">
        <f t="shared" si="1"/>
        <v>0</v>
      </c>
      <c r="F7" s="209"/>
      <c r="G7" s="213"/>
      <c r="H7" s="214"/>
      <c r="I7" s="214"/>
      <c r="J7" s="21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3"/>
      <c r="B8" s="16"/>
      <c r="C8" s="10"/>
      <c r="D8" s="13">
        <f t="shared" si="1"/>
        <v>0</v>
      </c>
      <c r="F8" s="216" t="s">
        <v>21</v>
      </c>
      <c r="G8" s="217"/>
      <c r="H8" s="218"/>
      <c r="I8" s="218"/>
      <c r="J8" s="21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3"/>
      <c r="B9" s="16"/>
      <c r="C9" s="10"/>
      <c r="D9" s="13">
        <f t="shared" si="1"/>
        <v>0</v>
      </c>
      <c r="F9" s="209"/>
      <c r="G9" s="220"/>
      <c r="H9" s="221"/>
      <c r="I9" s="221"/>
      <c r="J9" s="22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3"/>
      <c r="C10" s="10"/>
      <c r="D10" s="13">
        <f t="shared" si="1"/>
        <v>0</v>
      </c>
      <c r="F10" s="208" t="s">
        <v>26</v>
      </c>
      <c r="G10" s="223"/>
      <c r="H10" s="224"/>
      <c r="I10" s="224"/>
      <c r="J10" s="225"/>
      <c r="K10" s="8"/>
      <c r="L10" s="6">
        <f>R36</f>
        <v>972</v>
      </c>
      <c r="P10" s="4"/>
      <c r="Q10" s="4"/>
      <c r="R10" s="5"/>
    </row>
    <row r="11" spans="1:19" ht="15.75" x14ac:dyDescent="0.25">
      <c r="A11" s="143"/>
      <c r="B11" s="17"/>
      <c r="C11" s="10"/>
      <c r="D11" s="13">
        <f t="shared" si="1"/>
        <v>0</v>
      </c>
      <c r="F11" s="209"/>
      <c r="G11" s="220"/>
      <c r="H11" s="221"/>
      <c r="I11" s="221"/>
      <c r="J11" s="22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3"/>
      <c r="B12" s="17"/>
      <c r="C12" s="10"/>
      <c r="D12" s="48">
        <f t="shared" si="1"/>
        <v>0</v>
      </c>
      <c r="F12" s="226" t="s">
        <v>33</v>
      </c>
      <c r="G12" s="227"/>
      <c r="H12" s="227"/>
      <c r="I12" s="227"/>
      <c r="J12" s="22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3"/>
      <c r="B13" s="17"/>
      <c r="C13" s="10"/>
      <c r="D13" s="48">
        <f t="shared" si="1"/>
        <v>0</v>
      </c>
      <c r="F13" s="229" t="s">
        <v>36</v>
      </c>
      <c r="G13" s="19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3"/>
      <c r="B14" s="14"/>
      <c r="C14" s="10"/>
      <c r="D14" s="31">
        <f t="shared" si="1"/>
        <v>0</v>
      </c>
      <c r="F14" s="187" t="s">
        <v>39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3"/>
      <c r="B15" s="14"/>
      <c r="C15" s="10"/>
      <c r="D15" s="31">
        <f t="shared" si="1"/>
        <v>0</v>
      </c>
      <c r="F15" s="192" t="s">
        <v>40</v>
      </c>
      <c r="G15" s="193"/>
      <c r="H15" s="194">
        <f>H13-H14</f>
        <v>0</v>
      </c>
      <c r="I15" s="195"/>
      <c r="J15" s="19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4"/>
      <c r="I16" s="154"/>
      <c r="J16" s="15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C17" s="10"/>
      <c r="D17" s="48">
        <f t="shared" si="1"/>
        <v>0</v>
      </c>
      <c r="F17" s="56"/>
      <c r="G17" s="66" t="s">
        <v>45</v>
      </c>
      <c r="H17" s="165"/>
      <c r="I17" s="165"/>
      <c r="J17" s="16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/>
      <c r="C18" s="10"/>
      <c r="D18" s="48">
        <f t="shared" si="1"/>
        <v>0</v>
      </c>
      <c r="F18" s="56"/>
      <c r="G18" s="66" t="s">
        <v>47</v>
      </c>
      <c r="H18" s="165"/>
      <c r="I18" s="165"/>
      <c r="J18" s="16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/>
      <c r="C19" s="10"/>
      <c r="D19" s="48">
        <f t="shared" si="1"/>
        <v>0</v>
      </c>
      <c r="F19" s="56"/>
      <c r="G19" s="68" t="s">
        <v>50</v>
      </c>
      <c r="H19" s="166"/>
      <c r="I19" s="166"/>
      <c r="J19" s="1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3"/>
      <c r="B20" s="46"/>
      <c r="C20" s="10"/>
      <c r="D20" s="13">
        <f t="shared" si="1"/>
        <v>0</v>
      </c>
      <c r="F20" s="57"/>
      <c r="G20" s="70" t="s">
        <v>117</v>
      </c>
      <c r="H20" s="154"/>
      <c r="I20" s="154"/>
      <c r="J20" s="15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7" t="s">
        <v>13</v>
      </c>
      <c r="I21" s="168"/>
      <c r="J21" s="16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3"/>
      <c r="B22" s="46"/>
      <c r="C22" s="10"/>
      <c r="D22" s="48">
        <f t="shared" si="1"/>
        <v>0</v>
      </c>
      <c r="F22" s="77"/>
      <c r="G22" s="73"/>
      <c r="H22" s="170"/>
      <c r="I22" s="170"/>
      <c r="J22" s="17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/>
      <c r="C23" s="10"/>
      <c r="D23" s="48">
        <f t="shared" si="1"/>
        <v>0</v>
      </c>
      <c r="F23" s="78"/>
      <c r="G23" s="79"/>
      <c r="H23" s="171"/>
      <c r="I23" s="140"/>
      <c r="J23" s="14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/>
      <c r="C24" s="10"/>
      <c r="D24" s="48">
        <f t="shared" si="1"/>
        <v>0</v>
      </c>
      <c r="F24" s="38"/>
      <c r="G24" s="37"/>
      <c r="H24" s="171"/>
      <c r="I24" s="140"/>
      <c r="J24" s="14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2" t="s">
        <v>13</v>
      </c>
      <c r="I25" s="173"/>
      <c r="J25" s="17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/>
      <c r="C26" s="10"/>
      <c r="D26" s="48">
        <f t="shared" si="1"/>
        <v>0</v>
      </c>
      <c r="F26" s="64"/>
      <c r="G26" s="59"/>
      <c r="H26" s="175"/>
      <c r="I26" s="176"/>
      <c r="J26" s="17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3"/>
      <c r="B27" s="14"/>
      <c r="C27" s="10"/>
      <c r="D27" s="44">
        <f t="shared" si="1"/>
        <v>0</v>
      </c>
      <c r="F27" s="25"/>
      <c r="G27" s="80"/>
      <c r="H27" s="178"/>
      <c r="I27" s="179"/>
      <c r="J27" s="18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/>
      <c r="C28" s="10"/>
      <c r="D28" s="48">
        <f t="shared" si="1"/>
        <v>0</v>
      </c>
      <c r="F28" s="92"/>
      <c r="G28" s="61"/>
      <c r="H28" s="181"/>
      <c r="I28" s="182"/>
      <c r="J28" s="18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5" t="s">
        <v>36</v>
      </c>
      <c r="B29" s="156"/>
      <c r="C29" s="157"/>
      <c r="D29" s="161">
        <f>SUM(D6:D28)</f>
        <v>0</v>
      </c>
      <c r="F29" s="101" t="s">
        <v>55</v>
      </c>
      <c r="G29" s="163"/>
      <c r="H29" s="123">
        <f>H15-H16-H17-H18-H19-H20-H22-H23-H24+H26+H27</f>
        <v>0</v>
      </c>
      <c r="I29" s="124"/>
      <c r="J29" s="12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8" t="s">
        <v>58</v>
      </c>
      <c r="B32" s="149"/>
      <c r="C32" s="149"/>
      <c r="D32" s="150"/>
      <c r="F32" s="151" t="s">
        <v>59</v>
      </c>
      <c r="G32" s="152"/>
      <c r="H32" s="152"/>
      <c r="I32" s="152"/>
      <c r="J32" s="15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51" t="s">
        <v>13</v>
      </c>
      <c r="I33" s="152"/>
      <c r="J33" s="15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5"/>
      <c r="I34" s="146"/>
      <c r="J34" s="14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3"/>
      <c r="B35" s="27" t="s">
        <v>68</v>
      </c>
      <c r="C35" s="52"/>
      <c r="D35" s="30">
        <f>C35*84</f>
        <v>0</v>
      </c>
      <c r="F35" s="58">
        <v>500</v>
      </c>
      <c r="G35" s="41"/>
      <c r="H35" s="145"/>
      <c r="I35" s="146"/>
      <c r="J35" s="14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70</v>
      </c>
      <c r="C36" s="10"/>
      <c r="D36" s="12">
        <f>C36*1.5</f>
        <v>0</v>
      </c>
      <c r="F36" s="12">
        <v>200</v>
      </c>
      <c r="G36" s="37"/>
      <c r="H36" s="145"/>
      <c r="I36" s="146"/>
      <c r="J36" s="14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5"/>
      <c r="I37" s="146"/>
      <c r="J37" s="14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3"/>
      <c r="B38" s="29" t="s">
        <v>68</v>
      </c>
      <c r="C38" s="54"/>
      <c r="D38" s="12">
        <f>C38*84</f>
        <v>0</v>
      </c>
      <c r="F38" s="30">
        <v>50</v>
      </c>
      <c r="G38" s="39"/>
      <c r="H38" s="145"/>
      <c r="I38" s="146"/>
      <c r="J38" s="14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4"/>
      <c r="B39" s="29" t="s">
        <v>70</v>
      </c>
      <c r="C39" s="52"/>
      <c r="D39" s="31">
        <f>C39*4.5</f>
        <v>0</v>
      </c>
      <c r="F39" s="12">
        <v>20</v>
      </c>
      <c r="G39" s="37"/>
      <c r="H39" s="145"/>
      <c r="I39" s="146"/>
      <c r="J39" s="14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5"/>
      <c r="I40" s="146"/>
      <c r="J40" s="14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3"/>
      <c r="B41" s="27" t="s">
        <v>68</v>
      </c>
      <c r="C41" s="10"/>
      <c r="D41" s="12">
        <f>C41*84</f>
        <v>0</v>
      </c>
      <c r="F41" s="12">
        <v>5</v>
      </c>
      <c r="G41" s="42"/>
      <c r="H41" s="145"/>
      <c r="I41" s="146"/>
      <c r="J41" s="14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4"/>
      <c r="B42" s="27" t="s">
        <v>70</v>
      </c>
      <c r="C42" s="11"/>
      <c r="D42" s="12">
        <f>C42*2.25</f>
        <v>0</v>
      </c>
      <c r="F42" s="39" t="s">
        <v>79</v>
      </c>
      <c r="G42" s="145"/>
      <c r="H42" s="146"/>
      <c r="I42" s="146"/>
      <c r="J42" s="14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5" t="s">
        <v>81</v>
      </c>
      <c r="C43" s="11"/>
      <c r="D43" s="12"/>
      <c r="F43" s="59" t="s">
        <v>82</v>
      </c>
      <c r="G43" s="95" t="s">
        <v>83</v>
      </c>
      <c r="H43" s="137" t="s">
        <v>13</v>
      </c>
      <c r="I43" s="138"/>
      <c r="J43" s="139"/>
      <c r="K43" s="21"/>
      <c r="P43" s="4"/>
      <c r="Q43" s="4"/>
      <c r="R43" s="5"/>
    </row>
    <row r="44" spans="1:18" ht="15.75" x14ac:dyDescent="0.25">
      <c r="A44" s="116"/>
      <c r="B44" s="27" t="s">
        <v>66</v>
      </c>
      <c r="C44" s="10"/>
      <c r="D44" s="12">
        <f>C44*120</f>
        <v>0</v>
      </c>
      <c r="F44" s="37"/>
      <c r="G44" s="76"/>
      <c r="H44" s="140"/>
      <c r="I44" s="140"/>
      <c r="J44" s="140"/>
      <c r="K44" s="21"/>
      <c r="P44" s="4"/>
      <c r="Q44" s="4"/>
      <c r="R44" s="5"/>
    </row>
    <row r="45" spans="1:18" ht="15.75" x14ac:dyDescent="0.25">
      <c r="A45" s="116"/>
      <c r="B45" s="27" t="s">
        <v>68</v>
      </c>
      <c r="C45" s="33"/>
      <c r="D45" s="12">
        <f>C45*84</f>
        <v>0</v>
      </c>
      <c r="F45" s="37"/>
      <c r="G45" s="76"/>
      <c r="H45" s="140"/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70</v>
      </c>
      <c r="C46" s="81"/>
      <c r="D46" s="12">
        <f>C46*1.5</f>
        <v>0</v>
      </c>
      <c r="F46" s="37"/>
      <c r="G46" s="62"/>
      <c r="H46" s="141"/>
      <c r="I46" s="141"/>
      <c r="J46" s="141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66</v>
      </c>
      <c r="C48" s="10"/>
      <c r="D48" s="12">
        <f>C48*78</f>
        <v>0</v>
      </c>
      <c r="F48" s="59"/>
      <c r="G48" s="59"/>
      <c r="H48" s="118"/>
      <c r="I48" s="119"/>
      <c r="J48" s="12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68</v>
      </c>
      <c r="C49" s="33"/>
      <c r="D49" s="12">
        <f>C49*42</f>
        <v>0</v>
      </c>
      <c r="F49" s="121" t="s">
        <v>86</v>
      </c>
      <c r="G49" s="123">
        <f>H34+H35+H36+H37+H38+H39+H40+H41+G42+H44+H45+H46</f>
        <v>0</v>
      </c>
      <c r="H49" s="124"/>
      <c r="I49" s="124"/>
      <c r="J49" s="12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70</v>
      </c>
      <c r="C50" s="11"/>
      <c r="D50" s="12">
        <f>C50*1.5</f>
        <v>0</v>
      </c>
      <c r="F50" s="122"/>
      <c r="G50" s="126"/>
      <c r="H50" s="127"/>
      <c r="I50" s="127"/>
      <c r="J50" s="128"/>
      <c r="P50" s="4"/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125</v>
      </c>
      <c r="G51" s="131">
        <f>G49-H29</f>
        <v>0</v>
      </c>
      <c r="H51" s="132"/>
      <c r="I51" s="132"/>
      <c r="J51" s="13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6"/>
      <c r="B52" s="29"/>
      <c r="C52" s="33"/>
      <c r="D52" s="45"/>
      <c r="F52" s="130"/>
      <c r="G52" s="134"/>
      <c r="H52" s="135"/>
      <c r="I52" s="135"/>
      <c r="J52" s="1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1" t="s">
        <v>90</v>
      </c>
      <c r="B54" s="102"/>
      <c r="C54" s="103"/>
      <c r="D54" s="107">
        <f>SUM(D34:D53)</f>
        <v>0</v>
      </c>
      <c r="F54" s="21"/>
      <c r="J54" s="34"/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9" t="s">
        <v>91</v>
      </c>
      <c r="B58" s="110"/>
      <c r="C58" s="110"/>
      <c r="D58" s="111"/>
      <c r="F58" s="109" t="s">
        <v>92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B45898-602E-4C6C-9CB2-9AAE25C4E44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7" t="s">
        <v>1</v>
      </c>
      <c r="O1" s="197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98" t="s">
        <v>8</v>
      </c>
      <c r="G4" s="200">
        <v>1</v>
      </c>
      <c r="H4" s="202" t="s">
        <v>9</v>
      </c>
      <c r="I4" s="204">
        <v>46059</v>
      </c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84">
        <v>57</v>
      </c>
      <c r="D6" s="13">
        <f t="shared" ref="D6:D28" si="1">C6*L6</f>
        <v>43377</v>
      </c>
      <c r="F6" s="208" t="s">
        <v>16</v>
      </c>
      <c r="G6" s="210" t="s">
        <v>111</v>
      </c>
      <c r="H6" s="211"/>
      <c r="I6" s="211"/>
      <c r="J6" s="2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84">
        <v>25</v>
      </c>
      <c r="D7" s="13">
        <f t="shared" si="1"/>
        <v>19525</v>
      </c>
      <c r="F7" s="209"/>
      <c r="G7" s="213"/>
      <c r="H7" s="214"/>
      <c r="I7" s="214"/>
      <c r="J7" s="2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84">
        <v>10</v>
      </c>
      <c r="D8" s="13">
        <f t="shared" si="1"/>
        <v>10930</v>
      </c>
      <c r="F8" s="216" t="s">
        <v>21</v>
      </c>
      <c r="G8" s="217" t="s">
        <v>144</v>
      </c>
      <c r="H8" s="218"/>
      <c r="I8" s="218"/>
      <c r="J8" s="21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84">
        <v>7</v>
      </c>
      <c r="D9" s="13">
        <f t="shared" si="1"/>
        <v>5131</v>
      </c>
      <c r="F9" s="209"/>
      <c r="G9" s="220"/>
      <c r="H9" s="221"/>
      <c r="I9" s="221"/>
      <c r="J9" s="22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84"/>
      <c r="D10" s="13">
        <f t="shared" si="1"/>
        <v>0</v>
      </c>
      <c r="F10" s="208" t="s">
        <v>26</v>
      </c>
      <c r="G10" s="223" t="s">
        <v>127</v>
      </c>
      <c r="H10" s="224"/>
      <c r="I10" s="224"/>
      <c r="J10" s="225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84"/>
      <c r="D11" s="13">
        <f t="shared" si="1"/>
        <v>0</v>
      </c>
      <c r="F11" s="209"/>
      <c r="G11" s="220"/>
      <c r="H11" s="221"/>
      <c r="I11" s="221"/>
      <c r="J11" s="22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84">
        <f>50+5</f>
        <v>55</v>
      </c>
      <c r="D12" s="48">
        <f t="shared" si="1"/>
        <v>54560</v>
      </c>
      <c r="F12" s="226" t="s">
        <v>33</v>
      </c>
      <c r="G12" s="227"/>
      <c r="H12" s="227"/>
      <c r="I12" s="227"/>
      <c r="J12" s="22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84">
        <v>2</v>
      </c>
      <c r="D13" s="48">
        <f t="shared" si="1"/>
        <v>614</v>
      </c>
      <c r="F13" s="229" t="s">
        <v>36</v>
      </c>
      <c r="G13" s="193"/>
      <c r="H13" s="184">
        <f>D29</f>
        <v>175949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84">
        <v>11</v>
      </c>
      <c r="D14" s="31">
        <f t="shared" si="1"/>
        <v>121</v>
      </c>
      <c r="F14" s="187" t="s">
        <v>39</v>
      </c>
      <c r="G14" s="188"/>
      <c r="H14" s="189">
        <f>D54</f>
        <v>27286.5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38</v>
      </c>
      <c r="C15" s="84">
        <v>5</v>
      </c>
      <c r="D15" s="31">
        <f t="shared" si="1"/>
        <v>3100</v>
      </c>
      <c r="F15" s="192" t="s">
        <v>40</v>
      </c>
      <c r="G15" s="193"/>
      <c r="H15" s="194">
        <f>H13-H14</f>
        <v>148662.5</v>
      </c>
      <c r="I15" s="195"/>
      <c r="J15" s="19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94</v>
      </c>
      <c r="C16" s="84">
        <v>1</v>
      </c>
      <c r="D16" s="48">
        <f t="shared" si="1"/>
        <v>1702</v>
      </c>
      <c r="F16" s="67" t="s">
        <v>42</v>
      </c>
      <c r="G16" s="66" t="s">
        <v>43</v>
      </c>
      <c r="H16" s="154"/>
      <c r="I16" s="154"/>
      <c r="J16" s="15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t="s">
        <v>168</v>
      </c>
      <c r="C17" s="84">
        <v>1</v>
      </c>
      <c r="D17" s="48">
        <f t="shared" si="1"/>
        <v>1582</v>
      </c>
      <c r="F17" s="56"/>
      <c r="G17" s="66" t="s">
        <v>45</v>
      </c>
      <c r="H17" s="165"/>
      <c r="I17" s="165"/>
      <c r="J17" s="16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 t="s">
        <v>95</v>
      </c>
      <c r="C18" s="84">
        <v>10</v>
      </c>
      <c r="D18" s="48">
        <f t="shared" si="1"/>
        <v>6200</v>
      </c>
      <c r="F18" s="56"/>
      <c r="G18" s="66" t="s">
        <v>47</v>
      </c>
      <c r="H18" s="165"/>
      <c r="I18" s="165"/>
      <c r="J18" s="16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 t="s">
        <v>129</v>
      </c>
      <c r="C19" s="84">
        <v>2</v>
      </c>
      <c r="D19" s="48">
        <f t="shared" si="1"/>
        <v>2204</v>
      </c>
      <c r="F19" s="56"/>
      <c r="G19" s="68" t="s">
        <v>50</v>
      </c>
      <c r="H19" s="165"/>
      <c r="I19" s="165"/>
      <c r="J19" s="165"/>
      <c r="L19" s="6">
        <v>1102</v>
      </c>
      <c r="Q19" s="4"/>
      <c r="R19" s="5">
        <f t="shared" si="0"/>
        <v>0</v>
      </c>
    </row>
    <row r="20" spans="1:18" ht="15.75" x14ac:dyDescent="0.25">
      <c r="A20" s="143"/>
      <c r="B20" s="83" t="s">
        <v>122</v>
      </c>
      <c r="C20" s="84">
        <f>2+5</f>
        <v>7</v>
      </c>
      <c r="D20" s="13">
        <f t="shared" si="1"/>
        <v>8225</v>
      </c>
      <c r="F20" s="57"/>
      <c r="G20" s="70" t="s">
        <v>117</v>
      </c>
      <c r="H20" s="154"/>
      <c r="I20" s="154"/>
      <c r="J20" s="15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3"/>
      <c r="B21" s="14" t="s">
        <v>131</v>
      </c>
      <c r="C21" s="84">
        <f>5+1</f>
        <v>6</v>
      </c>
      <c r="D21" s="48">
        <f t="shared" si="1"/>
        <v>3900</v>
      </c>
      <c r="F21" s="69" t="s">
        <v>99</v>
      </c>
      <c r="G21" s="82" t="s">
        <v>98</v>
      </c>
      <c r="H21" s="167" t="s">
        <v>13</v>
      </c>
      <c r="I21" s="168"/>
      <c r="J21" s="16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124</v>
      </c>
      <c r="C22" s="84"/>
      <c r="D22" s="48">
        <f t="shared" si="1"/>
        <v>0</v>
      </c>
      <c r="F22" s="77"/>
      <c r="G22" s="73"/>
      <c r="H22" s="170"/>
      <c r="I22" s="170"/>
      <c r="J22" s="17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00" t="s">
        <v>169</v>
      </c>
      <c r="C23" s="84">
        <f>2+2</f>
        <v>4</v>
      </c>
      <c r="D23" s="48">
        <f t="shared" si="1"/>
        <v>6668</v>
      </c>
      <c r="F23" s="77"/>
      <c r="G23" s="79"/>
      <c r="H23" s="236"/>
      <c r="I23" s="237"/>
      <c r="J23" s="23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118</v>
      </c>
      <c r="C24" s="84"/>
      <c r="D24" s="48">
        <f t="shared" si="1"/>
        <v>0</v>
      </c>
      <c r="F24" s="77"/>
      <c r="G24" s="79"/>
      <c r="H24" s="236"/>
      <c r="I24" s="237"/>
      <c r="J24" s="23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72" t="s">
        <v>13</v>
      </c>
      <c r="I25" s="173"/>
      <c r="J25" s="17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132</v>
      </c>
      <c r="C26" s="84"/>
      <c r="D26" s="48">
        <f t="shared" si="1"/>
        <v>0</v>
      </c>
      <c r="F26" s="75"/>
      <c r="G26" s="65"/>
      <c r="H26" s="140"/>
      <c r="I26" s="140"/>
      <c r="J26" s="14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110</v>
      </c>
      <c r="C27" s="84"/>
      <c r="D27" s="44">
        <f t="shared" si="1"/>
        <v>0</v>
      </c>
      <c r="F27" s="71"/>
      <c r="G27" s="95"/>
      <c r="H27" s="238"/>
      <c r="I27" s="239"/>
      <c r="J27" s="23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97</v>
      </c>
      <c r="C28" s="84">
        <v>10</v>
      </c>
      <c r="D28" s="48">
        <f t="shared" si="1"/>
        <v>8110</v>
      </c>
      <c r="F28" s="92"/>
      <c r="G28" s="61"/>
      <c r="H28" s="181"/>
      <c r="I28" s="182"/>
      <c r="J28" s="18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175949</v>
      </c>
      <c r="F29" s="101" t="s">
        <v>55</v>
      </c>
      <c r="G29" s="163"/>
      <c r="H29" s="123">
        <f>H15-H16-H17-H18-H19-H20-H22-H23-H24+H26+H27+H28</f>
        <v>148662.5</v>
      </c>
      <c r="I29" s="124"/>
      <c r="J29" s="12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58</v>
      </c>
      <c r="B32" s="149"/>
      <c r="C32" s="149"/>
      <c r="D32" s="150"/>
      <c r="F32" s="151" t="s">
        <v>59</v>
      </c>
      <c r="G32" s="152"/>
      <c r="H32" s="152"/>
      <c r="I32" s="152"/>
      <c r="J32" s="15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51" t="s">
        <v>13</v>
      </c>
      <c r="I33" s="152"/>
      <c r="J33" s="15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40</v>
      </c>
      <c r="H34" s="145">
        <f t="shared" ref="H34:H39" si="2">F34*G34</f>
        <v>40000</v>
      </c>
      <c r="I34" s="146"/>
      <c r="J34" s="14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68</v>
      </c>
      <c r="C35" s="52">
        <v>7</v>
      </c>
      <c r="D35" s="30">
        <f>C35*84</f>
        <v>588</v>
      </c>
      <c r="F35" s="58">
        <v>500</v>
      </c>
      <c r="G35" s="41">
        <v>1</v>
      </c>
      <c r="H35" s="145">
        <f t="shared" si="2"/>
        <v>500</v>
      </c>
      <c r="I35" s="146"/>
      <c r="J35" s="14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70</v>
      </c>
      <c r="C36" s="10"/>
      <c r="D36" s="12">
        <f>C36*1.5</f>
        <v>0</v>
      </c>
      <c r="F36" s="12">
        <v>200</v>
      </c>
      <c r="G36" s="37"/>
      <c r="H36" s="145">
        <f t="shared" si="2"/>
        <v>0</v>
      </c>
      <c r="I36" s="146"/>
      <c r="J36" s="14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72</v>
      </c>
      <c r="B37" s="28" t="s">
        <v>66</v>
      </c>
      <c r="C37" s="53">
        <v>69</v>
      </c>
      <c r="D37" s="12">
        <f>C37*111</f>
        <v>7659</v>
      </c>
      <c r="F37" s="12">
        <v>100</v>
      </c>
      <c r="G37" s="39">
        <v>3</v>
      </c>
      <c r="H37" s="145">
        <f t="shared" si="2"/>
        <v>300</v>
      </c>
      <c r="I37" s="146"/>
      <c r="J37" s="14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68</v>
      </c>
      <c r="C38" s="54">
        <v>158</v>
      </c>
      <c r="D38" s="12">
        <f>C38*84</f>
        <v>13272</v>
      </c>
      <c r="F38" s="30">
        <v>50</v>
      </c>
      <c r="G38" s="39">
        <v>2</v>
      </c>
      <c r="H38" s="145">
        <f t="shared" si="2"/>
        <v>100</v>
      </c>
      <c r="I38" s="146"/>
      <c r="J38" s="14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45">
        <f t="shared" si="2"/>
        <v>0</v>
      </c>
      <c r="I39" s="146"/>
      <c r="J39" s="14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45"/>
      <c r="I40" s="146"/>
      <c r="J40" s="14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68</v>
      </c>
      <c r="C41" s="10">
        <v>14</v>
      </c>
      <c r="D41" s="12">
        <f>C41*84</f>
        <v>1176</v>
      </c>
      <c r="F41" s="12">
        <v>5</v>
      </c>
      <c r="G41" s="42"/>
      <c r="H41" s="145"/>
      <c r="I41" s="146"/>
      <c r="J41" s="14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70</v>
      </c>
      <c r="C42" s="11"/>
      <c r="D42" s="12">
        <f>C42*2.25</f>
        <v>0</v>
      </c>
      <c r="F42" s="39" t="s">
        <v>79</v>
      </c>
      <c r="G42" s="145">
        <v>128</v>
      </c>
      <c r="H42" s="146"/>
      <c r="I42" s="146"/>
      <c r="J42" s="14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5" t="s">
        <v>81</v>
      </c>
      <c r="C43" s="11"/>
      <c r="D43" s="12"/>
      <c r="F43" s="59" t="s">
        <v>82</v>
      </c>
      <c r="G43" s="95" t="s">
        <v>83</v>
      </c>
      <c r="H43" s="137" t="s">
        <v>13</v>
      </c>
      <c r="I43" s="138"/>
      <c r="J43" s="13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6"/>
      <c r="B44" s="27" t="s">
        <v>66</v>
      </c>
      <c r="C44" s="10"/>
      <c r="D44" s="12">
        <f>C44*120</f>
        <v>0</v>
      </c>
      <c r="F44" s="37" t="s">
        <v>145</v>
      </c>
      <c r="G44" s="62" t="s">
        <v>170</v>
      </c>
      <c r="H44" s="140">
        <v>107519</v>
      </c>
      <c r="I44" s="140"/>
      <c r="J44" s="14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6"/>
      <c r="B45" s="27" t="s">
        <v>68</v>
      </c>
      <c r="C45" s="33">
        <v>46</v>
      </c>
      <c r="D45" s="12">
        <f>C45*84</f>
        <v>3864</v>
      </c>
      <c r="F45" s="37"/>
      <c r="G45" s="62"/>
      <c r="H45" s="140"/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70</v>
      </c>
      <c r="C46" s="81"/>
      <c r="D46" s="12">
        <f>C46*1.5</f>
        <v>0</v>
      </c>
      <c r="F46" s="37"/>
      <c r="G46" s="62"/>
      <c r="H46" s="140"/>
      <c r="I46" s="140"/>
      <c r="J46" s="140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18"/>
      <c r="I48" s="119"/>
      <c r="J48" s="12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68</v>
      </c>
      <c r="C49" s="33"/>
      <c r="D49" s="12">
        <f>C49*42</f>
        <v>0</v>
      </c>
      <c r="F49" s="121" t="s">
        <v>86</v>
      </c>
      <c r="G49" s="123">
        <f>H34+H35+H36+H37+H38+H39+H40+H41+G42+H44+H45+H46</f>
        <v>148547</v>
      </c>
      <c r="H49" s="124"/>
      <c r="I49" s="124"/>
      <c r="J49" s="12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70</v>
      </c>
      <c r="C50" s="11">
        <v>8</v>
      </c>
      <c r="D50" s="12">
        <f>C50*1.5</f>
        <v>12</v>
      </c>
      <c r="F50" s="122"/>
      <c r="G50" s="126"/>
      <c r="H50" s="127"/>
      <c r="I50" s="127"/>
      <c r="J50" s="128"/>
      <c r="O50" t="s">
        <v>137</v>
      </c>
      <c r="P50" s="4">
        <v>1204</v>
      </c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128</v>
      </c>
      <c r="G51" s="230">
        <f>G49-H29</f>
        <v>-115.5</v>
      </c>
      <c r="H51" s="231"/>
      <c r="I51" s="231"/>
      <c r="J51" s="23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6"/>
      <c r="B52" s="29"/>
      <c r="C52" s="33"/>
      <c r="D52" s="45"/>
      <c r="F52" s="130"/>
      <c r="G52" s="233"/>
      <c r="H52" s="234"/>
      <c r="I52" s="234"/>
      <c r="J52" s="23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1" t="s">
        <v>90</v>
      </c>
      <c r="B54" s="102"/>
      <c r="C54" s="103"/>
      <c r="D54" s="107">
        <f>SUM(D34:D53)</f>
        <v>27286.5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9" t="s">
        <v>91</v>
      </c>
      <c r="B58" s="110"/>
      <c r="C58" s="110"/>
      <c r="D58" s="111"/>
      <c r="F58" s="109" t="s">
        <v>92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3655A5-1EBA-4D70-9673-427504D1E59F}">
  <dimension ref="A1:R59"/>
  <sheetViews>
    <sheetView topLeftCell="A13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7" t="s">
        <v>1</v>
      </c>
      <c r="O1" s="197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98" t="s">
        <v>8</v>
      </c>
      <c r="G4" s="200">
        <v>2</v>
      </c>
      <c r="H4" s="202" t="s">
        <v>9</v>
      </c>
      <c r="I4" s="204">
        <v>46059</v>
      </c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10">
        <v>180</v>
      </c>
      <c r="D6" s="13">
        <f t="shared" ref="D6:D28" si="1">C6*L6</f>
        <v>136980</v>
      </c>
      <c r="F6" s="208" t="s">
        <v>16</v>
      </c>
      <c r="G6" s="210" t="s">
        <v>126</v>
      </c>
      <c r="H6" s="211"/>
      <c r="I6" s="211"/>
      <c r="J6" s="2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10">
        <v>7</v>
      </c>
      <c r="D7" s="13">
        <f t="shared" si="1"/>
        <v>5467</v>
      </c>
      <c r="F7" s="209"/>
      <c r="G7" s="213"/>
      <c r="H7" s="214"/>
      <c r="I7" s="214"/>
      <c r="J7" s="2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10"/>
      <c r="D8" s="13">
        <f t="shared" si="1"/>
        <v>0</v>
      </c>
      <c r="F8" s="216" t="s">
        <v>21</v>
      </c>
      <c r="G8" s="217" t="s">
        <v>113</v>
      </c>
      <c r="H8" s="218"/>
      <c r="I8" s="218"/>
      <c r="J8" s="21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10">
        <v>54</v>
      </c>
      <c r="D9" s="13">
        <f t="shared" si="1"/>
        <v>39582</v>
      </c>
      <c r="F9" s="209"/>
      <c r="G9" s="220"/>
      <c r="H9" s="221"/>
      <c r="I9" s="221"/>
      <c r="J9" s="22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10">
        <v>1</v>
      </c>
      <c r="D10" s="13">
        <f t="shared" si="1"/>
        <v>1032</v>
      </c>
      <c r="F10" s="208" t="s">
        <v>26</v>
      </c>
      <c r="G10" s="223" t="s">
        <v>114</v>
      </c>
      <c r="H10" s="224"/>
      <c r="I10" s="224"/>
      <c r="J10" s="225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10"/>
      <c r="D11" s="13">
        <f t="shared" si="1"/>
        <v>0</v>
      </c>
      <c r="F11" s="209"/>
      <c r="G11" s="220"/>
      <c r="H11" s="221"/>
      <c r="I11" s="221"/>
      <c r="J11" s="22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10">
        <v>5</v>
      </c>
      <c r="D12" s="48">
        <f t="shared" si="1"/>
        <v>4960</v>
      </c>
      <c r="F12" s="226" t="s">
        <v>33</v>
      </c>
      <c r="G12" s="227"/>
      <c r="H12" s="227"/>
      <c r="I12" s="227"/>
      <c r="J12" s="22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10">
        <v>7</v>
      </c>
      <c r="D13" s="48">
        <f t="shared" si="1"/>
        <v>2149</v>
      </c>
      <c r="F13" s="229" t="s">
        <v>36</v>
      </c>
      <c r="G13" s="193"/>
      <c r="H13" s="184">
        <f>D29</f>
        <v>191902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10">
        <v>10</v>
      </c>
      <c r="D14" s="31">
        <f t="shared" si="1"/>
        <v>110</v>
      </c>
      <c r="F14" s="187" t="s">
        <v>39</v>
      </c>
      <c r="G14" s="188"/>
      <c r="H14" s="189">
        <f>D54</f>
        <v>27573.75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38</v>
      </c>
      <c r="C15" s="10"/>
      <c r="D15" s="31">
        <f t="shared" si="1"/>
        <v>0</v>
      </c>
      <c r="F15" s="192" t="s">
        <v>40</v>
      </c>
      <c r="G15" s="193"/>
      <c r="H15" s="194">
        <f>H13-H14</f>
        <v>164328.25</v>
      </c>
      <c r="I15" s="195"/>
      <c r="J15" s="19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4"/>
      <c r="I16" s="154"/>
      <c r="J16" s="15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t="s">
        <v>93</v>
      </c>
      <c r="C17" s="10"/>
      <c r="D17" s="48">
        <f t="shared" si="1"/>
        <v>0</v>
      </c>
      <c r="F17" s="56"/>
      <c r="G17" s="66" t="s">
        <v>45</v>
      </c>
      <c r="H17" s="165"/>
      <c r="I17" s="165"/>
      <c r="J17" s="16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5"/>
      <c r="I18" s="165"/>
      <c r="J18" s="16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54">
        <v>20</v>
      </c>
      <c r="I19" s="154"/>
      <c r="J19" s="1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3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3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7" t="s">
        <v>13</v>
      </c>
      <c r="I21" s="168"/>
      <c r="J21" s="16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104</v>
      </c>
      <c r="C22" s="10"/>
      <c r="D22" s="48">
        <f t="shared" si="1"/>
        <v>0</v>
      </c>
      <c r="F22" s="72"/>
      <c r="G22" s="73"/>
      <c r="H22" s="170"/>
      <c r="I22" s="170"/>
      <c r="J22" s="17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107</v>
      </c>
      <c r="C23" s="10"/>
      <c r="D23" s="48">
        <f t="shared" si="1"/>
        <v>0</v>
      </c>
      <c r="F23" s="25"/>
      <c r="G23" s="37"/>
      <c r="H23" s="171"/>
      <c r="I23" s="140"/>
      <c r="J23" s="14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120</v>
      </c>
      <c r="C24" s="10"/>
      <c r="D24" s="48">
        <f t="shared" si="1"/>
        <v>0</v>
      </c>
      <c r="F24" s="38"/>
      <c r="G24" s="37"/>
      <c r="H24" s="171"/>
      <c r="I24" s="140"/>
      <c r="J24" s="14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2" t="s">
        <v>13</v>
      </c>
      <c r="I25" s="173"/>
      <c r="J25" s="17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105</v>
      </c>
      <c r="C26" s="10"/>
      <c r="D26" s="48">
        <f t="shared" si="1"/>
        <v>0</v>
      </c>
      <c r="F26" s="64"/>
      <c r="G26" s="10"/>
      <c r="H26" s="175"/>
      <c r="I26" s="176"/>
      <c r="J26" s="17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109</v>
      </c>
      <c r="C27" s="10"/>
      <c r="D27" s="44">
        <f t="shared" si="1"/>
        <v>0</v>
      </c>
      <c r="F27" s="14"/>
      <c r="G27" s="14"/>
      <c r="H27" s="178"/>
      <c r="I27" s="179"/>
      <c r="J27" s="18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97</v>
      </c>
      <c r="C28" s="10">
        <v>2</v>
      </c>
      <c r="D28" s="48">
        <f t="shared" si="1"/>
        <v>1622</v>
      </c>
      <c r="F28" s="92"/>
      <c r="G28" s="61"/>
      <c r="H28" s="181"/>
      <c r="I28" s="182"/>
      <c r="J28" s="18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191902</v>
      </c>
      <c r="F29" s="101" t="s">
        <v>55</v>
      </c>
      <c r="G29" s="163"/>
      <c r="H29" s="123">
        <f>H15-H16-H17-H18-H19-H20-H22-H23-H24+H26+H27</f>
        <v>164308.25</v>
      </c>
      <c r="I29" s="124"/>
      <c r="J29" s="12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58</v>
      </c>
      <c r="B32" s="149"/>
      <c r="C32" s="149"/>
      <c r="D32" s="150"/>
      <c r="F32" s="151" t="s">
        <v>59</v>
      </c>
      <c r="G32" s="152"/>
      <c r="H32" s="152"/>
      <c r="I32" s="152"/>
      <c r="J32" s="15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51" t="s">
        <v>13</v>
      </c>
      <c r="I33" s="152"/>
      <c r="J33" s="15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146</v>
      </c>
      <c r="H34" s="145">
        <f>F34*G34</f>
        <v>146000</v>
      </c>
      <c r="I34" s="146"/>
      <c r="J34" s="14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68</v>
      </c>
      <c r="C35" s="52"/>
      <c r="D35" s="30">
        <f>C35*84</f>
        <v>0</v>
      </c>
      <c r="F35" s="58">
        <v>500</v>
      </c>
      <c r="G35" s="41">
        <v>34</v>
      </c>
      <c r="H35" s="145">
        <f t="shared" ref="H35:H39" si="2">F35*G35</f>
        <v>17000</v>
      </c>
      <c r="I35" s="146"/>
      <c r="J35" s="14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70</v>
      </c>
      <c r="C36" s="10"/>
      <c r="D36" s="12">
        <f>C36*1.5</f>
        <v>0</v>
      </c>
      <c r="F36" s="12">
        <v>200</v>
      </c>
      <c r="G36" s="37"/>
      <c r="H36" s="145">
        <f>F36*G36</f>
        <v>0</v>
      </c>
      <c r="I36" s="146"/>
      <c r="J36" s="14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72</v>
      </c>
      <c r="B37" s="28" t="s">
        <v>66</v>
      </c>
      <c r="C37" s="53">
        <v>228</v>
      </c>
      <c r="D37" s="12">
        <f>C37*111</f>
        <v>25308</v>
      </c>
      <c r="F37" s="12">
        <v>100</v>
      </c>
      <c r="G37" s="39">
        <v>10</v>
      </c>
      <c r="H37" s="145">
        <f t="shared" si="2"/>
        <v>1000</v>
      </c>
      <c r="I37" s="146"/>
      <c r="J37" s="14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4</v>
      </c>
      <c r="H38" s="145">
        <f t="shared" si="2"/>
        <v>200</v>
      </c>
      <c r="I38" s="146"/>
      <c r="J38" s="14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70</v>
      </c>
      <c r="C39" s="52">
        <v>8</v>
      </c>
      <c r="D39" s="31">
        <f>C39*4.5</f>
        <v>36</v>
      </c>
      <c r="F39" s="12">
        <v>20</v>
      </c>
      <c r="G39" s="37"/>
      <c r="H39" s="145">
        <f t="shared" si="2"/>
        <v>0</v>
      </c>
      <c r="I39" s="146"/>
      <c r="J39" s="14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45"/>
      <c r="I40" s="146"/>
      <c r="J40" s="14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68</v>
      </c>
      <c r="C41" s="10"/>
      <c r="D41" s="12">
        <f>C41*84</f>
        <v>0</v>
      </c>
      <c r="F41" s="12">
        <v>5</v>
      </c>
      <c r="G41" s="42"/>
      <c r="H41" s="145"/>
      <c r="I41" s="146"/>
      <c r="J41" s="14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70</v>
      </c>
      <c r="C42" s="11">
        <v>9</v>
      </c>
      <c r="D42" s="12">
        <f>C42*2.25</f>
        <v>20.25</v>
      </c>
      <c r="F42" s="39" t="s">
        <v>79</v>
      </c>
      <c r="G42" s="145">
        <v>109</v>
      </c>
      <c r="H42" s="146"/>
      <c r="I42" s="146"/>
      <c r="J42" s="14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5" t="s">
        <v>81</v>
      </c>
      <c r="C43" s="11"/>
      <c r="D43" s="12"/>
      <c r="F43" s="59" t="s">
        <v>82</v>
      </c>
      <c r="G43" s="95" t="s">
        <v>83</v>
      </c>
      <c r="H43" s="137" t="s">
        <v>13</v>
      </c>
      <c r="I43" s="138"/>
      <c r="J43" s="13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6"/>
      <c r="B44" s="27" t="s">
        <v>66</v>
      </c>
      <c r="C44" s="10"/>
      <c r="D44" s="12">
        <f>C44*120</f>
        <v>0</v>
      </c>
      <c r="F44" s="37"/>
      <c r="G44" s="62"/>
      <c r="H44" s="140"/>
      <c r="I44" s="140"/>
      <c r="J44" s="14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6"/>
      <c r="B45" s="27" t="s">
        <v>68</v>
      </c>
      <c r="C45" s="33"/>
      <c r="D45" s="12">
        <f>C45*84</f>
        <v>0</v>
      </c>
      <c r="F45" s="37"/>
      <c r="G45" s="62"/>
      <c r="H45" s="140"/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70</v>
      </c>
      <c r="C46" s="81">
        <v>2</v>
      </c>
      <c r="D46" s="12">
        <f>C46*1.5</f>
        <v>3</v>
      </c>
      <c r="F46" s="37"/>
      <c r="G46" s="94"/>
      <c r="H46" s="141"/>
      <c r="I46" s="141"/>
      <c r="J46" s="141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18"/>
      <c r="I48" s="119"/>
      <c r="J48" s="12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68</v>
      </c>
      <c r="C49" s="33"/>
      <c r="D49" s="12">
        <f>C49*42</f>
        <v>0</v>
      </c>
      <c r="F49" s="121" t="s">
        <v>86</v>
      </c>
      <c r="G49" s="123">
        <f>H34+H35+H36+H37+H38+H39+H40+H41+G42+H44+H45+H46</f>
        <v>164309</v>
      </c>
      <c r="H49" s="124"/>
      <c r="I49" s="124"/>
      <c r="J49" s="12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70</v>
      </c>
      <c r="C50" s="11">
        <v>1</v>
      </c>
      <c r="D50" s="12">
        <f>C50*1.5</f>
        <v>1.5</v>
      </c>
      <c r="F50" s="122"/>
      <c r="G50" s="126"/>
      <c r="H50" s="127"/>
      <c r="I50" s="127"/>
      <c r="J50" s="128"/>
      <c r="O50" t="s">
        <v>137</v>
      </c>
      <c r="P50" s="4">
        <v>1204</v>
      </c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135</v>
      </c>
      <c r="G51" s="131">
        <f>G49-H29</f>
        <v>0.75</v>
      </c>
      <c r="H51" s="132"/>
      <c r="I51" s="132"/>
      <c r="J51" s="1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6"/>
      <c r="B52" s="29"/>
      <c r="C52" s="33"/>
      <c r="D52" s="45"/>
      <c r="F52" s="130"/>
      <c r="G52" s="134"/>
      <c r="H52" s="135"/>
      <c r="I52" s="135"/>
      <c r="J52" s="1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1" t="s">
        <v>90</v>
      </c>
      <c r="B54" s="102"/>
      <c r="C54" s="103"/>
      <c r="D54" s="107">
        <f>SUM(D34:D53)</f>
        <v>27573.75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9" t="s">
        <v>91</v>
      </c>
      <c r="B58" s="110"/>
      <c r="C58" s="110"/>
      <c r="D58" s="111"/>
      <c r="F58" s="109" t="s">
        <v>92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4FAC6-2C3B-402B-82A5-2925C5A73AF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7" t="s">
        <v>1</v>
      </c>
      <c r="O1" s="197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98" t="s">
        <v>8</v>
      </c>
      <c r="G4" s="200">
        <v>3</v>
      </c>
      <c r="H4" s="202" t="s">
        <v>9</v>
      </c>
      <c r="I4" s="204">
        <v>46059</v>
      </c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10"/>
      <c r="D6" s="13">
        <f t="shared" ref="D6:D28" si="1">C6*L6</f>
        <v>0</v>
      </c>
      <c r="F6" s="208" t="s">
        <v>16</v>
      </c>
      <c r="G6" s="210" t="s">
        <v>141</v>
      </c>
      <c r="H6" s="211"/>
      <c r="I6" s="211"/>
      <c r="J6" s="2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10"/>
      <c r="D7" s="13">
        <f t="shared" si="1"/>
        <v>0</v>
      </c>
      <c r="F7" s="209"/>
      <c r="G7" s="213"/>
      <c r="H7" s="214"/>
      <c r="I7" s="214"/>
      <c r="J7" s="2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10"/>
      <c r="D8" s="13">
        <f t="shared" si="1"/>
        <v>0</v>
      </c>
      <c r="F8" s="216" t="s">
        <v>21</v>
      </c>
      <c r="G8" s="217" t="s">
        <v>130</v>
      </c>
      <c r="H8" s="218"/>
      <c r="I8" s="218"/>
      <c r="J8" s="21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10"/>
      <c r="D9" s="13">
        <f t="shared" si="1"/>
        <v>0</v>
      </c>
      <c r="F9" s="209"/>
      <c r="G9" s="220"/>
      <c r="H9" s="221"/>
      <c r="I9" s="221"/>
      <c r="J9" s="22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10"/>
      <c r="D10" s="13">
        <f t="shared" si="1"/>
        <v>0</v>
      </c>
      <c r="F10" s="208" t="s">
        <v>26</v>
      </c>
      <c r="G10" s="223" t="s">
        <v>127</v>
      </c>
      <c r="H10" s="224"/>
      <c r="I10" s="224"/>
      <c r="J10" s="225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10"/>
      <c r="D11" s="13">
        <f t="shared" si="1"/>
        <v>0</v>
      </c>
      <c r="F11" s="209"/>
      <c r="G11" s="220"/>
      <c r="H11" s="221"/>
      <c r="I11" s="221"/>
      <c r="J11" s="22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10"/>
      <c r="D12" s="48">
        <f t="shared" si="1"/>
        <v>0</v>
      </c>
      <c r="F12" s="226" t="s">
        <v>33</v>
      </c>
      <c r="G12" s="227"/>
      <c r="H12" s="227"/>
      <c r="I12" s="227"/>
      <c r="J12" s="22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10"/>
      <c r="D13" s="48">
        <f t="shared" si="1"/>
        <v>0</v>
      </c>
      <c r="F13" s="229" t="s">
        <v>36</v>
      </c>
      <c r="G13" s="19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10"/>
      <c r="D14" s="31">
        <f t="shared" si="1"/>
        <v>0</v>
      </c>
      <c r="F14" s="187" t="s">
        <v>39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38</v>
      </c>
      <c r="C15" s="10"/>
      <c r="D15" s="31">
        <f t="shared" si="1"/>
        <v>0</v>
      </c>
      <c r="F15" s="192" t="s">
        <v>40</v>
      </c>
      <c r="G15" s="193"/>
      <c r="H15" s="194">
        <f>H13-H14</f>
        <v>0</v>
      </c>
      <c r="I15" s="195"/>
      <c r="J15" s="19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4"/>
      <c r="I16" s="154"/>
      <c r="J16" s="15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t="s">
        <v>112</v>
      </c>
      <c r="C17" s="10"/>
      <c r="D17" s="48">
        <f t="shared" si="1"/>
        <v>0</v>
      </c>
      <c r="F17" s="56"/>
      <c r="G17" s="66" t="s">
        <v>45</v>
      </c>
      <c r="H17" s="165"/>
      <c r="I17" s="165"/>
      <c r="J17" s="16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5"/>
      <c r="I18" s="165"/>
      <c r="J18" s="16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41"/>
      <c r="I19" s="241"/>
      <c r="J19" s="24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3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4"/>
      <c r="I20" s="154"/>
      <c r="J20" s="15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3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7" t="s">
        <v>13</v>
      </c>
      <c r="I21" s="168"/>
      <c r="J21" s="16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104</v>
      </c>
      <c r="C22" s="10"/>
      <c r="D22" s="48">
        <f t="shared" si="1"/>
        <v>0</v>
      </c>
      <c r="F22" s="77"/>
      <c r="G22" s="73"/>
      <c r="H22" s="170"/>
      <c r="I22" s="170"/>
      <c r="J22" s="17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107</v>
      </c>
      <c r="C23" s="10"/>
      <c r="D23" s="48">
        <f t="shared" si="1"/>
        <v>0</v>
      </c>
      <c r="F23" s="78"/>
      <c r="G23" s="79"/>
      <c r="H23" s="171"/>
      <c r="I23" s="140"/>
      <c r="J23" s="14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101</v>
      </c>
      <c r="C24" s="10"/>
      <c r="D24" s="48">
        <f t="shared" si="1"/>
        <v>0</v>
      </c>
      <c r="F24" s="38"/>
      <c r="G24" s="37"/>
      <c r="H24" s="171"/>
      <c r="I24" s="140"/>
      <c r="J24" s="14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2" t="s">
        <v>13</v>
      </c>
      <c r="I25" s="173"/>
      <c r="J25" s="17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105</v>
      </c>
      <c r="C26" s="10"/>
      <c r="D26" s="48">
        <f t="shared" si="1"/>
        <v>0</v>
      </c>
      <c r="F26" s="64"/>
      <c r="G26" s="59"/>
      <c r="H26" s="175"/>
      <c r="I26" s="176"/>
      <c r="J26" s="17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109</v>
      </c>
      <c r="C27" s="10"/>
      <c r="D27" s="44">
        <f t="shared" si="1"/>
        <v>0</v>
      </c>
      <c r="F27" s="25"/>
      <c r="G27" s="80"/>
      <c r="H27" s="178"/>
      <c r="I27" s="179"/>
      <c r="J27" s="18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97</v>
      </c>
      <c r="C28" s="10"/>
      <c r="D28" s="48">
        <f t="shared" si="1"/>
        <v>0</v>
      </c>
      <c r="F28" s="92"/>
      <c r="G28" s="61"/>
      <c r="H28" s="181"/>
      <c r="I28" s="182"/>
      <c r="J28" s="18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0</v>
      </c>
      <c r="F29" s="101" t="s">
        <v>55</v>
      </c>
      <c r="G29" s="163"/>
      <c r="H29" s="123">
        <f>H15-H16-H17-H18-H19-H20-H22-H23-H24+H26+H27</f>
        <v>0</v>
      </c>
      <c r="I29" s="124"/>
      <c r="J29" s="12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58</v>
      </c>
      <c r="B32" s="149"/>
      <c r="C32" s="149"/>
      <c r="D32" s="150"/>
      <c r="F32" s="151" t="s">
        <v>59</v>
      </c>
      <c r="G32" s="152"/>
      <c r="H32" s="152"/>
      <c r="I32" s="152"/>
      <c r="J32" s="15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51" t="s">
        <v>13</v>
      </c>
      <c r="I33" s="152"/>
      <c r="J33" s="15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5">
        <f>F34*G34</f>
        <v>0</v>
      </c>
      <c r="I34" s="146"/>
      <c r="J34" s="14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68</v>
      </c>
      <c r="C35" s="52"/>
      <c r="D35" s="30">
        <f>C35*84</f>
        <v>0</v>
      </c>
      <c r="F35" s="58">
        <v>500</v>
      </c>
      <c r="G35" s="41"/>
      <c r="H35" s="145">
        <f>F35*G35</f>
        <v>0</v>
      </c>
      <c r="I35" s="146"/>
      <c r="J35" s="14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70</v>
      </c>
      <c r="C36" s="10"/>
      <c r="D36" s="12">
        <f>C36*1.5</f>
        <v>0</v>
      </c>
      <c r="F36" s="12">
        <v>200</v>
      </c>
      <c r="G36" s="37"/>
      <c r="H36" s="145">
        <f t="shared" ref="H36:H39" si="2">F36*G36</f>
        <v>0</v>
      </c>
      <c r="I36" s="146"/>
      <c r="J36" s="14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5">
        <f t="shared" si="2"/>
        <v>0</v>
      </c>
      <c r="I37" s="146"/>
      <c r="J37" s="14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68</v>
      </c>
      <c r="C38" s="54"/>
      <c r="D38" s="12">
        <f>C38*84</f>
        <v>0</v>
      </c>
      <c r="F38" s="30">
        <v>50</v>
      </c>
      <c r="G38" s="39"/>
      <c r="H38" s="145">
        <f t="shared" si="2"/>
        <v>0</v>
      </c>
      <c r="I38" s="146"/>
      <c r="J38" s="14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70</v>
      </c>
      <c r="C39" s="52"/>
      <c r="D39" s="31">
        <f>C39*4.5</f>
        <v>0</v>
      </c>
      <c r="F39" s="12">
        <v>20</v>
      </c>
      <c r="G39" s="37"/>
      <c r="H39" s="145">
        <f t="shared" si="2"/>
        <v>0</v>
      </c>
      <c r="I39" s="146"/>
      <c r="J39" s="14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5"/>
      <c r="I40" s="146"/>
      <c r="J40" s="14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68</v>
      </c>
      <c r="C41" s="10"/>
      <c r="D41" s="12">
        <f>C41*84</f>
        <v>0</v>
      </c>
      <c r="F41" s="12">
        <v>5</v>
      </c>
      <c r="G41" s="42"/>
      <c r="H41" s="145"/>
      <c r="I41" s="146"/>
      <c r="J41" s="14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70</v>
      </c>
      <c r="C42" s="11"/>
      <c r="D42" s="12">
        <f>C42*2.25</f>
        <v>0</v>
      </c>
      <c r="F42" s="39" t="s">
        <v>79</v>
      </c>
      <c r="G42" s="145"/>
      <c r="H42" s="146"/>
      <c r="I42" s="146"/>
      <c r="J42" s="14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5" t="s">
        <v>81</v>
      </c>
      <c r="C43" s="11"/>
      <c r="D43" s="12"/>
      <c r="F43" s="59" t="s">
        <v>82</v>
      </c>
      <c r="G43" s="95" t="s">
        <v>83</v>
      </c>
      <c r="H43" s="137" t="s">
        <v>13</v>
      </c>
      <c r="I43" s="138"/>
      <c r="J43" s="13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6"/>
      <c r="B44" s="27" t="s">
        <v>66</v>
      </c>
      <c r="C44" s="10"/>
      <c r="D44" s="12">
        <f>C44*120</f>
        <v>0</v>
      </c>
      <c r="F44" s="37"/>
      <c r="G44" s="76"/>
      <c r="H44" s="140"/>
      <c r="I44" s="140"/>
      <c r="J44" s="14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6"/>
      <c r="B45" s="27" t="s">
        <v>68</v>
      </c>
      <c r="C45" s="33"/>
      <c r="D45" s="12">
        <f>C45*84</f>
        <v>0</v>
      </c>
      <c r="F45" s="37"/>
      <c r="G45" s="76"/>
      <c r="H45" s="140"/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70</v>
      </c>
      <c r="C46" s="81"/>
      <c r="D46" s="12">
        <f>C46*1.5</f>
        <v>0</v>
      </c>
      <c r="F46" s="37"/>
      <c r="G46" s="62"/>
      <c r="H46" s="141"/>
      <c r="I46" s="141"/>
      <c r="J46" s="141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66</v>
      </c>
      <c r="C48" s="10"/>
      <c r="D48" s="12">
        <f>C48*78</f>
        <v>0</v>
      </c>
      <c r="F48" s="59"/>
      <c r="G48" s="59"/>
      <c r="H48" s="118"/>
      <c r="I48" s="119"/>
      <c r="J48" s="12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68</v>
      </c>
      <c r="C49" s="33"/>
      <c r="D49" s="12">
        <f>C49*42</f>
        <v>0</v>
      </c>
      <c r="F49" s="121" t="s">
        <v>86</v>
      </c>
      <c r="G49" s="123">
        <f>H34+H35+H36+H37+H38+H39+H40+H41+G42+H44+H45+H46</f>
        <v>0</v>
      </c>
      <c r="H49" s="124"/>
      <c r="I49" s="124"/>
      <c r="J49" s="12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70</v>
      </c>
      <c r="C50" s="11"/>
      <c r="D50" s="12">
        <f>C50*1.5</f>
        <v>0</v>
      </c>
      <c r="F50" s="122"/>
      <c r="G50" s="126"/>
      <c r="H50" s="127"/>
      <c r="I50" s="127"/>
      <c r="J50" s="128"/>
      <c r="O50" t="s">
        <v>137</v>
      </c>
      <c r="P50" s="4">
        <v>1204</v>
      </c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138</v>
      </c>
      <c r="G51" s="131">
        <f>G49-H29</f>
        <v>0</v>
      </c>
      <c r="H51" s="132"/>
      <c r="I51" s="132"/>
      <c r="J51" s="1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6"/>
      <c r="B52" s="29"/>
      <c r="C52" s="33"/>
      <c r="D52" s="45"/>
      <c r="F52" s="130"/>
      <c r="G52" s="134"/>
      <c r="H52" s="135"/>
      <c r="I52" s="135"/>
      <c r="J52" s="1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1" t="s">
        <v>90</v>
      </c>
      <c r="B54" s="102"/>
      <c r="C54" s="103"/>
      <c r="D54" s="10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9" t="s">
        <v>91</v>
      </c>
      <c r="B58" s="110"/>
      <c r="C58" s="110"/>
      <c r="D58" s="111"/>
      <c r="F58" s="109" t="s">
        <v>92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29AEC-3660-498D-AD56-9027E679FB3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7" t="s">
        <v>1</v>
      </c>
      <c r="O1" s="197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8" t="s">
        <v>7</v>
      </c>
      <c r="B4" s="149"/>
      <c r="C4" s="149"/>
      <c r="D4" s="150"/>
      <c r="F4" s="198" t="s">
        <v>8</v>
      </c>
      <c r="G4" s="200"/>
      <c r="H4" s="202" t="s">
        <v>9</v>
      </c>
      <c r="I4" s="204"/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3"/>
      <c r="B6" s="16"/>
      <c r="C6" s="10"/>
      <c r="D6" s="13">
        <f t="shared" ref="D6:D28" si="1">C6*L6</f>
        <v>0</v>
      </c>
      <c r="F6" s="208" t="s">
        <v>16</v>
      </c>
      <c r="G6" s="210"/>
      <c r="H6" s="211"/>
      <c r="I6" s="211"/>
      <c r="J6" s="21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3"/>
      <c r="B7" s="16"/>
      <c r="C7" s="10"/>
      <c r="D7" s="13">
        <f t="shared" si="1"/>
        <v>0</v>
      </c>
      <c r="F7" s="209"/>
      <c r="G7" s="213"/>
      <c r="H7" s="214"/>
      <c r="I7" s="214"/>
      <c r="J7" s="21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3"/>
      <c r="B8" s="16"/>
      <c r="C8" s="10"/>
      <c r="D8" s="13">
        <f t="shared" si="1"/>
        <v>0</v>
      </c>
      <c r="F8" s="216" t="s">
        <v>21</v>
      </c>
      <c r="G8" s="217"/>
      <c r="H8" s="218"/>
      <c r="I8" s="218"/>
      <c r="J8" s="21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3"/>
      <c r="B9" s="16"/>
      <c r="C9" s="10"/>
      <c r="D9" s="13">
        <f t="shared" si="1"/>
        <v>0</v>
      </c>
      <c r="F9" s="209"/>
      <c r="G9" s="220"/>
      <c r="H9" s="221"/>
      <c r="I9" s="221"/>
      <c r="J9" s="22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3"/>
      <c r="C10" s="10"/>
      <c r="D10" s="13">
        <f t="shared" si="1"/>
        <v>0</v>
      </c>
      <c r="F10" s="208" t="s">
        <v>26</v>
      </c>
      <c r="G10" s="223"/>
      <c r="H10" s="224"/>
      <c r="I10" s="224"/>
      <c r="J10" s="225"/>
      <c r="K10" s="8"/>
      <c r="L10" s="6">
        <f>R36</f>
        <v>972</v>
      </c>
      <c r="P10" s="4"/>
      <c r="Q10" s="4"/>
      <c r="R10" s="5"/>
    </row>
    <row r="11" spans="1:19" ht="15.75" x14ac:dyDescent="0.25">
      <c r="A11" s="143"/>
      <c r="B11" s="17"/>
      <c r="C11" s="10"/>
      <c r="D11" s="13">
        <f t="shared" si="1"/>
        <v>0</v>
      </c>
      <c r="F11" s="209"/>
      <c r="G11" s="220"/>
      <c r="H11" s="221"/>
      <c r="I11" s="221"/>
      <c r="J11" s="22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3"/>
      <c r="B12" s="17"/>
      <c r="C12" s="10"/>
      <c r="D12" s="48">
        <f t="shared" si="1"/>
        <v>0</v>
      </c>
      <c r="F12" s="226" t="s">
        <v>33</v>
      </c>
      <c r="G12" s="227"/>
      <c r="H12" s="227"/>
      <c r="I12" s="227"/>
      <c r="J12" s="22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3"/>
      <c r="B13" s="17"/>
      <c r="C13" s="10"/>
      <c r="D13" s="48">
        <f t="shared" si="1"/>
        <v>0</v>
      </c>
      <c r="F13" s="229" t="s">
        <v>36</v>
      </c>
      <c r="G13" s="19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3"/>
      <c r="B14" s="14"/>
      <c r="C14" s="10"/>
      <c r="D14" s="31">
        <f t="shared" si="1"/>
        <v>0</v>
      </c>
      <c r="F14" s="187" t="s">
        <v>39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3"/>
      <c r="B15" s="14"/>
      <c r="C15" s="10"/>
      <c r="D15" s="31">
        <f t="shared" si="1"/>
        <v>0</v>
      </c>
      <c r="F15" s="192" t="s">
        <v>40</v>
      </c>
      <c r="G15" s="193"/>
      <c r="H15" s="194">
        <f>H13-H14</f>
        <v>0</v>
      </c>
      <c r="I15" s="195"/>
      <c r="J15" s="19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4"/>
      <c r="I16" s="154"/>
      <c r="J16" s="15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C17" s="10"/>
      <c r="D17" s="48">
        <f t="shared" si="1"/>
        <v>0</v>
      </c>
      <c r="F17" s="56"/>
      <c r="G17" s="66" t="s">
        <v>45</v>
      </c>
      <c r="H17" s="165"/>
      <c r="I17" s="165"/>
      <c r="J17" s="16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/>
      <c r="C18" s="10"/>
      <c r="D18" s="48">
        <f t="shared" si="1"/>
        <v>0</v>
      </c>
      <c r="F18" s="56"/>
      <c r="G18" s="66" t="s">
        <v>47</v>
      </c>
      <c r="H18" s="165"/>
      <c r="I18" s="165"/>
      <c r="J18" s="16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/>
      <c r="C19" s="10"/>
      <c r="D19" s="48">
        <f t="shared" si="1"/>
        <v>0</v>
      </c>
      <c r="F19" s="56"/>
      <c r="G19" s="68" t="s">
        <v>50</v>
      </c>
      <c r="H19" s="166"/>
      <c r="I19" s="166"/>
      <c r="J19" s="1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3"/>
      <c r="B20" s="46"/>
      <c r="C20" s="10"/>
      <c r="D20" s="13">
        <f t="shared" si="1"/>
        <v>0</v>
      </c>
      <c r="F20" s="57"/>
      <c r="G20" s="70" t="s">
        <v>117</v>
      </c>
      <c r="H20" s="154"/>
      <c r="I20" s="154"/>
      <c r="J20" s="15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7" t="s">
        <v>13</v>
      </c>
      <c r="I21" s="168"/>
      <c r="J21" s="16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3"/>
      <c r="B22" s="46"/>
      <c r="C22" s="10"/>
      <c r="D22" s="48">
        <f t="shared" si="1"/>
        <v>0</v>
      </c>
      <c r="F22" s="77"/>
      <c r="G22" s="73"/>
      <c r="H22" s="170"/>
      <c r="I22" s="170"/>
      <c r="J22" s="17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/>
      <c r="C23" s="10"/>
      <c r="D23" s="48">
        <f t="shared" si="1"/>
        <v>0</v>
      </c>
      <c r="F23" s="78"/>
      <c r="G23" s="79"/>
      <c r="H23" s="171"/>
      <c r="I23" s="140"/>
      <c r="J23" s="14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/>
      <c r="C24" s="10"/>
      <c r="D24" s="48">
        <f t="shared" si="1"/>
        <v>0</v>
      </c>
      <c r="F24" s="38"/>
      <c r="G24" s="37"/>
      <c r="H24" s="171"/>
      <c r="I24" s="140"/>
      <c r="J24" s="14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2" t="s">
        <v>13</v>
      </c>
      <c r="I25" s="173"/>
      <c r="J25" s="17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/>
      <c r="C26" s="10"/>
      <c r="D26" s="48">
        <f t="shared" si="1"/>
        <v>0</v>
      </c>
      <c r="F26" s="64"/>
      <c r="G26" s="59"/>
      <c r="H26" s="175"/>
      <c r="I26" s="176"/>
      <c r="J26" s="17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3"/>
      <c r="B27" s="14"/>
      <c r="C27" s="10"/>
      <c r="D27" s="44">
        <f t="shared" si="1"/>
        <v>0</v>
      </c>
      <c r="F27" s="25"/>
      <c r="G27" s="80"/>
      <c r="H27" s="178"/>
      <c r="I27" s="179"/>
      <c r="J27" s="18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/>
      <c r="C28" s="10"/>
      <c r="D28" s="48">
        <f t="shared" si="1"/>
        <v>0</v>
      </c>
      <c r="F28" s="92"/>
      <c r="G28" s="61"/>
      <c r="H28" s="181"/>
      <c r="I28" s="182"/>
      <c r="J28" s="18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5" t="s">
        <v>36</v>
      </c>
      <c r="B29" s="156"/>
      <c r="C29" s="157"/>
      <c r="D29" s="161">
        <f>SUM(D6:D28)</f>
        <v>0</v>
      </c>
      <c r="F29" s="101" t="s">
        <v>55</v>
      </c>
      <c r="G29" s="163"/>
      <c r="H29" s="123">
        <f>H15-H16-H17-H18-H19-H20-H22-H23-H24+H26+H27</f>
        <v>0</v>
      </c>
      <c r="I29" s="124"/>
      <c r="J29" s="12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8" t="s">
        <v>58</v>
      </c>
      <c r="B32" s="149"/>
      <c r="C32" s="149"/>
      <c r="D32" s="150"/>
      <c r="F32" s="151" t="s">
        <v>59</v>
      </c>
      <c r="G32" s="152"/>
      <c r="H32" s="152"/>
      <c r="I32" s="152"/>
      <c r="J32" s="15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51" t="s">
        <v>13</v>
      </c>
      <c r="I33" s="152"/>
      <c r="J33" s="15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5"/>
      <c r="I34" s="146"/>
      <c r="J34" s="14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3"/>
      <c r="B35" s="27" t="s">
        <v>68</v>
      </c>
      <c r="C35" s="52"/>
      <c r="D35" s="30">
        <f>C35*84</f>
        <v>0</v>
      </c>
      <c r="F35" s="58">
        <v>500</v>
      </c>
      <c r="G35" s="41"/>
      <c r="H35" s="145"/>
      <c r="I35" s="146"/>
      <c r="J35" s="14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70</v>
      </c>
      <c r="C36" s="10"/>
      <c r="D36" s="12">
        <f>C36*1.5</f>
        <v>0</v>
      </c>
      <c r="F36" s="12">
        <v>200</v>
      </c>
      <c r="G36" s="37"/>
      <c r="H36" s="145"/>
      <c r="I36" s="146"/>
      <c r="J36" s="14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5"/>
      <c r="I37" s="146"/>
      <c r="J37" s="14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3"/>
      <c r="B38" s="29" t="s">
        <v>68</v>
      </c>
      <c r="C38" s="54"/>
      <c r="D38" s="12">
        <f>C38*84</f>
        <v>0</v>
      </c>
      <c r="F38" s="30">
        <v>50</v>
      </c>
      <c r="G38" s="39"/>
      <c r="H38" s="145"/>
      <c r="I38" s="146"/>
      <c r="J38" s="14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4"/>
      <c r="B39" s="29" t="s">
        <v>70</v>
      </c>
      <c r="C39" s="52"/>
      <c r="D39" s="31">
        <f>C39*4.5</f>
        <v>0</v>
      </c>
      <c r="F39" s="12">
        <v>20</v>
      </c>
      <c r="G39" s="37"/>
      <c r="H39" s="145"/>
      <c r="I39" s="146"/>
      <c r="J39" s="14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5"/>
      <c r="I40" s="146"/>
      <c r="J40" s="14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3"/>
      <c r="B41" s="27" t="s">
        <v>68</v>
      </c>
      <c r="C41" s="10"/>
      <c r="D41" s="12">
        <f>C41*84</f>
        <v>0</v>
      </c>
      <c r="F41" s="12">
        <v>5</v>
      </c>
      <c r="G41" s="42"/>
      <c r="H41" s="145"/>
      <c r="I41" s="146"/>
      <c r="J41" s="14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4"/>
      <c r="B42" s="27" t="s">
        <v>70</v>
      </c>
      <c r="C42" s="11"/>
      <c r="D42" s="12">
        <f>C42*2.25</f>
        <v>0</v>
      </c>
      <c r="F42" s="39" t="s">
        <v>79</v>
      </c>
      <c r="G42" s="145"/>
      <c r="H42" s="146"/>
      <c r="I42" s="146"/>
      <c r="J42" s="14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5" t="s">
        <v>81</v>
      </c>
      <c r="C43" s="11"/>
      <c r="D43" s="12"/>
      <c r="F43" s="59" t="s">
        <v>82</v>
      </c>
      <c r="G43" s="95" t="s">
        <v>83</v>
      </c>
      <c r="H43" s="137" t="s">
        <v>13</v>
      </c>
      <c r="I43" s="138"/>
      <c r="J43" s="139"/>
      <c r="K43" s="21"/>
      <c r="P43" s="4"/>
      <c r="Q43" s="4"/>
      <c r="R43" s="5"/>
    </row>
    <row r="44" spans="1:18" ht="15.75" x14ac:dyDescent="0.25">
      <c r="A44" s="116"/>
      <c r="B44" s="27" t="s">
        <v>66</v>
      </c>
      <c r="C44" s="10"/>
      <c r="D44" s="12">
        <f>C44*120</f>
        <v>0</v>
      </c>
      <c r="F44" s="37"/>
      <c r="G44" s="76"/>
      <c r="H44" s="140"/>
      <c r="I44" s="140"/>
      <c r="J44" s="140"/>
      <c r="K44" s="21"/>
      <c r="P44" s="4"/>
      <c r="Q44" s="4"/>
      <c r="R44" s="5"/>
    </row>
    <row r="45" spans="1:18" ht="15.75" x14ac:dyDescent="0.25">
      <c r="A45" s="116"/>
      <c r="B45" s="27" t="s">
        <v>68</v>
      </c>
      <c r="C45" s="33"/>
      <c r="D45" s="12">
        <f>C45*84</f>
        <v>0</v>
      </c>
      <c r="F45" s="37"/>
      <c r="G45" s="76"/>
      <c r="H45" s="140"/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70</v>
      </c>
      <c r="C46" s="81"/>
      <c r="D46" s="12">
        <f>C46*1.5</f>
        <v>0</v>
      </c>
      <c r="F46" s="37"/>
      <c r="G46" s="62"/>
      <c r="H46" s="141"/>
      <c r="I46" s="141"/>
      <c r="J46" s="141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66</v>
      </c>
      <c r="C48" s="10"/>
      <c r="D48" s="12">
        <f>C48*78</f>
        <v>0</v>
      </c>
      <c r="F48" s="59"/>
      <c r="G48" s="59"/>
      <c r="H48" s="118"/>
      <c r="I48" s="119"/>
      <c r="J48" s="12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68</v>
      </c>
      <c r="C49" s="33"/>
      <c r="D49" s="12">
        <f>C49*42</f>
        <v>0</v>
      </c>
      <c r="F49" s="121" t="s">
        <v>86</v>
      </c>
      <c r="G49" s="123">
        <f>H34+H35+H36+H37+H38+H39+H40+H41+G42+H44+H45+H46</f>
        <v>0</v>
      </c>
      <c r="H49" s="124"/>
      <c r="I49" s="124"/>
      <c r="J49" s="12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70</v>
      </c>
      <c r="C50" s="11"/>
      <c r="D50" s="12">
        <f>C50*1.5</f>
        <v>0</v>
      </c>
      <c r="F50" s="122"/>
      <c r="G50" s="126"/>
      <c r="H50" s="127"/>
      <c r="I50" s="127"/>
      <c r="J50" s="128"/>
      <c r="P50" s="4"/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125</v>
      </c>
      <c r="G51" s="131">
        <f>G49-H29</f>
        <v>0</v>
      </c>
      <c r="H51" s="132"/>
      <c r="I51" s="132"/>
      <c r="J51" s="13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6"/>
      <c r="B52" s="29"/>
      <c r="C52" s="33"/>
      <c r="D52" s="45"/>
      <c r="F52" s="130"/>
      <c r="G52" s="134"/>
      <c r="H52" s="135"/>
      <c r="I52" s="135"/>
      <c r="J52" s="1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1" t="s">
        <v>90</v>
      </c>
      <c r="B54" s="102"/>
      <c r="C54" s="103"/>
      <c r="D54" s="107">
        <f>SUM(D34:D53)</f>
        <v>0</v>
      </c>
      <c r="F54" s="21"/>
      <c r="J54" s="34"/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9" t="s">
        <v>91</v>
      </c>
      <c r="B58" s="110"/>
      <c r="C58" s="110"/>
      <c r="D58" s="111"/>
      <c r="F58" s="109" t="s">
        <v>92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3F451-A91A-407B-B03F-AE32BC427426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7" t="s">
        <v>1</v>
      </c>
      <c r="O1" s="197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98" t="s">
        <v>8</v>
      </c>
      <c r="G4" s="200">
        <v>1</v>
      </c>
      <c r="H4" s="202" t="s">
        <v>9</v>
      </c>
      <c r="I4" s="204">
        <v>46060</v>
      </c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84">
        <v>159</v>
      </c>
      <c r="D6" s="13">
        <f t="shared" ref="D6:D28" si="1">C6*L6</f>
        <v>120999</v>
      </c>
      <c r="F6" s="208" t="s">
        <v>16</v>
      </c>
      <c r="G6" s="210" t="s">
        <v>111</v>
      </c>
      <c r="H6" s="211"/>
      <c r="I6" s="211"/>
      <c r="J6" s="2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84">
        <v>5</v>
      </c>
      <c r="D7" s="13">
        <f t="shared" si="1"/>
        <v>3905</v>
      </c>
      <c r="F7" s="209"/>
      <c r="G7" s="213"/>
      <c r="H7" s="214"/>
      <c r="I7" s="214"/>
      <c r="J7" s="2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84">
        <v>15</v>
      </c>
      <c r="D8" s="13">
        <f t="shared" si="1"/>
        <v>16395</v>
      </c>
      <c r="F8" s="216" t="s">
        <v>21</v>
      </c>
      <c r="G8" s="217" t="s">
        <v>126</v>
      </c>
      <c r="H8" s="218"/>
      <c r="I8" s="218"/>
      <c r="J8" s="21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84">
        <v>22</v>
      </c>
      <c r="D9" s="13">
        <f t="shared" si="1"/>
        <v>16126</v>
      </c>
      <c r="F9" s="209"/>
      <c r="G9" s="220"/>
      <c r="H9" s="221"/>
      <c r="I9" s="221"/>
      <c r="J9" s="22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84">
        <v>4</v>
      </c>
      <c r="D10" s="13">
        <f t="shared" si="1"/>
        <v>4128</v>
      </c>
      <c r="F10" s="208" t="s">
        <v>26</v>
      </c>
      <c r="G10" s="223" t="s">
        <v>139</v>
      </c>
      <c r="H10" s="224"/>
      <c r="I10" s="224"/>
      <c r="J10" s="225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84">
        <v>2</v>
      </c>
      <c r="D11" s="13">
        <f t="shared" si="1"/>
        <v>2340</v>
      </c>
      <c r="F11" s="209"/>
      <c r="G11" s="220"/>
      <c r="H11" s="221"/>
      <c r="I11" s="221"/>
      <c r="J11" s="22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84">
        <f>1+2</f>
        <v>3</v>
      </c>
      <c r="D12" s="48">
        <f t="shared" si="1"/>
        <v>2976</v>
      </c>
      <c r="F12" s="226" t="s">
        <v>33</v>
      </c>
      <c r="G12" s="227"/>
      <c r="H12" s="227"/>
      <c r="I12" s="227"/>
      <c r="J12" s="22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84">
        <v>1</v>
      </c>
      <c r="D13" s="48">
        <f t="shared" si="1"/>
        <v>307</v>
      </c>
      <c r="F13" s="229" t="s">
        <v>36</v>
      </c>
      <c r="G13" s="193"/>
      <c r="H13" s="184">
        <f>D29</f>
        <v>173376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84">
        <v>14</v>
      </c>
      <c r="D14" s="31">
        <f t="shared" si="1"/>
        <v>154</v>
      </c>
      <c r="F14" s="187" t="s">
        <v>39</v>
      </c>
      <c r="G14" s="188"/>
      <c r="H14" s="189">
        <f>D54</f>
        <v>23477.25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38</v>
      </c>
      <c r="C15" s="84"/>
      <c r="D15" s="31">
        <f t="shared" si="1"/>
        <v>0</v>
      </c>
      <c r="F15" s="192" t="s">
        <v>40</v>
      </c>
      <c r="G15" s="193"/>
      <c r="H15" s="194">
        <f>H13-H14</f>
        <v>149898.75</v>
      </c>
      <c r="I15" s="195"/>
      <c r="J15" s="19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4"/>
      <c r="I16" s="154"/>
      <c r="J16" s="15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t="s">
        <v>133</v>
      </c>
      <c r="C17" s="84">
        <v>3</v>
      </c>
      <c r="D17" s="48">
        <f t="shared" si="1"/>
        <v>4746</v>
      </c>
      <c r="F17" s="56"/>
      <c r="G17" s="66" t="s">
        <v>45</v>
      </c>
      <c r="H17" s="165"/>
      <c r="I17" s="165"/>
      <c r="J17" s="16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5"/>
      <c r="I18" s="165"/>
      <c r="J18" s="16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54">
        <v>50</v>
      </c>
      <c r="I19" s="154"/>
      <c r="J19" s="154"/>
      <c r="L19" s="6">
        <v>1102</v>
      </c>
      <c r="Q19" s="4"/>
      <c r="R19" s="5">
        <f t="shared" si="0"/>
        <v>0</v>
      </c>
    </row>
    <row r="20" spans="1:18" ht="15.75" x14ac:dyDescent="0.25">
      <c r="A20" s="143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54"/>
      <c r="I20" s="154"/>
      <c r="J20" s="15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3"/>
      <c r="B21" s="14" t="s">
        <v>131</v>
      </c>
      <c r="C21" s="84">
        <v>2</v>
      </c>
      <c r="D21" s="48">
        <f t="shared" si="1"/>
        <v>1300</v>
      </c>
      <c r="F21" s="69" t="s">
        <v>99</v>
      </c>
      <c r="G21" s="82" t="s">
        <v>98</v>
      </c>
      <c r="H21" s="167" t="s">
        <v>13</v>
      </c>
      <c r="I21" s="168"/>
      <c r="J21" s="16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124</v>
      </c>
      <c r="C22" s="84"/>
      <c r="D22" s="48">
        <f t="shared" si="1"/>
        <v>0</v>
      </c>
      <c r="F22" s="77"/>
      <c r="G22" s="73"/>
      <c r="H22" s="170"/>
      <c r="I22" s="170"/>
      <c r="J22" s="17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101</v>
      </c>
      <c r="C23" s="84"/>
      <c r="D23" s="48">
        <f t="shared" si="1"/>
        <v>0</v>
      </c>
      <c r="F23" s="77"/>
      <c r="G23" s="79"/>
      <c r="H23" s="236"/>
      <c r="I23" s="237"/>
      <c r="J23" s="23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118</v>
      </c>
      <c r="C24" s="84"/>
      <c r="D24" s="48">
        <f t="shared" si="1"/>
        <v>0</v>
      </c>
      <c r="F24" s="77"/>
      <c r="G24" s="79"/>
      <c r="H24" s="236"/>
      <c r="I24" s="237"/>
      <c r="J24" s="23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72" t="s">
        <v>13</v>
      </c>
      <c r="I25" s="173"/>
      <c r="J25" s="17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132</v>
      </c>
      <c r="C26" s="84"/>
      <c r="D26" s="48">
        <f t="shared" si="1"/>
        <v>0</v>
      </c>
      <c r="F26" s="75"/>
      <c r="G26" s="65"/>
      <c r="H26" s="140"/>
      <c r="I26" s="140"/>
      <c r="J26" s="14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110</v>
      </c>
      <c r="C27" s="84"/>
      <c r="D27" s="44">
        <f t="shared" si="1"/>
        <v>0</v>
      </c>
      <c r="F27" s="71"/>
      <c r="G27" s="95"/>
      <c r="H27" s="238"/>
      <c r="I27" s="239"/>
      <c r="J27" s="23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97</v>
      </c>
      <c r="C28" s="84"/>
      <c r="D28" s="48">
        <f t="shared" si="1"/>
        <v>0</v>
      </c>
      <c r="F28" s="92"/>
      <c r="G28" s="61"/>
      <c r="H28" s="181"/>
      <c r="I28" s="182"/>
      <c r="J28" s="18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173376</v>
      </c>
      <c r="F29" s="101" t="s">
        <v>55</v>
      </c>
      <c r="G29" s="163"/>
      <c r="H29" s="123">
        <f>H15-H16-H17-H18-H19-H20-H22-H23-H24+H26+H27+H28</f>
        <v>149848.75</v>
      </c>
      <c r="I29" s="124"/>
      <c r="J29" s="12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58</v>
      </c>
      <c r="B32" s="149"/>
      <c r="C32" s="149"/>
      <c r="D32" s="150"/>
      <c r="F32" s="151" t="s">
        <v>59</v>
      </c>
      <c r="G32" s="152"/>
      <c r="H32" s="152"/>
      <c r="I32" s="152"/>
      <c r="J32" s="15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51" t="s">
        <v>13</v>
      </c>
      <c r="I33" s="152"/>
      <c r="J33" s="15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40">
        <v>120</v>
      </c>
      <c r="H34" s="145">
        <f t="shared" ref="H34:H39" si="2">F34*G34</f>
        <v>120000</v>
      </c>
      <c r="I34" s="146"/>
      <c r="J34" s="14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68</v>
      </c>
      <c r="C35" s="52"/>
      <c r="D35" s="30">
        <f>C35*84</f>
        <v>0</v>
      </c>
      <c r="F35" s="58">
        <v>500</v>
      </c>
      <c r="G35" s="41">
        <v>30</v>
      </c>
      <c r="H35" s="145">
        <f t="shared" si="2"/>
        <v>15000</v>
      </c>
      <c r="I35" s="146"/>
      <c r="J35" s="14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70</v>
      </c>
      <c r="C36" s="10"/>
      <c r="D36" s="12">
        <f>C36*1.5</f>
        <v>0</v>
      </c>
      <c r="F36" s="12">
        <v>200</v>
      </c>
      <c r="G36" s="37"/>
      <c r="H36" s="145">
        <f t="shared" si="2"/>
        <v>0</v>
      </c>
      <c r="I36" s="146"/>
      <c r="J36" s="14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72</v>
      </c>
      <c r="B37" s="28" t="s">
        <v>66</v>
      </c>
      <c r="C37" s="53">
        <v>165</v>
      </c>
      <c r="D37" s="12">
        <f>C37*111</f>
        <v>18315</v>
      </c>
      <c r="F37" s="12">
        <v>100</v>
      </c>
      <c r="G37" s="39">
        <v>7</v>
      </c>
      <c r="H37" s="145">
        <f t="shared" si="2"/>
        <v>700</v>
      </c>
      <c r="I37" s="146"/>
      <c r="J37" s="14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68</v>
      </c>
      <c r="C38" s="54">
        <v>25</v>
      </c>
      <c r="D38" s="12">
        <f>C38*84</f>
        <v>2100</v>
      </c>
      <c r="F38" s="30">
        <v>50</v>
      </c>
      <c r="G38" s="39">
        <v>1</v>
      </c>
      <c r="H38" s="145">
        <f t="shared" si="2"/>
        <v>50</v>
      </c>
      <c r="I38" s="146"/>
      <c r="J38" s="14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3</v>
      </c>
      <c r="H39" s="145">
        <f t="shared" si="2"/>
        <v>60</v>
      </c>
      <c r="I39" s="146"/>
      <c r="J39" s="14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45"/>
      <c r="I40" s="146"/>
      <c r="J40" s="14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68</v>
      </c>
      <c r="C41" s="10"/>
      <c r="D41" s="12">
        <f>C41*84</f>
        <v>0</v>
      </c>
      <c r="F41" s="12">
        <v>5</v>
      </c>
      <c r="G41" s="42"/>
      <c r="H41" s="145"/>
      <c r="I41" s="146"/>
      <c r="J41" s="14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70</v>
      </c>
      <c r="C42" s="11">
        <v>15</v>
      </c>
      <c r="D42" s="12">
        <f>C42*2.25</f>
        <v>33.75</v>
      </c>
      <c r="F42" s="39" t="s">
        <v>79</v>
      </c>
      <c r="G42" s="145">
        <v>13</v>
      </c>
      <c r="H42" s="146"/>
      <c r="I42" s="146"/>
      <c r="J42" s="14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5" t="s">
        <v>81</v>
      </c>
      <c r="C43" s="11"/>
      <c r="D43" s="12"/>
      <c r="F43" s="59" t="s">
        <v>82</v>
      </c>
      <c r="G43" s="95" t="s">
        <v>83</v>
      </c>
      <c r="H43" s="137" t="s">
        <v>13</v>
      </c>
      <c r="I43" s="138"/>
      <c r="J43" s="13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6"/>
      <c r="B44" s="27" t="s">
        <v>66</v>
      </c>
      <c r="C44" s="10">
        <v>11</v>
      </c>
      <c r="D44" s="12">
        <f>C44*120</f>
        <v>1320</v>
      </c>
      <c r="F44" s="97" t="s">
        <v>171</v>
      </c>
      <c r="G44" s="85"/>
      <c r="H44" s="140">
        <v>14000</v>
      </c>
      <c r="I44" s="140"/>
      <c r="J44" s="14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6"/>
      <c r="B45" s="27" t="s">
        <v>68</v>
      </c>
      <c r="C45" s="33">
        <v>4</v>
      </c>
      <c r="D45" s="12">
        <f>C45*84</f>
        <v>336</v>
      </c>
      <c r="F45" s="37"/>
      <c r="G45" s="62"/>
      <c r="H45" s="140"/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70</v>
      </c>
      <c r="C46" s="81">
        <v>1</v>
      </c>
      <c r="D46" s="12">
        <f>C46*1.5</f>
        <v>1.5</v>
      </c>
      <c r="F46" s="37"/>
      <c r="G46" s="62"/>
      <c r="H46" s="140"/>
      <c r="I46" s="140"/>
      <c r="J46" s="140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18"/>
      <c r="I48" s="119"/>
      <c r="J48" s="12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68</v>
      </c>
      <c r="C49" s="33">
        <v>1</v>
      </c>
      <c r="D49" s="12">
        <f>C49*42</f>
        <v>42</v>
      </c>
      <c r="F49" s="121" t="s">
        <v>86</v>
      </c>
      <c r="G49" s="123">
        <f>H34+H35+H36+H37+H38+H39+H40+H41+G42+H44+H45+H46</f>
        <v>149823</v>
      </c>
      <c r="H49" s="124"/>
      <c r="I49" s="124"/>
      <c r="J49" s="12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70</v>
      </c>
      <c r="C50" s="11">
        <v>5</v>
      </c>
      <c r="D50" s="12">
        <f>C50*1.5</f>
        <v>7.5</v>
      </c>
      <c r="F50" s="122"/>
      <c r="G50" s="126"/>
      <c r="H50" s="127"/>
      <c r="I50" s="127"/>
      <c r="J50" s="128"/>
      <c r="O50" t="s">
        <v>137</v>
      </c>
      <c r="P50" s="4">
        <v>1204</v>
      </c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128</v>
      </c>
      <c r="G51" s="230">
        <f>G49-H29</f>
        <v>-25.75</v>
      </c>
      <c r="H51" s="231"/>
      <c r="I51" s="231"/>
      <c r="J51" s="23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6"/>
      <c r="B52" s="29"/>
      <c r="C52" s="33"/>
      <c r="D52" s="45"/>
      <c r="F52" s="130"/>
      <c r="G52" s="233"/>
      <c r="H52" s="234"/>
      <c r="I52" s="234"/>
      <c r="J52" s="23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1" t="s">
        <v>90</v>
      </c>
      <c r="B54" s="102"/>
      <c r="C54" s="103"/>
      <c r="D54" s="107">
        <f>SUM(D34:D53)</f>
        <v>23477.25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9" t="s">
        <v>91</v>
      </c>
      <c r="B58" s="110"/>
      <c r="C58" s="110"/>
      <c r="D58" s="111"/>
      <c r="F58" s="109" t="s">
        <v>92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467ACE-AC64-482F-A1FC-C26C157668B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7" t="s">
        <v>1</v>
      </c>
      <c r="O1" s="197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98" t="s">
        <v>8</v>
      </c>
      <c r="G4" s="200">
        <v>2</v>
      </c>
      <c r="H4" s="202" t="s">
        <v>9</v>
      </c>
      <c r="I4" s="204">
        <v>46060</v>
      </c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10">
        <v>333</v>
      </c>
      <c r="D6" s="13">
        <f t="shared" ref="D6:D28" si="1">C6*L6</f>
        <v>253413</v>
      </c>
      <c r="F6" s="208" t="s">
        <v>16</v>
      </c>
      <c r="G6" s="210" t="s">
        <v>126</v>
      </c>
      <c r="H6" s="211"/>
      <c r="I6" s="211"/>
      <c r="J6" s="2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10">
        <v>11</v>
      </c>
      <c r="D7" s="13">
        <f t="shared" si="1"/>
        <v>8591</v>
      </c>
      <c r="F7" s="209"/>
      <c r="G7" s="213"/>
      <c r="H7" s="214"/>
      <c r="I7" s="214"/>
      <c r="J7" s="2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10"/>
      <c r="D8" s="13">
        <f t="shared" si="1"/>
        <v>0</v>
      </c>
      <c r="F8" s="216" t="s">
        <v>21</v>
      </c>
      <c r="G8" s="217" t="s">
        <v>113</v>
      </c>
      <c r="H8" s="218"/>
      <c r="I8" s="218"/>
      <c r="J8" s="21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10">
        <v>3</v>
      </c>
      <c r="D9" s="13">
        <f t="shared" si="1"/>
        <v>2199</v>
      </c>
      <c r="F9" s="209"/>
      <c r="G9" s="220"/>
      <c r="H9" s="221"/>
      <c r="I9" s="221"/>
      <c r="J9" s="22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10"/>
      <c r="D10" s="13">
        <f t="shared" si="1"/>
        <v>0</v>
      </c>
      <c r="F10" s="208" t="s">
        <v>26</v>
      </c>
      <c r="G10" s="223" t="s">
        <v>114</v>
      </c>
      <c r="H10" s="224"/>
      <c r="I10" s="224"/>
      <c r="J10" s="225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10"/>
      <c r="D11" s="13">
        <f t="shared" si="1"/>
        <v>0</v>
      </c>
      <c r="F11" s="209"/>
      <c r="G11" s="220"/>
      <c r="H11" s="221"/>
      <c r="I11" s="221"/>
      <c r="J11" s="22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10"/>
      <c r="D12" s="48">
        <f t="shared" si="1"/>
        <v>0</v>
      </c>
      <c r="F12" s="226" t="s">
        <v>33</v>
      </c>
      <c r="G12" s="227"/>
      <c r="H12" s="227"/>
      <c r="I12" s="227"/>
      <c r="J12" s="22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10">
        <v>11</v>
      </c>
      <c r="D13" s="48">
        <f t="shared" si="1"/>
        <v>3377</v>
      </c>
      <c r="F13" s="229" t="s">
        <v>36</v>
      </c>
      <c r="G13" s="193"/>
      <c r="H13" s="184">
        <f>D29</f>
        <v>267745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10">
        <v>15</v>
      </c>
      <c r="D14" s="31">
        <f t="shared" si="1"/>
        <v>165</v>
      </c>
      <c r="F14" s="187" t="s">
        <v>39</v>
      </c>
      <c r="G14" s="188"/>
      <c r="H14" s="189">
        <f>D54</f>
        <v>57427.5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38</v>
      </c>
      <c r="C15" s="10"/>
      <c r="D15" s="31">
        <f t="shared" si="1"/>
        <v>0</v>
      </c>
      <c r="F15" s="192" t="s">
        <v>40</v>
      </c>
      <c r="G15" s="193"/>
      <c r="H15" s="194">
        <f>H13-H14</f>
        <v>210317.5</v>
      </c>
      <c r="I15" s="195"/>
      <c r="J15" s="19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4">
        <f>241*6</f>
        <v>1446</v>
      </c>
      <c r="I16" s="154"/>
      <c r="J16" s="15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t="s">
        <v>93</v>
      </c>
      <c r="C17" s="10"/>
      <c r="D17" s="48">
        <f t="shared" si="1"/>
        <v>0</v>
      </c>
      <c r="F17" s="56"/>
      <c r="G17" s="66" t="s">
        <v>45</v>
      </c>
      <c r="H17" s="165"/>
      <c r="I17" s="165"/>
      <c r="J17" s="16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5"/>
      <c r="I18" s="165"/>
      <c r="J18" s="16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0"/>
      <c r="I19" s="240"/>
      <c r="J19" s="24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3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3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7" t="s">
        <v>13</v>
      </c>
      <c r="I21" s="168"/>
      <c r="J21" s="16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104</v>
      </c>
      <c r="C22" s="10"/>
      <c r="D22" s="48">
        <f t="shared" si="1"/>
        <v>0</v>
      </c>
      <c r="F22" s="72"/>
      <c r="G22" s="73"/>
      <c r="H22" s="170"/>
      <c r="I22" s="170"/>
      <c r="J22" s="17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107</v>
      </c>
      <c r="C23" s="10"/>
      <c r="D23" s="48">
        <f t="shared" si="1"/>
        <v>0</v>
      </c>
      <c r="F23" s="25"/>
      <c r="G23" s="37"/>
      <c r="H23" s="171"/>
      <c r="I23" s="140"/>
      <c r="J23" s="14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120</v>
      </c>
      <c r="C24" s="10"/>
      <c r="D24" s="48">
        <f t="shared" si="1"/>
        <v>0</v>
      </c>
      <c r="F24" s="38"/>
      <c r="G24" s="37"/>
      <c r="H24" s="171"/>
      <c r="I24" s="140"/>
      <c r="J24" s="14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2" t="s">
        <v>13</v>
      </c>
      <c r="I25" s="173"/>
      <c r="J25" s="17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105</v>
      </c>
      <c r="C26" s="10"/>
      <c r="D26" s="48">
        <f t="shared" si="1"/>
        <v>0</v>
      </c>
      <c r="F26" s="64"/>
      <c r="G26" s="10"/>
      <c r="H26" s="175"/>
      <c r="I26" s="176"/>
      <c r="J26" s="17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109</v>
      </c>
      <c r="C27" s="10"/>
      <c r="D27" s="44">
        <f t="shared" si="1"/>
        <v>0</v>
      </c>
      <c r="F27" s="14"/>
      <c r="G27" s="14"/>
      <c r="H27" s="178"/>
      <c r="I27" s="179"/>
      <c r="J27" s="18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97</v>
      </c>
      <c r="C28" s="10"/>
      <c r="D28" s="48">
        <f t="shared" si="1"/>
        <v>0</v>
      </c>
      <c r="F28" s="92"/>
      <c r="G28" s="61"/>
      <c r="H28" s="181"/>
      <c r="I28" s="182"/>
      <c r="J28" s="18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267745</v>
      </c>
      <c r="F29" s="101" t="s">
        <v>55</v>
      </c>
      <c r="G29" s="163"/>
      <c r="H29" s="123">
        <f>H15-H16-H17-H18-H19-H20-H22-H23-H24+H26+H27</f>
        <v>208871.5</v>
      </c>
      <c r="I29" s="124"/>
      <c r="J29" s="12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58</v>
      </c>
      <c r="B32" s="149"/>
      <c r="C32" s="149"/>
      <c r="D32" s="150"/>
      <c r="F32" s="151" t="s">
        <v>59</v>
      </c>
      <c r="G32" s="152"/>
      <c r="H32" s="152"/>
      <c r="I32" s="152"/>
      <c r="J32" s="15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51" t="s">
        <v>13</v>
      </c>
      <c r="I33" s="152"/>
      <c r="J33" s="15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41</v>
      </c>
      <c r="H34" s="145">
        <f>F34*G34</f>
        <v>41000</v>
      </c>
      <c r="I34" s="146"/>
      <c r="J34" s="14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68</v>
      </c>
      <c r="C35" s="52"/>
      <c r="D35" s="30">
        <f>C35*84</f>
        <v>0</v>
      </c>
      <c r="F35" s="58">
        <v>500</v>
      </c>
      <c r="G35" s="41">
        <v>41</v>
      </c>
      <c r="H35" s="145">
        <f t="shared" ref="H35:H39" si="2">F35*G35</f>
        <v>20500</v>
      </c>
      <c r="I35" s="146"/>
      <c r="J35" s="14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145">
        <f>F36*G36</f>
        <v>600</v>
      </c>
      <c r="I36" s="146"/>
      <c r="J36" s="14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72</v>
      </c>
      <c r="B37" s="28" t="s">
        <v>66</v>
      </c>
      <c r="C37" s="53">
        <v>458</v>
      </c>
      <c r="D37" s="12">
        <f>C37*111</f>
        <v>50838</v>
      </c>
      <c r="F37" s="12">
        <v>100</v>
      </c>
      <c r="G37" s="39">
        <v>75</v>
      </c>
      <c r="H37" s="145">
        <f t="shared" si="2"/>
        <v>7500</v>
      </c>
      <c r="I37" s="146"/>
      <c r="J37" s="14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68</v>
      </c>
      <c r="C38" s="54">
        <v>25</v>
      </c>
      <c r="D38" s="12">
        <f>C38*84</f>
        <v>2100</v>
      </c>
      <c r="F38" s="30">
        <v>50</v>
      </c>
      <c r="G38" s="39">
        <v>9</v>
      </c>
      <c r="H38" s="145">
        <f t="shared" si="2"/>
        <v>450</v>
      </c>
      <c r="I38" s="146"/>
      <c r="J38" s="14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70</v>
      </c>
      <c r="C39" s="52">
        <v>8</v>
      </c>
      <c r="D39" s="31">
        <f>C39*4.5</f>
        <v>36</v>
      </c>
      <c r="F39" s="12">
        <v>20</v>
      </c>
      <c r="G39" s="37"/>
      <c r="H39" s="145">
        <f t="shared" si="2"/>
        <v>0</v>
      </c>
      <c r="I39" s="146"/>
      <c r="J39" s="14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76</v>
      </c>
      <c r="B40" s="27" t="s">
        <v>66</v>
      </c>
      <c r="C40" s="63">
        <v>34</v>
      </c>
      <c r="D40" s="12">
        <f>C40*111</f>
        <v>3774</v>
      </c>
      <c r="F40" s="12">
        <v>10</v>
      </c>
      <c r="G40" s="42"/>
      <c r="H40" s="145"/>
      <c r="I40" s="146"/>
      <c r="J40" s="14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68</v>
      </c>
      <c r="C41" s="10"/>
      <c r="D41" s="12">
        <f>C41*84</f>
        <v>0</v>
      </c>
      <c r="F41" s="12">
        <v>5</v>
      </c>
      <c r="G41" s="42"/>
      <c r="H41" s="145"/>
      <c r="I41" s="146"/>
      <c r="J41" s="14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70</v>
      </c>
      <c r="C42" s="11">
        <v>2</v>
      </c>
      <c r="D42" s="12">
        <f>C42*2.25</f>
        <v>4.5</v>
      </c>
      <c r="F42" s="39" t="s">
        <v>79</v>
      </c>
      <c r="G42" s="145">
        <v>30</v>
      </c>
      <c r="H42" s="146"/>
      <c r="I42" s="146"/>
      <c r="J42" s="14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5" t="s">
        <v>81</v>
      </c>
      <c r="C43" s="11"/>
      <c r="D43" s="12"/>
      <c r="F43" s="59" t="s">
        <v>82</v>
      </c>
      <c r="G43" s="95" t="s">
        <v>83</v>
      </c>
      <c r="H43" s="137" t="s">
        <v>13</v>
      </c>
      <c r="I43" s="138"/>
      <c r="J43" s="13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6"/>
      <c r="B44" s="27" t="s">
        <v>66</v>
      </c>
      <c r="C44" s="10"/>
      <c r="D44" s="12">
        <f>C44*120</f>
        <v>0</v>
      </c>
      <c r="F44" s="37" t="s">
        <v>160</v>
      </c>
      <c r="G44" s="96" t="s">
        <v>172</v>
      </c>
      <c r="H44" s="140">
        <v>138760</v>
      </c>
      <c r="I44" s="140"/>
      <c r="J44" s="14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6"/>
      <c r="B45" s="27" t="s">
        <v>68</v>
      </c>
      <c r="C45" s="33"/>
      <c r="D45" s="12">
        <f>C45*84</f>
        <v>0</v>
      </c>
      <c r="F45" s="37"/>
      <c r="G45" s="62"/>
      <c r="H45" s="140"/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70</v>
      </c>
      <c r="C46" s="81"/>
      <c r="D46" s="12">
        <f>C46*1.5</f>
        <v>0</v>
      </c>
      <c r="F46" s="37"/>
      <c r="G46" s="94"/>
      <c r="H46" s="141"/>
      <c r="I46" s="141"/>
      <c r="J46" s="141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18"/>
      <c r="I48" s="119"/>
      <c r="J48" s="12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68</v>
      </c>
      <c r="C49" s="33">
        <v>10</v>
      </c>
      <c r="D49" s="12">
        <f>C49*42</f>
        <v>420</v>
      </c>
      <c r="F49" s="121" t="s">
        <v>86</v>
      </c>
      <c r="G49" s="123">
        <f>H34+H35+H36+H37+H38+H39+H40+H41+G42+H44+H45+H46</f>
        <v>208840</v>
      </c>
      <c r="H49" s="124"/>
      <c r="I49" s="124"/>
      <c r="J49" s="12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70</v>
      </c>
      <c r="C50" s="11">
        <v>14</v>
      </c>
      <c r="D50" s="12">
        <f>C50*1.5</f>
        <v>21</v>
      </c>
      <c r="F50" s="122"/>
      <c r="G50" s="126"/>
      <c r="H50" s="127"/>
      <c r="I50" s="127"/>
      <c r="J50" s="128"/>
      <c r="O50" t="s">
        <v>137</v>
      </c>
      <c r="P50" s="4">
        <v>1204</v>
      </c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155</v>
      </c>
      <c r="G51" s="230">
        <f>G49-H29</f>
        <v>-31.5</v>
      </c>
      <c r="H51" s="231"/>
      <c r="I51" s="231"/>
      <c r="J51" s="23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6"/>
      <c r="B52" s="29"/>
      <c r="C52" s="33"/>
      <c r="D52" s="45"/>
      <c r="F52" s="130"/>
      <c r="G52" s="233"/>
      <c r="H52" s="234"/>
      <c r="I52" s="234"/>
      <c r="J52" s="23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1" t="s">
        <v>90</v>
      </c>
      <c r="B54" s="102"/>
      <c r="C54" s="103"/>
      <c r="D54" s="107">
        <f>SUM(D34:D53)</f>
        <v>57427.5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9" t="s">
        <v>91</v>
      </c>
      <c r="B58" s="110"/>
      <c r="C58" s="110"/>
      <c r="D58" s="111"/>
      <c r="F58" s="109" t="s">
        <v>92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06FD7-43F9-467C-8074-3D9CEFC67C7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7" t="s">
        <v>1</v>
      </c>
      <c r="O1" s="197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98" t="s">
        <v>8</v>
      </c>
      <c r="G4" s="200">
        <v>3</v>
      </c>
      <c r="H4" s="202" t="s">
        <v>9</v>
      </c>
      <c r="I4" s="204">
        <v>46060</v>
      </c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10">
        <v>358</v>
      </c>
      <c r="D6" s="13">
        <f t="shared" ref="D6:D28" si="1">C6*L6</f>
        <v>272438</v>
      </c>
      <c r="F6" s="208" t="s">
        <v>16</v>
      </c>
      <c r="G6" s="210" t="s">
        <v>141</v>
      </c>
      <c r="H6" s="211"/>
      <c r="I6" s="211"/>
      <c r="J6" s="2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10">
        <v>10</v>
      </c>
      <c r="D7" s="13">
        <f t="shared" si="1"/>
        <v>7810</v>
      </c>
      <c r="F7" s="209"/>
      <c r="G7" s="213"/>
      <c r="H7" s="214"/>
      <c r="I7" s="214"/>
      <c r="J7" s="2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10"/>
      <c r="D8" s="13">
        <f t="shared" si="1"/>
        <v>0</v>
      </c>
      <c r="F8" s="216" t="s">
        <v>21</v>
      </c>
      <c r="G8" s="217" t="s">
        <v>130</v>
      </c>
      <c r="H8" s="218"/>
      <c r="I8" s="218"/>
      <c r="J8" s="21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10">
        <v>16</v>
      </c>
      <c r="D9" s="13">
        <f t="shared" si="1"/>
        <v>11728</v>
      </c>
      <c r="F9" s="209"/>
      <c r="G9" s="220"/>
      <c r="H9" s="221"/>
      <c r="I9" s="221"/>
      <c r="J9" s="22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10"/>
      <c r="D10" s="13">
        <f t="shared" si="1"/>
        <v>0</v>
      </c>
      <c r="F10" s="208" t="s">
        <v>26</v>
      </c>
      <c r="G10" s="223" t="s">
        <v>127</v>
      </c>
      <c r="H10" s="224"/>
      <c r="I10" s="224"/>
      <c r="J10" s="225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10"/>
      <c r="D11" s="13">
        <f t="shared" si="1"/>
        <v>0</v>
      </c>
      <c r="F11" s="209"/>
      <c r="G11" s="220"/>
      <c r="H11" s="221"/>
      <c r="I11" s="221"/>
      <c r="J11" s="22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10"/>
      <c r="D12" s="48">
        <f t="shared" si="1"/>
        <v>0</v>
      </c>
      <c r="F12" s="226" t="s">
        <v>33</v>
      </c>
      <c r="G12" s="227"/>
      <c r="H12" s="227"/>
      <c r="I12" s="227"/>
      <c r="J12" s="22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10">
        <v>3</v>
      </c>
      <c r="D13" s="48">
        <f t="shared" si="1"/>
        <v>921</v>
      </c>
      <c r="F13" s="229" t="s">
        <v>36</v>
      </c>
      <c r="G13" s="193"/>
      <c r="H13" s="184">
        <f>D29</f>
        <v>294192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10">
        <v>5</v>
      </c>
      <c r="D14" s="31">
        <f t="shared" si="1"/>
        <v>55</v>
      </c>
      <c r="F14" s="187" t="s">
        <v>39</v>
      </c>
      <c r="G14" s="188"/>
      <c r="H14" s="189">
        <f>D54</f>
        <v>44824.5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38</v>
      </c>
      <c r="C15" s="10">
        <v>2</v>
      </c>
      <c r="D15" s="31">
        <f t="shared" si="1"/>
        <v>1240</v>
      </c>
      <c r="F15" s="192" t="s">
        <v>40</v>
      </c>
      <c r="G15" s="193"/>
      <c r="H15" s="194">
        <f>H13-H14</f>
        <v>249367.5</v>
      </c>
      <c r="I15" s="195"/>
      <c r="J15" s="19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4">
        <f>50*6+184*6</f>
        <v>1404</v>
      </c>
      <c r="I16" s="154"/>
      <c r="J16" s="15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t="s">
        <v>112</v>
      </c>
      <c r="C17" s="10"/>
      <c r="D17" s="48">
        <f t="shared" si="1"/>
        <v>0</v>
      </c>
      <c r="F17" s="56"/>
      <c r="G17" s="66" t="s">
        <v>45</v>
      </c>
      <c r="H17" s="165"/>
      <c r="I17" s="165"/>
      <c r="J17" s="16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5"/>
      <c r="I18" s="165"/>
      <c r="J18" s="16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41"/>
      <c r="I19" s="241"/>
      <c r="J19" s="24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3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4"/>
      <c r="I20" s="154"/>
      <c r="J20" s="15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3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7" t="s">
        <v>13</v>
      </c>
      <c r="I21" s="168"/>
      <c r="J21" s="16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104</v>
      </c>
      <c r="C22" s="10"/>
      <c r="D22" s="48">
        <f t="shared" si="1"/>
        <v>0</v>
      </c>
      <c r="F22" s="77"/>
      <c r="G22" s="73"/>
      <c r="H22" s="170"/>
      <c r="I22" s="170"/>
      <c r="J22" s="17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107</v>
      </c>
      <c r="C23" s="10"/>
      <c r="D23" s="48">
        <f t="shared" si="1"/>
        <v>0</v>
      </c>
      <c r="F23" s="78"/>
      <c r="G23" s="79"/>
      <c r="H23" s="171"/>
      <c r="I23" s="140"/>
      <c r="J23" s="14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101</v>
      </c>
      <c r="C24" s="10"/>
      <c r="D24" s="48">
        <f t="shared" si="1"/>
        <v>0</v>
      </c>
      <c r="F24" s="38"/>
      <c r="G24" s="37"/>
      <c r="H24" s="171"/>
      <c r="I24" s="140"/>
      <c r="J24" s="14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2" t="s">
        <v>13</v>
      </c>
      <c r="I25" s="173"/>
      <c r="J25" s="17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105</v>
      </c>
      <c r="C26" s="10"/>
      <c r="D26" s="48">
        <f t="shared" si="1"/>
        <v>0</v>
      </c>
      <c r="F26" s="64"/>
      <c r="G26" s="59"/>
      <c r="H26" s="175"/>
      <c r="I26" s="176"/>
      <c r="J26" s="17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109</v>
      </c>
      <c r="C27" s="10"/>
      <c r="D27" s="44">
        <f t="shared" si="1"/>
        <v>0</v>
      </c>
      <c r="F27" s="25"/>
      <c r="G27" s="80"/>
      <c r="H27" s="178"/>
      <c r="I27" s="179"/>
      <c r="J27" s="18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97</v>
      </c>
      <c r="C28" s="10"/>
      <c r="D28" s="48">
        <f t="shared" si="1"/>
        <v>0</v>
      </c>
      <c r="F28" s="92"/>
      <c r="G28" s="61"/>
      <c r="H28" s="181"/>
      <c r="I28" s="182"/>
      <c r="J28" s="18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294192</v>
      </c>
      <c r="F29" s="101" t="s">
        <v>55</v>
      </c>
      <c r="G29" s="163"/>
      <c r="H29" s="123">
        <f>H15-H16-H17-H18-H19-H20-H22-H23-H24+H26+H27</f>
        <v>247963.5</v>
      </c>
      <c r="I29" s="124"/>
      <c r="J29" s="12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58</v>
      </c>
      <c r="B32" s="149"/>
      <c r="C32" s="149"/>
      <c r="D32" s="150"/>
      <c r="F32" s="151" t="s">
        <v>59</v>
      </c>
      <c r="G32" s="152"/>
      <c r="H32" s="152"/>
      <c r="I32" s="152"/>
      <c r="J32" s="15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51" t="s">
        <v>13</v>
      </c>
      <c r="I33" s="152"/>
      <c r="J33" s="15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84</v>
      </c>
      <c r="H34" s="145">
        <f>F34*G34</f>
        <v>84000</v>
      </c>
      <c r="I34" s="146"/>
      <c r="J34" s="14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68</v>
      </c>
      <c r="C35" s="52"/>
      <c r="D35" s="30">
        <f>C35*84</f>
        <v>0</v>
      </c>
      <c r="F35" s="58">
        <v>500</v>
      </c>
      <c r="G35" s="41">
        <v>78</v>
      </c>
      <c r="H35" s="145">
        <f>F35*G35</f>
        <v>39000</v>
      </c>
      <c r="I35" s="146"/>
      <c r="J35" s="14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70</v>
      </c>
      <c r="C36" s="10"/>
      <c r="D36" s="12">
        <f>C36*1.5</f>
        <v>0</v>
      </c>
      <c r="F36" s="12">
        <v>200</v>
      </c>
      <c r="G36" s="37"/>
      <c r="H36" s="145">
        <f t="shared" ref="H36:H39" si="2">F36*G36</f>
        <v>0</v>
      </c>
      <c r="I36" s="146"/>
      <c r="J36" s="14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72</v>
      </c>
      <c r="B37" s="28" t="s">
        <v>66</v>
      </c>
      <c r="C37" s="53">
        <v>358</v>
      </c>
      <c r="D37" s="12">
        <f>C37*111</f>
        <v>39738</v>
      </c>
      <c r="F37" s="12">
        <v>100</v>
      </c>
      <c r="G37" s="39">
        <v>19</v>
      </c>
      <c r="H37" s="145">
        <f t="shared" si="2"/>
        <v>1900</v>
      </c>
      <c r="I37" s="146"/>
      <c r="J37" s="14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68</v>
      </c>
      <c r="C38" s="54">
        <v>22</v>
      </c>
      <c r="D38" s="12">
        <f>C38*84</f>
        <v>1848</v>
      </c>
      <c r="F38" s="30">
        <v>50</v>
      </c>
      <c r="G38" s="39">
        <v>21</v>
      </c>
      <c r="H38" s="145">
        <f t="shared" si="2"/>
        <v>1050</v>
      </c>
      <c r="I38" s="146"/>
      <c r="J38" s="14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145">
        <f t="shared" si="2"/>
        <v>20</v>
      </c>
      <c r="I39" s="146"/>
      <c r="J39" s="14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76</v>
      </c>
      <c r="B40" s="27" t="s">
        <v>66</v>
      </c>
      <c r="C40" s="63">
        <v>24</v>
      </c>
      <c r="D40" s="12">
        <f>C40*111</f>
        <v>2664</v>
      </c>
      <c r="F40" s="12">
        <v>10</v>
      </c>
      <c r="G40" s="42"/>
      <c r="H40" s="145"/>
      <c r="I40" s="146"/>
      <c r="J40" s="14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68</v>
      </c>
      <c r="C41" s="10"/>
      <c r="D41" s="12">
        <f>C41*84</f>
        <v>0</v>
      </c>
      <c r="F41" s="12">
        <v>5</v>
      </c>
      <c r="G41" s="42"/>
      <c r="H41" s="145"/>
      <c r="I41" s="146"/>
      <c r="J41" s="14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70</v>
      </c>
      <c r="C42" s="11">
        <v>4</v>
      </c>
      <c r="D42" s="12">
        <f>C42*2.25</f>
        <v>9</v>
      </c>
      <c r="F42" s="39" t="s">
        <v>79</v>
      </c>
      <c r="G42" s="145">
        <v>56</v>
      </c>
      <c r="H42" s="146"/>
      <c r="I42" s="146"/>
      <c r="J42" s="14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5" t="s">
        <v>81</v>
      </c>
      <c r="C43" s="11"/>
      <c r="D43" s="12"/>
      <c r="F43" s="59" t="s">
        <v>82</v>
      </c>
      <c r="G43" s="95" t="s">
        <v>83</v>
      </c>
      <c r="H43" s="137" t="s">
        <v>13</v>
      </c>
      <c r="I43" s="138"/>
      <c r="J43" s="13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6"/>
      <c r="B44" s="27" t="s">
        <v>66</v>
      </c>
      <c r="C44" s="10"/>
      <c r="D44" s="12">
        <f>C44*120</f>
        <v>0</v>
      </c>
      <c r="F44" s="37" t="s">
        <v>146</v>
      </c>
      <c r="G44" s="76" t="s">
        <v>173</v>
      </c>
      <c r="H44" s="140">
        <v>121864</v>
      </c>
      <c r="I44" s="140"/>
      <c r="J44" s="14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6"/>
      <c r="B45" s="27" t="s">
        <v>68</v>
      </c>
      <c r="C45" s="33"/>
      <c r="D45" s="12">
        <f>C45*84</f>
        <v>0</v>
      </c>
      <c r="F45" s="37"/>
      <c r="G45" s="76"/>
      <c r="H45" s="140"/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70</v>
      </c>
      <c r="C46" s="81">
        <v>8</v>
      </c>
      <c r="D46" s="12">
        <f>C46*1.5</f>
        <v>12</v>
      </c>
      <c r="F46" s="37"/>
      <c r="G46" s="62"/>
      <c r="H46" s="141"/>
      <c r="I46" s="141"/>
      <c r="J46" s="141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18"/>
      <c r="I48" s="119"/>
      <c r="J48" s="12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68</v>
      </c>
      <c r="C49" s="33">
        <v>7</v>
      </c>
      <c r="D49" s="12">
        <f>C49*42</f>
        <v>294</v>
      </c>
      <c r="F49" s="121" t="s">
        <v>86</v>
      </c>
      <c r="G49" s="123">
        <f>H34+H35+H36+H37+H38+H39+H40+H41+G42+H44+H45+H46</f>
        <v>247890</v>
      </c>
      <c r="H49" s="124"/>
      <c r="I49" s="124"/>
      <c r="J49" s="12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70</v>
      </c>
      <c r="C50" s="11">
        <v>2</v>
      </c>
      <c r="D50" s="12">
        <f>C50*1.5</f>
        <v>3</v>
      </c>
      <c r="F50" s="122"/>
      <c r="G50" s="126"/>
      <c r="H50" s="127"/>
      <c r="I50" s="127"/>
      <c r="J50" s="128"/>
      <c r="O50" t="s">
        <v>137</v>
      </c>
      <c r="P50" s="4">
        <v>1204</v>
      </c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128</v>
      </c>
      <c r="G51" s="230">
        <f>G49-H29</f>
        <v>-73.5</v>
      </c>
      <c r="H51" s="231"/>
      <c r="I51" s="231"/>
      <c r="J51" s="23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6"/>
      <c r="B52" s="29"/>
      <c r="C52" s="33"/>
      <c r="D52" s="45"/>
      <c r="F52" s="130"/>
      <c r="G52" s="233"/>
      <c r="H52" s="234"/>
      <c r="I52" s="234"/>
      <c r="J52" s="23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1" t="s">
        <v>90</v>
      </c>
      <c r="B54" s="102"/>
      <c r="C54" s="103"/>
      <c r="D54" s="107">
        <f>SUM(D34:D53)</f>
        <v>44824.5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9" t="s">
        <v>91</v>
      </c>
      <c r="B58" s="110"/>
      <c r="C58" s="110"/>
      <c r="D58" s="111"/>
      <c r="F58" s="109" t="s">
        <v>92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64AF1-8BBF-4B8D-85DB-E450FA90899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7" t="s">
        <v>1</v>
      </c>
      <c r="O1" s="197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8" t="s">
        <v>7</v>
      </c>
      <c r="B4" s="149"/>
      <c r="C4" s="149"/>
      <c r="D4" s="150"/>
      <c r="F4" s="198" t="s">
        <v>8</v>
      </c>
      <c r="G4" s="200"/>
      <c r="H4" s="202" t="s">
        <v>9</v>
      </c>
      <c r="I4" s="204"/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3"/>
      <c r="B6" s="16"/>
      <c r="C6" s="10"/>
      <c r="D6" s="13">
        <f t="shared" ref="D6:D28" si="1">C6*L6</f>
        <v>0</v>
      </c>
      <c r="F6" s="208" t="s">
        <v>16</v>
      </c>
      <c r="G6" s="210"/>
      <c r="H6" s="211"/>
      <c r="I6" s="211"/>
      <c r="J6" s="21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3"/>
      <c r="B7" s="16"/>
      <c r="C7" s="10"/>
      <c r="D7" s="13">
        <f t="shared" si="1"/>
        <v>0</v>
      </c>
      <c r="F7" s="209"/>
      <c r="G7" s="213"/>
      <c r="H7" s="214"/>
      <c r="I7" s="214"/>
      <c r="J7" s="21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3"/>
      <c r="B8" s="16"/>
      <c r="C8" s="10"/>
      <c r="D8" s="13">
        <f t="shared" si="1"/>
        <v>0</v>
      </c>
      <c r="F8" s="216" t="s">
        <v>21</v>
      </c>
      <c r="G8" s="217"/>
      <c r="H8" s="218"/>
      <c r="I8" s="218"/>
      <c r="J8" s="21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3"/>
      <c r="B9" s="16"/>
      <c r="C9" s="10"/>
      <c r="D9" s="13">
        <f t="shared" si="1"/>
        <v>0</v>
      </c>
      <c r="F9" s="209"/>
      <c r="G9" s="220"/>
      <c r="H9" s="221"/>
      <c r="I9" s="221"/>
      <c r="J9" s="22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3"/>
      <c r="C10" s="10"/>
      <c r="D10" s="13">
        <f t="shared" si="1"/>
        <v>0</v>
      </c>
      <c r="F10" s="208" t="s">
        <v>26</v>
      </c>
      <c r="G10" s="223"/>
      <c r="H10" s="224"/>
      <c r="I10" s="224"/>
      <c r="J10" s="225"/>
      <c r="K10" s="8"/>
      <c r="L10" s="6">
        <f>R36</f>
        <v>972</v>
      </c>
      <c r="P10" s="4"/>
      <c r="Q10" s="4"/>
      <c r="R10" s="5"/>
    </row>
    <row r="11" spans="1:19" ht="15.75" x14ac:dyDescent="0.25">
      <c r="A11" s="143"/>
      <c r="B11" s="17"/>
      <c r="C11" s="10"/>
      <c r="D11" s="13">
        <f t="shared" si="1"/>
        <v>0</v>
      </c>
      <c r="F11" s="209"/>
      <c r="G11" s="220"/>
      <c r="H11" s="221"/>
      <c r="I11" s="221"/>
      <c r="J11" s="22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3"/>
      <c r="B12" s="17"/>
      <c r="C12" s="10"/>
      <c r="D12" s="48">
        <f t="shared" si="1"/>
        <v>0</v>
      </c>
      <c r="F12" s="226" t="s">
        <v>33</v>
      </c>
      <c r="G12" s="227"/>
      <c r="H12" s="227"/>
      <c r="I12" s="227"/>
      <c r="J12" s="22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3"/>
      <c r="B13" s="17"/>
      <c r="C13" s="10"/>
      <c r="D13" s="48">
        <f t="shared" si="1"/>
        <v>0</v>
      </c>
      <c r="F13" s="229" t="s">
        <v>36</v>
      </c>
      <c r="G13" s="19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3"/>
      <c r="B14" s="14"/>
      <c r="C14" s="10"/>
      <c r="D14" s="31">
        <f t="shared" si="1"/>
        <v>0</v>
      </c>
      <c r="F14" s="187" t="s">
        <v>39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3"/>
      <c r="B15" s="14"/>
      <c r="C15" s="10"/>
      <c r="D15" s="31">
        <f t="shared" si="1"/>
        <v>0</v>
      </c>
      <c r="F15" s="192" t="s">
        <v>40</v>
      </c>
      <c r="G15" s="193"/>
      <c r="H15" s="194">
        <f>H13-H14</f>
        <v>0</v>
      </c>
      <c r="I15" s="195"/>
      <c r="J15" s="19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4"/>
      <c r="I16" s="154"/>
      <c r="J16" s="15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C17" s="10"/>
      <c r="D17" s="48">
        <f t="shared" si="1"/>
        <v>0</v>
      </c>
      <c r="F17" s="56"/>
      <c r="G17" s="66" t="s">
        <v>45</v>
      </c>
      <c r="H17" s="165"/>
      <c r="I17" s="165"/>
      <c r="J17" s="16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/>
      <c r="C18" s="10"/>
      <c r="D18" s="48">
        <f t="shared" si="1"/>
        <v>0</v>
      </c>
      <c r="F18" s="56"/>
      <c r="G18" s="66" t="s">
        <v>47</v>
      </c>
      <c r="H18" s="165"/>
      <c r="I18" s="165"/>
      <c r="J18" s="16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/>
      <c r="C19" s="10"/>
      <c r="D19" s="48">
        <f t="shared" si="1"/>
        <v>0</v>
      </c>
      <c r="F19" s="56"/>
      <c r="G19" s="68" t="s">
        <v>50</v>
      </c>
      <c r="H19" s="166"/>
      <c r="I19" s="166"/>
      <c r="J19" s="1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3"/>
      <c r="B20" s="46"/>
      <c r="C20" s="10"/>
      <c r="D20" s="13">
        <f t="shared" si="1"/>
        <v>0</v>
      </c>
      <c r="F20" s="57"/>
      <c r="G20" s="70" t="s">
        <v>117</v>
      </c>
      <c r="H20" s="154"/>
      <c r="I20" s="154"/>
      <c r="J20" s="15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7" t="s">
        <v>13</v>
      </c>
      <c r="I21" s="168"/>
      <c r="J21" s="16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3"/>
      <c r="B22" s="46"/>
      <c r="C22" s="10"/>
      <c r="D22" s="48">
        <f t="shared" si="1"/>
        <v>0</v>
      </c>
      <c r="F22" s="77"/>
      <c r="G22" s="73"/>
      <c r="H22" s="170"/>
      <c r="I22" s="170"/>
      <c r="J22" s="17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/>
      <c r="C23" s="10"/>
      <c r="D23" s="48">
        <f t="shared" si="1"/>
        <v>0</v>
      </c>
      <c r="F23" s="78"/>
      <c r="G23" s="79"/>
      <c r="H23" s="171"/>
      <c r="I23" s="140"/>
      <c r="J23" s="14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/>
      <c r="C24" s="10"/>
      <c r="D24" s="48">
        <f t="shared" si="1"/>
        <v>0</v>
      </c>
      <c r="F24" s="38"/>
      <c r="G24" s="37"/>
      <c r="H24" s="171"/>
      <c r="I24" s="140"/>
      <c r="J24" s="14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2" t="s">
        <v>13</v>
      </c>
      <c r="I25" s="173"/>
      <c r="J25" s="17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/>
      <c r="C26" s="10"/>
      <c r="D26" s="48">
        <f t="shared" si="1"/>
        <v>0</v>
      </c>
      <c r="F26" s="64"/>
      <c r="G26" s="59"/>
      <c r="H26" s="175"/>
      <c r="I26" s="176"/>
      <c r="J26" s="17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3"/>
      <c r="B27" s="14"/>
      <c r="C27" s="10"/>
      <c r="D27" s="44">
        <f t="shared" si="1"/>
        <v>0</v>
      </c>
      <c r="F27" s="25"/>
      <c r="G27" s="80"/>
      <c r="H27" s="178"/>
      <c r="I27" s="179"/>
      <c r="J27" s="18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/>
      <c r="C28" s="10"/>
      <c r="D28" s="48">
        <f t="shared" si="1"/>
        <v>0</v>
      </c>
      <c r="F28" s="92"/>
      <c r="G28" s="61"/>
      <c r="H28" s="181"/>
      <c r="I28" s="182"/>
      <c r="J28" s="18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5" t="s">
        <v>36</v>
      </c>
      <c r="B29" s="156"/>
      <c r="C29" s="157"/>
      <c r="D29" s="161">
        <f>SUM(D6:D28)</f>
        <v>0</v>
      </c>
      <c r="F29" s="101" t="s">
        <v>55</v>
      </c>
      <c r="G29" s="163"/>
      <c r="H29" s="123">
        <f>H15-H16-H17-H18-H19-H20-H22-H23-H24+H26+H27</f>
        <v>0</v>
      </c>
      <c r="I29" s="124"/>
      <c r="J29" s="12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8" t="s">
        <v>58</v>
      </c>
      <c r="B32" s="149"/>
      <c r="C32" s="149"/>
      <c r="D32" s="150"/>
      <c r="F32" s="151" t="s">
        <v>59</v>
      </c>
      <c r="G32" s="152"/>
      <c r="H32" s="152"/>
      <c r="I32" s="152"/>
      <c r="J32" s="15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51" t="s">
        <v>13</v>
      </c>
      <c r="I33" s="152"/>
      <c r="J33" s="15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5"/>
      <c r="I34" s="146"/>
      <c r="J34" s="14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3"/>
      <c r="B35" s="27" t="s">
        <v>68</v>
      </c>
      <c r="C35" s="52"/>
      <c r="D35" s="30">
        <f>C35*84</f>
        <v>0</v>
      </c>
      <c r="F35" s="58">
        <v>500</v>
      </c>
      <c r="G35" s="41"/>
      <c r="H35" s="145"/>
      <c r="I35" s="146"/>
      <c r="J35" s="14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70</v>
      </c>
      <c r="C36" s="10"/>
      <c r="D36" s="12">
        <f>C36*1.5</f>
        <v>0</v>
      </c>
      <c r="F36" s="12">
        <v>200</v>
      </c>
      <c r="G36" s="37"/>
      <c r="H36" s="145"/>
      <c r="I36" s="146"/>
      <c r="J36" s="14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5"/>
      <c r="I37" s="146"/>
      <c r="J37" s="14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3"/>
      <c r="B38" s="29" t="s">
        <v>68</v>
      </c>
      <c r="C38" s="54"/>
      <c r="D38" s="12">
        <f>C38*84</f>
        <v>0</v>
      </c>
      <c r="F38" s="30">
        <v>50</v>
      </c>
      <c r="G38" s="39"/>
      <c r="H38" s="145"/>
      <c r="I38" s="146"/>
      <c r="J38" s="14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4"/>
      <c r="B39" s="29" t="s">
        <v>70</v>
      </c>
      <c r="C39" s="52"/>
      <c r="D39" s="31">
        <f>C39*4.5</f>
        <v>0</v>
      </c>
      <c r="F39" s="12">
        <v>20</v>
      </c>
      <c r="G39" s="37"/>
      <c r="H39" s="145"/>
      <c r="I39" s="146"/>
      <c r="J39" s="14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5"/>
      <c r="I40" s="146"/>
      <c r="J40" s="14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3"/>
      <c r="B41" s="27" t="s">
        <v>68</v>
      </c>
      <c r="C41" s="10"/>
      <c r="D41" s="12">
        <f>C41*84</f>
        <v>0</v>
      </c>
      <c r="F41" s="12">
        <v>5</v>
      </c>
      <c r="G41" s="42"/>
      <c r="H41" s="145"/>
      <c r="I41" s="146"/>
      <c r="J41" s="14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4"/>
      <c r="B42" s="27" t="s">
        <v>70</v>
      </c>
      <c r="C42" s="11"/>
      <c r="D42" s="12">
        <f>C42*2.25</f>
        <v>0</v>
      </c>
      <c r="F42" s="39" t="s">
        <v>79</v>
      </c>
      <c r="G42" s="145"/>
      <c r="H42" s="146"/>
      <c r="I42" s="146"/>
      <c r="J42" s="14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5" t="s">
        <v>81</v>
      </c>
      <c r="C43" s="11"/>
      <c r="D43" s="12"/>
      <c r="F43" s="59" t="s">
        <v>82</v>
      </c>
      <c r="G43" s="95" t="s">
        <v>83</v>
      </c>
      <c r="H43" s="137" t="s">
        <v>13</v>
      </c>
      <c r="I43" s="138"/>
      <c r="J43" s="139"/>
      <c r="K43" s="21"/>
      <c r="P43" s="4"/>
      <c r="Q43" s="4"/>
      <c r="R43" s="5"/>
    </row>
    <row r="44" spans="1:18" ht="15.75" x14ac:dyDescent="0.25">
      <c r="A44" s="116"/>
      <c r="B44" s="27" t="s">
        <v>66</v>
      </c>
      <c r="C44" s="10"/>
      <c r="D44" s="12">
        <f>C44*120</f>
        <v>0</v>
      </c>
      <c r="F44" s="37"/>
      <c r="G44" s="76"/>
      <c r="H44" s="140"/>
      <c r="I44" s="140"/>
      <c r="J44" s="140"/>
      <c r="K44" s="21"/>
      <c r="P44" s="4"/>
      <c r="Q44" s="4"/>
      <c r="R44" s="5"/>
    </row>
    <row r="45" spans="1:18" ht="15.75" x14ac:dyDescent="0.25">
      <c r="A45" s="116"/>
      <c r="B45" s="27" t="s">
        <v>68</v>
      </c>
      <c r="C45" s="33"/>
      <c r="D45" s="12">
        <f>C45*84</f>
        <v>0</v>
      </c>
      <c r="F45" s="37"/>
      <c r="G45" s="76"/>
      <c r="H45" s="140"/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70</v>
      </c>
      <c r="C46" s="81"/>
      <c r="D46" s="12">
        <f>C46*1.5</f>
        <v>0</v>
      </c>
      <c r="F46" s="37"/>
      <c r="G46" s="62"/>
      <c r="H46" s="141"/>
      <c r="I46" s="141"/>
      <c r="J46" s="141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66</v>
      </c>
      <c r="C48" s="10"/>
      <c r="D48" s="12">
        <f>C48*78</f>
        <v>0</v>
      </c>
      <c r="F48" s="59"/>
      <c r="G48" s="59"/>
      <c r="H48" s="118"/>
      <c r="I48" s="119"/>
      <c r="J48" s="12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68</v>
      </c>
      <c r="C49" s="33"/>
      <c r="D49" s="12">
        <f>C49*42</f>
        <v>0</v>
      </c>
      <c r="F49" s="121" t="s">
        <v>86</v>
      </c>
      <c r="G49" s="123">
        <f>H34+H35+H36+H37+H38+H39+H40+H41+G42+H44+H45+H46</f>
        <v>0</v>
      </c>
      <c r="H49" s="124"/>
      <c r="I49" s="124"/>
      <c r="J49" s="12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70</v>
      </c>
      <c r="C50" s="11"/>
      <c r="D50" s="12">
        <f>C50*1.5</f>
        <v>0</v>
      </c>
      <c r="F50" s="122"/>
      <c r="G50" s="126"/>
      <c r="H50" s="127"/>
      <c r="I50" s="127"/>
      <c r="J50" s="128"/>
      <c r="P50" s="4"/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125</v>
      </c>
      <c r="G51" s="131">
        <f>G49-H29</f>
        <v>0</v>
      </c>
      <c r="H51" s="132"/>
      <c r="I51" s="132"/>
      <c r="J51" s="13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6"/>
      <c r="B52" s="29"/>
      <c r="C52" s="33"/>
      <c r="D52" s="45"/>
      <c r="F52" s="130"/>
      <c r="G52" s="134"/>
      <c r="H52" s="135"/>
      <c r="I52" s="135"/>
      <c r="J52" s="1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1" t="s">
        <v>90</v>
      </c>
      <c r="B54" s="102"/>
      <c r="C54" s="103"/>
      <c r="D54" s="107">
        <f>SUM(D34:D53)</f>
        <v>0</v>
      </c>
      <c r="F54" s="21"/>
      <c r="J54" s="34"/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9" t="s">
        <v>91</v>
      </c>
      <c r="B58" s="110"/>
      <c r="C58" s="110"/>
      <c r="D58" s="111"/>
      <c r="F58" s="109" t="s">
        <v>92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B1E61-92CA-41A4-B518-5D7614654BF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7" t="s">
        <v>1</v>
      </c>
      <c r="O1" s="197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98" t="s">
        <v>8</v>
      </c>
      <c r="G4" s="200">
        <v>1</v>
      </c>
      <c r="H4" s="202" t="s">
        <v>9</v>
      </c>
      <c r="I4" s="204">
        <v>46062</v>
      </c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84"/>
      <c r="D6" s="13">
        <f t="shared" ref="D6:D28" si="1">C6*L6</f>
        <v>0</v>
      </c>
      <c r="F6" s="208" t="s">
        <v>16</v>
      </c>
      <c r="G6" s="210" t="s">
        <v>111</v>
      </c>
      <c r="H6" s="211"/>
      <c r="I6" s="211"/>
      <c r="J6" s="2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84"/>
      <c r="D7" s="13">
        <f t="shared" si="1"/>
        <v>0</v>
      </c>
      <c r="F7" s="209"/>
      <c r="G7" s="213"/>
      <c r="H7" s="214"/>
      <c r="I7" s="214"/>
      <c r="J7" s="2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84"/>
      <c r="D8" s="13">
        <f t="shared" si="1"/>
        <v>0</v>
      </c>
      <c r="F8" s="216" t="s">
        <v>21</v>
      </c>
      <c r="G8" s="217" t="s">
        <v>111</v>
      </c>
      <c r="H8" s="218"/>
      <c r="I8" s="218"/>
      <c r="J8" s="21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84"/>
      <c r="D9" s="13">
        <f t="shared" si="1"/>
        <v>0</v>
      </c>
      <c r="F9" s="209"/>
      <c r="G9" s="220"/>
      <c r="H9" s="221"/>
      <c r="I9" s="221"/>
      <c r="J9" s="22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84"/>
      <c r="D10" s="13">
        <f t="shared" si="1"/>
        <v>0</v>
      </c>
      <c r="F10" s="208" t="s">
        <v>26</v>
      </c>
      <c r="G10" s="223" t="s">
        <v>114</v>
      </c>
      <c r="H10" s="224"/>
      <c r="I10" s="224"/>
      <c r="J10" s="225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84"/>
      <c r="D11" s="13">
        <f t="shared" si="1"/>
        <v>0</v>
      </c>
      <c r="F11" s="209"/>
      <c r="G11" s="220"/>
      <c r="H11" s="221"/>
      <c r="I11" s="221"/>
      <c r="J11" s="22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84"/>
      <c r="D12" s="48">
        <f t="shared" si="1"/>
        <v>0</v>
      </c>
      <c r="F12" s="226" t="s">
        <v>33</v>
      </c>
      <c r="G12" s="227"/>
      <c r="H12" s="227"/>
      <c r="I12" s="227"/>
      <c r="J12" s="22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84"/>
      <c r="D13" s="48">
        <f t="shared" si="1"/>
        <v>0</v>
      </c>
      <c r="F13" s="229" t="s">
        <v>36</v>
      </c>
      <c r="G13" s="19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84"/>
      <c r="D14" s="31">
        <f t="shared" si="1"/>
        <v>0</v>
      </c>
      <c r="F14" s="187" t="s">
        <v>39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38</v>
      </c>
      <c r="C15" s="84"/>
      <c r="D15" s="31">
        <f t="shared" si="1"/>
        <v>0</v>
      </c>
      <c r="F15" s="192" t="s">
        <v>40</v>
      </c>
      <c r="G15" s="193"/>
      <c r="H15" s="194">
        <f>H13-H14</f>
        <v>0</v>
      </c>
      <c r="I15" s="195"/>
      <c r="J15" s="19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4"/>
      <c r="I16" s="154"/>
      <c r="J16" s="15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t="s">
        <v>133</v>
      </c>
      <c r="C17" s="84"/>
      <c r="D17" s="48">
        <f t="shared" si="1"/>
        <v>0</v>
      </c>
      <c r="F17" s="56"/>
      <c r="G17" s="66" t="s">
        <v>45</v>
      </c>
      <c r="H17" s="165"/>
      <c r="I17" s="165"/>
      <c r="J17" s="16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5"/>
      <c r="I18" s="165"/>
      <c r="J18" s="16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5"/>
      <c r="I19" s="165"/>
      <c r="J19" s="165"/>
      <c r="L19" s="6">
        <v>1102</v>
      </c>
      <c r="Q19" s="4"/>
      <c r="R19" s="5">
        <f t="shared" si="0"/>
        <v>0</v>
      </c>
    </row>
    <row r="20" spans="1:18" ht="15.75" x14ac:dyDescent="0.25">
      <c r="A20" s="143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54"/>
      <c r="I20" s="154"/>
      <c r="J20" s="15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3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67" t="s">
        <v>13</v>
      </c>
      <c r="I21" s="168"/>
      <c r="J21" s="16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124</v>
      </c>
      <c r="C22" s="84"/>
      <c r="D22" s="48">
        <f t="shared" si="1"/>
        <v>0</v>
      </c>
      <c r="F22" s="77"/>
      <c r="G22" s="73"/>
      <c r="H22" s="170"/>
      <c r="I22" s="170"/>
      <c r="J22" s="17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101</v>
      </c>
      <c r="C23" s="84"/>
      <c r="D23" s="48">
        <f t="shared" si="1"/>
        <v>0</v>
      </c>
      <c r="F23" s="77"/>
      <c r="G23" s="79"/>
      <c r="H23" s="236"/>
      <c r="I23" s="237"/>
      <c r="J23" s="23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118</v>
      </c>
      <c r="C24" s="84"/>
      <c r="D24" s="48">
        <f t="shared" si="1"/>
        <v>0</v>
      </c>
      <c r="F24" s="77"/>
      <c r="G24" s="79"/>
      <c r="H24" s="236"/>
      <c r="I24" s="237"/>
      <c r="J24" s="23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72" t="s">
        <v>13</v>
      </c>
      <c r="I25" s="173"/>
      <c r="J25" s="17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132</v>
      </c>
      <c r="C26" s="84"/>
      <c r="D26" s="48">
        <f t="shared" si="1"/>
        <v>0</v>
      </c>
      <c r="F26" s="75"/>
      <c r="G26" s="65"/>
      <c r="H26" s="140"/>
      <c r="I26" s="140"/>
      <c r="J26" s="14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110</v>
      </c>
      <c r="C27" s="84"/>
      <c r="D27" s="44">
        <f t="shared" si="1"/>
        <v>0</v>
      </c>
      <c r="F27" s="71"/>
      <c r="G27" s="95"/>
      <c r="H27" s="238"/>
      <c r="I27" s="239"/>
      <c r="J27" s="23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97</v>
      </c>
      <c r="C28" s="84"/>
      <c r="D28" s="48">
        <f t="shared" si="1"/>
        <v>0</v>
      </c>
      <c r="F28" s="92"/>
      <c r="G28" s="61"/>
      <c r="H28" s="181"/>
      <c r="I28" s="182"/>
      <c r="J28" s="18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0</v>
      </c>
      <c r="F29" s="101" t="s">
        <v>55</v>
      </c>
      <c r="G29" s="163"/>
      <c r="H29" s="123">
        <f>H15-H16-H17-H18-H19-H20-H22-H23-H24+H26+H27+H28</f>
        <v>0</v>
      </c>
      <c r="I29" s="124"/>
      <c r="J29" s="12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58</v>
      </c>
      <c r="B32" s="149"/>
      <c r="C32" s="149"/>
      <c r="D32" s="150"/>
      <c r="F32" s="151" t="s">
        <v>59</v>
      </c>
      <c r="G32" s="152"/>
      <c r="H32" s="152"/>
      <c r="I32" s="152"/>
      <c r="J32" s="15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51" t="s">
        <v>13</v>
      </c>
      <c r="I33" s="152"/>
      <c r="J33" s="15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5">
        <f t="shared" ref="H34:H39" si="2">F34*G34</f>
        <v>0</v>
      </c>
      <c r="I34" s="146"/>
      <c r="J34" s="14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68</v>
      </c>
      <c r="C35" s="52"/>
      <c r="D35" s="30">
        <f>C35*84</f>
        <v>0</v>
      </c>
      <c r="F35" s="58">
        <v>500</v>
      </c>
      <c r="G35" s="41"/>
      <c r="H35" s="145">
        <f t="shared" si="2"/>
        <v>0</v>
      </c>
      <c r="I35" s="146"/>
      <c r="J35" s="14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70</v>
      </c>
      <c r="C36" s="10"/>
      <c r="D36" s="12">
        <f>C36*1.5</f>
        <v>0</v>
      </c>
      <c r="F36" s="12">
        <v>200</v>
      </c>
      <c r="G36" s="37"/>
      <c r="H36" s="145">
        <f t="shared" si="2"/>
        <v>0</v>
      </c>
      <c r="I36" s="146"/>
      <c r="J36" s="14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5">
        <f t="shared" si="2"/>
        <v>0</v>
      </c>
      <c r="I37" s="146"/>
      <c r="J37" s="14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68</v>
      </c>
      <c r="C38" s="54"/>
      <c r="D38" s="12">
        <f>C38*84</f>
        <v>0</v>
      </c>
      <c r="F38" s="30">
        <v>50</v>
      </c>
      <c r="G38" s="39"/>
      <c r="H38" s="145">
        <f t="shared" si="2"/>
        <v>0</v>
      </c>
      <c r="I38" s="146"/>
      <c r="J38" s="14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70</v>
      </c>
      <c r="C39" s="52"/>
      <c r="D39" s="31">
        <f>C39*4.5</f>
        <v>0</v>
      </c>
      <c r="F39" s="12">
        <v>20</v>
      </c>
      <c r="G39" s="37"/>
      <c r="H39" s="145">
        <f t="shared" si="2"/>
        <v>0</v>
      </c>
      <c r="I39" s="146"/>
      <c r="J39" s="14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5"/>
      <c r="I40" s="146"/>
      <c r="J40" s="14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68</v>
      </c>
      <c r="C41" s="10"/>
      <c r="D41" s="12">
        <f>C41*84</f>
        <v>0</v>
      </c>
      <c r="F41" s="12">
        <v>5</v>
      </c>
      <c r="G41" s="42"/>
      <c r="H41" s="145"/>
      <c r="I41" s="146"/>
      <c r="J41" s="14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70</v>
      </c>
      <c r="C42" s="11"/>
      <c r="D42" s="12">
        <f>C42*2.25</f>
        <v>0</v>
      </c>
      <c r="F42" s="39" t="s">
        <v>79</v>
      </c>
      <c r="G42" s="145"/>
      <c r="H42" s="146"/>
      <c r="I42" s="146"/>
      <c r="J42" s="14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5" t="s">
        <v>81</v>
      </c>
      <c r="C43" s="11"/>
      <c r="D43" s="12"/>
      <c r="F43" s="59" t="s">
        <v>82</v>
      </c>
      <c r="G43" s="95" t="s">
        <v>83</v>
      </c>
      <c r="H43" s="137" t="s">
        <v>13</v>
      </c>
      <c r="I43" s="138"/>
      <c r="J43" s="13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6"/>
      <c r="B44" s="27" t="s">
        <v>66</v>
      </c>
      <c r="C44" s="10"/>
      <c r="D44" s="12">
        <f>C44*120</f>
        <v>0</v>
      </c>
      <c r="F44" s="37"/>
      <c r="G44" s="85"/>
      <c r="H44" s="140"/>
      <c r="I44" s="140"/>
      <c r="J44" s="14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6"/>
      <c r="B45" s="27" t="s">
        <v>68</v>
      </c>
      <c r="C45" s="33"/>
      <c r="D45" s="12">
        <f>C45*84</f>
        <v>0</v>
      </c>
      <c r="F45" s="37"/>
      <c r="G45" s="62"/>
      <c r="H45" s="140"/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70</v>
      </c>
      <c r="C46" s="81"/>
      <c r="D46" s="12">
        <f>C46*1.5</f>
        <v>0</v>
      </c>
      <c r="F46" s="37"/>
      <c r="G46" s="62"/>
      <c r="H46" s="140"/>
      <c r="I46" s="140"/>
      <c r="J46" s="140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66</v>
      </c>
      <c r="C48" s="10"/>
      <c r="D48" s="12">
        <f>C48*78</f>
        <v>0</v>
      </c>
      <c r="F48" s="59"/>
      <c r="G48" s="59"/>
      <c r="H48" s="118"/>
      <c r="I48" s="119"/>
      <c r="J48" s="12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68</v>
      </c>
      <c r="C49" s="33"/>
      <c r="D49" s="12">
        <f>C49*42</f>
        <v>0</v>
      </c>
      <c r="F49" s="121" t="s">
        <v>86</v>
      </c>
      <c r="G49" s="123">
        <f>H34+H35+H36+H37+H38+H39+H40+H41+G42+H44+H45+H46</f>
        <v>0</v>
      </c>
      <c r="H49" s="124"/>
      <c r="I49" s="124"/>
      <c r="J49" s="12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70</v>
      </c>
      <c r="C50" s="11"/>
      <c r="D50" s="12">
        <f>C50*1.5</f>
        <v>0</v>
      </c>
      <c r="F50" s="122"/>
      <c r="G50" s="126"/>
      <c r="H50" s="127"/>
      <c r="I50" s="127"/>
      <c r="J50" s="128"/>
      <c r="O50" t="s">
        <v>137</v>
      </c>
      <c r="P50" s="4">
        <v>1204</v>
      </c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128</v>
      </c>
      <c r="G51" s="230">
        <f>G49-H29</f>
        <v>0</v>
      </c>
      <c r="H51" s="231"/>
      <c r="I51" s="231"/>
      <c r="J51" s="23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6"/>
      <c r="B52" s="29"/>
      <c r="C52" s="33"/>
      <c r="D52" s="45"/>
      <c r="F52" s="130"/>
      <c r="G52" s="233"/>
      <c r="H52" s="234"/>
      <c r="I52" s="234"/>
      <c r="J52" s="23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1" t="s">
        <v>90</v>
      </c>
      <c r="B54" s="102"/>
      <c r="C54" s="103"/>
      <c r="D54" s="10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9" t="s">
        <v>91</v>
      </c>
      <c r="B58" s="110"/>
      <c r="C58" s="110"/>
      <c r="D58" s="111"/>
      <c r="F58" s="109" t="s">
        <v>92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674B85-4FC3-4AA3-9312-3BC25375126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7" t="s">
        <v>1</v>
      </c>
      <c r="O1" s="197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98" t="s">
        <v>8</v>
      </c>
      <c r="G4" s="200">
        <v>2</v>
      </c>
      <c r="H4" s="202" t="s">
        <v>9</v>
      </c>
      <c r="I4" s="204">
        <v>46062</v>
      </c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10"/>
      <c r="D6" s="13">
        <f t="shared" ref="D6:D28" si="1">C6*L6</f>
        <v>0</v>
      </c>
      <c r="F6" s="208" t="s">
        <v>16</v>
      </c>
      <c r="G6" s="210" t="s">
        <v>126</v>
      </c>
      <c r="H6" s="211"/>
      <c r="I6" s="211"/>
      <c r="J6" s="2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10"/>
      <c r="D7" s="13">
        <f t="shared" si="1"/>
        <v>0</v>
      </c>
      <c r="F7" s="209"/>
      <c r="G7" s="213"/>
      <c r="H7" s="214"/>
      <c r="I7" s="214"/>
      <c r="J7" s="2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10"/>
      <c r="D8" s="13">
        <f t="shared" si="1"/>
        <v>0</v>
      </c>
      <c r="F8" s="216" t="s">
        <v>21</v>
      </c>
      <c r="G8" s="217" t="s">
        <v>113</v>
      </c>
      <c r="H8" s="218"/>
      <c r="I8" s="218"/>
      <c r="J8" s="21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10"/>
      <c r="D9" s="13">
        <f t="shared" si="1"/>
        <v>0</v>
      </c>
      <c r="F9" s="209"/>
      <c r="G9" s="220"/>
      <c r="H9" s="221"/>
      <c r="I9" s="221"/>
      <c r="J9" s="22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10"/>
      <c r="D10" s="13">
        <f t="shared" si="1"/>
        <v>0</v>
      </c>
      <c r="F10" s="208" t="s">
        <v>26</v>
      </c>
      <c r="G10" s="223" t="s">
        <v>139</v>
      </c>
      <c r="H10" s="224"/>
      <c r="I10" s="224"/>
      <c r="J10" s="225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10"/>
      <c r="D11" s="13">
        <f t="shared" si="1"/>
        <v>0</v>
      </c>
      <c r="F11" s="209"/>
      <c r="G11" s="220"/>
      <c r="H11" s="221"/>
      <c r="I11" s="221"/>
      <c r="J11" s="22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10"/>
      <c r="D12" s="48">
        <f t="shared" si="1"/>
        <v>0</v>
      </c>
      <c r="F12" s="226" t="s">
        <v>33</v>
      </c>
      <c r="G12" s="227"/>
      <c r="H12" s="227"/>
      <c r="I12" s="227"/>
      <c r="J12" s="22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10"/>
      <c r="D13" s="48">
        <f t="shared" si="1"/>
        <v>0</v>
      </c>
      <c r="F13" s="229" t="s">
        <v>36</v>
      </c>
      <c r="G13" s="19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10"/>
      <c r="D14" s="31">
        <f t="shared" si="1"/>
        <v>0</v>
      </c>
      <c r="F14" s="187" t="s">
        <v>39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38</v>
      </c>
      <c r="C15" s="10"/>
      <c r="D15" s="31">
        <f t="shared" si="1"/>
        <v>0</v>
      </c>
      <c r="F15" s="192" t="s">
        <v>40</v>
      </c>
      <c r="G15" s="193"/>
      <c r="H15" s="194">
        <f>H13-H14</f>
        <v>0</v>
      </c>
      <c r="I15" s="195"/>
      <c r="J15" s="19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4"/>
      <c r="I16" s="154"/>
      <c r="J16" s="15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t="s">
        <v>93</v>
      </c>
      <c r="C17" s="10"/>
      <c r="D17" s="48">
        <f t="shared" si="1"/>
        <v>0</v>
      </c>
      <c r="F17" s="56"/>
      <c r="G17" s="66" t="s">
        <v>45</v>
      </c>
      <c r="H17" s="165"/>
      <c r="I17" s="165"/>
      <c r="J17" s="16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5"/>
      <c r="I18" s="165"/>
      <c r="J18" s="16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0"/>
      <c r="I19" s="240"/>
      <c r="J19" s="24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3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3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7" t="s">
        <v>13</v>
      </c>
      <c r="I21" s="168"/>
      <c r="J21" s="16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104</v>
      </c>
      <c r="C22" s="10"/>
      <c r="D22" s="48">
        <f t="shared" si="1"/>
        <v>0</v>
      </c>
      <c r="F22" s="72"/>
      <c r="G22" s="73"/>
      <c r="H22" s="170"/>
      <c r="I22" s="170"/>
      <c r="J22" s="17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107</v>
      </c>
      <c r="C23" s="10"/>
      <c r="D23" s="48">
        <f t="shared" si="1"/>
        <v>0</v>
      </c>
      <c r="F23" s="25"/>
      <c r="G23" s="37"/>
      <c r="H23" s="171"/>
      <c r="I23" s="140"/>
      <c r="J23" s="14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120</v>
      </c>
      <c r="C24" s="10"/>
      <c r="D24" s="48">
        <f t="shared" si="1"/>
        <v>0</v>
      </c>
      <c r="F24" s="38"/>
      <c r="G24" s="37"/>
      <c r="H24" s="171"/>
      <c r="I24" s="140"/>
      <c r="J24" s="14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2" t="s">
        <v>13</v>
      </c>
      <c r="I25" s="173"/>
      <c r="J25" s="17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105</v>
      </c>
      <c r="C26" s="10"/>
      <c r="D26" s="48">
        <f t="shared" si="1"/>
        <v>0</v>
      </c>
      <c r="F26" s="64"/>
      <c r="G26" s="10"/>
      <c r="H26" s="175"/>
      <c r="I26" s="176"/>
      <c r="J26" s="17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109</v>
      </c>
      <c r="C27" s="10"/>
      <c r="D27" s="44">
        <f t="shared" si="1"/>
        <v>0</v>
      </c>
      <c r="F27" s="14"/>
      <c r="G27" s="14"/>
      <c r="H27" s="178"/>
      <c r="I27" s="179"/>
      <c r="J27" s="18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97</v>
      </c>
      <c r="C28" s="10"/>
      <c r="D28" s="48">
        <f t="shared" si="1"/>
        <v>0</v>
      </c>
      <c r="F28" s="92"/>
      <c r="G28" s="61"/>
      <c r="H28" s="181"/>
      <c r="I28" s="182"/>
      <c r="J28" s="18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0</v>
      </c>
      <c r="F29" s="101" t="s">
        <v>55</v>
      </c>
      <c r="G29" s="163"/>
      <c r="H29" s="123">
        <f>H15-H16-H17-H18-H19-H20-H22-H23-H24+H26+H27</f>
        <v>0</v>
      </c>
      <c r="I29" s="124"/>
      <c r="J29" s="12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58</v>
      </c>
      <c r="B32" s="149"/>
      <c r="C32" s="149"/>
      <c r="D32" s="150"/>
      <c r="F32" s="151" t="s">
        <v>59</v>
      </c>
      <c r="G32" s="152"/>
      <c r="H32" s="152"/>
      <c r="I32" s="152"/>
      <c r="J32" s="15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51" t="s">
        <v>13</v>
      </c>
      <c r="I33" s="152"/>
      <c r="J33" s="15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5">
        <f>F34*G34</f>
        <v>0</v>
      </c>
      <c r="I34" s="146"/>
      <c r="J34" s="14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68</v>
      </c>
      <c r="C35" s="52"/>
      <c r="D35" s="30">
        <f>C35*84</f>
        <v>0</v>
      </c>
      <c r="F35" s="58">
        <v>500</v>
      </c>
      <c r="G35" s="41"/>
      <c r="H35" s="145">
        <f t="shared" ref="H35:H39" si="2">F35*G35</f>
        <v>0</v>
      </c>
      <c r="I35" s="146"/>
      <c r="J35" s="14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70</v>
      </c>
      <c r="C36" s="10"/>
      <c r="D36" s="12">
        <f>C36*1.5</f>
        <v>0</v>
      </c>
      <c r="F36" s="12">
        <v>200</v>
      </c>
      <c r="G36" s="37"/>
      <c r="H36" s="145">
        <f>F36*G36</f>
        <v>0</v>
      </c>
      <c r="I36" s="146"/>
      <c r="J36" s="14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5">
        <f t="shared" si="2"/>
        <v>0</v>
      </c>
      <c r="I37" s="146"/>
      <c r="J37" s="14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68</v>
      </c>
      <c r="C38" s="54"/>
      <c r="D38" s="12">
        <f>C38*84</f>
        <v>0</v>
      </c>
      <c r="F38" s="30">
        <v>50</v>
      </c>
      <c r="G38" s="39"/>
      <c r="H38" s="145">
        <f t="shared" si="2"/>
        <v>0</v>
      </c>
      <c r="I38" s="146"/>
      <c r="J38" s="14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70</v>
      </c>
      <c r="C39" s="52"/>
      <c r="D39" s="31">
        <f>C39*4.5</f>
        <v>0</v>
      </c>
      <c r="F39" s="12">
        <v>20</v>
      </c>
      <c r="G39" s="37"/>
      <c r="H39" s="145">
        <f t="shared" si="2"/>
        <v>0</v>
      </c>
      <c r="I39" s="146"/>
      <c r="J39" s="14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5"/>
      <c r="I40" s="146"/>
      <c r="J40" s="14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68</v>
      </c>
      <c r="C41" s="10"/>
      <c r="D41" s="12">
        <f>C41*84</f>
        <v>0</v>
      </c>
      <c r="F41" s="12">
        <v>5</v>
      </c>
      <c r="G41" s="42"/>
      <c r="H41" s="145"/>
      <c r="I41" s="146"/>
      <c r="J41" s="14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70</v>
      </c>
      <c r="C42" s="11"/>
      <c r="D42" s="12">
        <f>C42*2.25</f>
        <v>0</v>
      </c>
      <c r="F42" s="39" t="s">
        <v>79</v>
      </c>
      <c r="G42" s="145"/>
      <c r="H42" s="146"/>
      <c r="I42" s="146"/>
      <c r="J42" s="14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5" t="s">
        <v>81</v>
      </c>
      <c r="C43" s="11"/>
      <c r="D43" s="12"/>
      <c r="F43" s="59" t="s">
        <v>82</v>
      </c>
      <c r="G43" s="95" t="s">
        <v>83</v>
      </c>
      <c r="H43" s="137" t="s">
        <v>13</v>
      </c>
      <c r="I43" s="138"/>
      <c r="J43" s="13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6"/>
      <c r="B44" s="27" t="s">
        <v>66</v>
      </c>
      <c r="C44" s="10"/>
      <c r="D44" s="12">
        <f>C44*120</f>
        <v>0</v>
      </c>
      <c r="F44" s="37"/>
      <c r="G44" s="62"/>
      <c r="H44" s="140"/>
      <c r="I44" s="140"/>
      <c r="J44" s="14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6"/>
      <c r="B45" s="27" t="s">
        <v>68</v>
      </c>
      <c r="C45" s="33"/>
      <c r="D45" s="12">
        <f>C45*84</f>
        <v>0</v>
      </c>
      <c r="F45" s="37"/>
      <c r="G45" s="62"/>
      <c r="H45" s="140"/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70</v>
      </c>
      <c r="C46" s="81"/>
      <c r="D46" s="12">
        <f>C46*1.5</f>
        <v>0</v>
      </c>
      <c r="F46" s="37"/>
      <c r="G46" s="94"/>
      <c r="H46" s="141"/>
      <c r="I46" s="141"/>
      <c r="J46" s="141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66</v>
      </c>
      <c r="C48" s="10"/>
      <c r="D48" s="12">
        <f>C48*78</f>
        <v>0</v>
      </c>
      <c r="F48" s="59"/>
      <c r="G48" s="59"/>
      <c r="H48" s="118"/>
      <c r="I48" s="119"/>
      <c r="J48" s="12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68</v>
      </c>
      <c r="C49" s="33"/>
      <c r="D49" s="12">
        <f>C49*42</f>
        <v>0</v>
      </c>
      <c r="F49" s="121" t="s">
        <v>86</v>
      </c>
      <c r="G49" s="123">
        <f>H34+H35+H36+H37+H38+H39+H40+H41+G42+H44+H45+H46</f>
        <v>0</v>
      </c>
      <c r="H49" s="124"/>
      <c r="I49" s="124"/>
      <c r="J49" s="12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70</v>
      </c>
      <c r="C50" s="11"/>
      <c r="D50" s="12">
        <f>C50*1.5</f>
        <v>0</v>
      </c>
      <c r="F50" s="122"/>
      <c r="G50" s="126"/>
      <c r="H50" s="127"/>
      <c r="I50" s="127"/>
      <c r="J50" s="128"/>
      <c r="O50" t="s">
        <v>137</v>
      </c>
      <c r="P50" s="4">
        <v>1204</v>
      </c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135</v>
      </c>
      <c r="G51" s="131">
        <f>G49-H29</f>
        <v>0</v>
      </c>
      <c r="H51" s="132"/>
      <c r="I51" s="132"/>
      <c r="J51" s="1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6"/>
      <c r="B52" s="29"/>
      <c r="C52" s="33"/>
      <c r="D52" s="45"/>
      <c r="F52" s="130"/>
      <c r="G52" s="134"/>
      <c r="H52" s="135"/>
      <c r="I52" s="135"/>
      <c r="J52" s="1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1" t="s">
        <v>90</v>
      </c>
      <c r="B54" s="102"/>
      <c r="C54" s="103"/>
      <c r="D54" s="10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9" t="s">
        <v>91</v>
      </c>
      <c r="B58" s="110"/>
      <c r="C58" s="110"/>
      <c r="D58" s="111"/>
      <c r="F58" s="109" t="s">
        <v>92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14860-2F33-4887-8EF1-129C655CA8B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7" t="s">
        <v>1</v>
      </c>
      <c r="O1" s="197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98" t="s">
        <v>8</v>
      </c>
      <c r="G4" s="200">
        <v>3</v>
      </c>
      <c r="H4" s="202" t="s">
        <v>9</v>
      </c>
      <c r="I4" s="204">
        <v>46062</v>
      </c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10"/>
      <c r="D6" s="13">
        <f t="shared" ref="D6:D28" si="1">C6*L6</f>
        <v>0</v>
      </c>
      <c r="F6" s="208" t="s">
        <v>16</v>
      </c>
      <c r="G6" s="210" t="s">
        <v>141</v>
      </c>
      <c r="H6" s="211"/>
      <c r="I6" s="211"/>
      <c r="J6" s="2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10"/>
      <c r="D7" s="13">
        <f t="shared" si="1"/>
        <v>0</v>
      </c>
      <c r="F7" s="209"/>
      <c r="G7" s="213"/>
      <c r="H7" s="214"/>
      <c r="I7" s="214"/>
      <c r="J7" s="2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10"/>
      <c r="D8" s="13">
        <f t="shared" si="1"/>
        <v>0</v>
      </c>
      <c r="F8" s="216" t="s">
        <v>21</v>
      </c>
      <c r="G8" s="217" t="s">
        <v>130</v>
      </c>
      <c r="H8" s="218"/>
      <c r="I8" s="218"/>
      <c r="J8" s="21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10"/>
      <c r="D9" s="13">
        <f t="shared" si="1"/>
        <v>0</v>
      </c>
      <c r="F9" s="209"/>
      <c r="G9" s="220"/>
      <c r="H9" s="221"/>
      <c r="I9" s="221"/>
      <c r="J9" s="22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10"/>
      <c r="D10" s="13">
        <f t="shared" si="1"/>
        <v>0</v>
      </c>
      <c r="F10" s="208" t="s">
        <v>26</v>
      </c>
      <c r="G10" s="223" t="s">
        <v>127</v>
      </c>
      <c r="H10" s="224"/>
      <c r="I10" s="224"/>
      <c r="J10" s="225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10"/>
      <c r="D11" s="13">
        <f t="shared" si="1"/>
        <v>0</v>
      </c>
      <c r="F11" s="209"/>
      <c r="G11" s="220"/>
      <c r="H11" s="221"/>
      <c r="I11" s="221"/>
      <c r="J11" s="22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10"/>
      <c r="D12" s="48">
        <f t="shared" si="1"/>
        <v>0</v>
      </c>
      <c r="F12" s="226" t="s">
        <v>33</v>
      </c>
      <c r="G12" s="227"/>
      <c r="H12" s="227"/>
      <c r="I12" s="227"/>
      <c r="J12" s="22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10"/>
      <c r="D13" s="48">
        <f t="shared" si="1"/>
        <v>0</v>
      </c>
      <c r="F13" s="229" t="s">
        <v>36</v>
      </c>
      <c r="G13" s="19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10"/>
      <c r="D14" s="31">
        <f t="shared" si="1"/>
        <v>0</v>
      </c>
      <c r="F14" s="187" t="s">
        <v>39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38</v>
      </c>
      <c r="C15" s="10"/>
      <c r="D15" s="31">
        <f t="shared" si="1"/>
        <v>0</v>
      </c>
      <c r="F15" s="192" t="s">
        <v>40</v>
      </c>
      <c r="G15" s="193"/>
      <c r="H15" s="194">
        <f>H13-H14</f>
        <v>0</v>
      </c>
      <c r="I15" s="195"/>
      <c r="J15" s="19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4"/>
      <c r="I16" s="154"/>
      <c r="J16" s="15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t="s">
        <v>112</v>
      </c>
      <c r="C17" s="10"/>
      <c r="D17" s="48">
        <f t="shared" si="1"/>
        <v>0</v>
      </c>
      <c r="F17" s="56"/>
      <c r="G17" s="66" t="s">
        <v>45</v>
      </c>
      <c r="H17" s="165"/>
      <c r="I17" s="165"/>
      <c r="J17" s="16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5"/>
      <c r="I18" s="165"/>
      <c r="J18" s="16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41"/>
      <c r="I19" s="241"/>
      <c r="J19" s="24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3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4"/>
      <c r="I20" s="154"/>
      <c r="J20" s="15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3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7" t="s">
        <v>13</v>
      </c>
      <c r="I21" s="168"/>
      <c r="J21" s="16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104</v>
      </c>
      <c r="C22" s="10"/>
      <c r="D22" s="48">
        <f t="shared" si="1"/>
        <v>0</v>
      </c>
      <c r="F22" s="77"/>
      <c r="G22" s="73"/>
      <c r="H22" s="170"/>
      <c r="I22" s="170"/>
      <c r="J22" s="17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107</v>
      </c>
      <c r="C23" s="10"/>
      <c r="D23" s="48">
        <f t="shared" si="1"/>
        <v>0</v>
      </c>
      <c r="F23" s="78"/>
      <c r="G23" s="79"/>
      <c r="H23" s="171"/>
      <c r="I23" s="140"/>
      <c r="J23" s="14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101</v>
      </c>
      <c r="C24" s="10"/>
      <c r="D24" s="48">
        <f t="shared" si="1"/>
        <v>0</v>
      </c>
      <c r="F24" s="38"/>
      <c r="G24" s="37"/>
      <c r="H24" s="171"/>
      <c r="I24" s="140"/>
      <c r="J24" s="14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2" t="s">
        <v>13</v>
      </c>
      <c r="I25" s="173"/>
      <c r="J25" s="17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105</v>
      </c>
      <c r="C26" s="10"/>
      <c r="D26" s="48">
        <f t="shared" si="1"/>
        <v>0</v>
      </c>
      <c r="F26" s="64"/>
      <c r="G26" s="59"/>
      <c r="H26" s="175"/>
      <c r="I26" s="176"/>
      <c r="J26" s="17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109</v>
      </c>
      <c r="C27" s="10"/>
      <c r="D27" s="44">
        <f t="shared" si="1"/>
        <v>0</v>
      </c>
      <c r="F27" s="25"/>
      <c r="G27" s="80"/>
      <c r="H27" s="178"/>
      <c r="I27" s="179"/>
      <c r="J27" s="18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97</v>
      </c>
      <c r="C28" s="10"/>
      <c r="D28" s="48">
        <f t="shared" si="1"/>
        <v>0</v>
      </c>
      <c r="F28" s="92"/>
      <c r="G28" s="61"/>
      <c r="H28" s="181"/>
      <c r="I28" s="182"/>
      <c r="J28" s="18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0</v>
      </c>
      <c r="F29" s="101" t="s">
        <v>55</v>
      </c>
      <c r="G29" s="163"/>
      <c r="H29" s="123">
        <f>H15-H16-H17-H18-H19-H20-H22-H23-H24+H26+H27</f>
        <v>0</v>
      </c>
      <c r="I29" s="124"/>
      <c r="J29" s="12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58</v>
      </c>
      <c r="B32" s="149"/>
      <c r="C32" s="149"/>
      <c r="D32" s="150"/>
      <c r="F32" s="151" t="s">
        <v>59</v>
      </c>
      <c r="G32" s="152"/>
      <c r="H32" s="152"/>
      <c r="I32" s="152"/>
      <c r="J32" s="15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51" t="s">
        <v>13</v>
      </c>
      <c r="I33" s="152"/>
      <c r="J33" s="15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5">
        <f>F34*G34</f>
        <v>0</v>
      </c>
      <c r="I34" s="146"/>
      <c r="J34" s="14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68</v>
      </c>
      <c r="C35" s="52"/>
      <c r="D35" s="30">
        <f>C35*84</f>
        <v>0</v>
      </c>
      <c r="F35" s="58">
        <v>500</v>
      </c>
      <c r="G35" s="41"/>
      <c r="H35" s="145">
        <f>F35*G35</f>
        <v>0</v>
      </c>
      <c r="I35" s="146"/>
      <c r="J35" s="14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70</v>
      </c>
      <c r="C36" s="10"/>
      <c r="D36" s="12">
        <f>C36*1.5</f>
        <v>0</v>
      </c>
      <c r="F36" s="12">
        <v>200</v>
      </c>
      <c r="G36" s="37"/>
      <c r="H36" s="145">
        <f t="shared" ref="H36:H39" si="2">F36*G36</f>
        <v>0</v>
      </c>
      <c r="I36" s="146"/>
      <c r="J36" s="14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5">
        <f t="shared" si="2"/>
        <v>0</v>
      </c>
      <c r="I37" s="146"/>
      <c r="J37" s="14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68</v>
      </c>
      <c r="C38" s="54"/>
      <c r="D38" s="12">
        <f>C38*84</f>
        <v>0</v>
      </c>
      <c r="F38" s="30">
        <v>50</v>
      </c>
      <c r="G38" s="39"/>
      <c r="H38" s="145">
        <f t="shared" si="2"/>
        <v>0</v>
      </c>
      <c r="I38" s="146"/>
      <c r="J38" s="14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70</v>
      </c>
      <c r="C39" s="52"/>
      <c r="D39" s="31">
        <f>C39*4.5</f>
        <v>0</v>
      </c>
      <c r="F39" s="12">
        <v>20</v>
      </c>
      <c r="G39" s="37"/>
      <c r="H39" s="145">
        <f t="shared" si="2"/>
        <v>0</v>
      </c>
      <c r="I39" s="146"/>
      <c r="J39" s="14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5"/>
      <c r="I40" s="146"/>
      <c r="J40" s="14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68</v>
      </c>
      <c r="C41" s="10"/>
      <c r="D41" s="12">
        <f>C41*84</f>
        <v>0</v>
      </c>
      <c r="F41" s="12">
        <v>5</v>
      </c>
      <c r="G41" s="42"/>
      <c r="H41" s="145"/>
      <c r="I41" s="146"/>
      <c r="J41" s="14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70</v>
      </c>
      <c r="C42" s="11"/>
      <c r="D42" s="12">
        <f>C42*2.25</f>
        <v>0</v>
      </c>
      <c r="F42" s="39" t="s">
        <v>79</v>
      </c>
      <c r="G42" s="145"/>
      <c r="H42" s="146"/>
      <c r="I42" s="146"/>
      <c r="J42" s="14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5" t="s">
        <v>81</v>
      </c>
      <c r="C43" s="11"/>
      <c r="D43" s="12"/>
      <c r="F43" s="59" t="s">
        <v>82</v>
      </c>
      <c r="G43" s="95" t="s">
        <v>83</v>
      </c>
      <c r="H43" s="137" t="s">
        <v>13</v>
      </c>
      <c r="I43" s="138"/>
      <c r="J43" s="13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6"/>
      <c r="B44" s="27" t="s">
        <v>66</v>
      </c>
      <c r="C44" s="10"/>
      <c r="D44" s="12">
        <f>C44*120</f>
        <v>0</v>
      </c>
      <c r="F44" s="37"/>
      <c r="G44" s="76"/>
      <c r="H44" s="140"/>
      <c r="I44" s="140"/>
      <c r="J44" s="14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6"/>
      <c r="B45" s="27" t="s">
        <v>68</v>
      </c>
      <c r="C45" s="33"/>
      <c r="D45" s="12">
        <f>C45*84</f>
        <v>0</v>
      </c>
      <c r="F45" s="37"/>
      <c r="G45" s="76"/>
      <c r="H45" s="140"/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70</v>
      </c>
      <c r="C46" s="81"/>
      <c r="D46" s="12">
        <f>C46*1.5</f>
        <v>0</v>
      </c>
      <c r="F46" s="37"/>
      <c r="G46" s="62"/>
      <c r="H46" s="141"/>
      <c r="I46" s="141"/>
      <c r="J46" s="141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66</v>
      </c>
      <c r="C48" s="10"/>
      <c r="D48" s="12">
        <f>C48*78</f>
        <v>0</v>
      </c>
      <c r="F48" s="59"/>
      <c r="G48" s="59"/>
      <c r="H48" s="118"/>
      <c r="I48" s="119"/>
      <c r="J48" s="12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68</v>
      </c>
      <c r="C49" s="33"/>
      <c r="D49" s="12">
        <f>C49*42</f>
        <v>0</v>
      </c>
      <c r="F49" s="121" t="s">
        <v>86</v>
      </c>
      <c r="G49" s="123">
        <f>H34+H35+H36+H37+H38+H39+H40+H41+G42+H44+H45+H46</f>
        <v>0</v>
      </c>
      <c r="H49" s="124"/>
      <c r="I49" s="124"/>
      <c r="J49" s="12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70</v>
      </c>
      <c r="C50" s="11"/>
      <c r="D50" s="12">
        <f>C50*1.5</f>
        <v>0</v>
      </c>
      <c r="F50" s="122"/>
      <c r="G50" s="126"/>
      <c r="H50" s="127"/>
      <c r="I50" s="127"/>
      <c r="J50" s="128"/>
      <c r="O50" t="s">
        <v>137</v>
      </c>
      <c r="P50" s="4">
        <v>1204</v>
      </c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138</v>
      </c>
      <c r="G51" s="131">
        <f>G49-H29</f>
        <v>0</v>
      </c>
      <c r="H51" s="132"/>
      <c r="I51" s="132"/>
      <c r="J51" s="1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6"/>
      <c r="B52" s="29"/>
      <c r="C52" s="33"/>
      <c r="D52" s="45"/>
      <c r="F52" s="130"/>
      <c r="G52" s="134"/>
      <c r="H52" s="135"/>
      <c r="I52" s="135"/>
      <c r="J52" s="1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1" t="s">
        <v>90</v>
      </c>
      <c r="B54" s="102"/>
      <c r="C54" s="103"/>
      <c r="D54" s="10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9" t="s">
        <v>91</v>
      </c>
      <c r="B58" s="110"/>
      <c r="C58" s="110"/>
      <c r="D58" s="111"/>
      <c r="F58" s="109" t="s">
        <v>92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29</vt:i4>
      </vt:variant>
      <vt:variant>
        <vt:lpstr>Named Ranges</vt:lpstr>
      </vt:variant>
      <vt:variant>
        <vt:i4>28</vt:i4>
      </vt:variant>
    </vt:vector>
  </HeadingPairs>
  <TitlesOfParts>
    <vt:vector size="57" baseType="lpstr">
      <vt:lpstr>(February 2026)</vt:lpstr>
      <vt:lpstr>(2)</vt:lpstr>
      <vt:lpstr>02,02 R1</vt:lpstr>
      <vt:lpstr>02,02 R2</vt:lpstr>
      <vt:lpstr>02,02 R3</vt:lpstr>
      <vt:lpstr>(3)</vt:lpstr>
      <vt:lpstr>02,03 R1</vt:lpstr>
      <vt:lpstr>02,03 R2</vt:lpstr>
      <vt:lpstr>02,03 R3</vt:lpstr>
      <vt:lpstr>(4)</vt:lpstr>
      <vt:lpstr>02,04 R1</vt:lpstr>
      <vt:lpstr>02,04 R2</vt:lpstr>
      <vt:lpstr>02,04 R3</vt:lpstr>
      <vt:lpstr>(5)</vt:lpstr>
      <vt:lpstr>02,05 R1</vt:lpstr>
      <vt:lpstr>02,05 R2</vt:lpstr>
      <vt:lpstr>02,05 R3</vt:lpstr>
      <vt:lpstr>(6)</vt:lpstr>
      <vt:lpstr>02,06 R1</vt:lpstr>
      <vt:lpstr>02,06 R2</vt:lpstr>
      <vt:lpstr>02,06 R3 NO TRIP</vt:lpstr>
      <vt:lpstr>(7)</vt:lpstr>
      <vt:lpstr>02,07 R1</vt:lpstr>
      <vt:lpstr>02,07 R2</vt:lpstr>
      <vt:lpstr>02,07 R3</vt:lpstr>
      <vt:lpstr>(9)</vt:lpstr>
      <vt:lpstr>02,09 R1</vt:lpstr>
      <vt:lpstr>02,09 R2</vt:lpstr>
      <vt:lpstr>02,09 R3</vt:lpstr>
      <vt:lpstr>'(2)'!Print_Area</vt:lpstr>
      <vt:lpstr>'(3)'!Print_Area</vt:lpstr>
      <vt:lpstr>'(4)'!Print_Area</vt:lpstr>
      <vt:lpstr>'(5)'!Print_Area</vt:lpstr>
      <vt:lpstr>'(6)'!Print_Area</vt:lpstr>
      <vt:lpstr>'(7)'!Print_Area</vt:lpstr>
      <vt:lpstr>'(9)'!Print_Area</vt:lpstr>
      <vt:lpstr>'02,02 R1'!Print_Area</vt:lpstr>
      <vt:lpstr>'02,02 R2'!Print_Area</vt:lpstr>
      <vt:lpstr>'02,02 R3'!Print_Area</vt:lpstr>
      <vt:lpstr>'02,03 R1'!Print_Area</vt:lpstr>
      <vt:lpstr>'02,03 R2'!Print_Area</vt:lpstr>
      <vt:lpstr>'02,03 R3'!Print_Area</vt:lpstr>
      <vt:lpstr>'02,04 R1'!Print_Area</vt:lpstr>
      <vt:lpstr>'02,04 R2'!Print_Area</vt:lpstr>
      <vt:lpstr>'02,04 R3'!Print_Area</vt:lpstr>
      <vt:lpstr>'02,05 R1'!Print_Area</vt:lpstr>
      <vt:lpstr>'02,05 R2'!Print_Area</vt:lpstr>
      <vt:lpstr>'02,05 R3'!Print_Area</vt:lpstr>
      <vt:lpstr>'02,06 R1'!Print_Area</vt:lpstr>
      <vt:lpstr>'02,06 R2'!Print_Area</vt:lpstr>
      <vt:lpstr>'02,06 R3 NO TRIP'!Print_Area</vt:lpstr>
      <vt:lpstr>'02,07 R1'!Print_Area</vt:lpstr>
      <vt:lpstr>'02,07 R2'!Print_Area</vt:lpstr>
      <vt:lpstr>'02,07 R3'!Print_Area</vt:lpstr>
      <vt:lpstr>'02,09 R1'!Print_Area</vt:lpstr>
      <vt:lpstr>'02,09 R2'!Print_Area</vt:lpstr>
      <vt:lpstr>'02,09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2026-02-09T00:50:51Z</cp:lastPrinted>
  <dcterms:created xsi:type="dcterms:W3CDTF">2024-09-01T23:36:50Z</dcterms:created>
  <dcterms:modified xsi:type="dcterms:W3CDTF">2026-02-09T00:51:57Z</dcterms:modified>
</cp:coreProperties>
</file>