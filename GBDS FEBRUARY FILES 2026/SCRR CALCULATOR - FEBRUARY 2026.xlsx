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FEBRUARY FILES 2026\"/>
    </mc:Choice>
  </mc:AlternateContent>
  <xr:revisionPtr revIDLastSave="0" documentId="13_ncr:1_{44D56BDA-A209-42B1-88B3-E0D255820975}" xr6:coauthVersionLast="45" xr6:coauthVersionMax="47" xr10:uidLastSave="{00000000-0000-0000-0000-000000000000}"/>
  <bookViews>
    <workbookView xWindow="-120" yWindow="-120" windowWidth="29040" windowHeight="15840" firstSheet="82" activeTab="92" xr2:uid="{00000000-000D-0000-FFFF-FFFF00000000}"/>
  </bookViews>
  <sheets>
    <sheet name="(February 2026)" sheetId="814" r:id="rId1"/>
    <sheet name="(2)" sheetId="1734" r:id="rId2"/>
    <sheet name="02,02 R1" sheetId="1735" r:id="rId3"/>
    <sheet name="02,02 R2" sheetId="1736" r:id="rId4"/>
    <sheet name="02,02 R3" sheetId="1737" r:id="rId5"/>
    <sheet name="(3)" sheetId="1750" r:id="rId6"/>
    <sheet name="02,03 R1" sheetId="1751" r:id="rId7"/>
    <sheet name="02,03 R2" sheetId="1752" r:id="rId8"/>
    <sheet name="02,03 R3" sheetId="1753" r:id="rId9"/>
    <sheet name="(4)" sheetId="1754" r:id="rId10"/>
    <sheet name="02,04 R1" sheetId="1755" r:id="rId11"/>
    <sheet name="02,04 R2" sheetId="1756" r:id="rId12"/>
    <sheet name="02,04 R3" sheetId="1757" r:id="rId13"/>
    <sheet name="(5)" sheetId="1758" r:id="rId14"/>
    <sheet name="02,05 R1" sheetId="1759" r:id="rId15"/>
    <sheet name="02,05 R2" sheetId="1760" r:id="rId16"/>
    <sheet name="02,05 R3" sheetId="1761" r:id="rId17"/>
    <sheet name="(6)" sheetId="1762" r:id="rId18"/>
    <sheet name="02,06 R1" sheetId="1763" r:id="rId19"/>
    <sheet name="02,06 R2" sheetId="1764" r:id="rId20"/>
    <sheet name="02,06 R3 NO TRIP" sheetId="1765" r:id="rId21"/>
    <sheet name="(7)" sheetId="1766" r:id="rId22"/>
    <sheet name="02,07 R1" sheetId="1767" r:id="rId23"/>
    <sheet name="02,07 R2" sheetId="1768" r:id="rId24"/>
    <sheet name="02,07 R3" sheetId="1769" r:id="rId25"/>
    <sheet name="(9)" sheetId="1770" r:id="rId26"/>
    <sheet name="02,09 R1" sheetId="1771" r:id="rId27"/>
    <sheet name="02,09 R2" sheetId="1772" r:id="rId28"/>
    <sheet name="02,09 R3" sheetId="1773" r:id="rId29"/>
    <sheet name="(10)" sheetId="1774" r:id="rId30"/>
    <sheet name="02,10 R1" sheetId="1775" r:id="rId31"/>
    <sheet name="02,10 R2" sheetId="1776" r:id="rId32"/>
    <sheet name="02,10 R3" sheetId="1777" r:id="rId33"/>
    <sheet name="(11)" sheetId="1778" r:id="rId34"/>
    <sheet name="02,11 R1" sheetId="1779" r:id="rId35"/>
    <sheet name="02,11 R2" sheetId="1780" r:id="rId36"/>
    <sheet name="02,11 R3" sheetId="1781" r:id="rId37"/>
    <sheet name="(12)" sheetId="1782" r:id="rId38"/>
    <sheet name="02,12 R1" sheetId="1783" r:id="rId39"/>
    <sheet name="02,12 R2" sheetId="1784" r:id="rId40"/>
    <sheet name="02,12 R3" sheetId="1785" r:id="rId41"/>
    <sheet name="(13)" sheetId="1786" r:id="rId42"/>
    <sheet name="02,13 R1 NO TRIP" sheetId="1787" r:id="rId43"/>
    <sheet name="02,13 R2" sheetId="1788" r:id="rId44"/>
    <sheet name="02,13 R3" sheetId="1789" r:id="rId45"/>
    <sheet name="(14)" sheetId="1790" r:id="rId46"/>
    <sheet name="02,14 R1" sheetId="1791" r:id="rId47"/>
    <sheet name="02,14 R2" sheetId="1792" r:id="rId48"/>
    <sheet name="02,14 R3" sheetId="1793" r:id="rId49"/>
    <sheet name="(16)" sheetId="1794" r:id="rId50"/>
    <sheet name="02,16 R1" sheetId="1795" r:id="rId51"/>
    <sheet name="02,16 R2" sheetId="1796" r:id="rId52"/>
    <sheet name="02,16 R3" sheetId="1797" r:id="rId53"/>
    <sheet name="(17)" sheetId="1798" r:id="rId54"/>
    <sheet name="02,17 R1" sheetId="1799" r:id="rId55"/>
    <sheet name="02,17 R2" sheetId="1800" r:id="rId56"/>
    <sheet name="02,17 R3" sheetId="1801" r:id="rId57"/>
    <sheet name="(18)" sheetId="1802" r:id="rId58"/>
    <sheet name="02,18 R1 NO TRIP" sheetId="1803" r:id="rId59"/>
    <sheet name="02,18 R2" sheetId="1804" r:id="rId60"/>
    <sheet name="02,18 R3" sheetId="1805" r:id="rId61"/>
    <sheet name="(19)" sheetId="1806" r:id="rId62"/>
    <sheet name="02,19 R1" sheetId="1807" r:id="rId63"/>
    <sheet name="02,19 R2" sheetId="1808" r:id="rId64"/>
    <sheet name="02,19 R3" sheetId="1809" r:id="rId65"/>
    <sheet name="(20)" sheetId="1810" r:id="rId66"/>
    <sheet name="02,20 R1" sheetId="1811" r:id="rId67"/>
    <sheet name="02,20 R2" sheetId="1812" r:id="rId68"/>
    <sheet name="02,20 R3" sheetId="1813" r:id="rId69"/>
    <sheet name="(21)" sheetId="1814" r:id="rId70"/>
    <sheet name="02,21 R1" sheetId="1815" r:id="rId71"/>
    <sheet name="02,21 R2" sheetId="1816" r:id="rId72"/>
    <sheet name="02,21 R3" sheetId="1817" r:id="rId73"/>
    <sheet name="(23)" sheetId="1818" r:id="rId74"/>
    <sheet name="02,23 R1 NO TRIP" sheetId="1819" r:id="rId75"/>
    <sheet name="02,23 R2 NO TRIP" sheetId="1820" r:id="rId76"/>
    <sheet name="02,23 R3" sheetId="1821" r:id="rId77"/>
    <sheet name="(24)" sheetId="1822" r:id="rId78"/>
    <sheet name="02,24 R1" sheetId="1823" r:id="rId79"/>
    <sheet name="02,24 R2" sheetId="1824" r:id="rId80"/>
    <sheet name="02,24 R3 NO TRIP" sheetId="1825" r:id="rId81"/>
    <sheet name="(25)" sheetId="1826" r:id="rId82"/>
    <sheet name="02,25 R1" sheetId="1827" r:id="rId83"/>
    <sheet name="02,25 R2" sheetId="1828" r:id="rId84"/>
    <sheet name="02,25 R3" sheetId="1829" r:id="rId85"/>
    <sheet name="(26)" sheetId="1830" r:id="rId86"/>
    <sheet name="02,26 R1" sheetId="1831" r:id="rId87"/>
    <sheet name="02,26 R2" sheetId="1832" r:id="rId88"/>
    <sheet name="02,26 R3" sheetId="1833" r:id="rId89"/>
    <sheet name="(27)" sheetId="1834" r:id="rId90"/>
    <sheet name="02,27 R1" sheetId="1835" r:id="rId91"/>
    <sheet name="02,27 R2" sheetId="1836" r:id="rId92"/>
    <sheet name="02,27 R3" sheetId="1837" r:id="rId93"/>
    <sheet name="(28)" sheetId="1838" r:id="rId94"/>
    <sheet name="02,28 R1" sheetId="1839" r:id="rId95"/>
    <sheet name="02,28 R2" sheetId="1840" r:id="rId96"/>
    <sheet name="02,28 R3" sheetId="1841" r:id="rId97"/>
  </sheets>
  <definedNames>
    <definedName name="_xlnm.Print_Area" localSheetId="29">'(10)'!$A$1:$J$60</definedName>
    <definedName name="_xlnm.Print_Area" localSheetId="33">'(11)'!$A$1:$J$60</definedName>
    <definedName name="_xlnm.Print_Area" localSheetId="37">'(12)'!$A$1:$J$60</definedName>
    <definedName name="_xlnm.Print_Area" localSheetId="41">'(13)'!$A$1:$J$60</definedName>
    <definedName name="_xlnm.Print_Area" localSheetId="45">'(14)'!$A$1:$J$60</definedName>
    <definedName name="_xlnm.Print_Area" localSheetId="49">'(16)'!$A$1:$J$60</definedName>
    <definedName name="_xlnm.Print_Area" localSheetId="53">'(17)'!$A$1:$J$60</definedName>
    <definedName name="_xlnm.Print_Area" localSheetId="57">'(18)'!$A$1:$J$60</definedName>
    <definedName name="_xlnm.Print_Area" localSheetId="61">'(19)'!$A$1:$J$60</definedName>
    <definedName name="_xlnm.Print_Area" localSheetId="1">'(2)'!$A$1:$J$60</definedName>
    <definedName name="_xlnm.Print_Area" localSheetId="65">'(20)'!$A$1:$J$60</definedName>
    <definedName name="_xlnm.Print_Area" localSheetId="69">'(21)'!$A$1:$J$60</definedName>
    <definedName name="_xlnm.Print_Area" localSheetId="73">'(23)'!$A$1:$J$60</definedName>
    <definedName name="_xlnm.Print_Area" localSheetId="77">'(24)'!$A$1:$J$60</definedName>
    <definedName name="_xlnm.Print_Area" localSheetId="81">'(25)'!$A$1:$J$60</definedName>
    <definedName name="_xlnm.Print_Area" localSheetId="85">'(26)'!$A$1:$J$60</definedName>
    <definedName name="_xlnm.Print_Area" localSheetId="89">'(27)'!$A$1:$J$60</definedName>
    <definedName name="_xlnm.Print_Area" localSheetId="93">'(28)'!$A$1:$J$60</definedName>
    <definedName name="_xlnm.Print_Area" localSheetId="5">'(3)'!$A$1:$J$60</definedName>
    <definedName name="_xlnm.Print_Area" localSheetId="9">'(4)'!$A$1:$J$60</definedName>
    <definedName name="_xlnm.Print_Area" localSheetId="13">'(5)'!$A$1:$J$60</definedName>
    <definedName name="_xlnm.Print_Area" localSheetId="17">'(6)'!$A$1:$J$60</definedName>
    <definedName name="_xlnm.Print_Area" localSheetId="21">'(7)'!$A$1:$J$60</definedName>
    <definedName name="_xlnm.Print_Area" localSheetId="25">'(9)'!$A$1:$J$60</definedName>
    <definedName name="_xlnm.Print_Area" localSheetId="2">'02,02 R1'!$A$1:$J$60</definedName>
    <definedName name="_xlnm.Print_Area" localSheetId="3">'02,02 R2'!$A$1:$J$60</definedName>
    <definedName name="_xlnm.Print_Area" localSheetId="4">'02,02 R3'!$A$1:$J$60</definedName>
    <definedName name="_xlnm.Print_Area" localSheetId="6">'02,03 R1'!$A$1:$J$60</definedName>
    <definedName name="_xlnm.Print_Area" localSheetId="7">'02,03 R2'!$A$1:$J$60</definedName>
    <definedName name="_xlnm.Print_Area" localSheetId="8">'02,03 R3'!$A$1:$J$60</definedName>
    <definedName name="_xlnm.Print_Area" localSheetId="10">'02,04 R1'!$A$1:$J$60</definedName>
    <definedName name="_xlnm.Print_Area" localSheetId="11">'02,04 R2'!$A$1:$J$60</definedName>
    <definedName name="_xlnm.Print_Area" localSheetId="12">'02,04 R3'!$A$1:$J$60</definedName>
    <definedName name="_xlnm.Print_Area" localSheetId="14">'02,05 R1'!$A$1:$J$60</definedName>
    <definedName name="_xlnm.Print_Area" localSheetId="15">'02,05 R2'!$A$1:$J$60</definedName>
    <definedName name="_xlnm.Print_Area" localSheetId="16">'02,05 R3'!$A$1:$J$60</definedName>
    <definedName name="_xlnm.Print_Area" localSheetId="18">'02,06 R1'!$A$1:$J$60</definedName>
    <definedName name="_xlnm.Print_Area" localSheetId="19">'02,06 R2'!$A$1:$J$60</definedName>
    <definedName name="_xlnm.Print_Area" localSheetId="20">'02,06 R3 NO TRIP'!$A$1:$J$60</definedName>
    <definedName name="_xlnm.Print_Area" localSheetId="22">'02,07 R1'!$A$1:$J$60</definedName>
    <definedName name="_xlnm.Print_Area" localSheetId="23">'02,07 R2'!$A$1:$J$60</definedName>
    <definedName name="_xlnm.Print_Area" localSheetId="24">'02,07 R3'!$A$1:$J$60</definedName>
    <definedName name="_xlnm.Print_Area" localSheetId="26">'02,09 R1'!$A$1:$J$60</definedName>
    <definedName name="_xlnm.Print_Area" localSheetId="27">'02,09 R2'!$A$1:$J$60</definedName>
    <definedName name="_xlnm.Print_Area" localSheetId="28">'02,09 R3'!$A$1:$J$60</definedName>
    <definedName name="_xlnm.Print_Area" localSheetId="30">'02,10 R1'!$A$1:$J$60</definedName>
    <definedName name="_xlnm.Print_Area" localSheetId="31">'02,10 R2'!$A$1:$J$60</definedName>
    <definedName name="_xlnm.Print_Area" localSheetId="32">'02,10 R3'!$A$1:$J$60</definedName>
    <definedName name="_xlnm.Print_Area" localSheetId="34">'02,11 R1'!$A$1:$J$60</definedName>
    <definedName name="_xlnm.Print_Area" localSheetId="35">'02,11 R2'!$A$1:$J$60</definedName>
    <definedName name="_xlnm.Print_Area" localSheetId="36">'02,11 R3'!$A$1:$J$60</definedName>
    <definedName name="_xlnm.Print_Area" localSheetId="38">'02,12 R1'!$A$1:$J$60</definedName>
    <definedName name="_xlnm.Print_Area" localSheetId="39">'02,12 R2'!$A$1:$J$60</definedName>
    <definedName name="_xlnm.Print_Area" localSheetId="40">'02,12 R3'!$A$1:$J$60</definedName>
    <definedName name="_xlnm.Print_Area" localSheetId="42">'02,13 R1 NO TRIP'!$A$1:$J$60</definedName>
    <definedName name="_xlnm.Print_Area" localSheetId="43">'02,13 R2'!$A$1:$J$60</definedName>
    <definedName name="_xlnm.Print_Area" localSheetId="44">'02,13 R3'!$A$1:$J$60</definedName>
    <definedName name="_xlnm.Print_Area" localSheetId="46">'02,14 R1'!$A$1:$J$60</definedName>
    <definedName name="_xlnm.Print_Area" localSheetId="47">'02,14 R2'!$A$1:$J$60</definedName>
    <definedName name="_xlnm.Print_Area" localSheetId="48">'02,14 R3'!$A$1:$J$60</definedName>
    <definedName name="_xlnm.Print_Area" localSheetId="50">'02,16 R1'!$A$1:$J$60</definedName>
    <definedName name="_xlnm.Print_Area" localSheetId="51">'02,16 R2'!$A$1:$J$60</definedName>
    <definedName name="_xlnm.Print_Area" localSheetId="52">'02,16 R3'!$A$1:$J$60</definedName>
    <definedName name="_xlnm.Print_Area" localSheetId="54">'02,17 R1'!$A$1:$J$60</definedName>
    <definedName name="_xlnm.Print_Area" localSheetId="55">'02,17 R2'!$A$1:$J$60</definedName>
    <definedName name="_xlnm.Print_Area" localSheetId="56">'02,17 R3'!$A$1:$J$60</definedName>
    <definedName name="_xlnm.Print_Area" localSheetId="58">'02,18 R1 NO TRIP'!$A$1:$J$60</definedName>
    <definedName name="_xlnm.Print_Area" localSheetId="59">'02,18 R2'!$A$1:$J$60</definedName>
    <definedName name="_xlnm.Print_Area" localSheetId="60">'02,18 R3'!$A$1:$J$60</definedName>
    <definedName name="_xlnm.Print_Area" localSheetId="62">'02,19 R1'!$A$1:$J$60</definedName>
    <definedName name="_xlnm.Print_Area" localSheetId="63">'02,19 R2'!$A$1:$J$60</definedName>
    <definedName name="_xlnm.Print_Area" localSheetId="64">'02,19 R3'!$A$1:$J$60</definedName>
    <definedName name="_xlnm.Print_Area" localSheetId="66">'02,20 R1'!$A$1:$J$60</definedName>
    <definedName name="_xlnm.Print_Area" localSheetId="67">'02,20 R2'!$A$1:$J$60</definedName>
    <definedName name="_xlnm.Print_Area" localSheetId="68">'02,20 R3'!$A$1:$J$60</definedName>
    <definedName name="_xlnm.Print_Area" localSheetId="70">'02,21 R1'!$A$1:$J$60</definedName>
    <definedName name="_xlnm.Print_Area" localSheetId="71">'02,21 R2'!$A$1:$J$60</definedName>
    <definedName name="_xlnm.Print_Area" localSheetId="72">'02,21 R3'!$A$1:$J$60</definedName>
    <definedName name="_xlnm.Print_Area" localSheetId="74">'02,23 R1 NO TRIP'!$A$1:$J$60</definedName>
    <definedName name="_xlnm.Print_Area" localSheetId="75">'02,23 R2 NO TRIP'!$A$1:$J$60</definedName>
    <definedName name="_xlnm.Print_Area" localSheetId="76">'02,23 R3'!$A$1:$J$60</definedName>
    <definedName name="_xlnm.Print_Area" localSheetId="78">'02,24 R1'!$A$1:$J$60</definedName>
    <definedName name="_xlnm.Print_Area" localSheetId="79">'02,24 R2'!$A$1:$J$60</definedName>
    <definedName name="_xlnm.Print_Area" localSheetId="80">'02,24 R3 NO TRIP'!$A$1:$J$60</definedName>
    <definedName name="_xlnm.Print_Area" localSheetId="82">'02,25 R1'!$A$1:$J$60</definedName>
    <definedName name="_xlnm.Print_Area" localSheetId="83">'02,25 R2'!$A$1:$J$60</definedName>
    <definedName name="_xlnm.Print_Area" localSheetId="84">'02,25 R3'!$A$1:$J$60</definedName>
    <definedName name="_xlnm.Print_Area" localSheetId="86">'02,26 R1'!$A$1:$J$60</definedName>
    <definedName name="_xlnm.Print_Area" localSheetId="87">'02,26 R2'!$A$1:$J$60</definedName>
    <definedName name="_xlnm.Print_Area" localSheetId="88">'02,26 R3'!$A$1:$J$60</definedName>
    <definedName name="_xlnm.Print_Area" localSheetId="90">'02,27 R1'!$A$1:$J$60</definedName>
    <definedName name="_xlnm.Print_Area" localSheetId="91">'02,27 R2'!$A$1:$J$60</definedName>
    <definedName name="_xlnm.Print_Area" localSheetId="92">'02,27 R3'!$A$1:$J$60</definedName>
    <definedName name="_xlnm.Print_Area" localSheetId="94">'02,28 R1'!$A$1:$J$60</definedName>
    <definedName name="_xlnm.Print_Area" localSheetId="95">'02,28 R2'!$A$1:$J$60</definedName>
    <definedName name="_xlnm.Print_Area" localSheetId="96">'02,28 R3'!$A$1:$J$60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6" i="1837" l="1"/>
  <c r="H16" i="1836"/>
  <c r="H16" i="1835"/>
  <c r="C21" i="1837" l="1"/>
  <c r="C21" i="1832" l="1"/>
  <c r="H16" i="1833" l="1"/>
  <c r="G49" i="1833"/>
  <c r="H16" i="1832"/>
  <c r="H16" i="1831"/>
  <c r="H16" i="1829" l="1"/>
  <c r="H16" i="1828"/>
  <c r="H16" i="1827"/>
  <c r="L26" i="1828" l="1"/>
  <c r="C21" i="1827"/>
  <c r="H16" i="1824" l="1"/>
  <c r="H16" i="1821" l="1"/>
  <c r="H16" i="1817" l="1"/>
  <c r="R52" i="1841" l="1"/>
  <c r="R51" i="1841"/>
  <c r="D50" i="1841"/>
  <c r="R49" i="1841"/>
  <c r="D49" i="1841"/>
  <c r="R48" i="1841"/>
  <c r="D48" i="1841"/>
  <c r="D46" i="1841"/>
  <c r="D45" i="1841"/>
  <c r="R44" i="1841"/>
  <c r="L28" i="1841" s="1"/>
  <c r="D28" i="1841" s="1"/>
  <c r="D44" i="1841"/>
  <c r="R42" i="1841"/>
  <c r="L6" i="1841" s="1"/>
  <c r="D6" i="1841" s="1"/>
  <c r="D42" i="1841"/>
  <c r="R41" i="1841"/>
  <c r="D41" i="1841"/>
  <c r="R40" i="1841"/>
  <c r="D40" i="1841"/>
  <c r="R39" i="1841"/>
  <c r="H39" i="1841"/>
  <c r="D39" i="1841"/>
  <c r="R38" i="1841"/>
  <c r="L9" i="1841" s="1"/>
  <c r="D9" i="1841" s="1"/>
  <c r="H38" i="1841"/>
  <c r="D38" i="1841"/>
  <c r="R37" i="1841"/>
  <c r="H37" i="1841"/>
  <c r="D37" i="1841"/>
  <c r="R36" i="1841"/>
  <c r="L10" i="1841" s="1"/>
  <c r="D10" i="1841" s="1"/>
  <c r="H36" i="1841"/>
  <c r="D36" i="1841"/>
  <c r="R35" i="1841"/>
  <c r="H35" i="1841"/>
  <c r="D35" i="1841"/>
  <c r="R34" i="1841"/>
  <c r="L12" i="1841" s="1"/>
  <c r="D12" i="1841" s="1"/>
  <c r="H34" i="1841"/>
  <c r="G49" i="1841" s="1"/>
  <c r="D34" i="1841"/>
  <c r="D54" i="1841" s="1"/>
  <c r="H14" i="1841" s="1"/>
  <c r="R33" i="1841"/>
  <c r="L23" i="1841" s="1"/>
  <c r="D23" i="1841" s="1"/>
  <c r="R32" i="1841"/>
  <c r="R31" i="1841"/>
  <c r="R30" i="1841"/>
  <c r="R29" i="1841"/>
  <c r="R28" i="1841"/>
  <c r="R27" i="1841"/>
  <c r="D27" i="1841"/>
  <c r="R26" i="1841"/>
  <c r="L26" i="1841"/>
  <c r="D26" i="1841" s="1"/>
  <c r="R25" i="1841"/>
  <c r="L25" i="1841"/>
  <c r="D25" i="1841" s="1"/>
  <c r="R24" i="1841"/>
  <c r="D24" i="1841"/>
  <c r="R23" i="1841"/>
  <c r="R22" i="1841"/>
  <c r="L22" i="1841"/>
  <c r="D22" i="1841"/>
  <c r="R21" i="1841"/>
  <c r="D21" i="1841"/>
  <c r="R20" i="1841"/>
  <c r="L20" i="1841"/>
  <c r="D20" i="1841" s="1"/>
  <c r="R19" i="1841"/>
  <c r="L19" i="1841"/>
  <c r="D19" i="1841" s="1"/>
  <c r="R18" i="1841"/>
  <c r="D18" i="1841"/>
  <c r="R17" i="1841"/>
  <c r="D17" i="1841"/>
  <c r="R16" i="1841"/>
  <c r="L16" i="1841"/>
  <c r="D16" i="1841" s="1"/>
  <c r="R15" i="1841"/>
  <c r="D15" i="1841"/>
  <c r="R14" i="1841"/>
  <c r="D14" i="1841"/>
  <c r="R13" i="1841"/>
  <c r="D13" i="1841"/>
  <c r="R12" i="1841"/>
  <c r="R11" i="1841"/>
  <c r="L11" i="1841"/>
  <c r="D11" i="1841"/>
  <c r="L8" i="1841"/>
  <c r="D8" i="1841"/>
  <c r="L7" i="1841"/>
  <c r="D7" i="1841"/>
  <c r="R6" i="1841"/>
  <c r="R5" i="1841"/>
  <c r="R4" i="1841"/>
  <c r="R52" i="1840"/>
  <c r="R51" i="1840"/>
  <c r="D50" i="1840"/>
  <c r="R49" i="1840"/>
  <c r="D49" i="1840"/>
  <c r="R48" i="1840"/>
  <c r="D48" i="1840"/>
  <c r="D46" i="1840"/>
  <c r="D45" i="1840"/>
  <c r="R44" i="1840"/>
  <c r="D44" i="1840"/>
  <c r="R42" i="1840"/>
  <c r="D42" i="1840"/>
  <c r="R41" i="1840"/>
  <c r="D41" i="1840"/>
  <c r="R40" i="1840"/>
  <c r="L8" i="1840" s="1"/>
  <c r="D8" i="1840" s="1"/>
  <c r="D40" i="1840"/>
  <c r="R39" i="1840"/>
  <c r="H39" i="1840"/>
  <c r="D39" i="1840"/>
  <c r="R38" i="1840"/>
  <c r="H38" i="1840"/>
  <c r="D38" i="1840"/>
  <c r="R37" i="1840"/>
  <c r="H37" i="1840"/>
  <c r="D37" i="1840"/>
  <c r="R36" i="1840"/>
  <c r="H36" i="1840"/>
  <c r="D36" i="1840"/>
  <c r="R35" i="1840"/>
  <c r="L19" i="1840" s="1"/>
  <c r="D19" i="1840" s="1"/>
  <c r="H35" i="1840"/>
  <c r="G49" i="1840" s="1"/>
  <c r="D35" i="1840"/>
  <c r="D54" i="1840" s="1"/>
  <c r="H14" i="1840" s="1"/>
  <c r="R34" i="1840"/>
  <c r="H34" i="1840"/>
  <c r="D34" i="1840"/>
  <c r="R33" i="1840"/>
  <c r="L23" i="1840" s="1"/>
  <c r="D23" i="1840" s="1"/>
  <c r="R32" i="1840"/>
  <c r="L11" i="1840" s="1"/>
  <c r="D11" i="1840" s="1"/>
  <c r="R31" i="1840"/>
  <c r="R30" i="1840"/>
  <c r="R29" i="1840"/>
  <c r="R28" i="1840"/>
  <c r="L28" i="1840"/>
  <c r="D28" i="1840"/>
  <c r="R27" i="1840"/>
  <c r="D27" i="1840"/>
  <c r="R26" i="1840"/>
  <c r="L26" i="1840"/>
  <c r="D26" i="1840" s="1"/>
  <c r="R25" i="1840"/>
  <c r="L25" i="1840"/>
  <c r="D25" i="1840" s="1"/>
  <c r="R24" i="1840"/>
  <c r="L24" i="1840"/>
  <c r="D24" i="1840"/>
  <c r="R23" i="1840"/>
  <c r="R22" i="1840"/>
  <c r="L22" i="1840"/>
  <c r="D22" i="1840"/>
  <c r="R21" i="1840"/>
  <c r="L17" i="1840" s="1"/>
  <c r="D17" i="1840" s="1"/>
  <c r="D21" i="1840"/>
  <c r="R20" i="1840"/>
  <c r="L20" i="1840"/>
  <c r="D20" i="1840"/>
  <c r="R19" i="1840"/>
  <c r="R18" i="1840"/>
  <c r="D18" i="1840"/>
  <c r="R17" i="1840"/>
  <c r="R16" i="1840"/>
  <c r="L16" i="1840"/>
  <c r="D16" i="1840"/>
  <c r="R15" i="1840"/>
  <c r="D15" i="1840"/>
  <c r="R14" i="1840"/>
  <c r="D14" i="1840"/>
  <c r="R13" i="1840"/>
  <c r="D13" i="1840"/>
  <c r="R12" i="1840"/>
  <c r="L12" i="1840"/>
  <c r="D12" i="1840" s="1"/>
  <c r="R11" i="1840"/>
  <c r="L10" i="1840"/>
  <c r="D10" i="1840"/>
  <c r="L9" i="1840"/>
  <c r="D9" i="1840" s="1"/>
  <c r="L7" i="1840"/>
  <c r="D7" i="1840" s="1"/>
  <c r="R6" i="1840"/>
  <c r="L6" i="1840"/>
  <c r="D6" i="1840"/>
  <c r="R5" i="1840"/>
  <c r="R4" i="1840"/>
  <c r="R52" i="1839"/>
  <c r="R51" i="1839"/>
  <c r="D50" i="1839"/>
  <c r="R49" i="1839"/>
  <c r="D49" i="1839"/>
  <c r="R48" i="1839"/>
  <c r="D48" i="1839"/>
  <c r="D46" i="1839"/>
  <c r="D45" i="1839"/>
  <c r="R44" i="1839"/>
  <c r="L28" i="1839" s="1"/>
  <c r="D28" i="1839" s="1"/>
  <c r="D44" i="1839"/>
  <c r="R42" i="1839"/>
  <c r="L6" i="1839" s="1"/>
  <c r="D6" i="1839" s="1"/>
  <c r="D42" i="1839"/>
  <c r="R41" i="1839"/>
  <c r="L7" i="1839" s="1"/>
  <c r="D7" i="1839" s="1"/>
  <c r="D41" i="1839"/>
  <c r="R40" i="1839"/>
  <c r="L8" i="1839" s="1"/>
  <c r="D8" i="1839" s="1"/>
  <c r="D40" i="1839"/>
  <c r="R39" i="1839"/>
  <c r="L20" i="1839" s="1"/>
  <c r="D20" i="1839" s="1"/>
  <c r="H39" i="1839"/>
  <c r="D39" i="1839"/>
  <c r="R38" i="1839"/>
  <c r="H38" i="1839"/>
  <c r="D38" i="1839"/>
  <c r="R37" i="1839"/>
  <c r="H37" i="1839"/>
  <c r="D37" i="1839"/>
  <c r="R36" i="1839"/>
  <c r="H36" i="1839"/>
  <c r="D36" i="1839"/>
  <c r="R35" i="1839"/>
  <c r="H35" i="1839"/>
  <c r="D35" i="1839"/>
  <c r="R34" i="1839"/>
  <c r="H34" i="1839"/>
  <c r="G49" i="1839" s="1"/>
  <c r="D34" i="1839"/>
  <c r="D54" i="1839" s="1"/>
  <c r="H14" i="1839" s="1"/>
  <c r="R33" i="1839"/>
  <c r="R32" i="1839"/>
  <c r="L11" i="1839" s="1"/>
  <c r="D11" i="1839" s="1"/>
  <c r="R31" i="1839"/>
  <c r="R30" i="1839"/>
  <c r="R29" i="1839"/>
  <c r="R28" i="1839"/>
  <c r="L16" i="1839" s="1"/>
  <c r="D16" i="1839" s="1"/>
  <c r="R27" i="1839"/>
  <c r="D27" i="1839"/>
  <c r="R26" i="1839"/>
  <c r="L26" i="1839"/>
  <c r="D26" i="1839"/>
  <c r="R25" i="1839"/>
  <c r="L25" i="1839"/>
  <c r="D25" i="1839"/>
  <c r="R24" i="1839"/>
  <c r="L24" i="1839"/>
  <c r="D24" i="1839"/>
  <c r="R23" i="1839"/>
  <c r="D23" i="1839"/>
  <c r="R22" i="1839"/>
  <c r="D22" i="1839"/>
  <c r="R21" i="1839"/>
  <c r="D21" i="1839"/>
  <c r="R20" i="1839"/>
  <c r="R19" i="1839"/>
  <c r="D19" i="1839"/>
  <c r="R18" i="1839"/>
  <c r="D18" i="1839"/>
  <c r="R17" i="1839"/>
  <c r="L17" i="1839"/>
  <c r="D17" i="1839"/>
  <c r="R16" i="1839"/>
  <c r="R15" i="1839"/>
  <c r="D15" i="1839"/>
  <c r="R14" i="1839"/>
  <c r="D14" i="1839"/>
  <c r="R13" i="1839"/>
  <c r="D13" i="1839"/>
  <c r="R12" i="1839"/>
  <c r="L12" i="1839"/>
  <c r="D12" i="1839" s="1"/>
  <c r="R11" i="1839"/>
  <c r="L10" i="1839"/>
  <c r="D10" i="1839" s="1"/>
  <c r="L9" i="1839"/>
  <c r="D9" i="1839"/>
  <c r="R6" i="1839"/>
  <c r="R5" i="1839"/>
  <c r="R4" i="1839"/>
  <c r="R52" i="1838"/>
  <c r="R51" i="1838"/>
  <c r="D50" i="1838"/>
  <c r="R49" i="1838"/>
  <c r="G49" i="1838"/>
  <c r="D49" i="1838"/>
  <c r="R48" i="1838"/>
  <c r="D48" i="1838"/>
  <c r="D46" i="1838"/>
  <c r="D45" i="1838"/>
  <c r="D44" i="1838"/>
  <c r="R42" i="1838"/>
  <c r="L6" i="1838" s="1"/>
  <c r="D6" i="1838" s="1"/>
  <c r="D42" i="1838"/>
  <c r="R41" i="1838"/>
  <c r="L7" i="1838" s="1"/>
  <c r="D7" i="1838" s="1"/>
  <c r="D41" i="1838"/>
  <c r="R40" i="1838"/>
  <c r="D40" i="1838"/>
  <c r="R39" i="1838"/>
  <c r="D39" i="1838"/>
  <c r="R38" i="1838"/>
  <c r="L9" i="1838" s="1"/>
  <c r="D9" i="1838" s="1"/>
  <c r="D38" i="1838"/>
  <c r="R37" i="1838"/>
  <c r="D37" i="1838"/>
  <c r="R36" i="1838"/>
  <c r="L10" i="1838" s="1"/>
  <c r="D10" i="1838" s="1"/>
  <c r="D36" i="1838"/>
  <c r="R35" i="1838"/>
  <c r="D35" i="1838"/>
  <c r="R34" i="1838"/>
  <c r="L12" i="1838" s="1"/>
  <c r="D12" i="1838" s="1"/>
  <c r="D34" i="1838"/>
  <c r="D54" i="1838" s="1"/>
  <c r="H14" i="1838" s="1"/>
  <c r="R33" i="1838"/>
  <c r="L23" i="1838" s="1"/>
  <c r="D23" i="1838" s="1"/>
  <c r="R32" i="1838"/>
  <c r="R31" i="1838"/>
  <c r="R30" i="1838"/>
  <c r="R29" i="1838"/>
  <c r="R28" i="1838"/>
  <c r="D28" i="1838"/>
  <c r="R27" i="1838"/>
  <c r="D27" i="1838"/>
  <c r="R26" i="1838"/>
  <c r="L26" i="1838"/>
  <c r="D26" i="1838"/>
  <c r="R25" i="1838"/>
  <c r="L25" i="1838"/>
  <c r="D25" i="1838"/>
  <c r="R24" i="1838"/>
  <c r="D24" i="1838"/>
  <c r="R23" i="1838"/>
  <c r="R22" i="1838"/>
  <c r="L22" i="1838"/>
  <c r="D22" i="1838"/>
  <c r="R21" i="1838"/>
  <c r="D21" i="1838"/>
  <c r="R20" i="1838"/>
  <c r="L20" i="1838"/>
  <c r="D20" i="1838"/>
  <c r="R19" i="1838"/>
  <c r="L19" i="1838"/>
  <c r="D19" i="1838"/>
  <c r="R18" i="1838"/>
  <c r="D18" i="1838"/>
  <c r="R17" i="1838"/>
  <c r="D17" i="1838"/>
  <c r="R16" i="1838"/>
  <c r="L16" i="1838"/>
  <c r="D16" i="1838" s="1"/>
  <c r="S15" i="1838"/>
  <c r="R15" i="1838"/>
  <c r="D15" i="1838"/>
  <c r="S14" i="1838"/>
  <c r="R14" i="1838"/>
  <c r="D14" i="1838"/>
  <c r="R13" i="1838"/>
  <c r="D13" i="1838"/>
  <c r="R12" i="1838"/>
  <c r="R11" i="1838"/>
  <c r="L11" i="1838"/>
  <c r="D11" i="1838"/>
  <c r="L8" i="1838"/>
  <c r="D8" i="1838"/>
  <c r="R6" i="1838"/>
  <c r="R5" i="1838"/>
  <c r="R4" i="1838"/>
  <c r="R52" i="1837"/>
  <c r="L22" i="1837" s="1"/>
  <c r="D22" i="1837" s="1"/>
  <c r="R51" i="1837"/>
  <c r="D50" i="1837"/>
  <c r="R49" i="1837"/>
  <c r="D49" i="1837"/>
  <c r="R48" i="1837"/>
  <c r="D48" i="1837"/>
  <c r="D46" i="1837"/>
  <c r="D45" i="1837"/>
  <c r="R44" i="1837"/>
  <c r="L28" i="1837" s="1"/>
  <c r="D28" i="1837" s="1"/>
  <c r="D44" i="1837"/>
  <c r="R42" i="1837"/>
  <c r="D42" i="1837"/>
  <c r="R41" i="1837"/>
  <c r="L7" i="1837" s="1"/>
  <c r="D7" i="1837" s="1"/>
  <c r="D41" i="1837"/>
  <c r="R40" i="1837"/>
  <c r="D40" i="1837"/>
  <c r="R39" i="1837"/>
  <c r="H39" i="1837"/>
  <c r="D39" i="1837"/>
  <c r="R38" i="1837"/>
  <c r="H38" i="1837"/>
  <c r="D38" i="1837"/>
  <c r="R37" i="1837"/>
  <c r="H37" i="1837"/>
  <c r="D37" i="1837"/>
  <c r="R36" i="1837"/>
  <c r="L10" i="1837" s="1"/>
  <c r="D10" i="1837" s="1"/>
  <c r="H36" i="1837"/>
  <c r="D36" i="1837"/>
  <c r="R35" i="1837"/>
  <c r="L19" i="1837" s="1"/>
  <c r="D19" i="1837" s="1"/>
  <c r="H35" i="1837"/>
  <c r="D35" i="1837"/>
  <c r="R34" i="1837"/>
  <c r="H34" i="1837"/>
  <c r="D34" i="1837"/>
  <c r="R33" i="1837"/>
  <c r="L23" i="1837" s="1"/>
  <c r="D23" i="1837" s="1"/>
  <c r="R32" i="1837"/>
  <c r="R31" i="1837"/>
  <c r="R30" i="1837"/>
  <c r="R29" i="1837"/>
  <c r="R28" i="1837"/>
  <c r="R27" i="1837"/>
  <c r="D27" i="1837"/>
  <c r="R26" i="1837"/>
  <c r="L26" i="1837"/>
  <c r="D26" i="1837"/>
  <c r="R25" i="1837"/>
  <c r="L25" i="1837"/>
  <c r="D25" i="1837" s="1"/>
  <c r="R24" i="1837"/>
  <c r="D24" i="1837"/>
  <c r="R23" i="1837"/>
  <c r="R22" i="1837"/>
  <c r="R21" i="1837"/>
  <c r="D21" i="1837"/>
  <c r="R20" i="1837"/>
  <c r="L20" i="1837"/>
  <c r="D20" i="1837"/>
  <c r="R19" i="1837"/>
  <c r="R18" i="1837"/>
  <c r="D18" i="1837"/>
  <c r="R17" i="1837"/>
  <c r="D17" i="1837"/>
  <c r="R16" i="1837"/>
  <c r="L16" i="1837"/>
  <c r="D16" i="1837" s="1"/>
  <c r="R15" i="1837"/>
  <c r="D15" i="1837"/>
  <c r="R14" i="1837"/>
  <c r="D14" i="1837"/>
  <c r="R13" i="1837"/>
  <c r="D13" i="1837"/>
  <c r="R12" i="1837"/>
  <c r="L12" i="1837"/>
  <c r="D12" i="1837"/>
  <c r="R11" i="1837"/>
  <c r="L11" i="1837"/>
  <c r="D11" i="1837" s="1"/>
  <c r="L9" i="1837"/>
  <c r="D9" i="1837"/>
  <c r="L8" i="1837"/>
  <c r="D8" i="1837" s="1"/>
  <c r="R6" i="1837"/>
  <c r="L6" i="1837"/>
  <c r="D6" i="1837"/>
  <c r="R5" i="1837"/>
  <c r="R4" i="1837"/>
  <c r="R52" i="1836"/>
  <c r="R51" i="1836"/>
  <c r="D50" i="1836"/>
  <c r="R49" i="1836"/>
  <c r="D49" i="1836"/>
  <c r="R48" i="1836"/>
  <c r="D48" i="1836"/>
  <c r="D46" i="1836"/>
  <c r="D45" i="1836"/>
  <c r="R44" i="1836"/>
  <c r="L28" i="1836" s="1"/>
  <c r="D28" i="1836" s="1"/>
  <c r="D44" i="1836"/>
  <c r="R42" i="1836"/>
  <c r="D42" i="1836"/>
  <c r="R41" i="1836"/>
  <c r="D41" i="1836"/>
  <c r="R40" i="1836"/>
  <c r="D40" i="1836"/>
  <c r="R39" i="1836"/>
  <c r="H39" i="1836"/>
  <c r="D39" i="1836"/>
  <c r="R38" i="1836"/>
  <c r="H38" i="1836"/>
  <c r="D38" i="1836"/>
  <c r="R37" i="1836"/>
  <c r="H37" i="1836"/>
  <c r="D37" i="1836"/>
  <c r="R36" i="1836"/>
  <c r="H36" i="1836"/>
  <c r="D36" i="1836"/>
  <c r="R35" i="1836"/>
  <c r="L19" i="1836" s="1"/>
  <c r="D19" i="1836" s="1"/>
  <c r="H35" i="1836"/>
  <c r="D35" i="1836"/>
  <c r="R34" i="1836"/>
  <c r="L12" i="1836" s="1"/>
  <c r="D12" i="1836" s="1"/>
  <c r="H34" i="1836"/>
  <c r="G49" i="1836" s="1"/>
  <c r="D34" i="1836"/>
  <c r="R33" i="1836"/>
  <c r="R32" i="1836"/>
  <c r="R31" i="1836"/>
  <c r="R30" i="1836"/>
  <c r="R29" i="1836"/>
  <c r="R28" i="1836"/>
  <c r="R27" i="1836"/>
  <c r="D27" i="1836"/>
  <c r="R26" i="1836"/>
  <c r="L26" i="1836"/>
  <c r="D26" i="1836" s="1"/>
  <c r="R25" i="1836"/>
  <c r="L25" i="1836"/>
  <c r="D25" i="1836" s="1"/>
  <c r="R24" i="1836"/>
  <c r="L24" i="1836"/>
  <c r="D24" i="1836" s="1"/>
  <c r="R23" i="1836"/>
  <c r="L23" i="1836"/>
  <c r="D23" i="1836" s="1"/>
  <c r="R22" i="1836"/>
  <c r="L22" i="1836"/>
  <c r="D22" i="1836" s="1"/>
  <c r="R21" i="1836"/>
  <c r="D21" i="1836"/>
  <c r="R20" i="1836"/>
  <c r="L20" i="1836"/>
  <c r="D20" i="1836" s="1"/>
  <c r="R19" i="1836"/>
  <c r="R18" i="1836"/>
  <c r="D18" i="1836"/>
  <c r="R17" i="1836"/>
  <c r="L17" i="1836"/>
  <c r="D17" i="1836" s="1"/>
  <c r="R16" i="1836"/>
  <c r="L16" i="1836"/>
  <c r="D16" i="1836" s="1"/>
  <c r="R15" i="1836"/>
  <c r="D15" i="1836"/>
  <c r="R14" i="1836"/>
  <c r="D14" i="1836"/>
  <c r="R13" i="1836"/>
  <c r="D13" i="1836"/>
  <c r="R12" i="1836"/>
  <c r="R11" i="1836"/>
  <c r="L11" i="1836"/>
  <c r="D11" i="1836"/>
  <c r="L10" i="1836"/>
  <c r="D10" i="1836" s="1"/>
  <c r="L9" i="1836"/>
  <c r="D9" i="1836"/>
  <c r="L8" i="1836"/>
  <c r="D8" i="1836" s="1"/>
  <c r="L7" i="1836"/>
  <c r="D7" i="1836" s="1"/>
  <c r="R6" i="1836"/>
  <c r="L6" i="1836"/>
  <c r="D6" i="1836" s="1"/>
  <c r="R5" i="1836"/>
  <c r="R4" i="1836"/>
  <c r="R52" i="1835"/>
  <c r="R51" i="1835"/>
  <c r="D50" i="1835"/>
  <c r="R49" i="1835"/>
  <c r="D49" i="1835"/>
  <c r="R48" i="1835"/>
  <c r="D48" i="1835"/>
  <c r="D46" i="1835"/>
  <c r="D45" i="1835"/>
  <c r="R44" i="1835"/>
  <c r="D44" i="1835"/>
  <c r="R42" i="1835"/>
  <c r="D42" i="1835"/>
  <c r="R41" i="1835"/>
  <c r="D41" i="1835"/>
  <c r="R40" i="1835"/>
  <c r="D40" i="1835"/>
  <c r="R39" i="1835"/>
  <c r="H39" i="1835"/>
  <c r="D39" i="1835"/>
  <c r="R38" i="1835"/>
  <c r="H38" i="1835"/>
  <c r="D38" i="1835"/>
  <c r="R37" i="1835"/>
  <c r="H37" i="1835"/>
  <c r="D37" i="1835"/>
  <c r="R36" i="1835"/>
  <c r="H36" i="1835"/>
  <c r="D36" i="1835"/>
  <c r="R35" i="1835"/>
  <c r="H35" i="1835"/>
  <c r="D35" i="1835"/>
  <c r="R34" i="1835"/>
  <c r="L12" i="1835" s="1"/>
  <c r="D12" i="1835" s="1"/>
  <c r="H34" i="1835"/>
  <c r="D34" i="1835"/>
  <c r="R33" i="1835"/>
  <c r="R32" i="1835"/>
  <c r="R31" i="1835"/>
  <c r="R30" i="1835"/>
  <c r="R29" i="1835"/>
  <c r="R28" i="1835"/>
  <c r="L16" i="1835" s="1"/>
  <c r="D16" i="1835" s="1"/>
  <c r="L28" i="1835"/>
  <c r="D28" i="1835"/>
  <c r="R27" i="1835"/>
  <c r="D27" i="1835"/>
  <c r="R26" i="1835"/>
  <c r="L26" i="1835"/>
  <c r="D26" i="1835"/>
  <c r="R25" i="1835"/>
  <c r="L25" i="1835"/>
  <c r="D25" i="1835" s="1"/>
  <c r="R24" i="1835"/>
  <c r="L24" i="1835"/>
  <c r="D24" i="1835"/>
  <c r="R23" i="1835"/>
  <c r="D23" i="1835"/>
  <c r="R22" i="1835"/>
  <c r="D22" i="1835"/>
  <c r="R21" i="1835"/>
  <c r="D21" i="1835"/>
  <c r="R20" i="1835"/>
  <c r="L20" i="1835"/>
  <c r="D20" i="1835" s="1"/>
  <c r="R19" i="1835"/>
  <c r="D19" i="1835"/>
  <c r="R18" i="1835"/>
  <c r="D18" i="1835"/>
  <c r="R17" i="1835"/>
  <c r="L17" i="1835"/>
  <c r="D17" i="1835"/>
  <c r="R16" i="1835"/>
  <c r="R15" i="1835"/>
  <c r="D15" i="1835"/>
  <c r="R14" i="1835"/>
  <c r="D14" i="1835"/>
  <c r="R13" i="1835"/>
  <c r="D13" i="1835"/>
  <c r="R12" i="1835"/>
  <c r="R11" i="1835"/>
  <c r="L11" i="1835"/>
  <c r="D11" i="1835" s="1"/>
  <c r="L10" i="1835"/>
  <c r="D10" i="1835" s="1"/>
  <c r="L9" i="1835"/>
  <c r="D9" i="1835"/>
  <c r="L8" i="1835"/>
  <c r="D8" i="1835"/>
  <c r="L7" i="1835"/>
  <c r="D7" i="1835"/>
  <c r="R6" i="1835"/>
  <c r="L6" i="1835"/>
  <c r="D6" i="1835" s="1"/>
  <c r="D29" i="1835" s="1"/>
  <c r="H13" i="1835" s="1"/>
  <c r="R5" i="1835"/>
  <c r="R4" i="1835"/>
  <c r="R52" i="1834"/>
  <c r="R51" i="1834"/>
  <c r="D50" i="1834"/>
  <c r="R49" i="1834"/>
  <c r="G49" i="1834"/>
  <c r="D49" i="1834"/>
  <c r="R48" i="1834"/>
  <c r="D48" i="1834"/>
  <c r="D46" i="1834"/>
  <c r="D45" i="1834"/>
  <c r="D44" i="1834"/>
  <c r="R42" i="1834"/>
  <c r="L6" i="1834" s="1"/>
  <c r="D6" i="1834" s="1"/>
  <c r="D42" i="1834"/>
  <c r="R41" i="1834"/>
  <c r="L7" i="1834" s="1"/>
  <c r="D7" i="1834" s="1"/>
  <c r="D41" i="1834"/>
  <c r="R40" i="1834"/>
  <c r="D40" i="1834"/>
  <c r="R39" i="1834"/>
  <c r="D39" i="1834"/>
  <c r="R38" i="1834"/>
  <c r="D38" i="1834"/>
  <c r="R37" i="1834"/>
  <c r="D37" i="1834"/>
  <c r="R36" i="1834"/>
  <c r="L10" i="1834" s="1"/>
  <c r="D10" i="1834" s="1"/>
  <c r="D36" i="1834"/>
  <c r="R35" i="1834"/>
  <c r="D35" i="1834"/>
  <c r="R34" i="1834"/>
  <c r="L12" i="1834" s="1"/>
  <c r="D12" i="1834" s="1"/>
  <c r="D34" i="1834"/>
  <c r="D54" i="1834" s="1"/>
  <c r="H14" i="1834" s="1"/>
  <c r="R33" i="1834"/>
  <c r="L23" i="1834" s="1"/>
  <c r="D23" i="1834" s="1"/>
  <c r="R32" i="1834"/>
  <c r="R31" i="1834"/>
  <c r="R30" i="1834"/>
  <c r="R29" i="1834"/>
  <c r="R28" i="1834"/>
  <c r="D28" i="1834"/>
  <c r="R27" i="1834"/>
  <c r="D27" i="1834"/>
  <c r="R26" i="1834"/>
  <c r="L26" i="1834"/>
  <c r="D26" i="1834"/>
  <c r="R25" i="1834"/>
  <c r="L25" i="1834"/>
  <c r="D25" i="1834"/>
  <c r="R24" i="1834"/>
  <c r="D24" i="1834"/>
  <c r="R23" i="1834"/>
  <c r="R22" i="1834"/>
  <c r="L22" i="1834"/>
  <c r="D22" i="1834"/>
  <c r="R21" i="1834"/>
  <c r="D21" i="1834"/>
  <c r="R20" i="1834"/>
  <c r="L20" i="1834"/>
  <c r="D20" i="1834"/>
  <c r="R19" i="1834"/>
  <c r="L19" i="1834"/>
  <c r="D19" i="1834"/>
  <c r="R18" i="1834"/>
  <c r="D18" i="1834"/>
  <c r="R17" i="1834"/>
  <c r="D17" i="1834"/>
  <c r="R16" i="1834"/>
  <c r="L16" i="1834"/>
  <c r="D16" i="1834" s="1"/>
  <c r="S15" i="1834"/>
  <c r="R15" i="1834"/>
  <c r="D15" i="1834"/>
  <c r="S14" i="1834"/>
  <c r="R14" i="1834"/>
  <c r="D14" i="1834"/>
  <c r="R13" i="1834"/>
  <c r="D13" i="1834"/>
  <c r="R12" i="1834"/>
  <c r="R11" i="1834"/>
  <c r="L11" i="1834"/>
  <c r="D11" i="1834"/>
  <c r="L9" i="1834"/>
  <c r="D9" i="1834" s="1"/>
  <c r="L8" i="1834"/>
  <c r="D8" i="1834"/>
  <c r="R6" i="1834"/>
  <c r="R5" i="1834"/>
  <c r="R4" i="1834"/>
  <c r="R52" i="1833"/>
  <c r="R51" i="1833"/>
  <c r="D50" i="1833"/>
  <c r="R49" i="1833"/>
  <c r="D49" i="1833"/>
  <c r="R48" i="1833"/>
  <c r="D48" i="1833"/>
  <c r="D46" i="1833"/>
  <c r="D45" i="1833"/>
  <c r="R44" i="1833"/>
  <c r="L28" i="1833" s="1"/>
  <c r="D28" i="1833" s="1"/>
  <c r="D44" i="1833"/>
  <c r="R42" i="1833"/>
  <c r="L6" i="1833" s="1"/>
  <c r="D6" i="1833" s="1"/>
  <c r="D42" i="1833"/>
  <c r="R41" i="1833"/>
  <c r="D41" i="1833"/>
  <c r="R40" i="1833"/>
  <c r="D40" i="1833"/>
  <c r="R39" i="1833"/>
  <c r="H39" i="1833"/>
  <c r="D39" i="1833"/>
  <c r="R38" i="1833"/>
  <c r="H38" i="1833"/>
  <c r="D38" i="1833"/>
  <c r="R37" i="1833"/>
  <c r="H37" i="1833"/>
  <c r="D37" i="1833"/>
  <c r="R36" i="1833"/>
  <c r="L10" i="1833" s="1"/>
  <c r="D10" i="1833" s="1"/>
  <c r="H36" i="1833"/>
  <c r="D36" i="1833"/>
  <c r="R35" i="1833"/>
  <c r="H35" i="1833"/>
  <c r="D35" i="1833"/>
  <c r="R34" i="1833"/>
  <c r="L12" i="1833" s="1"/>
  <c r="D12" i="1833" s="1"/>
  <c r="H34" i="1833"/>
  <c r="D34" i="1833"/>
  <c r="R33" i="1833"/>
  <c r="L23" i="1833" s="1"/>
  <c r="D23" i="1833" s="1"/>
  <c r="R32" i="1833"/>
  <c r="R31" i="1833"/>
  <c r="R30" i="1833"/>
  <c r="R29" i="1833"/>
  <c r="R28" i="1833"/>
  <c r="L16" i="1833" s="1"/>
  <c r="D16" i="1833" s="1"/>
  <c r="R27" i="1833"/>
  <c r="D27" i="1833"/>
  <c r="R26" i="1833"/>
  <c r="L26" i="1833"/>
  <c r="D26" i="1833"/>
  <c r="R25" i="1833"/>
  <c r="L25" i="1833"/>
  <c r="D25" i="1833" s="1"/>
  <c r="R24" i="1833"/>
  <c r="D24" i="1833"/>
  <c r="R23" i="1833"/>
  <c r="R22" i="1833"/>
  <c r="L22" i="1833"/>
  <c r="D22" i="1833"/>
  <c r="R21" i="1833"/>
  <c r="D21" i="1833"/>
  <c r="R20" i="1833"/>
  <c r="L20" i="1833"/>
  <c r="D20" i="1833"/>
  <c r="R19" i="1833"/>
  <c r="L19" i="1833"/>
  <c r="D19" i="1833" s="1"/>
  <c r="R18" i="1833"/>
  <c r="D18" i="1833"/>
  <c r="R17" i="1833"/>
  <c r="D17" i="1833"/>
  <c r="R16" i="1833"/>
  <c r="R15" i="1833"/>
  <c r="D15" i="1833"/>
  <c r="R14" i="1833"/>
  <c r="D14" i="1833"/>
  <c r="R13" i="1833"/>
  <c r="D13" i="1833"/>
  <c r="R12" i="1833"/>
  <c r="R11" i="1833"/>
  <c r="L11" i="1833"/>
  <c r="D11" i="1833"/>
  <c r="L9" i="1833"/>
  <c r="D9" i="1833" s="1"/>
  <c r="L8" i="1833"/>
  <c r="D8" i="1833"/>
  <c r="L7" i="1833"/>
  <c r="D7" i="1833"/>
  <c r="R6" i="1833"/>
  <c r="R5" i="1833"/>
  <c r="R4" i="1833"/>
  <c r="R52" i="1832"/>
  <c r="R51" i="1832"/>
  <c r="D50" i="1832"/>
  <c r="R49" i="1832"/>
  <c r="D49" i="1832"/>
  <c r="R48" i="1832"/>
  <c r="D48" i="1832"/>
  <c r="D46" i="1832"/>
  <c r="D45" i="1832"/>
  <c r="R44" i="1832"/>
  <c r="D44" i="1832"/>
  <c r="R42" i="1832"/>
  <c r="L6" i="1832" s="1"/>
  <c r="D6" i="1832" s="1"/>
  <c r="D42" i="1832"/>
  <c r="R41" i="1832"/>
  <c r="L7" i="1832" s="1"/>
  <c r="D7" i="1832" s="1"/>
  <c r="D41" i="1832"/>
  <c r="R40" i="1832"/>
  <c r="D40" i="1832"/>
  <c r="R39" i="1832"/>
  <c r="H39" i="1832"/>
  <c r="D39" i="1832"/>
  <c r="R38" i="1832"/>
  <c r="L9" i="1832" s="1"/>
  <c r="D9" i="1832" s="1"/>
  <c r="H38" i="1832"/>
  <c r="D38" i="1832"/>
  <c r="R37" i="1832"/>
  <c r="H37" i="1832"/>
  <c r="D37" i="1832"/>
  <c r="R36" i="1832"/>
  <c r="H36" i="1832"/>
  <c r="D36" i="1832"/>
  <c r="R35" i="1832"/>
  <c r="L19" i="1832" s="1"/>
  <c r="D19" i="1832" s="1"/>
  <c r="H35" i="1832"/>
  <c r="D35" i="1832"/>
  <c r="D54" i="1832" s="1"/>
  <c r="H14" i="1832" s="1"/>
  <c r="R34" i="1832"/>
  <c r="H34" i="1832"/>
  <c r="D34" i="1832"/>
  <c r="R33" i="1832"/>
  <c r="L23" i="1832" s="1"/>
  <c r="D23" i="1832" s="1"/>
  <c r="R32" i="1832"/>
  <c r="R31" i="1832"/>
  <c r="R30" i="1832"/>
  <c r="R29" i="1832"/>
  <c r="R28" i="1832"/>
  <c r="L28" i="1832"/>
  <c r="D28" i="1832"/>
  <c r="R27" i="1832"/>
  <c r="D27" i="1832"/>
  <c r="R26" i="1832"/>
  <c r="L26" i="1832"/>
  <c r="D26" i="1832"/>
  <c r="R25" i="1832"/>
  <c r="L25" i="1832"/>
  <c r="D25" i="1832" s="1"/>
  <c r="R24" i="1832"/>
  <c r="L24" i="1832"/>
  <c r="D24" i="1832" s="1"/>
  <c r="R23" i="1832"/>
  <c r="R22" i="1832"/>
  <c r="L22" i="1832"/>
  <c r="D22" i="1832"/>
  <c r="R21" i="1832"/>
  <c r="D21" i="1832"/>
  <c r="R20" i="1832"/>
  <c r="L20" i="1832"/>
  <c r="D20" i="1832"/>
  <c r="R19" i="1832"/>
  <c r="R18" i="1832"/>
  <c r="D18" i="1832"/>
  <c r="R17" i="1832"/>
  <c r="L17" i="1832"/>
  <c r="D17" i="1832"/>
  <c r="R16" i="1832"/>
  <c r="L16" i="1832"/>
  <c r="D16" i="1832"/>
  <c r="R15" i="1832"/>
  <c r="D15" i="1832"/>
  <c r="R14" i="1832"/>
  <c r="D14" i="1832"/>
  <c r="R13" i="1832"/>
  <c r="D13" i="1832"/>
  <c r="R12" i="1832"/>
  <c r="L12" i="1832"/>
  <c r="D12" i="1832" s="1"/>
  <c r="R11" i="1832"/>
  <c r="L11" i="1832"/>
  <c r="D11" i="1832"/>
  <c r="L10" i="1832"/>
  <c r="D10" i="1832" s="1"/>
  <c r="L8" i="1832"/>
  <c r="D8" i="1832"/>
  <c r="R6" i="1832"/>
  <c r="R5" i="1832"/>
  <c r="R4" i="1832"/>
  <c r="R52" i="1831"/>
  <c r="R51" i="1831"/>
  <c r="D50" i="1831"/>
  <c r="R49" i="1831"/>
  <c r="D49" i="1831"/>
  <c r="R48" i="1831"/>
  <c r="D48" i="1831"/>
  <c r="D46" i="1831"/>
  <c r="D45" i="1831"/>
  <c r="R44" i="1831"/>
  <c r="D44" i="1831"/>
  <c r="R42" i="1831"/>
  <c r="L6" i="1831" s="1"/>
  <c r="D6" i="1831" s="1"/>
  <c r="D42" i="1831"/>
  <c r="R41" i="1831"/>
  <c r="L7" i="1831" s="1"/>
  <c r="D7" i="1831" s="1"/>
  <c r="D41" i="1831"/>
  <c r="R40" i="1831"/>
  <c r="L8" i="1831" s="1"/>
  <c r="D8" i="1831" s="1"/>
  <c r="D40" i="1831"/>
  <c r="R39" i="1831"/>
  <c r="L20" i="1831" s="1"/>
  <c r="D20" i="1831" s="1"/>
  <c r="H39" i="1831"/>
  <c r="D39" i="1831"/>
  <c r="R38" i="1831"/>
  <c r="H38" i="1831"/>
  <c r="D38" i="1831"/>
  <c r="R37" i="1831"/>
  <c r="H37" i="1831"/>
  <c r="D37" i="1831"/>
  <c r="R36" i="1831"/>
  <c r="H36" i="1831"/>
  <c r="D36" i="1831"/>
  <c r="R35" i="1831"/>
  <c r="H35" i="1831"/>
  <c r="D35" i="1831"/>
  <c r="R34" i="1831"/>
  <c r="H34" i="1831"/>
  <c r="D34" i="1831"/>
  <c r="R33" i="1831"/>
  <c r="R32" i="1831"/>
  <c r="R31" i="1831"/>
  <c r="R30" i="1831"/>
  <c r="R29" i="1831"/>
  <c r="R28" i="1831"/>
  <c r="L16" i="1831" s="1"/>
  <c r="D16" i="1831" s="1"/>
  <c r="L28" i="1831"/>
  <c r="D28" i="1831"/>
  <c r="R27" i="1831"/>
  <c r="D27" i="1831"/>
  <c r="R26" i="1831"/>
  <c r="L26" i="1831"/>
  <c r="D26" i="1831"/>
  <c r="R25" i="1831"/>
  <c r="L25" i="1831"/>
  <c r="D25" i="1831"/>
  <c r="R24" i="1831"/>
  <c r="L24" i="1831"/>
  <c r="D24" i="1831"/>
  <c r="R23" i="1831"/>
  <c r="D23" i="1831"/>
  <c r="R22" i="1831"/>
  <c r="D22" i="1831"/>
  <c r="R21" i="1831"/>
  <c r="D21" i="1831"/>
  <c r="R20" i="1831"/>
  <c r="R19" i="1831"/>
  <c r="D19" i="1831"/>
  <c r="R18" i="1831"/>
  <c r="D18" i="1831"/>
  <c r="R17" i="1831"/>
  <c r="L17" i="1831"/>
  <c r="D17" i="1831"/>
  <c r="R16" i="1831"/>
  <c r="R15" i="1831"/>
  <c r="D15" i="1831"/>
  <c r="R14" i="1831"/>
  <c r="D14" i="1831"/>
  <c r="R13" i="1831"/>
  <c r="D13" i="1831"/>
  <c r="R12" i="1831"/>
  <c r="L12" i="1831"/>
  <c r="D12" i="1831" s="1"/>
  <c r="R11" i="1831"/>
  <c r="L11" i="1831"/>
  <c r="D11" i="1831" s="1"/>
  <c r="L10" i="1831"/>
  <c r="D10" i="1831"/>
  <c r="L9" i="1831"/>
  <c r="D9" i="1831"/>
  <c r="R6" i="1831"/>
  <c r="R5" i="1831"/>
  <c r="R4" i="1831"/>
  <c r="R52" i="1830"/>
  <c r="R51" i="1830"/>
  <c r="D50" i="1830"/>
  <c r="R49" i="1830"/>
  <c r="G49" i="1830"/>
  <c r="D49" i="1830"/>
  <c r="R48" i="1830"/>
  <c r="D48" i="1830"/>
  <c r="D46" i="1830"/>
  <c r="D45" i="1830"/>
  <c r="D44" i="1830"/>
  <c r="R42" i="1830"/>
  <c r="L6" i="1830" s="1"/>
  <c r="D6" i="1830" s="1"/>
  <c r="D42" i="1830"/>
  <c r="R41" i="1830"/>
  <c r="L7" i="1830" s="1"/>
  <c r="D7" i="1830" s="1"/>
  <c r="D41" i="1830"/>
  <c r="R40" i="1830"/>
  <c r="D40" i="1830"/>
  <c r="R39" i="1830"/>
  <c r="D39" i="1830"/>
  <c r="R38" i="1830"/>
  <c r="L9" i="1830" s="1"/>
  <c r="D9" i="1830" s="1"/>
  <c r="D38" i="1830"/>
  <c r="R37" i="1830"/>
  <c r="D37" i="1830"/>
  <c r="R36" i="1830"/>
  <c r="D36" i="1830"/>
  <c r="R35" i="1830"/>
  <c r="D35" i="1830"/>
  <c r="R34" i="1830"/>
  <c r="L12" i="1830" s="1"/>
  <c r="D12" i="1830" s="1"/>
  <c r="D34" i="1830"/>
  <c r="D54" i="1830" s="1"/>
  <c r="H14" i="1830" s="1"/>
  <c r="R33" i="1830"/>
  <c r="L23" i="1830" s="1"/>
  <c r="D23" i="1830" s="1"/>
  <c r="R32" i="1830"/>
  <c r="R31" i="1830"/>
  <c r="R30" i="1830"/>
  <c r="R29" i="1830"/>
  <c r="R28" i="1830"/>
  <c r="D28" i="1830"/>
  <c r="R27" i="1830"/>
  <c r="D27" i="1830"/>
  <c r="R26" i="1830"/>
  <c r="L26" i="1830"/>
  <c r="D26" i="1830"/>
  <c r="R25" i="1830"/>
  <c r="L25" i="1830"/>
  <c r="D25" i="1830"/>
  <c r="R24" i="1830"/>
  <c r="D24" i="1830"/>
  <c r="R23" i="1830"/>
  <c r="R22" i="1830"/>
  <c r="L22" i="1830"/>
  <c r="D22" i="1830" s="1"/>
  <c r="R21" i="1830"/>
  <c r="D21" i="1830"/>
  <c r="R20" i="1830"/>
  <c r="L20" i="1830"/>
  <c r="D20" i="1830"/>
  <c r="R19" i="1830"/>
  <c r="L19" i="1830"/>
  <c r="D19" i="1830"/>
  <c r="R18" i="1830"/>
  <c r="D18" i="1830"/>
  <c r="R17" i="1830"/>
  <c r="D17" i="1830"/>
  <c r="R16" i="1830"/>
  <c r="L16" i="1830"/>
  <c r="D16" i="1830" s="1"/>
  <c r="S15" i="1830"/>
  <c r="R15" i="1830"/>
  <c r="D15" i="1830"/>
  <c r="S14" i="1830"/>
  <c r="R14" i="1830"/>
  <c r="D14" i="1830"/>
  <c r="R13" i="1830"/>
  <c r="D13" i="1830"/>
  <c r="R12" i="1830"/>
  <c r="R11" i="1830"/>
  <c r="L11" i="1830"/>
  <c r="D11" i="1830" s="1"/>
  <c r="L10" i="1830"/>
  <c r="D10" i="1830" s="1"/>
  <c r="L8" i="1830"/>
  <c r="D8" i="1830"/>
  <c r="R6" i="1830"/>
  <c r="R5" i="1830"/>
  <c r="R4" i="1830"/>
  <c r="R52" i="1829"/>
  <c r="L22" i="1829" s="1"/>
  <c r="D22" i="1829" s="1"/>
  <c r="R51" i="1829"/>
  <c r="D50" i="1829"/>
  <c r="R49" i="1829"/>
  <c r="D49" i="1829"/>
  <c r="R48" i="1829"/>
  <c r="D48" i="1829"/>
  <c r="D46" i="1829"/>
  <c r="D45" i="1829"/>
  <c r="R44" i="1829"/>
  <c r="L28" i="1829" s="1"/>
  <c r="D28" i="1829" s="1"/>
  <c r="D44" i="1829"/>
  <c r="R42" i="1829"/>
  <c r="D42" i="1829"/>
  <c r="R41" i="1829"/>
  <c r="L7" i="1829" s="1"/>
  <c r="D7" i="1829" s="1"/>
  <c r="D41" i="1829"/>
  <c r="R40" i="1829"/>
  <c r="D40" i="1829"/>
  <c r="R39" i="1829"/>
  <c r="H39" i="1829"/>
  <c r="D39" i="1829"/>
  <c r="R38" i="1829"/>
  <c r="H38" i="1829"/>
  <c r="D38" i="1829"/>
  <c r="R37" i="1829"/>
  <c r="H37" i="1829"/>
  <c r="D37" i="1829"/>
  <c r="R36" i="1829"/>
  <c r="H36" i="1829"/>
  <c r="D36" i="1829"/>
  <c r="R35" i="1829"/>
  <c r="L19" i="1829" s="1"/>
  <c r="D19" i="1829" s="1"/>
  <c r="H35" i="1829"/>
  <c r="D35" i="1829"/>
  <c r="R34" i="1829"/>
  <c r="L12" i="1829" s="1"/>
  <c r="D12" i="1829" s="1"/>
  <c r="H34" i="1829"/>
  <c r="D34" i="1829"/>
  <c r="R33" i="1829"/>
  <c r="R32" i="1829"/>
  <c r="R31" i="1829"/>
  <c r="R30" i="1829"/>
  <c r="R29" i="1829"/>
  <c r="R28" i="1829"/>
  <c r="R27" i="1829"/>
  <c r="D27" i="1829"/>
  <c r="R26" i="1829"/>
  <c r="L26" i="1829"/>
  <c r="D26" i="1829" s="1"/>
  <c r="R25" i="1829"/>
  <c r="L25" i="1829"/>
  <c r="D25" i="1829"/>
  <c r="R24" i="1829"/>
  <c r="D24" i="1829"/>
  <c r="R23" i="1829"/>
  <c r="L23" i="1829"/>
  <c r="D23" i="1829"/>
  <c r="R22" i="1829"/>
  <c r="R21" i="1829"/>
  <c r="D21" i="1829"/>
  <c r="R20" i="1829"/>
  <c r="L20" i="1829"/>
  <c r="D20" i="1829" s="1"/>
  <c r="R19" i="1829"/>
  <c r="R18" i="1829"/>
  <c r="D18" i="1829"/>
  <c r="R17" i="1829"/>
  <c r="D17" i="1829"/>
  <c r="R16" i="1829"/>
  <c r="L16" i="1829"/>
  <c r="D16" i="1829"/>
  <c r="R15" i="1829"/>
  <c r="D15" i="1829"/>
  <c r="R14" i="1829"/>
  <c r="D14" i="1829"/>
  <c r="R13" i="1829"/>
  <c r="D13" i="1829"/>
  <c r="R12" i="1829"/>
  <c r="R11" i="1829"/>
  <c r="L11" i="1829"/>
  <c r="D11" i="1829" s="1"/>
  <c r="L10" i="1829"/>
  <c r="D10" i="1829"/>
  <c r="L9" i="1829"/>
  <c r="D9" i="1829"/>
  <c r="L8" i="1829"/>
  <c r="D8" i="1829"/>
  <c r="R6" i="1829"/>
  <c r="L6" i="1829"/>
  <c r="D6" i="1829"/>
  <c r="R5" i="1829"/>
  <c r="R4" i="1829"/>
  <c r="R52" i="1828"/>
  <c r="R51" i="1828"/>
  <c r="D50" i="1828"/>
  <c r="R49" i="1828"/>
  <c r="D49" i="1828"/>
  <c r="R48" i="1828"/>
  <c r="D48" i="1828"/>
  <c r="D46" i="1828"/>
  <c r="D45" i="1828"/>
  <c r="R44" i="1828"/>
  <c r="L28" i="1828" s="1"/>
  <c r="D28" i="1828" s="1"/>
  <c r="D44" i="1828"/>
  <c r="R42" i="1828"/>
  <c r="L6" i="1828" s="1"/>
  <c r="D6" i="1828" s="1"/>
  <c r="D42" i="1828"/>
  <c r="R41" i="1828"/>
  <c r="D41" i="1828"/>
  <c r="R40" i="1828"/>
  <c r="L8" i="1828" s="1"/>
  <c r="D8" i="1828" s="1"/>
  <c r="D40" i="1828"/>
  <c r="R39" i="1828"/>
  <c r="H39" i="1828"/>
  <c r="D39" i="1828"/>
  <c r="R38" i="1828"/>
  <c r="L9" i="1828" s="1"/>
  <c r="D9" i="1828" s="1"/>
  <c r="H38" i="1828"/>
  <c r="D38" i="1828"/>
  <c r="R37" i="1828"/>
  <c r="H37" i="1828"/>
  <c r="D37" i="1828"/>
  <c r="R36" i="1828"/>
  <c r="L10" i="1828" s="1"/>
  <c r="D10" i="1828" s="1"/>
  <c r="H36" i="1828"/>
  <c r="D36" i="1828"/>
  <c r="R35" i="1828"/>
  <c r="H35" i="1828"/>
  <c r="D35" i="1828"/>
  <c r="R34" i="1828"/>
  <c r="H34" i="1828"/>
  <c r="D34" i="1828"/>
  <c r="R33" i="1828"/>
  <c r="L23" i="1828" s="1"/>
  <c r="D23" i="1828" s="1"/>
  <c r="R32" i="1828"/>
  <c r="L11" i="1828" s="1"/>
  <c r="D11" i="1828" s="1"/>
  <c r="R31" i="1828"/>
  <c r="R30" i="1828"/>
  <c r="R29" i="1828"/>
  <c r="R28" i="1828"/>
  <c r="L16" i="1828" s="1"/>
  <c r="D16" i="1828" s="1"/>
  <c r="R27" i="1828"/>
  <c r="D27" i="1828"/>
  <c r="R26" i="1828"/>
  <c r="D26" i="1828"/>
  <c r="R25" i="1828"/>
  <c r="L25" i="1828"/>
  <c r="D25" i="1828"/>
  <c r="R24" i="1828"/>
  <c r="L24" i="1828"/>
  <c r="D24" i="1828"/>
  <c r="R23" i="1828"/>
  <c r="R22" i="1828"/>
  <c r="L22" i="1828"/>
  <c r="D22" i="1828"/>
  <c r="R21" i="1828"/>
  <c r="L17" i="1828" s="1"/>
  <c r="D17" i="1828" s="1"/>
  <c r="D21" i="1828"/>
  <c r="R20" i="1828"/>
  <c r="L20" i="1828"/>
  <c r="D20" i="1828"/>
  <c r="R19" i="1828"/>
  <c r="L19" i="1828"/>
  <c r="D19" i="1828" s="1"/>
  <c r="R18" i="1828"/>
  <c r="D18" i="1828"/>
  <c r="R17" i="1828"/>
  <c r="R16" i="1828"/>
  <c r="R15" i="1828"/>
  <c r="D15" i="1828"/>
  <c r="R14" i="1828"/>
  <c r="D14" i="1828"/>
  <c r="R13" i="1828"/>
  <c r="D13" i="1828"/>
  <c r="R12" i="1828"/>
  <c r="L12" i="1828"/>
  <c r="D12" i="1828"/>
  <c r="R11" i="1828"/>
  <c r="L7" i="1828"/>
  <c r="D7" i="1828"/>
  <c r="R6" i="1828"/>
  <c r="R5" i="1828"/>
  <c r="R4" i="1828"/>
  <c r="R52" i="1827"/>
  <c r="R51" i="1827"/>
  <c r="D50" i="1827"/>
  <c r="R49" i="1827"/>
  <c r="D49" i="1827"/>
  <c r="R48" i="1827"/>
  <c r="D48" i="1827"/>
  <c r="D46" i="1827"/>
  <c r="D45" i="1827"/>
  <c r="R44" i="1827"/>
  <c r="L28" i="1827" s="1"/>
  <c r="D28" i="1827" s="1"/>
  <c r="D44" i="1827"/>
  <c r="R42" i="1827"/>
  <c r="D42" i="1827"/>
  <c r="R41" i="1827"/>
  <c r="D41" i="1827"/>
  <c r="R40" i="1827"/>
  <c r="L8" i="1827" s="1"/>
  <c r="D8" i="1827" s="1"/>
  <c r="D40" i="1827"/>
  <c r="R39" i="1827"/>
  <c r="L20" i="1827" s="1"/>
  <c r="D20" i="1827" s="1"/>
  <c r="H39" i="1827"/>
  <c r="D39" i="1827"/>
  <c r="R38" i="1827"/>
  <c r="H38" i="1827"/>
  <c r="D38" i="1827"/>
  <c r="R37" i="1827"/>
  <c r="H37" i="1827"/>
  <c r="D37" i="1827"/>
  <c r="R36" i="1827"/>
  <c r="H36" i="1827"/>
  <c r="D36" i="1827"/>
  <c r="R35" i="1827"/>
  <c r="H35" i="1827"/>
  <c r="D35" i="1827"/>
  <c r="R34" i="1827"/>
  <c r="L12" i="1827" s="1"/>
  <c r="D12" i="1827" s="1"/>
  <c r="H34" i="1827"/>
  <c r="D34" i="1827"/>
  <c r="R33" i="1827"/>
  <c r="R32" i="1827"/>
  <c r="R31" i="1827"/>
  <c r="R30" i="1827"/>
  <c r="R29" i="1827"/>
  <c r="R28" i="1827"/>
  <c r="R27" i="1827"/>
  <c r="D27" i="1827"/>
  <c r="R26" i="1827"/>
  <c r="L26" i="1827"/>
  <c r="D26" i="1827"/>
  <c r="R25" i="1827"/>
  <c r="L25" i="1827"/>
  <c r="D25" i="1827" s="1"/>
  <c r="R24" i="1827"/>
  <c r="L24" i="1827"/>
  <c r="D24" i="1827"/>
  <c r="R23" i="1827"/>
  <c r="D23" i="1827"/>
  <c r="R22" i="1827"/>
  <c r="D22" i="1827"/>
  <c r="R21" i="1827"/>
  <c r="D21" i="1827"/>
  <c r="R20" i="1827"/>
  <c r="R19" i="1827"/>
  <c r="D19" i="1827"/>
  <c r="R18" i="1827"/>
  <c r="D18" i="1827"/>
  <c r="R17" i="1827"/>
  <c r="L17" i="1827"/>
  <c r="D17" i="1827"/>
  <c r="R16" i="1827"/>
  <c r="L16" i="1827"/>
  <c r="D16" i="1827" s="1"/>
  <c r="R15" i="1827"/>
  <c r="D15" i="1827"/>
  <c r="R14" i="1827"/>
  <c r="D14" i="1827"/>
  <c r="R13" i="1827"/>
  <c r="D13" i="1827"/>
  <c r="R12" i="1827"/>
  <c r="R11" i="1827"/>
  <c r="L11" i="1827"/>
  <c r="D11" i="1827"/>
  <c r="L10" i="1827"/>
  <c r="D10" i="1827" s="1"/>
  <c r="L9" i="1827"/>
  <c r="D9" i="1827"/>
  <c r="L7" i="1827"/>
  <c r="D7" i="1827"/>
  <c r="R6" i="1827"/>
  <c r="L6" i="1827"/>
  <c r="D6" i="1827" s="1"/>
  <c r="R5" i="1827"/>
  <c r="R4" i="1827"/>
  <c r="R52" i="1826"/>
  <c r="R51" i="1826"/>
  <c r="D50" i="1826"/>
  <c r="R49" i="1826"/>
  <c r="G49" i="1826"/>
  <c r="D49" i="1826"/>
  <c r="R48" i="1826"/>
  <c r="D48" i="1826"/>
  <c r="D46" i="1826"/>
  <c r="D45" i="1826"/>
  <c r="D44" i="1826"/>
  <c r="R42" i="1826"/>
  <c r="D42" i="1826"/>
  <c r="R41" i="1826"/>
  <c r="L7" i="1826" s="1"/>
  <c r="D7" i="1826" s="1"/>
  <c r="D41" i="1826"/>
  <c r="R40" i="1826"/>
  <c r="L8" i="1826" s="1"/>
  <c r="D8" i="1826" s="1"/>
  <c r="D40" i="1826"/>
  <c r="R39" i="1826"/>
  <c r="D39" i="1826"/>
  <c r="R38" i="1826"/>
  <c r="D38" i="1826"/>
  <c r="R37" i="1826"/>
  <c r="D37" i="1826"/>
  <c r="R36" i="1826"/>
  <c r="L10" i="1826" s="1"/>
  <c r="D10" i="1826" s="1"/>
  <c r="D36" i="1826"/>
  <c r="R35" i="1826"/>
  <c r="D35" i="1826"/>
  <c r="R34" i="1826"/>
  <c r="L12" i="1826" s="1"/>
  <c r="D12" i="1826" s="1"/>
  <c r="D34" i="1826"/>
  <c r="D54" i="1826" s="1"/>
  <c r="H14" i="1826" s="1"/>
  <c r="R33" i="1826"/>
  <c r="L23" i="1826" s="1"/>
  <c r="D23" i="1826" s="1"/>
  <c r="R32" i="1826"/>
  <c r="L11" i="1826" s="1"/>
  <c r="D11" i="1826" s="1"/>
  <c r="R31" i="1826"/>
  <c r="R30" i="1826"/>
  <c r="R29" i="1826"/>
  <c r="R28" i="1826"/>
  <c r="D28" i="1826"/>
  <c r="R27" i="1826"/>
  <c r="D27" i="1826"/>
  <c r="R26" i="1826"/>
  <c r="L26" i="1826"/>
  <c r="D26" i="1826"/>
  <c r="R25" i="1826"/>
  <c r="L25" i="1826"/>
  <c r="D25" i="1826"/>
  <c r="R24" i="1826"/>
  <c r="D24" i="1826"/>
  <c r="R23" i="1826"/>
  <c r="R22" i="1826"/>
  <c r="L22" i="1826"/>
  <c r="D22" i="1826" s="1"/>
  <c r="R21" i="1826"/>
  <c r="D21" i="1826"/>
  <c r="R20" i="1826"/>
  <c r="L20" i="1826"/>
  <c r="D20" i="1826"/>
  <c r="R19" i="1826"/>
  <c r="L19" i="1826"/>
  <c r="D19" i="1826"/>
  <c r="R18" i="1826"/>
  <c r="D18" i="1826"/>
  <c r="R17" i="1826"/>
  <c r="D17" i="1826"/>
  <c r="R16" i="1826"/>
  <c r="L16" i="1826"/>
  <c r="D16" i="1826" s="1"/>
  <c r="S15" i="1826"/>
  <c r="R15" i="1826"/>
  <c r="D15" i="1826"/>
  <c r="S14" i="1826"/>
  <c r="R14" i="1826"/>
  <c r="D14" i="1826"/>
  <c r="R13" i="1826"/>
  <c r="D13" i="1826"/>
  <c r="R12" i="1826"/>
  <c r="R11" i="1826"/>
  <c r="L9" i="1826"/>
  <c r="D9" i="1826" s="1"/>
  <c r="R6" i="1826"/>
  <c r="L6" i="1826"/>
  <c r="D6" i="1826"/>
  <c r="R5" i="1826"/>
  <c r="R4" i="1826"/>
  <c r="R52" i="1825"/>
  <c r="R51" i="1825"/>
  <c r="D50" i="1825"/>
  <c r="R49" i="1825"/>
  <c r="G49" i="1825"/>
  <c r="D49" i="1825"/>
  <c r="R48" i="1825"/>
  <c r="D48" i="1825"/>
  <c r="D46" i="1825"/>
  <c r="D45" i="1825"/>
  <c r="R44" i="1825"/>
  <c r="L28" i="1825" s="1"/>
  <c r="D28" i="1825" s="1"/>
  <c r="D44" i="1825"/>
  <c r="R42" i="1825"/>
  <c r="D42" i="1825"/>
  <c r="R41" i="1825"/>
  <c r="D41" i="1825"/>
  <c r="R40" i="1825"/>
  <c r="D40" i="1825"/>
  <c r="R39" i="1825"/>
  <c r="H39" i="1825"/>
  <c r="D39" i="1825"/>
  <c r="R38" i="1825"/>
  <c r="L9" i="1825" s="1"/>
  <c r="D9" i="1825" s="1"/>
  <c r="H38" i="1825"/>
  <c r="D38" i="1825"/>
  <c r="R37" i="1825"/>
  <c r="H37" i="1825"/>
  <c r="D37" i="1825"/>
  <c r="R36" i="1825"/>
  <c r="L10" i="1825" s="1"/>
  <c r="D10" i="1825" s="1"/>
  <c r="H36" i="1825"/>
  <c r="D36" i="1825"/>
  <c r="R35" i="1825"/>
  <c r="H35" i="1825"/>
  <c r="D35" i="1825"/>
  <c r="R34" i="1825"/>
  <c r="L12" i="1825" s="1"/>
  <c r="D12" i="1825" s="1"/>
  <c r="H34" i="1825"/>
  <c r="D34" i="1825"/>
  <c r="D54" i="1825" s="1"/>
  <c r="H14" i="1825" s="1"/>
  <c r="R33" i="1825"/>
  <c r="L23" i="1825" s="1"/>
  <c r="D23" i="1825" s="1"/>
  <c r="R32" i="1825"/>
  <c r="L11" i="1825" s="1"/>
  <c r="D11" i="1825" s="1"/>
  <c r="R31" i="1825"/>
  <c r="R30" i="1825"/>
  <c r="R29" i="1825"/>
  <c r="R28" i="1825"/>
  <c r="R27" i="1825"/>
  <c r="D27" i="1825"/>
  <c r="R26" i="1825"/>
  <c r="L26" i="1825"/>
  <c r="D26" i="1825"/>
  <c r="R25" i="1825"/>
  <c r="L25" i="1825"/>
  <c r="D25" i="1825"/>
  <c r="R24" i="1825"/>
  <c r="D24" i="1825"/>
  <c r="R23" i="1825"/>
  <c r="R22" i="1825"/>
  <c r="L22" i="1825"/>
  <c r="D22" i="1825"/>
  <c r="R21" i="1825"/>
  <c r="D21" i="1825"/>
  <c r="R20" i="1825"/>
  <c r="L20" i="1825"/>
  <c r="D20" i="1825"/>
  <c r="R19" i="1825"/>
  <c r="L19" i="1825"/>
  <c r="D19" i="1825"/>
  <c r="R18" i="1825"/>
  <c r="D18" i="1825"/>
  <c r="R17" i="1825"/>
  <c r="D17" i="1825"/>
  <c r="R16" i="1825"/>
  <c r="L16" i="1825"/>
  <c r="D16" i="1825" s="1"/>
  <c r="R15" i="1825"/>
  <c r="D15" i="1825"/>
  <c r="R14" i="1825"/>
  <c r="D14" i="1825"/>
  <c r="R13" i="1825"/>
  <c r="D13" i="1825"/>
  <c r="R12" i="1825"/>
  <c r="R11" i="1825"/>
  <c r="L8" i="1825"/>
  <c r="D8" i="1825"/>
  <c r="L7" i="1825"/>
  <c r="D7" i="1825"/>
  <c r="R6" i="1825"/>
  <c r="L6" i="1825"/>
  <c r="D6" i="1825" s="1"/>
  <c r="R5" i="1825"/>
  <c r="R4" i="1825"/>
  <c r="R52" i="1824"/>
  <c r="R51" i="1824"/>
  <c r="D50" i="1824"/>
  <c r="R49" i="1824"/>
  <c r="D49" i="1824"/>
  <c r="R48" i="1824"/>
  <c r="D48" i="1824"/>
  <c r="D46" i="1824"/>
  <c r="D45" i="1824"/>
  <c r="R44" i="1824"/>
  <c r="D44" i="1824"/>
  <c r="R42" i="1824"/>
  <c r="L6" i="1824" s="1"/>
  <c r="D6" i="1824" s="1"/>
  <c r="D42" i="1824"/>
  <c r="R41" i="1824"/>
  <c r="L7" i="1824" s="1"/>
  <c r="D7" i="1824" s="1"/>
  <c r="D41" i="1824"/>
  <c r="R40" i="1824"/>
  <c r="D40" i="1824"/>
  <c r="R39" i="1824"/>
  <c r="H39" i="1824"/>
  <c r="D39" i="1824"/>
  <c r="R38" i="1824"/>
  <c r="H38" i="1824"/>
  <c r="D38" i="1824"/>
  <c r="R37" i="1824"/>
  <c r="H37" i="1824"/>
  <c r="D37" i="1824"/>
  <c r="R36" i="1824"/>
  <c r="H36" i="1824"/>
  <c r="D36" i="1824"/>
  <c r="R35" i="1824"/>
  <c r="L19" i="1824" s="1"/>
  <c r="D19" i="1824" s="1"/>
  <c r="H35" i="1824"/>
  <c r="D35" i="1824"/>
  <c r="R34" i="1824"/>
  <c r="H34" i="1824"/>
  <c r="D34" i="1824"/>
  <c r="R33" i="1824"/>
  <c r="R32" i="1824"/>
  <c r="R31" i="1824"/>
  <c r="R30" i="1824"/>
  <c r="R29" i="1824"/>
  <c r="R28" i="1824"/>
  <c r="L16" i="1824" s="1"/>
  <c r="D16" i="1824" s="1"/>
  <c r="L28" i="1824"/>
  <c r="D28" i="1824"/>
  <c r="R27" i="1824"/>
  <c r="D27" i="1824"/>
  <c r="R26" i="1824"/>
  <c r="L26" i="1824"/>
  <c r="D26" i="1824"/>
  <c r="R25" i="1824"/>
  <c r="L25" i="1824"/>
  <c r="D25" i="1824" s="1"/>
  <c r="R24" i="1824"/>
  <c r="L24" i="1824"/>
  <c r="D24" i="1824"/>
  <c r="R23" i="1824"/>
  <c r="L23" i="1824"/>
  <c r="D23" i="1824"/>
  <c r="R22" i="1824"/>
  <c r="L22" i="1824"/>
  <c r="D22" i="1824"/>
  <c r="R21" i="1824"/>
  <c r="D21" i="1824"/>
  <c r="R20" i="1824"/>
  <c r="L20" i="1824"/>
  <c r="D20" i="1824"/>
  <c r="R19" i="1824"/>
  <c r="R18" i="1824"/>
  <c r="D18" i="1824"/>
  <c r="R17" i="1824"/>
  <c r="L17" i="1824"/>
  <c r="D17" i="1824"/>
  <c r="R16" i="1824"/>
  <c r="R15" i="1824"/>
  <c r="D15" i="1824"/>
  <c r="R14" i="1824"/>
  <c r="D14" i="1824"/>
  <c r="R13" i="1824"/>
  <c r="D13" i="1824"/>
  <c r="R12" i="1824"/>
  <c r="L12" i="1824"/>
  <c r="D12" i="1824"/>
  <c r="R11" i="1824"/>
  <c r="L11" i="1824"/>
  <c r="D11" i="1824"/>
  <c r="L10" i="1824"/>
  <c r="D10" i="1824" s="1"/>
  <c r="L9" i="1824"/>
  <c r="D9" i="1824" s="1"/>
  <c r="L8" i="1824"/>
  <c r="D8" i="1824"/>
  <c r="R6" i="1824"/>
  <c r="R5" i="1824"/>
  <c r="R4" i="1824"/>
  <c r="R52" i="1823"/>
  <c r="R51" i="1823"/>
  <c r="D50" i="1823"/>
  <c r="R49" i="1823"/>
  <c r="D49" i="1823"/>
  <c r="R48" i="1823"/>
  <c r="D48" i="1823"/>
  <c r="D46" i="1823"/>
  <c r="D45" i="1823"/>
  <c r="R44" i="1823"/>
  <c r="D44" i="1823"/>
  <c r="R42" i="1823"/>
  <c r="D42" i="1823"/>
  <c r="R41" i="1823"/>
  <c r="D41" i="1823"/>
  <c r="R40" i="1823"/>
  <c r="L8" i="1823" s="1"/>
  <c r="D8" i="1823" s="1"/>
  <c r="D40" i="1823"/>
  <c r="R39" i="1823"/>
  <c r="L20" i="1823" s="1"/>
  <c r="D20" i="1823" s="1"/>
  <c r="H39" i="1823"/>
  <c r="D39" i="1823"/>
  <c r="R38" i="1823"/>
  <c r="H38" i="1823"/>
  <c r="D38" i="1823"/>
  <c r="R37" i="1823"/>
  <c r="H37" i="1823"/>
  <c r="D37" i="1823"/>
  <c r="R36" i="1823"/>
  <c r="H36" i="1823"/>
  <c r="D36" i="1823"/>
  <c r="R35" i="1823"/>
  <c r="H35" i="1823"/>
  <c r="D35" i="1823"/>
  <c r="R34" i="1823"/>
  <c r="L12" i="1823" s="1"/>
  <c r="D12" i="1823" s="1"/>
  <c r="H34" i="1823"/>
  <c r="D34" i="1823"/>
  <c r="R33" i="1823"/>
  <c r="R32" i="1823"/>
  <c r="R31" i="1823"/>
  <c r="R30" i="1823"/>
  <c r="R29" i="1823"/>
  <c r="R28" i="1823"/>
  <c r="L16" i="1823" s="1"/>
  <c r="D16" i="1823" s="1"/>
  <c r="L28" i="1823"/>
  <c r="D28" i="1823"/>
  <c r="R27" i="1823"/>
  <c r="D27" i="1823"/>
  <c r="R26" i="1823"/>
  <c r="L26" i="1823"/>
  <c r="D26" i="1823"/>
  <c r="R25" i="1823"/>
  <c r="L25" i="1823"/>
  <c r="D25" i="1823" s="1"/>
  <c r="R24" i="1823"/>
  <c r="L24" i="1823"/>
  <c r="D24" i="1823"/>
  <c r="R23" i="1823"/>
  <c r="D23" i="1823"/>
  <c r="R22" i="1823"/>
  <c r="D22" i="1823"/>
  <c r="R21" i="1823"/>
  <c r="D21" i="1823"/>
  <c r="R20" i="1823"/>
  <c r="R19" i="1823"/>
  <c r="D19" i="1823"/>
  <c r="R18" i="1823"/>
  <c r="D18" i="1823"/>
  <c r="R17" i="1823"/>
  <c r="L17" i="1823"/>
  <c r="D17" i="1823"/>
  <c r="R16" i="1823"/>
  <c r="R15" i="1823"/>
  <c r="D15" i="1823"/>
  <c r="R14" i="1823"/>
  <c r="D14" i="1823"/>
  <c r="R13" i="1823"/>
  <c r="D13" i="1823"/>
  <c r="R12" i="1823"/>
  <c r="R11" i="1823"/>
  <c r="L11" i="1823"/>
  <c r="D11" i="1823"/>
  <c r="L10" i="1823"/>
  <c r="D10" i="1823" s="1"/>
  <c r="L9" i="1823"/>
  <c r="D9" i="1823"/>
  <c r="L7" i="1823"/>
  <c r="D7" i="1823"/>
  <c r="R6" i="1823"/>
  <c r="L6" i="1823"/>
  <c r="D6" i="1823" s="1"/>
  <c r="R5" i="1823"/>
  <c r="R4" i="1823"/>
  <c r="R52" i="1822"/>
  <c r="R51" i="1822"/>
  <c r="D50" i="1822"/>
  <c r="R49" i="1822"/>
  <c r="G49" i="1822"/>
  <c r="D49" i="1822"/>
  <c r="R48" i="1822"/>
  <c r="D48" i="1822"/>
  <c r="D46" i="1822"/>
  <c r="D45" i="1822"/>
  <c r="D44" i="1822"/>
  <c r="R42" i="1822"/>
  <c r="L6" i="1822" s="1"/>
  <c r="D6" i="1822" s="1"/>
  <c r="D29" i="1822" s="1"/>
  <c r="H13" i="1822" s="1"/>
  <c r="H15" i="1822" s="1"/>
  <c r="H29" i="1822" s="1"/>
  <c r="D42" i="1822"/>
  <c r="R41" i="1822"/>
  <c r="L7" i="1822" s="1"/>
  <c r="D7" i="1822" s="1"/>
  <c r="D41" i="1822"/>
  <c r="R40" i="1822"/>
  <c r="D40" i="1822"/>
  <c r="R39" i="1822"/>
  <c r="D39" i="1822"/>
  <c r="R38" i="1822"/>
  <c r="D38" i="1822"/>
  <c r="R37" i="1822"/>
  <c r="D37" i="1822"/>
  <c r="R36" i="1822"/>
  <c r="L10" i="1822" s="1"/>
  <c r="D10" i="1822" s="1"/>
  <c r="D36" i="1822"/>
  <c r="R35" i="1822"/>
  <c r="D35" i="1822"/>
  <c r="R34" i="1822"/>
  <c r="L12" i="1822" s="1"/>
  <c r="D12" i="1822" s="1"/>
  <c r="D34" i="1822"/>
  <c r="D54" i="1822" s="1"/>
  <c r="H14" i="1822" s="1"/>
  <c r="R33" i="1822"/>
  <c r="L23" i="1822" s="1"/>
  <c r="D23" i="1822" s="1"/>
  <c r="R32" i="1822"/>
  <c r="R31" i="1822"/>
  <c r="R30" i="1822"/>
  <c r="R29" i="1822"/>
  <c r="R28" i="1822"/>
  <c r="L16" i="1822" s="1"/>
  <c r="D16" i="1822" s="1"/>
  <c r="D28" i="1822"/>
  <c r="R27" i="1822"/>
  <c r="D27" i="1822"/>
  <c r="R26" i="1822"/>
  <c r="L26" i="1822"/>
  <c r="D26" i="1822"/>
  <c r="R25" i="1822"/>
  <c r="L25" i="1822"/>
  <c r="D25" i="1822"/>
  <c r="R24" i="1822"/>
  <c r="D24" i="1822"/>
  <c r="R23" i="1822"/>
  <c r="R22" i="1822"/>
  <c r="L22" i="1822"/>
  <c r="D22" i="1822" s="1"/>
  <c r="R21" i="1822"/>
  <c r="D21" i="1822"/>
  <c r="R20" i="1822"/>
  <c r="L20" i="1822"/>
  <c r="D20" i="1822"/>
  <c r="R19" i="1822"/>
  <c r="L19" i="1822"/>
  <c r="D19" i="1822"/>
  <c r="R18" i="1822"/>
  <c r="D18" i="1822"/>
  <c r="R17" i="1822"/>
  <c r="D17" i="1822"/>
  <c r="R16" i="1822"/>
  <c r="S15" i="1822"/>
  <c r="R15" i="1822"/>
  <c r="D15" i="1822"/>
  <c r="S14" i="1822"/>
  <c r="R14" i="1822"/>
  <c r="D14" i="1822"/>
  <c r="R13" i="1822"/>
  <c r="D13" i="1822"/>
  <c r="R12" i="1822"/>
  <c r="R11" i="1822"/>
  <c r="L11" i="1822"/>
  <c r="D11" i="1822" s="1"/>
  <c r="L9" i="1822"/>
  <c r="D9" i="1822"/>
  <c r="L8" i="1822"/>
  <c r="D8" i="1822"/>
  <c r="R6" i="1822"/>
  <c r="R5" i="1822"/>
  <c r="R4" i="1822"/>
  <c r="G49" i="1837" l="1"/>
  <c r="G49" i="1835"/>
  <c r="D54" i="1837"/>
  <c r="H14" i="1837" s="1"/>
  <c r="D54" i="1836"/>
  <c r="H14" i="1836" s="1"/>
  <c r="D54" i="1835"/>
  <c r="H14" i="1835" s="1"/>
  <c r="H15" i="1835" s="1"/>
  <c r="H29" i="1835" s="1"/>
  <c r="D54" i="1833"/>
  <c r="H14" i="1833" s="1"/>
  <c r="D54" i="1831"/>
  <c r="H14" i="1831" s="1"/>
  <c r="G49" i="1832"/>
  <c r="G49" i="1831"/>
  <c r="G49" i="1829"/>
  <c r="G49" i="1828"/>
  <c r="G49" i="1827"/>
  <c r="D54" i="1829"/>
  <c r="H14" i="1829" s="1"/>
  <c r="D29" i="1829"/>
  <c r="H13" i="1829" s="1"/>
  <c r="H15" i="1829" s="1"/>
  <c r="H29" i="1829" s="1"/>
  <c r="D54" i="1828"/>
  <c r="H14" i="1828" s="1"/>
  <c r="D54" i="1827"/>
  <c r="H14" i="1827" s="1"/>
  <c r="G49" i="1824"/>
  <c r="G49" i="1823"/>
  <c r="D54" i="1824"/>
  <c r="H14" i="1824" s="1"/>
  <c r="D54" i="1823"/>
  <c r="H14" i="1823" s="1"/>
  <c r="D29" i="1841"/>
  <c r="H13" i="1841" s="1"/>
  <c r="H15" i="1841" s="1"/>
  <c r="H29" i="1841" s="1"/>
  <c r="G51" i="1841" s="1"/>
  <c r="D29" i="1840"/>
  <c r="H13" i="1840" s="1"/>
  <c r="H15" i="1840" s="1"/>
  <c r="H29" i="1840" s="1"/>
  <c r="G51" i="1840" s="1"/>
  <c r="D29" i="1839"/>
  <c r="H13" i="1839" s="1"/>
  <c r="H15" i="1839" s="1"/>
  <c r="H29" i="1839" s="1"/>
  <c r="G51" i="1839" s="1"/>
  <c r="D29" i="1838"/>
  <c r="H13" i="1838" s="1"/>
  <c r="H15" i="1838" s="1"/>
  <c r="H29" i="1838" s="1"/>
  <c r="G51" i="1838" s="1"/>
  <c r="D29" i="1837"/>
  <c r="H13" i="1837" s="1"/>
  <c r="D29" i="1836"/>
  <c r="H13" i="1836" s="1"/>
  <c r="D29" i="1834"/>
  <c r="H13" i="1834" s="1"/>
  <c r="H15" i="1834" s="1"/>
  <c r="H29" i="1834" s="1"/>
  <c r="G51" i="1834" s="1"/>
  <c r="D29" i="1833"/>
  <c r="H13" i="1833" s="1"/>
  <c r="D29" i="1832"/>
  <c r="H13" i="1832" s="1"/>
  <c r="H15" i="1832" s="1"/>
  <c r="H29" i="1832" s="1"/>
  <c r="D29" i="1831"/>
  <c r="H13" i="1831" s="1"/>
  <c r="D29" i="1830"/>
  <c r="H13" i="1830" s="1"/>
  <c r="H15" i="1830" s="1"/>
  <c r="H29" i="1830" s="1"/>
  <c r="G51" i="1830" s="1"/>
  <c r="D29" i="1828"/>
  <c r="H13" i="1828" s="1"/>
  <c r="D29" i="1827"/>
  <c r="H13" i="1827" s="1"/>
  <c r="D29" i="1826"/>
  <c r="H13" i="1826" s="1"/>
  <c r="H15" i="1826" s="1"/>
  <c r="H29" i="1826" s="1"/>
  <c r="G51" i="1826" s="1"/>
  <c r="D29" i="1825"/>
  <c r="H13" i="1825" s="1"/>
  <c r="H15" i="1825" s="1"/>
  <c r="H29" i="1825" s="1"/>
  <c r="G51" i="1825" s="1"/>
  <c r="D29" i="1824"/>
  <c r="H13" i="1824" s="1"/>
  <c r="D29" i="1823"/>
  <c r="H13" i="1823" s="1"/>
  <c r="G51" i="1822"/>
  <c r="H16" i="1816"/>
  <c r="H16" i="1815"/>
  <c r="L25" i="1816"/>
  <c r="L24" i="1816"/>
  <c r="G51" i="1835" l="1"/>
  <c r="H15" i="1837"/>
  <c r="H29" i="1837" s="1"/>
  <c r="G51" i="1837" s="1"/>
  <c r="H15" i="1836"/>
  <c r="H29" i="1836" s="1"/>
  <c r="G51" i="1836" s="1"/>
  <c r="H15" i="1833"/>
  <c r="H29" i="1833" s="1"/>
  <c r="G51" i="1833" s="1"/>
  <c r="H15" i="1831"/>
  <c r="H29" i="1831" s="1"/>
  <c r="G51" i="1831" s="1"/>
  <c r="G51" i="1832"/>
  <c r="G51" i="1829"/>
  <c r="H15" i="1828"/>
  <c r="H29" i="1828" s="1"/>
  <c r="G51" i="1828" s="1"/>
  <c r="H15" i="1827"/>
  <c r="H29" i="1827" s="1"/>
  <c r="G51" i="1827" s="1"/>
  <c r="H15" i="1824"/>
  <c r="H29" i="1824" s="1"/>
  <c r="G51" i="1824" s="1"/>
  <c r="H15" i="1823"/>
  <c r="H29" i="1823" s="1"/>
  <c r="G51" i="1823" s="1"/>
  <c r="H16" i="1813"/>
  <c r="H16" i="1811"/>
  <c r="R52" i="1821" l="1"/>
  <c r="R51" i="1821"/>
  <c r="D50" i="1821"/>
  <c r="R49" i="1821"/>
  <c r="D49" i="1821"/>
  <c r="R48" i="1821"/>
  <c r="D48" i="1821"/>
  <c r="D46" i="1821"/>
  <c r="D45" i="1821"/>
  <c r="R44" i="1821"/>
  <c r="L28" i="1821" s="1"/>
  <c r="D28" i="1821" s="1"/>
  <c r="D44" i="1821"/>
  <c r="R42" i="1821"/>
  <c r="D42" i="1821"/>
  <c r="R41" i="1821"/>
  <c r="D41" i="1821"/>
  <c r="R40" i="1821"/>
  <c r="D40" i="1821"/>
  <c r="R39" i="1821"/>
  <c r="H39" i="1821"/>
  <c r="D39" i="1821"/>
  <c r="R38" i="1821"/>
  <c r="L9" i="1821" s="1"/>
  <c r="D9" i="1821" s="1"/>
  <c r="H38" i="1821"/>
  <c r="D38" i="1821"/>
  <c r="R37" i="1821"/>
  <c r="H37" i="1821"/>
  <c r="D37" i="1821"/>
  <c r="R36" i="1821"/>
  <c r="L10" i="1821" s="1"/>
  <c r="D10" i="1821" s="1"/>
  <c r="H36" i="1821"/>
  <c r="D36" i="1821"/>
  <c r="R35" i="1821"/>
  <c r="H35" i="1821"/>
  <c r="D35" i="1821"/>
  <c r="R34" i="1821"/>
  <c r="H34" i="1821"/>
  <c r="D34" i="1821"/>
  <c r="R33" i="1821"/>
  <c r="R32" i="1821"/>
  <c r="R31" i="1821"/>
  <c r="R30" i="1821"/>
  <c r="R29" i="1821"/>
  <c r="R28" i="1821"/>
  <c r="R27" i="1821"/>
  <c r="D27" i="1821"/>
  <c r="R26" i="1821"/>
  <c r="L26" i="1821"/>
  <c r="D26" i="1821"/>
  <c r="R25" i="1821"/>
  <c r="L25" i="1821"/>
  <c r="D25" i="1821"/>
  <c r="R24" i="1821"/>
  <c r="D24" i="1821"/>
  <c r="R23" i="1821"/>
  <c r="L23" i="1821"/>
  <c r="D23" i="1821"/>
  <c r="R22" i="1821"/>
  <c r="L22" i="1821"/>
  <c r="D22" i="1821"/>
  <c r="R21" i="1821"/>
  <c r="D21" i="1821"/>
  <c r="R20" i="1821"/>
  <c r="L20" i="1821"/>
  <c r="D20" i="1821"/>
  <c r="R19" i="1821"/>
  <c r="L19" i="1821"/>
  <c r="D19" i="1821"/>
  <c r="R18" i="1821"/>
  <c r="D18" i="1821"/>
  <c r="R17" i="1821"/>
  <c r="D17" i="1821"/>
  <c r="R16" i="1821"/>
  <c r="L16" i="1821"/>
  <c r="D16" i="1821" s="1"/>
  <c r="R15" i="1821"/>
  <c r="D15" i="1821"/>
  <c r="R14" i="1821"/>
  <c r="D14" i="1821"/>
  <c r="R13" i="1821"/>
  <c r="D13" i="1821"/>
  <c r="R12" i="1821"/>
  <c r="L12" i="1821"/>
  <c r="D12" i="1821" s="1"/>
  <c r="R11" i="1821"/>
  <c r="L11" i="1821"/>
  <c r="D11" i="1821"/>
  <c r="L8" i="1821"/>
  <c r="D8" i="1821"/>
  <c r="L7" i="1821"/>
  <c r="D7" i="1821" s="1"/>
  <c r="R6" i="1821"/>
  <c r="L6" i="1821"/>
  <c r="D6" i="1821"/>
  <c r="R5" i="1821"/>
  <c r="R4" i="1821"/>
  <c r="R52" i="1820"/>
  <c r="R51" i="1820"/>
  <c r="D50" i="1820"/>
  <c r="R49" i="1820"/>
  <c r="D49" i="1820"/>
  <c r="R48" i="1820"/>
  <c r="D48" i="1820"/>
  <c r="D46" i="1820"/>
  <c r="D45" i="1820"/>
  <c r="R44" i="1820"/>
  <c r="L28" i="1820" s="1"/>
  <c r="D28" i="1820" s="1"/>
  <c r="D44" i="1820"/>
  <c r="R42" i="1820"/>
  <c r="D42" i="1820"/>
  <c r="R41" i="1820"/>
  <c r="L7" i="1820" s="1"/>
  <c r="D7" i="1820" s="1"/>
  <c r="D41" i="1820"/>
  <c r="R40" i="1820"/>
  <c r="D40" i="1820"/>
  <c r="R39" i="1820"/>
  <c r="H39" i="1820"/>
  <c r="D39" i="1820"/>
  <c r="R38" i="1820"/>
  <c r="H38" i="1820"/>
  <c r="D38" i="1820"/>
  <c r="R37" i="1820"/>
  <c r="H37" i="1820"/>
  <c r="D37" i="1820"/>
  <c r="R36" i="1820"/>
  <c r="L10" i="1820" s="1"/>
  <c r="D10" i="1820" s="1"/>
  <c r="H36" i="1820"/>
  <c r="D36" i="1820"/>
  <c r="R35" i="1820"/>
  <c r="L19" i="1820" s="1"/>
  <c r="D19" i="1820" s="1"/>
  <c r="H35" i="1820"/>
  <c r="D35" i="1820"/>
  <c r="D54" i="1820" s="1"/>
  <c r="H14" i="1820" s="1"/>
  <c r="R34" i="1820"/>
  <c r="L12" i="1820" s="1"/>
  <c r="D12" i="1820" s="1"/>
  <c r="H34" i="1820"/>
  <c r="G49" i="1820" s="1"/>
  <c r="D34" i="1820"/>
  <c r="R33" i="1820"/>
  <c r="R32" i="1820"/>
  <c r="R31" i="1820"/>
  <c r="R30" i="1820"/>
  <c r="R29" i="1820"/>
  <c r="R28" i="1820"/>
  <c r="L16" i="1820" s="1"/>
  <c r="D16" i="1820" s="1"/>
  <c r="R27" i="1820"/>
  <c r="D27" i="1820"/>
  <c r="R26" i="1820"/>
  <c r="L26" i="1820"/>
  <c r="D26" i="1820" s="1"/>
  <c r="R25" i="1820"/>
  <c r="L25" i="1820"/>
  <c r="D25" i="1820" s="1"/>
  <c r="R24" i="1820"/>
  <c r="L24" i="1820"/>
  <c r="D24" i="1820"/>
  <c r="R23" i="1820"/>
  <c r="L23" i="1820"/>
  <c r="D23" i="1820"/>
  <c r="R22" i="1820"/>
  <c r="L22" i="1820"/>
  <c r="D22" i="1820" s="1"/>
  <c r="R21" i="1820"/>
  <c r="D21" i="1820"/>
  <c r="R20" i="1820"/>
  <c r="L20" i="1820"/>
  <c r="D20" i="1820" s="1"/>
  <c r="R19" i="1820"/>
  <c r="R18" i="1820"/>
  <c r="D18" i="1820"/>
  <c r="R17" i="1820"/>
  <c r="L17" i="1820"/>
  <c r="D17" i="1820"/>
  <c r="R16" i="1820"/>
  <c r="R15" i="1820"/>
  <c r="D15" i="1820"/>
  <c r="R14" i="1820"/>
  <c r="D14" i="1820"/>
  <c r="R13" i="1820"/>
  <c r="D13" i="1820"/>
  <c r="R12" i="1820"/>
  <c r="R11" i="1820"/>
  <c r="L11" i="1820"/>
  <c r="D11" i="1820"/>
  <c r="L9" i="1820"/>
  <c r="D9" i="1820"/>
  <c r="L8" i="1820"/>
  <c r="D8" i="1820" s="1"/>
  <c r="R6" i="1820"/>
  <c r="L6" i="1820"/>
  <c r="D6" i="1820"/>
  <c r="R5" i="1820"/>
  <c r="R4" i="1820"/>
  <c r="R52" i="1819"/>
  <c r="R51" i="1819"/>
  <c r="D50" i="1819"/>
  <c r="R49" i="1819"/>
  <c r="D49" i="1819"/>
  <c r="R48" i="1819"/>
  <c r="D48" i="1819"/>
  <c r="D46" i="1819"/>
  <c r="D45" i="1819"/>
  <c r="R44" i="1819"/>
  <c r="D44" i="1819"/>
  <c r="R42" i="1819"/>
  <c r="D42" i="1819"/>
  <c r="R41" i="1819"/>
  <c r="D41" i="1819"/>
  <c r="R40" i="1819"/>
  <c r="L8" i="1819" s="1"/>
  <c r="D8" i="1819" s="1"/>
  <c r="D40" i="1819"/>
  <c r="R39" i="1819"/>
  <c r="H39" i="1819"/>
  <c r="D39" i="1819"/>
  <c r="R38" i="1819"/>
  <c r="H38" i="1819"/>
  <c r="D38" i="1819"/>
  <c r="R37" i="1819"/>
  <c r="H37" i="1819"/>
  <c r="D37" i="1819"/>
  <c r="R36" i="1819"/>
  <c r="H36" i="1819"/>
  <c r="D36" i="1819"/>
  <c r="R35" i="1819"/>
  <c r="H35" i="1819"/>
  <c r="G49" i="1819" s="1"/>
  <c r="D35" i="1819"/>
  <c r="D54" i="1819" s="1"/>
  <c r="H14" i="1819" s="1"/>
  <c r="R34" i="1819"/>
  <c r="L12" i="1819" s="1"/>
  <c r="D12" i="1819" s="1"/>
  <c r="H34" i="1819"/>
  <c r="D34" i="1819"/>
  <c r="R33" i="1819"/>
  <c r="R32" i="1819"/>
  <c r="R31" i="1819"/>
  <c r="R30" i="1819"/>
  <c r="R29" i="1819"/>
  <c r="R28" i="1819"/>
  <c r="L16" i="1819" s="1"/>
  <c r="D16" i="1819" s="1"/>
  <c r="L28" i="1819"/>
  <c r="D28" i="1819"/>
  <c r="R27" i="1819"/>
  <c r="D27" i="1819"/>
  <c r="R26" i="1819"/>
  <c r="L26" i="1819"/>
  <c r="D26" i="1819" s="1"/>
  <c r="R25" i="1819"/>
  <c r="L25" i="1819"/>
  <c r="D25" i="1819" s="1"/>
  <c r="R24" i="1819"/>
  <c r="L24" i="1819"/>
  <c r="D24" i="1819"/>
  <c r="R23" i="1819"/>
  <c r="D23" i="1819"/>
  <c r="R22" i="1819"/>
  <c r="D22" i="1819"/>
  <c r="R21" i="1819"/>
  <c r="D21" i="1819"/>
  <c r="R20" i="1819"/>
  <c r="L20" i="1819"/>
  <c r="D20" i="1819"/>
  <c r="R19" i="1819"/>
  <c r="D19" i="1819"/>
  <c r="R18" i="1819"/>
  <c r="D18" i="1819"/>
  <c r="R17" i="1819"/>
  <c r="L17" i="1819"/>
  <c r="D17" i="1819"/>
  <c r="R16" i="1819"/>
  <c r="R15" i="1819"/>
  <c r="D15" i="1819"/>
  <c r="R14" i="1819"/>
  <c r="D14" i="1819"/>
  <c r="R13" i="1819"/>
  <c r="D13" i="1819"/>
  <c r="R12" i="1819"/>
  <c r="R11" i="1819"/>
  <c r="L11" i="1819"/>
  <c r="D11" i="1819" s="1"/>
  <c r="L10" i="1819"/>
  <c r="D10" i="1819" s="1"/>
  <c r="L9" i="1819"/>
  <c r="D9" i="1819"/>
  <c r="L7" i="1819"/>
  <c r="D7" i="1819" s="1"/>
  <c r="R6" i="1819"/>
  <c r="L6" i="1819"/>
  <c r="D6" i="1819" s="1"/>
  <c r="R5" i="1819"/>
  <c r="R4" i="1819"/>
  <c r="R52" i="1818"/>
  <c r="R51" i="1818"/>
  <c r="D50" i="1818"/>
  <c r="R49" i="1818"/>
  <c r="G49" i="1818"/>
  <c r="D49" i="1818"/>
  <c r="R48" i="1818"/>
  <c r="D48" i="1818"/>
  <c r="D46" i="1818"/>
  <c r="D45" i="1818"/>
  <c r="D44" i="1818"/>
  <c r="R42" i="1818"/>
  <c r="L6" i="1818" s="1"/>
  <c r="D6" i="1818" s="1"/>
  <c r="D42" i="1818"/>
  <c r="R41" i="1818"/>
  <c r="L7" i="1818" s="1"/>
  <c r="D7" i="1818" s="1"/>
  <c r="D41" i="1818"/>
  <c r="R40" i="1818"/>
  <c r="D40" i="1818"/>
  <c r="R39" i="1818"/>
  <c r="D39" i="1818"/>
  <c r="R38" i="1818"/>
  <c r="D38" i="1818"/>
  <c r="R37" i="1818"/>
  <c r="D37" i="1818"/>
  <c r="R36" i="1818"/>
  <c r="L10" i="1818" s="1"/>
  <c r="D10" i="1818" s="1"/>
  <c r="D36" i="1818"/>
  <c r="R35" i="1818"/>
  <c r="D35" i="1818"/>
  <c r="R34" i="1818"/>
  <c r="L12" i="1818" s="1"/>
  <c r="D12" i="1818" s="1"/>
  <c r="D34" i="1818"/>
  <c r="D54" i="1818" s="1"/>
  <c r="H14" i="1818" s="1"/>
  <c r="R33" i="1818"/>
  <c r="L23" i="1818" s="1"/>
  <c r="D23" i="1818" s="1"/>
  <c r="R32" i="1818"/>
  <c r="R31" i="1818"/>
  <c r="R30" i="1818"/>
  <c r="R29" i="1818"/>
  <c r="R28" i="1818"/>
  <c r="L16" i="1818" s="1"/>
  <c r="D16" i="1818" s="1"/>
  <c r="D28" i="1818"/>
  <c r="R27" i="1818"/>
  <c r="D27" i="1818"/>
  <c r="R26" i="1818"/>
  <c r="L26" i="1818"/>
  <c r="D26" i="1818"/>
  <c r="R25" i="1818"/>
  <c r="L25" i="1818"/>
  <c r="D25" i="1818"/>
  <c r="R24" i="1818"/>
  <c r="D24" i="1818"/>
  <c r="R23" i="1818"/>
  <c r="R22" i="1818"/>
  <c r="L22" i="1818"/>
  <c r="D22" i="1818" s="1"/>
  <c r="R21" i="1818"/>
  <c r="D21" i="1818"/>
  <c r="R20" i="1818"/>
  <c r="L20" i="1818"/>
  <c r="D20" i="1818"/>
  <c r="R19" i="1818"/>
  <c r="L19" i="1818"/>
  <c r="D19" i="1818"/>
  <c r="R18" i="1818"/>
  <c r="D18" i="1818"/>
  <c r="R17" i="1818"/>
  <c r="D17" i="1818"/>
  <c r="R16" i="1818"/>
  <c r="S15" i="1818"/>
  <c r="R15" i="1818"/>
  <c r="D15" i="1818"/>
  <c r="S14" i="1818"/>
  <c r="R14" i="1818"/>
  <c r="D14" i="1818"/>
  <c r="R13" i="1818"/>
  <c r="D13" i="1818"/>
  <c r="R12" i="1818"/>
  <c r="R11" i="1818"/>
  <c r="L11" i="1818"/>
  <c r="D11" i="1818" s="1"/>
  <c r="L9" i="1818"/>
  <c r="D9" i="1818"/>
  <c r="L8" i="1818"/>
  <c r="D8" i="1818"/>
  <c r="R6" i="1818"/>
  <c r="R5" i="1818"/>
  <c r="R4" i="1818"/>
  <c r="R52" i="1817"/>
  <c r="R51" i="1817"/>
  <c r="D50" i="1817"/>
  <c r="R49" i="1817"/>
  <c r="D49" i="1817"/>
  <c r="R48" i="1817"/>
  <c r="D48" i="1817"/>
  <c r="D46" i="1817"/>
  <c r="D45" i="1817"/>
  <c r="R44" i="1817"/>
  <c r="D44" i="1817"/>
  <c r="R42" i="1817"/>
  <c r="L6" i="1817" s="1"/>
  <c r="D6" i="1817" s="1"/>
  <c r="D42" i="1817"/>
  <c r="R41" i="1817"/>
  <c r="L7" i="1817" s="1"/>
  <c r="D7" i="1817" s="1"/>
  <c r="D41" i="1817"/>
  <c r="R40" i="1817"/>
  <c r="D40" i="1817"/>
  <c r="R39" i="1817"/>
  <c r="H39" i="1817"/>
  <c r="D39" i="1817"/>
  <c r="R38" i="1817"/>
  <c r="H38" i="1817"/>
  <c r="D38" i="1817"/>
  <c r="R37" i="1817"/>
  <c r="H37" i="1817"/>
  <c r="D37" i="1817"/>
  <c r="R36" i="1817"/>
  <c r="H36" i="1817"/>
  <c r="D36" i="1817"/>
  <c r="R35" i="1817"/>
  <c r="L19" i="1817" s="1"/>
  <c r="D19" i="1817" s="1"/>
  <c r="H35" i="1817"/>
  <c r="D35" i="1817"/>
  <c r="R34" i="1817"/>
  <c r="H34" i="1817"/>
  <c r="D34" i="1817"/>
  <c r="R33" i="1817"/>
  <c r="R32" i="1817"/>
  <c r="R31" i="1817"/>
  <c r="R30" i="1817"/>
  <c r="R29" i="1817"/>
  <c r="R28" i="1817"/>
  <c r="L28" i="1817"/>
  <c r="D28" i="1817"/>
  <c r="R27" i="1817"/>
  <c r="D27" i="1817"/>
  <c r="R26" i="1817"/>
  <c r="L26" i="1817"/>
  <c r="D26" i="1817"/>
  <c r="R25" i="1817"/>
  <c r="L25" i="1817"/>
  <c r="D25" i="1817"/>
  <c r="R24" i="1817"/>
  <c r="D24" i="1817"/>
  <c r="R23" i="1817"/>
  <c r="L23" i="1817"/>
  <c r="D23" i="1817" s="1"/>
  <c r="R22" i="1817"/>
  <c r="L22" i="1817"/>
  <c r="D22" i="1817"/>
  <c r="R21" i="1817"/>
  <c r="D21" i="1817"/>
  <c r="R20" i="1817"/>
  <c r="L20" i="1817"/>
  <c r="D20" i="1817"/>
  <c r="R19" i="1817"/>
  <c r="R18" i="1817"/>
  <c r="D18" i="1817"/>
  <c r="R17" i="1817"/>
  <c r="D17" i="1817"/>
  <c r="R16" i="1817"/>
  <c r="L16" i="1817"/>
  <c r="D16" i="1817"/>
  <c r="R15" i="1817"/>
  <c r="D15" i="1817"/>
  <c r="R14" i="1817"/>
  <c r="D14" i="1817"/>
  <c r="R13" i="1817"/>
  <c r="D13" i="1817"/>
  <c r="R12" i="1817"/>
  <c r="L12" i="1817"/>
  <c r="D12" i="1817" s="1"/>
  <c r="R11" i="1817"/>
  <c r="L11" i="1817"/>
  <c r="D11" i="1817"/>
  <c r="L10" i="1817"/>
  <c r="D10" i="1817"/>
  <c r="L9" i="1817"/>
  <c r="D9" i="1817" s="1"/>
  <c r="L8" i="1817"/>
  <c r="D8" i="1817" s="1"/>
  <c r="R6" i="1817"/>
  <c r="R5" i="1817"/>
  <c r="R4" i="1817"/>
  <c r="R52" i="1816"/>
  <c r="R51" i="1816"/>
  <c r="D50" i="1816"/>
  <c r="R49" i="1816"/>
  <c r="D49" i="1816"/>
  <c r="R48" i="1816"/>
  <c r="D48" i="1816"/>
  <c r="D46" i="1816"/>
  <c r="D45" i="1816"/>
  <c r="R44" i="1816"/>
  <c r="D44" i="1816"/>
  <c r="R42" i="1816"/>
  <c r="L6" i="1816" s="1"/>
  <c r="D6" i="1816" s="1"/>
  <c r="D42" i="1816"/>
  <c r="R41" i="1816"/>
  <c r="D41" i="1816"/>
  <c r="R40" i="1816"/>
  <c r="D40" i="1816"/>
  <c r="R39" i="1816"/>
  <c r="H39" i="1816"/>
  <c r="D39" i="1816"/>
  <c r="R38" i="1816"/>
  <c r="L9" i="1816" s="1"/>
  <c r="D9" i="1816" s="1"/>
  <c r="H38" i="1816"/>
  <c r="D38" i="1816"/>
  <c r="R37" i="1816"/>
  <c r="H37" i="1816"/>
  <c r="D37" i="1816"/>
  <c r="R36" i="1816"/>
  <c r="L10" i="1816" s="1"/>
  <c r="D10" i="1816" s="1"/>
  <c r="H36" i="1816"/>
  <c r="D36" i="1816"/>
  <c r="R35" i="1816"/>
  <c r="H35" i="1816"/>
  <c r="D35" i="1816"/>
  <c r="R34" i="1816"/>
  <c r="H34" i="1816"/>
  <c r="D34" i="1816"/>
  <c r="R33" i="1816"/>
  <c r="R32" i="1816"/>
  <c r="R31" i="1816"/>
  <c r="R30" i="1816"/>
  <c r="R29" i="1816"/>
  <c r="R28" i="1816"/>
  <c r="L28" i="1816"/>
  <c r="D28" i="1816"/>
  <c r="R27" i="1816"/>
  <c r="D27" i="1816"/>
  <c r="R26" i="1816"/>
  <c r="L26" i="1816"/>
  <c r="D26" i="1816"/>
  <c r="R25" i="1816"/>
  <c r="D25" i="1816"/>
  <c r="R24" i="1816"/>
  <c r="D24" i="1816"/>
  <c r="R23" i="1816"/>
  <c r="L23" i="1816"/>
  <c r="D23" i="1816"/>
  <c r="R22" i="1816"/>
  <c r="L22" i="1816"/>
  <c r="D22" i="1816" s="1"/>
  <c r="R21" i="1816"/>
  <c r="D21" i="1816"/>
  <c r="R20" i="1816"/>
  <c r="L20" i="1816"/>
  <c r="D20" i="1816" s="1"/>
  <c r="R19" i="1816"/>
  <c r="L19" i="1816"/>
  <c r="D19" i="1816"/>
  <c r="R18" i="1816"/>
  <c r="D18" i="1816"/>
  <c r="R17" i="1816"/>
  <c r="L17" i="1816"/>
  <c r="D17" i="1816"/>
  <c r="R16" i="1816"/>
  <c r="L16" i="1816"/>
  <c r="D16" i="1816" s="1"/>
  <c r="R15" i="1816"/>
  <c r="D15" i="1816"/>
  <c r="R14" i="1816"/>
  <c r="D14" i="1816"/>
  <c r="R13" i="1816"/>
  <c r="D13" i="1816"/>
  <c r="R12" i="1816"/>
  <c r="L12" i="1816"/>
  <c r="D12" i="1816" s="1"/>
  <c r="R11" i="1816"/>
  <c r="L11" i="1816"/>
  <c r="D11" i="1816"/>
  <c r="L8" i="1816"/>
  <c r="D8" i="1816" s="1"/>
  <c r="L7" i="1816"/>
  <c r="D7" i="1816"/>
  <c r="R6" i="1816"/>
  <c r="R5" i="1816"/>
  <c r="R4" i="1816"/>
  <c r="R52" i="1815"/>
  <c r="R51" i="1815"/>
  <c r="D50" i="1815"/>
  <c r="R49" i="1815"/>
  <c r="D49" i="1815"/>
  <c r="R48" i="1815"/>
  <c r="D48" i="1815"/>
  <c r="D46" i="1815"/>
  <c r="D45" i="1815"/>
  <c r="R44" i="1815"/>
  <c r="D44" i="1815"/>
  <c r="R42" i="1815"/>
  <c r="L6" i="1815" s="1"/>
  <c r="D6" i="1815" s="1"/>
  <c r="D42" i="1815"/>
  <c r="R41" i="1815"/>
  <c r="D41" i="1815"/>
  <c r="R40" i="1815"/>
  <c r="L8" i="1815" s="1"/>
  <c r="D8" i="1815" s="1"/>
  <c r="D40" i="1815"/>
  <c r="R39" i="1815"/>
  <c r="L20" i="1815" s="1"/>
  <c r="D20" i="1815" s="1"/>
  <c r="H39" i="1815"/>
  <c r="D39" i="1815"/>
  <c r="R38" i="1815"/>
  <c r="H38" i="1815"/>
  <c r="D38" i="1815"/>
  <c r="R37" i="1815"/>
  <c r="H37" i="1815"/>
  <c r="D37" i="1815"/>
  <c r="R36" i="1815"/>
  <c r="H36" i="1815"/>
  <c r="D36" i="1815"/>
  <c r="R35" i="1815"/>
  <c r="H35" i="1815"/>
  <c r="D35" i="1815"/>
  <c r="R34" i="1815"/>
  <c r="H34" i="1815"/>
  <c r="D34" i="1815"/>
  <c r="R33" i="1815"/>
  <c r="R32" i="1815"/>
  <c r="R31" i="1815"/>
  <c r="R30" i="1815"/>
  <c r="R29" i="1815"/>
  <c r="R28" i="1815"/>
  <c r="L16" i="1815" s="1"/>
  <c r="D16" i="1815" s="1"/>
  <c r="L28" i="1815"/>
  <c r="D28" i="1815"/>
  <c r="R27" i="1815"/>
  <c r="D27" i="1815"/>
  <c r="R26" i="1815"/>
  <c r="L26" i="1815"/>
  <c r="D26" i="1815"/>
  <c r="R25" i="1815"/>
  <c r="D25" i="1815"/>
  <c r="R24" i="1815"/>
  <c r="D24" i="1815"/>
  <c r="R23" i="1815"/>
  <c r="D23" i="1815"/>
  <c r="R22" i="1815"/>
  <c r="D22" i="1815"/>
  <c r="R21" i="1815"/>
  <c r="D21" i="1815"/>
  <c r="R20" i="1815"/>
  <c r="R19" i="1815"/>
  <c r="D19" i="1815"/>
  <c r="R18" i="1815"/>
  <c r="D18" i="1815"/>
  <c r="R17" i="1815"/>
  <c r="L17" i="1815"/>
  <c r="D17" i="1815"/>
  <c r="R16" i="1815"/>
  <c r="R15" i="1815"/>
  <c r="D15" i="1815"/>
  <c r="R14" i="1815"/>
  <c r="D14" i="1815"/>
  <c r="R13" i="1815"/>
  <c r="D13" i="1815"/>
  <c r="R12" i="1815"/>
  <c r="L12" i="1815"/>
  <c r="D12" i="1815"/>
  <c r="R11" i="1815"/>
  <c r="L11" i="1815"/>
  <c r="D11" i="1815"/>
  <c r="L10" i="1815"/>
  <c r="D10" i="1815"/>
  <c r="L9" i="1815"/>
  <c r="D9" i="1815" s="1"/>
  <c r="L7" i="1815"/>
  <c r="D7" i="1815"/>
  <c r="R6" i="1815"/>
  <c r="R5" i="1815"/>
  <c r="R4" i="1815"/>
  <c r="D54" i="1814"/>
  <c r="H14" i="1814" s="1"/>
  <c r="R52" i="1814"/>
  <c r="R51" i="1814"/>
  <c r="D50" i="1814"/>
  <c r="R49" i="1814"/>
  <c r="G49" i="1814"/>
  <c r="D49" i="1814"/>
  <c r="R48" i="1814"/>
  <c r="D48" i="1814"/>
  <c r="D46" i="1814"/>
  <c r="D45" i="1814"/>
  <c r="D44" i="1814"/>
  <c r="R42" i="1814"/>
  <c r="L6" i="1814" s="1"/>
  <c r="D6" i="1814" s="1"/>
  <c r="D42" i="1814"/>
  <c r="R41" i="1814"/>
  <c r="L7" i="1814" s="1"/>
  <c r="D7" i="1814" s="1"/>
  <c r="D41" i="1814"/>
  <c r="R40" i="1814"/>
  <c r="D40" i="1814"/>
  <c r="R39" i="1814"/>
  <c r="D39" i="1814"/>
  <c r="R38" i="1814"/>
  <c r="D38" i="1814"/>
  <c r="R37" i="1814"/>
  <c r="D37" i="1814"/>
  <c r="R36" i="1814"/>
  <c r="L10" i="1814" s="1"/>
  <c r="D10" i="1814" s="1"/>
  <c r="D36" i="1814"/>
  <c r="R35" i="1814"/>
  <c r="D35" i="1814"/>
  <c r="R34" i="1814"/>
  <c r="L12" i="1814" s="1"/>
  <c r="D12" i="1814" s="1"/>
  <c r="D34" i="1814"/>
  <c r="R33" i="1814"/>
  <c r="L23" i="1814" s="1"/>
  <c r="D23" i="1814" s="1"/>
  <c r="R32" i="1814"/>
  <c r="L11" i="1814" s="1"/>
  <c r="D11" i="1814" s="1"/>
  <c r="R31" i="1814"/>
  <c r="R30" i="1814"/>
  <c r="R29" i="1814"/>
  <c r="R28" i="1814"/>
  <c r="D28" i="1814"/>
  <c r="R27" i="1814"/>
  <c r="D27" i="1814"/>
  <c r="R26" i="1814"/>
  <c r="L26" i="1814"/>
  <c r="D26" i="1814" s="1"/>
  <c r="R25" i="1814"/>
  <c r="L25" i="1814"/>
  <c r="D25" i="1814"/>
  <c r="R24" i="1814"/>
  <c r="D24" i="1814"/>
  <c r="R23" i="1814"/>
  <c r="R22" i="1814"/>
  <c r="L22" i="1814"/>
  <c r="D22" i="1814"/>
  <c r="R21" i="1814"/>
  <c r="D21" i="1814"/>
  <c r="R20" i="1814"/>
  <c r="L20" i="1814"/>
  <c r="D20" i="1814" s="1"/>
  <c r="R19" i="1814"/>
  <c r="L19" i="1814"/>
  <c r="D19" i="1814"/>
  <c r="R18" i="1814"/>
  <c r="D18" i="1814"/>
  <c r="R17" i="1814"/>
  <c r="D17" i="1814"/>
  <c r="R16" i="1814"/>
  <c r="L16" i="1814"/>
  <c r="D16" i="1814" s="1"/>
  <c r="S15" i="1814"/>
  <c r="R15" i="1814"/>
  <c r="D15" i="1814"/>
  <c r="S14" i="1814"/>
  <c r="R14" i="1814"/>
  <c r="D14" i="1814"/>
  <c r="R13" i="1814"/>
  <c r="D13" i="1814"/>
  <c r="R12" i="1814"/>
  <c r="R11" i="1814"/>
  <c r="L9" i="1814"/>
  <c r="D9" i="1814"/>
  <c r="L8" i="1814"/>
  <c r="D8" i="1814"/>
  <c r="R6" i="1814"/>
  <c r="R5" i="1814"/>
  <c r="R4" i="1814"/>
  <c r="G49" i="1821" l="1"/>
  <c r="D54" i="1821"/>
  <c r="H14" i="1821" s="1"/>
  <c r="G49" i="1817"/>
  <c r="G49" i="1816"/>
  <c r="G49" i="1815"/>
  <c r="D54" i="1817"/>
  <c r="H14" i="1817" s="1"/>
  <c r="D54" i="1815"/>
  <c r="H14" i="1815" s="1"/>
  <c r="D54" i="1816"/>
  <c r="H14" i="1816" s="1"/>
  <c r="D29" i="1821"/>
  <c r="H13" i="1821" s="1"/>
  <c r="D29" i="1820"/>
  <c r="H13" i="1820" s="1"/>
  <c r="H15" i="1820" s="1"/>
  <c r="H29" i="1820" s="1"/>
  <c r="G51" i="1820" s="1"/>
  <c r="D29" i="1819"/>
  <c r="H13" i="1819" s="1"/>
  <c r="H15" i="1819" s="1"/>
  <c r="H29" i="1819" s="1"/>
  <c r="G51" i="1819" s="1"/>
  <c r="D29" i="1818"/>
  <c r="H13" i="1818" s="1"/>
  <c r="H15" i="1818" s="1"/>
  <c r="H29" i="1818" s="1"/>
  <c r="G51" i="1818" s="1"/>
  <c r="D29" i="1817"/>
  <c r="H13" i="1817" s="1"/>
  <c r="D29" i="1816"/>
  <c r="H13" i="1816" s="1"/>
  <c r="D29" i="1815"/>
  <c r="H13" i="1815" s="1"/>
  <c r="H15" i="1815" s="1"/>
  <c r="H29" i="1815" s="1"/>
  <c r="D29" i="1814"/>
  <c r="H13" i="1814" s="1"/>
  <c r="H15" i="1814" s="1"/>
  <c r="H29" i="1814" s="1"/>
  <c r="G51" i="1814" s="1"/>
  <c r="H16" i="1809"/>
  <c r="H16" i="1808"/>
  <c r="H16" i="1807"/>
  <c r="H15" i="1821" l="1"/>
  <c r="H29" i="1821" s="1"/>
  <c r="G51" i="1821" s="1"/>
  <c r="G51" i="1815"/>
  <c r="H15" i="1817"/>
  <c r="H29" i="1817" s="1"/>
  <c r="G51" i="1817" s="1"/>
  <c r="H15" i="1816"/>
  <c r="H29" i="1816" s="1"/>
  <c r="G51" i="1816" s="1"/>
  <c r="L26" i="1808"/>
  <c r="L25" i="1808"/>
  <c r="L24" i="1808"/>
  <c r="H26" i="1804" l="1"/>
  <c r="H16" i="1805"/>
  <c r="H44" i="1804"/>
  <c r="R52" i="1813" l="1"/>
  <c r="L22" i="1813" s="1"/>
  <c r="D22" i="1813" s="1"/>
  <c r="R51" i="1813"/>
  <c r="D50" i="1813"/>
  <c r="R49" i="1813"/>
  <c r="D49" i="1813"/>
  <c r="R48" i="1813"/>
  <c r="D48" i="1813"/>
  <c r="D46" i="1813"/>
  <c r="D45" i="1813"/>
  <c r="R44" i="1813"/>
  <c r="D44" i="1813"/>
  <c r="R42" i="1813"/>
  <c r="L6" i="1813" s="1"/>
  <c r="D6" i="1813" s="1"/>
  <c r="D42" i="1813"/>
  <c r="R41" i="1813"/>
  <c r="L7" i="1813" s="1"/>
  <c r="D7" i="1813" s="1"/>
  <c r="D41" i="1813"/>
  <c r="R40" i="1813"/>
  <c r="L8" i="1813" s="1"/>
  <c r="D8" i="1813" s="1"/>
  <c r="D40" i="1813"/>
  <c r="R39" i="1813"/>
  <c r="H39" i="1813"/>
  <c r="D39" i="1813"/>
  <c r="R38" i="1813"/>
  <c r="H38" i="1813"/>
  <c r="D38" i="1813"/>
  <c r="R37" i="1813"/>
  <c r="H37" i="1813"/>
  <c r="D37" i="1813"/>
  <c r="R36" i="1813"/>
  <c r="L10" i="1813" s="1"/>
  <c r="D10" i="1813" s="1"/>
  <c r="H36" i="1813"/>
  <c r="D36" i="1813"/>
  <c r="R35" i="1813"/>
  <c r="L19" i="1813" s="1"/>
  <c r="D19" i="1813" s="1"/>
  <c r="H35" i="1813"/>
  <c r="D35" i="1813"/>
  <c r="R34" i="1813"/>
  <c r="H34" i="1813"/>
  <c r="D34" i="1813"/>
  <c r="R33" i="1813"/>
  <c r="R32" i="1813"/>
  <c r="R31" i="1813"/>
  <c r="R30" i="1813"/>
  <c r="R29" i="1813"/>
  <c r="R28" i="1813"/>
  <c r="L28" i="1813"/>
  <c r="D28" i="1813"/>
  <c r="R27" i="1813"/>
  <c r="D27" i="1813"/>
  <c r="R26" i="1813"/>
  <c r="L26" i="1813"/>
  <c r="D26" i="1813"/>
  <c r="R25" i="1813"/>
  <c r="L25" i="1813"/>
  <c r="D25" i="1813"/>
  <c r="R24" i="1813"/>
  <c r="D24" i="1813"/>
  <c r="R23" i="1813"/>
  <c r="L23" i="1813"/>
  <c r="D23" i="1813"/>
  <c r="R22" i="1813"/>
  <c r="R21" i="1813"/>
  <c r="D21" i="1813"/>
  <c r="R20" i="1813"/>
  <c r="L20" i="1813"/>
  <c r="D20" i="1813"/>
  <c r="R19" i="1813"/>
  <c r="R18" i="1813"/>
  <c r="D18" i="1813"/>
  <c r="R17" i="1813"/>
  <c r="D17" i="1813"/>
  <c r="R16" i="1813"/>
  <c r="L16" i="1813"/>
  <c r="D16" i="1813" s="1"/>
  <c r="R15" i="1813"/>
  <c r="D15" i="1813"/>
  <c r="R14" i="1813"/>
  <c r="D14" i="1813"/>
  <c r="R13" i="1813"/>
  <c r="D13" i="1813"/>
  <c r="R12" i="1813"/>
  <c r="L12" i="1813"/>
  <c r="D12" i="1813" s="1"/>
  <c r="R11" i="1813"/>
  <c r="L11" i="1813"/>
  <c r="D11" i="1813"/>
  <c r="L9" i="1813"/>
  <c r="D9" i="1813"/>
  <c r="R6" i="1813"/>
  <c r="R5" i="1813"/>
  <c r="R4" i="1813"/>
  <c r="R52" i="1812"/>
  <c r="R51" i="1812"/>
  <c r="D50" i="1812"/>
  <c r="R49" i="1812"/>
  <c r="D49" i="1812"/>
  <c r="R48" i="1812"/>
  <c r="D48" i="1812"/>
  <c r="D46" i="1812"/>
  <c r="D45" i="1812"/>
  <c r="R44" i="1812"/>
  <c r="L28" i="1812" s="1"/>
  <c r="D28" i="1812" s="1"/>
  <c r="D44" i="1812"/>
  <c r="R42" i="1812"/>
  <c r="L6" i="1812" s="1"/>
  <c r="D6" i="1812" s="1"/>
  <c r="D42" i="1812"/>
  <c r="R41" i="1812"/>
  <c r="D41" i="1812"/>
  <c r="R40" i="1812"/>
  <c r="D40" i="1812"/>
  <c r="R39" i="1812"/>
  <c r="H39" i="1812"/>
  <c r="D39" i="1812"/>
  <c r="R38" i="1812"/>
  <c r="L9" i="1812" s="1"/>
  <c r="D9" i="1812" s="1"/>
  <c r="H38" i="1812"/>
  <c r="D38" i="1812"/>
  <c r="R37" i="1812"/>
  <c r="H37" i="1812"/>
  <c r="D37" i="1812"/>
  <c r="R36" i="1812"/>
  <c r="L10" i="1812" s="1"/>
  <c r="D10" i="1812" s="1"/>
  <c r="H36" i="1812"/>
  <c r="D36" i="1812"/>
  <c r="R35" i="1812"/>
  <c r="H35" i="1812"/>
  <c r="D35" i="1812"/>
  <c r="R34" i="1812"/>
  <c r="H34" i="1812"/>
  <c r="D34" i="1812"/>
  <c r="R33" i="1812"/>
  <c r="R32" i="1812"/>
  <c r="R31" i="1812"/>
  <c r="R30" i="1812"/>
  <c r="R29" i="1812"/>
  <c r="R28" i="1812"/>
  <c r="R27" i="1812"/>
  <c r="D27" i="1812"/>
  <c r="R26" i="1812"/>
  <c r="L26" i="1812"/>
  <c r="D26" i="1812"/>
  <c r="R25" i="1812"/>
  <c r="L25" i="1812"/>
  <c r="D25" i="1812"/>
  <c r="R24" i="1812"/>
  <c r="L24" i="1812"/>
  <c r="D24" i="1812"/>
  <c r="R23" i="1812"/>
  <c r="L23" i="1812"/>
  <c r="D23" i="1812" s="1"/>
  <c r="R22" i="1812"/>
  <c r="L22" i="1812"/>
  <c r="D22" i="1812" s="1"/>
  <c r="R21" i="1812"/>
  <c r="D21" i="1812"/>
  <c r="R20" i="1812"/>
  <c r="L20" i="1812"/>
  <c r="D20" i="1812" s="1"/>
  <c r="R19" i="1812"/>
  <c r="L19" i="1812"/>
  <c r="D19" i="1812" s="1"/>
  <c r="R18" i="1812"/>
  <c r="D18" i="1812"/>
  <c r="R17" i="1812"/>
  <c r="L17" i="1812"/>
  <c r="D17" i="1812"/>
  <c r="R16" i="1812"/>
  <c r="L16" i="1812"/>
  <c r="D16" i="1812" s="1"/>
  <c r="R15" i="1812"/>
  <c r="D15" i="1812"/>
  <c r="R14" i="1812"/>
  <c r="D14" i="1812"/>
  <c r="R13" i="1812"/>
  <c r="D13" i="1812"/>
  <c r="R12" i="1812"/>
  <c r="L12" i="1812"/>
  <c r="D12" i="1812"/>
  <c r="R11" i="1812"/>
  <c r="L11" i="1812"/>
  <c r="D11" i="1812"/>
  <c r="L8" i="1812"/>
  <c r="D8" i="1812" s="1"/>
  <c r="L7" i="1812"/>
  <c r="D7" i="1812"/>
  <c r="R6" i="1812"/>
  <c r="R5" i="1812"/>
  <c r="R4" i="1812"/>
  <c r="R52" i="1811"/>
  <c r="R51" i="1811"/>
  <c r="D50" i="1811"/>
  <c r="R49" i="1811"/>
  <c r="D49" i="1811"/>
  <c r="R48" i="1811"/>
  <c r="D48" i="1811"/>
  <c r="D46" i="1811"/>
  <c r="D45" i="1811"/>
  <c r="R44" i="1811"/>
  <c r="D44" i="1811"/>
  <c r="R42" i="1811"/>
  <c r="D42" i="1811"/>
  <c r="R41" i="1811"/>
  <c r="D41" i="1811"/>
  <c r="R40" i="1811"/>
  <c r="D40" i="1811"/>
  <c r="R39" i="1811"/>
  <c r="L20" i="1811" s="1"/>
  <c r="D20" i="1811" s="1"/>
  <c r="H39" i="1811"/>
  <c r="D39" i="1811"/>
  <c r="R38" i="1811"/>
  <c r="H38" i="1811"/>
  <c r="D38" i="1811"/>
  <c r="R37" i="1811"/>
  <c r="H37" i="1811"/>
  <c r="D37" i="1811"/>
  <c r="R36" i="1811"/>
  <c r="H36" i="1811"/>
  <c r="D36" i="1811"/>
  <c r="R35" i="1811"/>
  <c r="H35" i="1811"/>
  <c r="D35" i="1811"/>
  <c r="R34" i="1811"/>
  <c r="L12" i="1811" s="1"/>
  <c r="D12" i="1811" s="1"/>
  <c r="H34" i="1811"/>
  <c r="D34" i="1811"/>
  <c r="R33" i="1811"/>
  <c r="R32" i="1811"/>
  <c r="R31" i="1811"/>
  <c r="R30" i="1811"/>
  <c r="R29" i="1811"/>
  <c r="R28" i="1811"/>
  <c r="L28" i="1811"/>
  <c r="D28" i="1811"/>
  <c r="R27" i="1811"/>
  <c r="D27" i="1811"/>
  <c r="R26" i="1811"/>
  <c r="L26" i="1811"/>
  <c r="D26" i="1811"/>
  <c r="R25" i="1811"/>
  <c r="L25" i="1811"/>
  <c r="D25" i="1811" s="1"/>
  <c r="R24" i="1811"/>
  <c r="L24" i="1811"/>
  <c r="D24" i="1811" s="1"/>
  <c r="R23" i="1811"/>
  <c r="D23" i="1811"/>
  <c r="R22" i="1811"/>
  <c r="D22" i="1811"/>
  <c r="R21" i="1811"/>
  <c r="D21" i="1811"/>
  <c r="R20" i="1811"/>
  <c r="R19" i="1811"/>
  <c r="D19" i="1811"/>
  <c r="R18" i="1811"/>
  <c r="D18" i="1811"/>
  <c r="R17" i="1811"/>
  <c r="L17" i="1811"/>
  <c r="D17" i="1811" s="1"/>
  <c r="R16" i="1811"/>
  <c r="L16" i="1811"/>
  <c r="D16" i="1811" s="1"/>
  <c r="R15" i="1811"/>
  <c r="D15" i="1811"/>
  <c r="R14" i="1811"/>
  <c r="D14" i="1811"/>
  <c r="R13" i="1811"/>
  <c r="D13" i="1811"/>
  <c r="R12" i="1811"/>
  <c r="R11" i="1811"/>
  <c r="L11" i="1811"/>
  <c r="D11" i="1811"/>
  <c r="L10" i="1811"/>
  <c r="D10" i="1811"/>
  <c r="L9" i="1811"/>
  <c r="D9" i="1811" s="1"/>
  <c r="L8" i="1811"/>
  <c r="D8" i="1811" s="1"/>
  <c r="L7" i="1811"/>
  <c r="D7" i="1811"/>
  <c r="R6" i="1811"/>
  <c r="L6" i="1811"/>
  <c r="D6" i="1811" s="1"/>
  <c r="R5" i="1811"/>
  <c r="R4" i="1811"/>
  <c r="R52" i="1810"/>
  <c r="R51" i="1810"/>
  <c r="D50" i="1810"/>
  <c r="R49" i="1810"/>
  <c r="G49" i="1810"/>
  <c r="D49" i="1810"/>
  <c r="R48" i="1810"/>
  <c r="D48" i="1810"/>
  <c r="D46" i="1810"/>
  <c r="D45" i="1810"/>
  <c r="D44" i="1810"/>
  <c r="R42" i="1810"/>
  <c r="L6" i="1810" s="1"/>
  <c r="D6" i="1810" s="1"/>
  <c r="D29" i="1810" s="1"/>
  <c r="H13" i="1810" s="1"/>
  <c r="H15" i="1810" s="1"/>
  <c r="H29" i="1810" s="1"/>
  <c r="D42" i="1810"/>
  <c r="R41" i="1810"/>
  <c r="L7" i="1810" s="1"/>
  <c r="D7" i="1810" s="1"/>
  <c r="D41" i="1810"/>
  <c r="R40" i="1810"/>
  <c r="D40" i="1810"/>
  <c r="R39" i="1810"/>
  <c r="D39" i="1810"/>
  <c r="R38" i="1810"/>
  <c r="D38" i="1810"/>
  <c r="R37" i="1810"/>
  <c r="D37" i="1810"/>
  <c r="R36" i="1810"/>
  <c r="L10" i="1810" s="1"/>
  <c r="D10" i="1810" s="1"/>
  <c r="D36" i="1810"/>
  <c r="R35" i="1810"/>
  <c r="D35" i="1810"/>
  <c r="R34" i="1810"/>
  <c r="L12" i="1810" s="1"/>
  <c r="D12" i="1810" s="1"/>
  <c r="D34" i="1810"/>
  <c r="D54" i="1810" s="1"/>
  <c r="H14" i="1810" s="1"/>
  <c r="R33" i="1810"/>
  <c r="L23" i="1810" s="1"/>
  <c r="D23" i="1810" s="1"/>
  <c r="R32" i="1810"/>
  <c r="R31" i="1810"/>
  <c r="R30" i="1810"/>
  <c r="R29" i="1810"/>
  <c r="R28" i="1810"/>
  <c r="L16" i="1810" s="1"/>
  <c r="D16" i="1810" s="1"/>
  <c r="D28" i="1810"/>
  <c r="R27" i="1810"/>
  <c r="D27" i="1810"/>
  <c r="R26" i="1810"/>
  <c r="L26" i="1810"/>
  <c r="D26" i="1810" s="1"/>
  <c r="R25" i="1810"/>
  <c r="L25" i="1810"/>
  <c r="D25" i="1810"/>
  <c r="R24" i="1810"/>
  <c r="D24" i="1810"/>
  <c r="R23" i="1810"/>
  <c r="R22" i="1810"/>
  <c r="L22" i="1810"/>
  <c r="D22" i="1810"/>
  <c r="R21" i="1810"/>
  <c r="D21" i="1810"/>
  <c r="R20" i="1810"/>
  <c r="L20" i="1810"/>
  <c r="D20" i="1810" s="1"/>
  <c r="R19" i="1810"/>
  <c r="L19" i="1810"/>
  <c r="D19" i="1810"/>
  <c r="R18" i="1810"/>
  <c r="D18" i="1810"/>
  <c r="R17" i="1810"/>
  <c r="D17" i="1810"/>
  <c r="R16" i="1810"/>
  <c r="S15" i="1810"/>
  <c r="R15" i="1810"/>
  <c r="D15" i="1810"/>
  <c r="S14" i="1810"/>
  <c r="R14" i="1810"/>
  <c r="D14" i="1810"/>
  <c r="R13" i="1810"/>
  <c r="D13" i="1810"/>
  <c r="R12" i="1810"/>
  <c r="R11" i="1810"/>
  <c r="L11" i="1810"/>
  <c r="D11" i="1810"/>
  <c r="L9" i="1810"/>
  <c r="D9" i="1810"/>
  <c r="L8" i="1810"/>
  <c r="D8" i="1810"/>
  <c r="R6" i="1810"/>
  <c r="R5" i="1810"/>
  <c r="R4" i="1810"/>
  <c r="R52" i="1809"/>
  <c r="R51" i="1809"/>
  <c r="D50" i="1809"/>
  <c r="R49" i="1809"/>
  <c r="D49" i="1809"/>
  <c r="R48" i="1809"/>
  <c r="D48" i="1809"/>
  <c r="D46" i="1809"/>
  <c r="D45" i="1809"/>
  <c r="R44" i="1809"/>
  <c r="D44" i="1809"/>
  <c r="R42" i="1809"/>
  <c r="L6" i="1809" s="1"/>
  <c r="D6" i="1809" s="1"/>
  <c r="D42" i="1809"/>
  <c r="R41" i="1809"/>
  <c r="D41" i="1809"/>
  <c r="R40" i="1809"/>
  <c r="D40" i="1809"/>
  <c r="R39" i="1809"/>
  <c r="H39" i="1809"/>
  <c r="D39" i="1809"/>
  <c r="R38" i="1809"/>
  <c r="L9" i="1809" s="1"/>
  <c r="D9" i="1809" s="1"/>
  <c r="H38" i="1809"/>
  <c r="D38" i="1809"/>
  <c r="R37" i="1809"/>
  <c r="H37" i="1809"/>
  <c r="D37" i="1809"/>
  <c r="R36" i="1809"/>
  <c r="H36" i="1809"/>
  <c r="D36" i="1809"/>
  <c r="R35" i="1809"/>
  <c r="H35" i="1809"/>
  <c r="D35" i="1809"/>
  <c r="R34" i="1809"/>
  <c r="L12" i="1809" s="1"/>
  <c r="D12" i="1809" s="1"/>
  <c r="H34" i="1809"/>
  <c r="D34" i="1809"/>
  <c r="R33" i="1809"/>
  <c r="R32" i="1809"/>
  <c r="R31" i="1809"/>
  <c r="R30" i="1809"/>
  <c r="R29" i="1809"/>
  <c r="R28" i="1809"/>
  <c r="L28" i="1809"/>
  <c r="D28" i="1809"/>
  <c r="R27" i="1809"/>
  <c r="D27" i="1809"/>
  <c r="R26" i="1809"/>
  <c r="L26" i="1809"/>
  <c r="D26" i="1809" s="1"/>
  <c r="R25" i="1809"/>
  <c r="L25" i="1809"/>
  <c r="D25" i="1809" s="1"/>
  <c r="R24" i="1809"/>
  <c r="D24" i="1809"/>
  <c r="R23" i="1809"/>
  <c r="L23" i="1809"/>
  <c r="D23" i="1809"/>
  <c r="R22" i="1809"/>
  <c r="L22" i="1809"/>
  <c r="D22" i="1809"/>
  <c r="R21" i="1809"/>
  <c r="D21" i="1809"/>
  <c r="R20" i="1809"/>
  <c r="L20" i="1809"/>
  <c r="D20" i="1809" s="1"/>
  <c r="R19" i="1809"/>
  <c r="L19" i="1809"/>
  <c r="D19" i="1809" s="1"/>
  <c r="R18" i="1809"/>
  <c r="D18" i="1809"/>
  <c r="R17" i="1809"/>
  <c r="D17" i="1809"/>
  <c r="R16" i="1809"/>
  <c r="L16" i="1809"/>
  <c r="D16" i="1809" s="1"/>
  <c r="R15" i="1809"/>
  <c r="D15" i="1809"/>
  <c r="R14" i="1809"/>
  <c r="D14" i="1809"/>
  <c r="R13" i="1809"/>
  <c r="D13" i="1809"/>
  <c r="R12" i="1809"/>
  <c r="R11" i="1809"/>
  <c r="L11" i="1809"/>
  <c r="D11" i="1809"/>
  <c r="L10" i="1809"/>
  <c r="D10" i="1809"/>
  <c r="L8" i="1809"/>
  <c r="D8" i="1809"/>
  <c r="L7" i="1809"/>
  <c r="D7" i="1809"/>
  <c r="R6" i="1809"/>
  <c r="R5" i="1809"/>
  <c r="R4" i="1809"/>
  <c r="R52" i="1808"/>
  <c r="R51" i="1808"/>
  <c r="D50" i="1808"/>
  <c r="R49" i="1808"/>
  <c r="D49" i="1808"/>
  <c r="R48" i="1808"/>
  <c r="D48" i="1808"/>
  <c r="D46" i="1808"/>
  <c r="D45" i="1808"/>
  <c r="R44" i="1808"/>
  <c r="D44" i="1808"/>
  <c r="R42" i="1808"/>
  <c r="L6" i="1808" s="1"/>
  <c r="D6" i="1808" s="1"/>
  <c r="D42" i="1808"/>
  <c r="R41" i="1808"/>
  <c r="D41" i="1808"/>
  <c r="R40" i="1808"/>
  <c r="D40" i="1808"/>
  <c r="R39" i="1808"/>
  <c r="H39" i="1808"/>
  <c r="D39" i="1808"/>
  <c r="R38" i="1808"/>
  <c r="L9" i="1808" s="1"/>
  <c r="D9" i="1808" s="1"/>
  <c r="H38" i="1808"/>
  <c r="D38" i="1808"/>
  <c r="R37" i="1808"/>
  <c r="H37" i="1808"/>
  <c r="D37" i="1808"/>
  <c r="R36" i="1808"/>
  <c r="L10" i="1808" s="1"/>
  <c r="D10" i="1808" s="1"/>
  <c r="H36" i="1808"/>
  <c r="D36" i="1808"/>
  <c r="R35" i="1808"/>
  <c r="H35" i="1808"/>
  <c r="D35" i="1808"/>
  <c r="R34" i="1808"/>
  <c r="H34" i="1808"/>
  <c r="D34" i="1808"/>
  <c r="R33" i="1808"/>
  <c r="R32" i="1808"/>
  <c r="R31" i="1808"/>
  <c r="R30" i="1808"/>
  <c r="R29" i="1808"/>
  <c r="R28" i="1808"/>
  <c r="L28" i="1808"/>
  <c r="D28" i="1808"/>
  <c r="R27" i="1808"/>
  <c r="D27" i="1808"/>
  <c r="R26" i="1808"/>
  <c r="D26" i="1808"/>
  <c r="R25" i="1808"/>
  <c r="D25" i="1808"/>
  <c r="R24" i="1808"/>
  <c r="D24" i="1808"/>
  <c r="R23" i="1808"/>
  <c r="L23" i="1808"/>
  <c r="D23" i="1808"/>
  <c r="R22" i="1808"/>
  <c r="L22" i="1808"/>
  <c r="D22" i="1808" s="1"/>
  <c r="R21" i="1808"/>
  <c r="D21" i="1808"/>
  <c r="R20" i="1808"/>
  <c r="L20" i="1808"/>
  <c r="D20" i="1808" s="1"/>
  <c r="R19" i="1808"/>
  <c r="L19" i="1808"/>
  <c r="D19" i="1808" s="1"/>
  <c r="R18" i="1808"/>
  <c r="D18" i="1808"/>
  <c r="R17" i="1808"/>
  <c r="L17" i="1808"/>
  <c r="D17" i="1808"/>
  <c r="R16" i="1808"/>
  <c r="L16" i="1808"/>
  <c r="D16" i="1808" s="1"/>
  <c r="R15" i="1808"/>
  <c r="D15" i="1808"/>
  <c r="R14" i="1808"/>
  <c r="D14" i="1808"/>
  <c r="R13" i="1808"/>
  <c r="D13" i="1808"/>
  <c r="R12" i="1808"/>
  <c r="L12" i="1808"/>
  <c r="D12" i="1808"/>
  <c r="R11" i="1808"/>
  <c r="L11" i="1808"/>
  <c r="D11" i="1808"/>
  <c r="L8" i="1808"/>
  <c r="D8" i="1808" s="1"/>
  <c r="L7" i="1808"/>
  <c r="D7" i="1808"/>
  <c r="R6" i="1808"/>
  <c r="R5" i="1808"/>
  <c r="R4" i="1808"/>
  <c r="R52" i="1807"/>
  <c r="R51" i="1807"/>
  <c r="D50" i="1807"/>
  <c r="R49" i="1807"/>
  <c r="D49" i="1807"/>
  <c r="R48" i="1807"/>
  <c r="D48" i="1807"/>
  <c r="D46" i="1807"/>
  <c r="D45" i="1807"/>
  <c r="R44" i="1807"/>
  <c r="L28" i="1807" s="1"/>
  <c r="D28" i="1807" s="1"/>
  <c r="D44" i="1807"/>
  <c r="R42" i="1807"/>
  <c r="L6" i="1807" s="1"/>
  <c r="D6" i="1807" s="1"/>
  <c r="D42" i="1807"/>
  <c r="R41" i="1807"/>
  <c r="D41" i="1807"/>
  <c r="R40" i="1807"/>
  <c r="L8" i="1807" s="1"/>
  <c r="D8" i="1807" s="1"/>
  <c r="D40" i="1807"/>
  <c r="R39" i="1807"/>
  <c r="H39" i="1807"/>
  <c r="D39" i="1807"/>
  <c r="R38" i="1807"/>
  <c r="H38" i="1807"/>
  <c r="D38" i="1807"/>
  <c r="R37" i="1807"/>
  <c r="H37" i="1807"/>
  <c r="D37" i="1807"/>
  <c r="R36" i="1807"/>
  <c r="H36" i="1807"/>
  <c r="D36" i="1807"/>
  <c r="R35" i="1807"/>
  <c r="H35" i="1807"/>
  <c r="D35" i="1807"/>
  <c r="R34" i="1807"/>
  <c r="L12" i="1807" s="1"/>
  <c r="D12" i="1807" s="1"/>
  <c r="H34" i="1807"/>
  <c r="D34" i="1807"/>
  <c r="R33" i="1807"/>
  <c r="R32" i="1807"/>
  <c r="R31" i="1807"/>
  <c r="R30" i="1807"/>
  <c r="R29" i="1807"/>
  <c r="R28" i="1807"/>
  <c r="L16" i="1807" s="1"/>
  <c r="D16" i="1807" s="1"/>
  <c r="R27" i="1807"/>
  <c r="D27" i="1807"/>
  <c r="R26" i="1807"/>
  <c r="L26" i="1807"/>
  <c r="D26" i="1807" s="1"/>
  <c r="R25" i="1807"/>
  <c r="L25" i="1807"/>
  <c r="D25" i="1807"/>
  <c r="R24" i="1807"/>
  <c r="L24" i="1807"/>
  <c r="D24" i="1807"/>
  <c r="R23" i="1807"/>
  <c r="D23" i="1807"/>
  <c r="R22" i="1807"/>
  <c r="D22" i="1807"/>
  <c r="R21" i="1807"/>
  <c r="D21" i="1807"/>
  <c r="R20" i="1807"/>
  <c r="L20" i="1807"/>
  <c r="D20" i="1807"/>
  <c r="R19" i="1807"/>
  <c r="D19" i="1807"/>
  <c r="R18" i="1807"/>
  <c r="D18" i="1807"/>
  <c r="R17" i="1807"/>
  <c r="L17" i="1807"/>
  <c r="D17" i="1807"/>
  <c r="R16" i="1807"/>
  <c r="R15" i="1807"/>
  <c r="D15" i="1807"/>
  <c r="R14" i="1807"/>
  <c r="D14" i="1807"/>
  <c r="R13" i="1807"/>
  <c r="D13" i="1807"/>
  <c r="R12" i="1807"/>
  <c r="R11" i="1807"/>
  <c r="L11" i="1807"/>
  <c r="D11" i="1807"/>
  <c r="L10" i="1807"/>
  <c r="D10" i="1807"/>
  <c r="L9" i="1807"/>
  <c r="D9" i="1807"/>
  <c r="L7" i="1807"/>
  <c r="D7" i="1807" s="1"/>
  <c r="R6" i="1807"/>
  <c r="R5" i="1807"/>
  <c r="R4" i="1807"/>
  <c r="G49" i="1813" l="1"/>
  <c r="G49" i="1812"/>
  <c r="G49" i="1811"/>
  <c r="D54" i="1813"/>
  <c r="H14" i="1813" s="1"/>
  <c r="D54" i="1812"/>
  <c r="H14" i="1812" s="1"/>
  <c r="D54" i="1811"/>
  <c r="H14" i="1811" s="1"/>
  <c r="G49" i="1809"/>
  <c r="G49" i="1808"/>
  <c r="G49" i="1807"/>
  <c r="D54" i="1809"/>
  <c r="H14" i="1809" s="1"/>
  <c r="D54" i="1808"/>
  <c r="H14" i="1808" s="1"/>
  <c r="D54" i="1807"/>
  <c r="H14" i="1807" s="1"/>
  <c r="D29" i="1813"/>
  <c r="H13" i="1813" s="1"/>
  <c r="D29" i="1812"/>
  <c r="H13" i="1812" s="1"/>
  <c r="D29" i="1811"/>
  <c r="H13" i="1811" s="1"/>
  <c r="G51" i="1810"/>
  <c r="D29" i="1809"/>
  <c r="H13" i="1809" s="1"/>
  <c r="D29" i="1808"/>
  <c r="H13" i="1808" s="1"/>
  <c r="D29" i="1807"/>
  <c r="H13" i="1807" s="1"/>
  <c r="H16" i="1801"/>
  <c r="H16" i="1800"/>
  <c r="R52" i="1806"/>
  <c r="R51" i="1806"/>
  <c r="D50" i="1806"/>
  <c r="R49" i="1806"/>
  <c r="G49" i="1806"/>
  <c r="D49" i="1806"/>
  <c r="R48" i="1806"/>
  <c r="D48" i="1806"/>
  <c r="D46" i="1806"/>
  <c r="D45" i="1806"/>
  <c r="D44" i="1806"/>
  <c r="R42" i="1806"/>
  <c r="L6" i="1806" s="1"/>
  <c r="D6" i="1806" s="1"/>
  <c r="D42" i="1806"/>
  <c r="R41" i="1806"/>
  <c r="L7" i="1806" s="1"/>
  <c r="D7" i="1806" s="1"/>
  <c r="D41" i="1806"/>
  <c r="R40" i="1806"/>
  <c r="L8" i="1806" s="1"/>
  <c r="D8" i="1806" s="1"/>
  <c r="D40" i="1806"/>
  <c r="R39" i="1806"/>
  <c r="D39" i="1806"/>
  <c r="R38" i="1806"/>
  <c r="L9" i="1806" s="1"/>
  <c r="D9" i="1806" s="1"/>
  <c r="D38" i="1806"/>
  <c r="R37" i="1806"/>
  <c r="D37" i="1806"/>
  <c r="R36" i="1806"/>
  <c r="L10" i="1806" s="1"/>
  <c r="D10" i="1806" s="1"/>
  <c r="D36" i="1806"/>
  <c r="R35" i="1806"/>
  <c r="D35" i="1806"/>
  <c r="R34" i="1806"/>
  <c r="L12" i="1806" s="1"/>
  <c r="D12" i="1806" s="1"/>
  <c r="D34" i="1806"/>
  <c r="D54" i="1806" s="1"/>
  <c r="H14" i="1806" s="1"/>
  <c r="R33" i="1806"/>
  <c r="L23" i="1806" s="1"/>
  <c r="D23" i="1806" s="1"/>
  <c r="R32" i="1806"/>
  <c r="R31" i="1806"/>
  <c r="R30" i="1806"/>
  <c r="R29" i="1806"/>
  <c r="R28" i="1806"/>
  <c r="D28" i="1806"/>
  <c r="R27" i="1806"/>
  <c r="D27" i="1806"/>
  <c r="R26" i="1806"/>
  <c r="L26" i="1806"/>
  <c r="D26" i="1806"/>
  <c r="R25" i="1806"/>
  <c r="L25" i="1806"/>
  <c r="D25" i="1806"/>
  <c r="R24" i="1806"/>
  <c r="D24" i="1806"/>
  <c r="R23" i="1806"/>
  <c r="R22" i="1806"/>
  <c r="L22" i="1806"/>
  <c r="D22" i="1806"/>
  <c r="R21" i="1806"/>
  <c r="D21" i="1806"/>
  <c r="R20" i="1806"/>
  <c r="L20" i="1806"/>
  <c r="D20" i="1806"/>
  <c r="R19" i="1806"/>
  <c r="L19" i="1806"/>
  <c r="D19" i="1806"/>
  <c r="R18" i="1806"/>
  <c r="D18" i="1806"/>
  <c r="R17" i="1806"/>
  <c r="D17" i="1806"/>
  <c r="R16" i="1806"/>
  <c r="L16" i="1806"/>
  <c r="D16" i="1806" s="1"/>
  <c r="S15" i="1806"/>
  <c r="R15" i="1806"/>
  <c r="D15" i="1806"/>
  <c r="S14" i="1806"/>
  <c r="R14" i="1806"/>
  <c r="D14" i="1806"/>
  <c r="R13" i="1806"/>
  <c r="D13" i="1806"/>
  <c r="R12" i="1806"/>
  <c r="R11" i="1806"/>
  <c r="L11" i="1806"/>
  <c r="D11" i="1806"/>
  <c r="R6" i="1806"/>
  <c r="R5" i="1806"/>
  <c r="R4" i="1806"/>
  <c r="R52" i="1805"/>
  <c r="R51" i="1805"/>
  <c r="D50" i="1805"/>
  <c r="R49" i="1805"/>
  <c r="D49" i="1805"/>
  <c r="R48" i="1805"/>
  <c r="D48" i="1805"/>
  <c r="D46" i="1805"/>
  <c r="D45" i="1805"/>
  <c r="R44" i="1805"/>
  <c r="L28" i="1805" s="1"/>
  <c r="D28" i="1805" s="1"/>
  <c r="D44" i="1805"/>
  <c r="R42" i="1805"/>
  <c r="D42" i="1805"/>
  <c r="R41" i="1805"/>
  <c r="D41" i="1805"/>
  <c r="R40" i="1805"/>
  <c r="D40" i="1805"/>
  <c r="R39" i="1805"/>
  <c r="H39" i="1805"/>
  <c r="D39" i="1805"/>
  <c r="R38" i="1805"/>
  <c r="L9" i="1805" s="1"/>
  <c r="D9" i="1805" s="1"/>
  <c r="H38" i="1805"/>
  <c r="D38" i="1805"/>
  <c r="R37" i="1805"/>
  <c r="H37" i="1805"/>
  <c r="D37" i="1805"/>
  <c r="R36" i="1805"/>
  <c r="H36" i="1805"/>
  <c r="D36" i="1805"/>
  <c r="R35" i="1805"/>
  <c r="H35" i="1805"/>
  <c r="D35" i="1805"/>
  <c r="R34" i="1805"/>
  <c r="L12" i="1805" s="1"/>
  <c r="D12" i="1805" s="1"/>
  <c r="H34" i="1805"/>
  <c r="D34" i="1805"/>
  <c r="R33" i="1805"/>
  <c r="L23" i="1805" s="1"/>
  <c r="D23" i="1805" s="1"/>
  <c r="R32" i="1805"/>
  <c r="L11" i="1805" s="1"/>
  <c r="D11" i="1805" s="1"/>
  <c r="R31" i="1805"/>
  <c r="R30" i="1805"/>
  <c r="R29" i="1805"/>
  <c r="R28" i="1805"/>
  <c r="R27" i="1805"/>
  <c r="D27" i="1805"/>
  <c r="R26" i="1805"/>
  <c r="L26" i="1805"/>
  <c r="D26" i="1805"/>
  <c r="R25" i="1805"/>
  <c r="L25" i="1805"/>
  <c r="D25" i="1805"/>
  <c r="R24" i="1805"/>
  <c r="D24" i="1805"/>
  <c r="R23" i="1805"/>
  <c r="R22" i="1805"/>
  <c r="L22" i="1805"/>
  <c r="D22" i="1805"/>
  <c r="R21" i="1805"/>
  <c r="D21" i="1805"/>
  <c r="R20" i="1805"/>
  <c r="L20" i="1805"/>
  <c r="D20" i="1805"/>
  <c r="R19" i="1805"/>
  <c r="L19" i="1805"/>
  <c r="D19" i="1805"/>
  <c r="R18" i="1805"/>
  <c r="D18" i="1805"/>
  <c r="R17" i="1805"/>
  <c r="D17" i="1805"/>
  <c r="R16" i="1805"/>
  <c r="L16" i="1805"/>
  <c r="D16" i="1805" s="1"/>
  <c r="R15" i="1805"/>
  <c r="D15" i="1805"/>
  <c r="R14" i="1805"/>
  <c r="D14" i="1805"/>
  <c r="R13" i="1805"/>
  <c r="D13" i="1805"/>
  <c r="R12" i="1805"/>
  <c r="R11" i="1805"/>
  <c r="L10" i="1805"/>
  <c r="D10" i="1805"/>
  <c r="L8" i="1805"/>
  <c r="D8" i="1805"/>
  <c r="L7" i="1805"/>
  <c r="D7" i="1805"/>
  <c r="R6" i="1805"/>
  <c r="L6" i="1805"/>
  <c r="D6" i="1805" s="1"/>
  <c r="R5" i="1805"/>
  <c r="R4" i="1805"/>
  <c r="R52" i="1804"/>
  <c r="R51" i="1804"/>
  <c r="D50" i="1804"/>
  <c r="R49" i="1804"/>
  <c r="D49" i="1804"/>
  <c r="R48" i="1804"/>
  <c r="D48" i="1804"/>
  <c r="D46" i="1804"/>
  <c r="D45" i="1804"/>
  <c r="R44" i="1804"/>
  <c r="D44" i="1804"/>
  <c r="R42" i="1804"/>
  <c r="D42" i="1804"/>
  <c r="R41" i="1804"/>
  <c r="D41" i="1804"/>
  <c r="R40" i="1804"/>
  <c r="L8" i="1804" s="1"/>
  <c r="D8" i="1804" s="1"/>
  <c r="D40" i="1804"/>
  <c r="R39" i="1804"/>
  <c r="H39" i="1804"/>
  <c r="D39" i="1804"/>
  <c r="R38" i="1804"/>
  <c r="L9" i="1804" s="1"/>
  <c r="D9" i="1804" s="1"/>
  <c r="H38" i="1804"/>
  <c r="D38" i="1804"/>
  <c r="R37" i="1804"/>
  <c r="H37" i="1804"/>
  <c r="D37" i="1804"/>
  <c r="R36" i="1804"/>
  <c r="H36" i="1804"/>
  <c r="D36" i="1804"/>
  <c r="R35" i="1804"/>
  <c r="H35" i="1804"/>
  <c r="D35" i="1804"/>
  <c r="R34" i="1804"/>
  <c r="H34" i="1804"/>
  <c r="D34" i="1804"/>
  <c r="R33" i="1804"/>
  <c r="L23" i="1804" s="1"/>
  <c r="D23" i="1804" s="1"/>
  <c r="R32" i="1804"/>
  <c r="L11" i="1804" s="1"/>
  <c r="D11" i="1804" s="1"/>
  <c r="R31" i="1804"/>
  <c r="R30" i="1804"/>
  <c r="R29" i="1804"/>
  <c r="R28" i="1804"/>
  <c r="L28" i="1804"/>
  <c r="D28" i="1804"/>
  <c r="R27" i="1804"/>
  <c r="D27" i="1804"/>
  <c r="R26" i="1804"/>
  <c r="L26" i="1804"/>
  <c r="D26" i="1804"/>
  <c r="R25" i="1804"/>
  <c r="L25" i="1804"/>
  <c r="D25" i="1804"/>
  <c r="R24" i="1804"/>
  <c r="L24" i="1804"/>
  <c r="D24" i="1804"/>
  <c r="R23" i="1804"/>
  <c r="R22" i="1804"/>
  <c r="L22" i="1804"/>
  <c r="D22" i="1804"/>
  <c r="R21" i="1804"/>
  <c r="L17" i="1804" s="1"/>
  <c r="D17" i="1804" s="1"/>
  <c r="D21" i="1804"/>
  <c r="R20" i="1804"/>
  <c r="L20" i="1804"/>
  <c r="D20" i="1804"/>
  <c r="R19" i="1804"/>
  <c r="L19" i="1804"/>
  <c r="D19" i="1804"/>
  <c r="R18" i="1804"/>
  <c r="D18" i="1804"/>
  <c r="R17" i="1804"/>
  <c r="R16" i="1804"/>
  <c r="L16" i="1804"/>
  <c r="D16" i="1804"/>
  <c r="R15" i="1804"/>
  <c r="D15" i="1804"/>
  <c r="R14" i="1804"/>
  <c r="D14" i="1804"/>
  <c r="R13" i="1804"/>
  <c r="D13" i="1804"/>
  <c r="R12" i="1804"/>
  <c r="L12" i="1804"/>
  <c r="D12" i="1804"/>
  <c r="R11" i="1804"/>
  <c r="L10" i="1804"/>
  <c r="D10" i="1804"/>
  <c r="L7" i="1804"/>
  <c r="D7" i="1804"/>
  <c r="R6" i="1804"/>
  <c r="L6" i="1804"/>
  <c r="D6" i="1804" s="1"/>
  <c r="R5" i="1804"/>
  <c r="R4" i="1804"/>
  <c r="R52" i="1803"/>
  <c r="R51" i="1803"/>
  <c r="D50" i="1803"/>
  <c r="R49" i="1803"/>
  <c r="D49" i="1803"/>
  <c r="R48" i="1803"/>
  <c r="D48" i="1803"/>
  <c r="D46" i="1803"/>
  <c r="D45" i="1803"/>
  <c r="R44" i="1803"/>
  <c r="D44" i="1803"/>
  <c r="R42" i="1803"/>
  <c r="L6" i="1803" s="1"/>
  <c r="D6" i="1803" s="1"/>
  <c r="D42" i="1803"/>
  <c r="R41" i="1803"/>
  <c r="L7" i="1803" s="1"/>
  <c r="D7" i="1803" s="1"/>
  <c r="D41" i="1803"/>
  <c r="D54" i="1803" s="1"/>
  <c r="H14" i="1803" s="1"/>
  <c r="R40" i="1803"/>
  <c r="D40" i="1803"/>
  <c r="R39" i="1803"/>
  <c r="L20" i="1803" s="1"/>
  <c r="D20" i="1803" s="1"/>
  <c r="H39" i="1803"/>
  <c r="D39" i="1803"/>
  <c r="R38" i="1803"/>
  <c r="H38" i="1803"/>
  <c r="D38" i="1803"/>
  <c r="R37" i="1803"/>
  <c r="H37" i="1803"/>
  <c r="D37" i="1803"/>
  <c r="R36" i="1803"/>
  <c r="H36" i="1803"/>
  <c r="D36" i="1803"/>
  <c r="R35" i="1803"/>
  <c r="H35" i="1803"/>
  <c r="G49" i="1803" s="1"/>
  <c r="D35" i="1803"/>
  <c r="R34" i="1803"/>
  <c r="H34" i="1803"/>
  <c r="D34" i="1803"/>
  <c r="R33" i="1803"/>
  <c r="R32" i="1803"/>
  <c r="R31" i="1803"/>
  <c r="R30" i="1803"/>
  <c r="R29" i="1803"/>
  <c r="R28" i="1803"/>
  <c r="L28" i="1803"/>
  <c r="D28" i="1803"/>
  <c r="R27" i="1803"/>
  <c r="D27" i="1803"/>
  <c r="R26" i="1803"/>
  <c r="L26" i="1803"/>
  <c r="D26" i="1803"/>
  <c r="R25" i="1803"/>
  <c r="L25" i="1803"/>
  <c r="D25" i="1803"/>
  <c r="R24" i="1803"/>
  <c r="L24" i="1803"/>
  <c r="D24" i="1803" s="1"/>
  <c r="R23" i="1803"/>
  <c r="D23" i="1803"/>
  <c r="R22" i="1803"/>
  <c r="D22" i="1803"/>
  <c r="R21" i="1803"/>
  <c r="D21" i="1803"/>
  <c r="R20" i="1803"/>
  <c r="R19" i="1803"/>
  <c r="D19" i="1803"/>
  <c r="R18" i="1803"/>
  <c r="D18" i="1803"/>
  <c r="R17" i="1803"/>
  <c r="L17" i="1803"/>
  <c r="D17" i="1803" s="1"/>
  <c r="R16" i="1803"/>
  <c r="L16" i="1803"/>
  <c r="D16" i="1803" s="1"/>
  <c r="R15" i="1803"/>
  <c r="D15" i="1803"/>
  <c r="R14" i="1803"/>
  <c r="D14" i="1803"/>
  <c r="R13" i="1803"/>
  <c r="D13" i="1803"/>
  <c r="R12" i="1803"/>
  <c r="L12" i="1803"/>
  <c r="D12" i="1803" s="1"/>
  <c r="R11" i="1803"/>
  <c r="L11" i="1803"/>
  <c r="D11" i="1803"/>
  <c r="L10" i="1803"/>
  <c r="D10" i="1803"/>
  <c r="L9" i="1803"/>
  <c r="D9" i="1803"/>
  <c r="L8" i="1803"/>
  <c r="D8" i="1803" s="1"/>
  <c r="R6" i="1803"/>
  <c r="R5" i="1803"/>
  <c r="R4" i="1803"/>
  <c r="C12" i="1800"/>
  <c r="H15" i="1813" l="1"/>
  <c r="H29" i="1813" s="1"/>
  <c r="G51" i="1813" s="1"/>
  <c r="H15" i="1812"/>
  <c r="H29" i="1812" s="1"/>
  <c r="G51" i="1812" s="1"/>
  <c r="H15" i="1811"/>
  <c r="H29" i="1811" s="1"/>
  <c r="G51" i="1811" s="1"/>
  <c r="H15" i="1809"/>
  <c r="H29" i="1809" s="1"/>
  <c r="G51" i="1809" s="1"/>
  <c r="H15" i="1808"/>
  <c r="H29" i="1808" s="1"/>
  <c r="G51" i="1808" s="1"/>
  <c r="H15" i="1807"/>
  <c r="H29" i="1807" s="1"/>
  <c r="G51" i="1807" s="1"/>
  <c r="G49" i="1805"/>
  <c r="G49" i="1804"/>
  <c r="D54" i="1805"/>
  <c r="H14" i="1805" s="1"/>
  <c r="D54" i="1804"/>
  <c r="H14" i="1804" s="1"/>
  <c r="G51" i="1806"/>
  <c r="D29" i="1806"/>
  <c r="H13" i="1806" s="1"/>
  <c r="H15" i="1806" s="1"/>
  <c r="H29" i="1806" s="1"/>
  <c r="D29" i="1805"/>
  <c r="H13" i="1805" s="1"/>
  <c r="D29" i="1804"/>
  <c r="H13" i="1804" s="1"/>
  <c r="D29" i="1803"/>
  <c r="H13" i="1803" s="1"/>
  <c r="H15" i="1803" s="1"/>
  <c r="H29" i="1803" s="1"/>
  <c r="G51" i="1803" s="1"/>
  <c r="H16" i="1797"/>
  <c r="H16" i="1796"/>
  <c r="H16" i="1795"/>
  <c r="H15" i="1804" l="1"/>
  <c r="H29" i="1804" s="1"/>
  <c r="G51" i="1804" s="1"/>
  <c r="H15" i="1805"/>
  <c r="H29" i="1805" s="1"/>
  <c r="G51" i="1805" s="1"/>
  <c r="H16" i="1793"/>
  <c r="H16" i="1792"/>
  <c r="L24" i="1791" l="1"/>
  <c r="H16" i="1789" l="1"/>
  <c r="H16" i="1788"/>
  <c r="H16" i="1785" l="1"/>
  <c r="H16" i="1784"/>
  <c r="H16" i="1783"/>
  <c r="L26" i="1784"/>
  <c r="R52" i="1802" l="1"/>
  <c r="R51" i="1802"/>
  <c r="D50" i="1802"/>
  <c r="R49" i="1802"/>
  <c r="G49" i="1802"/>
  <c r="D49" i="1802"/>
  <c r="R48" i="1802"/>
  <c r="D48" i="1802"/>
  <c r="D46" i="1802"/>
  <c r="D45" i="1802"/>
  <c r="D44" i="1802"/>
  <c r="R42" i="1802"/>
  <c r="L6" i="1802" s="1"/>
  <c r="D6" i="1802" s="1"/>
  <c r="D42" i="1802"/>
  <c r="R41" i="1802"/>
  <c r="L7" i="1802" s="1"/>
  <c r="D7" i="1802" s="1"/>
  <c r="D41" i="1802"/>
  <c r="R40" i="1802"/>
  <c r="D40" i="1802"/>
  <c r="R39" i="1802"/>
  <c r="D39" i="1802"/>
  <c r="R38" i="1802"/>
  <c r="D38" i="1802"/>
  <c r="R37" i="1802"/>
  <c r="D37" i="1802"/>
  <c r="R36" i="1802"/>
  <c r="L10" i="1802" s="1"/>
  <c r="D10" i="1802" s="1"/>
  <c r="D36" i="1802"/>
  <c r="R35" i="1802"/>
  <c r="D35" i="1802"/>
  <c r="R34" i="1802"/>
  <c r="L12" i="1802" s="1"/>
  <c r="D12" i="1802" s="1"/>
  <c r="D34" i="1802"/>
  <c r="D54" i="1802" s="1"/>
  <c r="H14" i="1802" s="1"/>
  <c r="R33" i="1802"/>
  <c r="L23" i="1802" s="1"/>
  <c r="D23" i="1802" s="1"/>
  <c r="R32" i="1802"/>
  <c r="R31" i="1802"/>
  <c r="R30" i="1802"/>
  <c r="R29" i="1802"/>
  <c r="R28" i="1802"/>
  <c r="L16" i="1802" s="1"/>
  <c r="D16" i="1802" s="1"/>
  <c r="D28" i="1802"/>
  <c r="R27" i="1802"/>
  <c r="D27" i="1802"/>
  <c r="R26" i="1802"/>
  <c r="L26" i="1802"/>
  <c r="D26" i="1802"/>
  <c r="R25" i="1802"/>
  <c r="L25" i="1802"/>
  <c r="D25" i="1802"/>
  <c r="R24" i="1802"/>
  <c r="D24" i="1802"/>
  <c r="R23" i="1802"/>
  <c r="R22" i="1802"/>
  <c r="L22" i="1802"/>
  <c r="D22" i="1802" s="1"/>
  <c r="R21" i="1802"/>
  <c r="D21" i="1802"/>
  <c r="R20" i="1802"/>
  <c r="L20" i="1802"/>
  <c r="D20" i="1802"/>
  <c r="R19" i="1802"/>
  <c r="L19" i="1802"/>
  <c r="D19" i="1802"/>
  <c r="R18" i="1802"/>
  <c r="D18" i="1802"/>
  <c r="R17" i="1802"/>
  <c r="D17" i="1802"/>
  <c r="R16" i="1802"/>
  <c r="S15" i="1802"/>
  <c r="R15" i="1802"/>
  <c r="D15" i="1802"/>
  <c r="S14" i="1802"/>
  <c r="R14" i="1802"/>
  <c r="D14" i="1802"/>
  <c r="R13" i="1802"/>
  <c r="D13" i="1802"/>
  <c r="R12" i="1802"/>
  <c r="R11" i="1802"/>
  <c r="L11" i="1802"/>
  <c r="D11" i="1802" s="1"/>
  <c r="L9" i="1802"/>
  <c r="D9" i="1802" s="1"/>
  <c r="L8" i="1802"/>
  <c r="D8" i="1802"/>
  <c r="R6" i="1802"/>
  <c r="R5" i="1802"/>
  <c r="R4" i="1802"/>
  <c r="R52" i="1801"/>
  <c r="R51" i="1801"/>
  <c r="D50" i="1801"/>
  <c r="R49" i="1801"/>
  <c r="D49" i="1801"/>
  <c r="R48" i="1801"/>
  <c r="D48" i="1801"/>
  <c r="D46" i="1801"/>
  <c r="D45" i="1801"/>
  <c r="R44" i="1801"/>
  <c r="D44" i="1801"/>
  <c r="R42" i="1801"/>
  <c r="D42" i="1801"/>
  <c r="R41" i="1801"/>
  <c r="L7" i="1801" s="1"/>
  <c r="D7" i="1801" s="1"/>
  <c r="D41" i="1801"/>
  <c r="R40" i="1801"/>
  <c r="D40" i="1801"/>
  <c r="R39" i="1801"/>
  <c r="H39" i="1801"/>
  <c r="D39" i="1801"/>
  <c r="R38" i="1801"/>
  <c r="L9" i="1801" s="1"/>
  <c r="D9" i="1801" s="1"/>
  <c r="H38" i="1801"/>
  <c r="D38" i="1801"/>
  <c r="R37" i="1801"/>
  <c r="H37" i="1801"/>
  <c r="D37" i="1801"/>
  <c r="R36" i="1801"/>
  <c r="L10" i="1801" s="1"/>
  <c r="D10" i="1801" s="1"/>
  <c r="H36" i="1801"/>
  <c r="D36" i="1801"/>
  <c r="R35" i="1801"/>
  <c r="L19" i="1801" s="1"/>
  <c r="D19" i="1801" s="1"/>
  <c r="H35" i="1801"/>
  <c r="D35" i="1801"/>
  <c r="R34" i="1801"/>
  <c r="L12" i="1801" s="1"/>
  <c r="D12" i="1801" s="1"/>
  <c r="H34" i="1801"/>
  <c r="D34" i="1801"/>
  <c r="R33" i="1801"/>
  <c r="L23" i="1801" s="1"/>
  <c r="D23" i="1801" s="1"/>
  <c r="R32" i="1801"/>
  <c r="L11" i="1801" s="1"/>
  <c r="D11" i="1801" s="1"/>
  <c r="R31" i="1801"/>
  <c r="R30" i="1801"/>
  <c r="R29" i="1801"/>
  <c r="R28" i="1801"/>
  <c r="L16" i="1801" s="1"/>
  <c r="D16" i="1801" s="1"/>
  <c r="L28" i="1801"/>
  <c r="D28" i="1801"/>
  <c r="R27" i="1801"/>
  <c r="D27" i="1801"/>
  <c r="R26" i="1801"/>
  <c r="L26" i="1801"/>
  <c r="D26" i="1801" s="1"/>
  <c r="R25" i="1801"/>
  <c r="L25" i="1801"/>
  <c r="D25" i="1801"/>
  <c r="R24" i="1801"/>
  <c r="D24" i="1801"/>
  <c r="R23" i="1801"/>
  <c r="R22" i="1801"/>
  <c r="L22" i="1801"/>
  <c r="D22" i="1801"/>
  <c r="R21" i="1801"/>
  <c r="D21" i="1801"/>
  <c r="R20" i="1801"/>
  <c r="L20" i="1801"/>
  <c r="D20" i="1801" s="1"/>
  <c r="R19" i="1801"/>
  <c r="R18" i="1801"/>
  <c r="D18" i="1801"/>
  <c r="R17" i="1801"/>
  <c r="D17" i="1801"/>
  <c r="R16" i="1801"/>
  <c r="R15" i="1801"/>
  <c r="D15" i="1801"/>
  <c r="R14" i="1801"/>
  <c r="D14" i="1801"/>
  <c r="R13" i="1801"/>
  <c r="D13" i="1801"/>
  <c r="R12" i="1801"/>
  <c r="R11" i="1801"/>
  <c r="L8" i="1801"/>
  <c r="D8" i="1801"/>
  <c r="R6" i="1801"/>
  <c r="L6" i="1801"/>
  <c r="D6" i="1801" s="1"/>
  <c r="R5" i="1801"/>
  <c r="R4" i="1801"/>
  <c r="R52" i="1800"/>
  <c r="R51" i="1800"/>
  <c r="D50" i="1800"/>
  <c r="R49" i="1800"/>
  <c r="D49" i="1800"/>
  <c r="R48" i="1800"/>
  <c r="D48" i="1800"/>
  <c r="D46" i="1800"/>
  <c r="D45" i="1800"/>
  <c r="R44" i="1800"/>
  <c r="D44" i="1800"/>
  <c r="R42" i="1800"/>
  <c r="L6" i="1800" s="1"/>
  <c r="D6" i="1800" s="1"/>
  <c r="D42" i="1800"/>
  <c r="R41" i="1800"/>
  <c r="D41" i="1800"/>
  <c r="R40" i="1800"/>
  <c r="L8" i="1800" s="1"/>
  <c r="D8" i="1800" s="1"/>
  <c r="D40" i="1800"/>
  <c r="R39" i="1800"/>
  <c r="H39" i="1800"/>
  <c r="D39" i="1800"/>
  <c r="R38" i="1800"/>
  <c r="H38" i="1800"/>
  <c r="D38" i="1800"/>
  <c r="R37" i="1800"/>
  <c r="H37" i="1800"/>
  <c r="D37" i="1800"/>
  <c r="R36" i="1800"/>
  <c r="L10" i="1800" s="1"/>
  <c r="D10" i="1800" s="1"/>
  <c r="H36" i="1800"/>
  <c r="D36" i="1800"/>
  <c r="R35" i="1800"/>
  <c r="H35" i="1800"/>
  <c r="D35" i="1800"/>
  <c r="R34" i="1800"/>
  <c r="H34" i="1800"/>
  <c r="D34" i="1800"/>
  <c r="R33" i="1800"/>
  <c r="R32" i="1800"/>
  <c r="R31" i="1800"/>
  <c r="R30" i="1800"/>
  <c r="R29" i="1800"/>
  <c r="R28" i="1800"/>
  <c r="L28" i="1800"/>
  <c r="D28" i="1800"/>
  <c r="R27" i="1800"/>
  <c r="D27" i="1800"/>
  <c r="R26" i="1800"/>
  <c r="L26" i="1800"/>
  <c r="D26" i="1800"/>
  <c r="R25" i="1800"/>
  <c r="L25" i="1800"/>
  <c r="D25" i="1800"/>
  <c r="R24" i="1800"/>
  <c r="L24" i="1800"/>
  <c r="D24" i="1800"/>
  <c r="R23" i="1800"/>
  <c r="L23" i="1800"/>
  <c r="D23" i="1800"/>
  <c r="R22" i="1800"/>
  <c r="L22" i="1800"/>
  <c r="D22" i="1800" s="1"/>
  <c r="R21" i="1800"/>
  <c r="D21" i="1800"/>
  <c r="R20" i="1800"/>
  <c r="L20" i="1800"/>
  <c r="D20" i="1800" s="1"/>
  <c r="R19" i="1800"/>
  <c r="L19" i="1800"/>
  <c r="D19" i="1800" s="1"/>
  <c r="R18" i="1800"/>
  <c r="D18" i="1800"/>
  <c r="R17" i="1800"/>
  <c r="L17" i="1800"/>
  <c r="D17" i="1800"/>
  <c r="R16" i="1800"/>
  <c r="L16" i="1800"/>
  <c r="D16" i="1800" s="1"/>
  <c r="R15" i="1800"/>
  <c r="D15" i="1800"/>
  <c r="R14" i="1800"/>
  <c r="D14" i="1800"/>
  <c r="R13" i="1800"/>
  <c r="D13" i="1800"/>
  <c r="R12" i="1800"/>
  <c r="L12" i="1800"/>
  <c r="D12" i="1800" s="1"/>
  <c r="R11" i="1800"/>
  <c r="L11" i="1800"/>
  <c r="D11" i="1800"/>
  <c r="L9" i="1800"/>
  <c r="D9" i="1800" s="1"/>
  <c r="L7" i="1800"/>
  <c r="D7" i="1800"/>
  <c r="R6" i="1800"/>
  <c r="R5" i="1800"/>
  <c r="R4" i="1800"/>
  <c r="R52" i="1799"/>
  <c r="R51" i="1799"/>
  <c r="D50" i="1799"/>
  <c r="R49" i="1799"/>
  <c r="D49" i="1799"/>
  <c r="R48" i="1799"/>
  <c r="D48" i="1799"/>
  <c r="D46" i="1799"/>
  <c r="D45" i="1799"/>
  <c r="R44" i="1799"/>
  <c r="D44" i="1799"/>
  <c r="R42" i="1799"/>
  <c r="L6" i="1799" s="1"/>
  <c r="D6" i="1799" s="1"/>
  <c r="D42" i="1799"/>
  <c r="R41" i="1799"/>
  <c r="L7" i="1799" s="1"/>
  <c r="D7" i="1799" s="1"/>
  <c r="D41" i="1799"/>
  <c r="R40" i="1799"/>
  <c r="D40" i="1799"/>
  <c r="R39" i="1799"/>
  <c r="L20" i="1799" s="1"/>
  <c r="D20" i="1799" s="1"/>
  <c r="H39" i="1799"/>
  <c r="D39" i="1799"/>
  <c r="R38" i="1799"/>
  <c r="H38" i="1799"/>
  <c r="D38" i="1799"/>
  <c r="R37" i="1799"/>
  <c r="H37" i="1799"/>
  <c r="D37" i="1799"/>
  <c r="R36" i="1799"/>
  <c r="H36" i="1799"/>
  <c r="D36" i="1799"/>
  <c r="R35" i="1799"/>
  <c r="H35" i="1799"/>
  <c r="D35" i="1799"/>
  <c r="R34" i="1799"/>
  <c r="H34" i="1799"/>
  <c r="D34" i="1799"/>
  <c r="R33" i="1799"/>
  <c r="R32" i="1799"/>
  <c r="R31" i="1799"/>
  <c r="R30" i="1799"/>
  <c r="R29" i="1799"/>
  <c r="R28" i="1799"/>
  <c r="L28" i="1799"/>
  <c r="D28" i="1799"/>
  <c r="R27" i="1799"/>
  <c r="D27" i="1799"/>
  <c r="R26" i="1799"/>
  <c r="L26" i="1799"/>
  <c r="D26" i="1799"/>
  <c r="R25" i="1799"/>
  <c r="L25" i="1799"/>
  <c r="D25" i="1799"/>
  <c r="R24" i="1799"/>
  <c r="L24" i="1799"/>
  <c r="D24" i="1799"/>
  <c r="R23" i="1799"/>
  <c r="D23" i="1799"/>
  <c r="R22" i="1799"/>
  <c r="D22" i="1799"/>
  <c r="R21" i="1799"/>
  <c r="D21" i="1799"/>
  <c r="R20" i="1799"/>
  <c r="R19" i="1799"/>
  <c r="D19" i="1799"/>
  <c r="R18" i="1799"/>
  <c r="D18" i="1799"/>
  <c r="R17" i="1799"/>
  <c r="L17" i="1799"/>
  <c r="D17" i="1799"/>
  <c r="R16" i="1799"/>
  <c r="L16" i="1799"/>
  <c r="D16" i="1799" s="1"/>
  <c r="R15" i="1799"/>
  <c r="D15" i="1799"/>
  <c r="R14" i="1799"/>
  <c r="D14" i="1799"/>
  <c r="R13" i="1799"/>
  <c r="D13" i="1799"/>
  <c r="R12" i="1799"/>
  <c r="L12" i="1799"/>
  <c r="D12" i="1799" s="1"/>
  <c r="R11" i="1799"/>
  <c r="L11" i="1799"/>
  <c r="D11" i="1799" s="1"/>
  <c r="L10" i="1799"/>
  <c r="D10" i="1799"/>
  <c r="L9" i="1799"/>
  <c r="D9" i="1799"/>
  <c r="L8" i="1799"/>
  <c r="D8" i="1799" s="1"/>
  <c r="R6" i="1799"/>
  <c r="R5" i="1799"/>
  <c r="R4" i="1799"/>
  <c r="R52" i="1798"/>
  <c r="R51" i="1798"/>
  <c r="D50" i="1798"/>
  <c r="R49" i="1798"/>
  <c r="G49" i="1798"/>
  <c r="D49" i="1798"/>
  <c r="R48" i="1798"/>
  <c r="D48" i="1798"/>
  <c r="D46" i="1798"/>
  <c r="D45" i="1798"/>
  <c r="D44" i="1798"/>
  <c r="R42" i="1798"/>
  <c r="L6" i="1798" s="1"/>
  <c r="D6" i="1798" s="1"/>
  <c r="D42" i="1798"/>
  <c r="R41" i="1798"/>
  <c r="L7" i="1798" s="1"/>
  <c r="D7" i="1798" s="1"/>
  <c r="D41" i="1798"/>
  <c r="D54" i="1798" s="1"/>
  <c r="H14" i="1798" s="1"/>
  <c r="R40" i="1798"/>
  <c r="D40" i="1798"/>
  <c r="R39" i="1798"/>
  <c r="D39" i="1798"/>
  <c r="R38" i="1798"/>
  <c r="D38" i="1798"/>
  <c r="R37" i="1798"/>
  <c r="D37" i="1798"/>
  <c r="R36" i="1798"/>
  <c r="D36" i="1798"/>
  <c r="R35" i="1798"/>
  <c r="D35" i="1798"/>
  <c r="R34" i="1798"/>
  <c r="D34" i="1798"/>
  <c r="R33" i="1798"/>
  <c r="L23" i="1798" s="1"/>
  <c r="D23" i="1798" s="1"/>
  <c r="R32" i="1798"/>
  <c r="L11" i="1798" s="1"/>
  <c r="D11" i="1798" s="1"/>
  <c r="R31" i="1798"/>
  <c r="R30" i="1798"/>
  <c r="R29" i="1798"/>
  <c r="R28" i="1798"/>
  <c r="L16" i="1798" s="1"/>
  <c r="D16" i="1798" s="1"/>
  <c r="D28" i="1798"/>
  <c r="R27" i="1798"/>
  <c r="D27" i="1798"/>
  <c r="R26" i="1798"/>
  <c r="L26" i="1798"/>
  <c r="D26" i="1798"/>
  <c r="R25" i="1798"/>
  <c r="L25" i="1798"/>
  <c r="D25" i="1798"/>
  <c r="R24" i="1798"/>
  <c r="D24" i="1798"/>
  <c r="R23" i="1798"/>
  <c r="R22" i="1798"/>
  <c r="L22" i="1798"/>
  <c r="D22" i="1798" s="1"/>
  <c r="R21" i="1798"/>
  <c r="D21" i="1798"/>
  <c r="R20" i="1798"/>
  <c r="L20" i="1798"/>
  <c r="D20" i="1798"/>
  <c r="R19" i="1798"/>
  <c r="L19" i="1798"/>
  <c r="D19" i="1798"/>
  <c r="R18" i="1798"/>
  <c r="D18" i="1798"/>
  <c r="R17" i="1798"/>
  <c r="D17" i="1798"/>
  <c r="R16" i="1798"/>
  <c r="S15" i="1798"/>
  <c r="R15" i="1798"/>
  <c r="D15" i="1798"/>
  <c r="S14" i="1798"/>
  <c r="R14" i="1798"/>
  <c r="D14" i="1798"/>
  <c r="R13" i="1798"/>
  <c r="D13" i="1798"/>
  <c r="R12" i="1798"/>
  <c r="L12" i="1798"/>
  <c r="D12" i="1798" s="1"/>
  <c r="R11" i="1798"/>
  <c r="L10" i="1798"/>
  <c r="D10" i="1798" s="1"/>
  <c r="L9" i="1798"/>
  <c r="D9" i="1798"/>
  <c r="L8" i="1798"/>
  <c r="D8" i="1798" s="1"/>
  <c r="R6" i="1798"/>
  <c r="R5" i="1798"/>
  <c r="R4" i="1798"/>
  <c r="R52" i="1797"/>
  <c r="R51" i="1797"/>
  <c r="D50" i="1797"/>
  <c r="R49" i="1797"/>
  <c r="D49" i="1797"/>
  <c r="R48" i="1797"/>
  <c r="D48" i="1797"/>
  <c r="D46" i="1797"/>
  <c r="D45" i="1797"/>
  <c r="R44" i="1797"/>
  <c r="L28" i="1797" s="1"/>
  <c r="D28" i="1797" s="1"/>
  <c r="D44" i="1797"/>
  <c r="R42" i="1797"/>
  <c r="L6" i="1797" s="1"/>
  <c r="D6" i="1797" s="1"/>
  <c r="D42" i="1797"/>
  <c r="R41" i="1797"/>
  <c r="L7" i="1797" s="1"/>
  <c r="D7" i="1797" s="1"/>
  <c r="D41" i="1797"/>
  <c r="R40" i="1797"/>
  <c r="D40" i="1797"/>
  <c r="R39" i="1797"/>
  <c r="H39" i="1797"/>
  <c r="D39" i="1797"/>
  <c r="R38" i="1797"/>
  <c r="H38" i="1797"/>
  <c r="D38" i="1797"/>
  <c r="R37" i="1797"/>
  <c r="H37" i="1797"/>
  <c r="D37" i="1797"/>
  <c r="R36" i="1797"/>
  <c r="H36" i="1797"/>
  <c r="D36" i="1797"/>
  <c r="R35" i="1797"/>
  <c r="L19" i="1797" s="1"/>
  <c r="D19" i="1797" s="1"/>
  <c r="H35" i="1797"/>
  <c r="D35" i="1797"/>
  <c r="R34" i="1797"/>
  <c r="L12" i="1797" s="1"/>
  <c r="D12" i="1797" s="1"/>
  <c r="H34" i="1797"/>
  <c r="D34" i="1797"/>
  <c r="R33" i="1797"/>
  <c r="R32" i="1797"/>
  <c r="R31" i="1797"/>
  <c r="R30" i="1797"/>
  <c r="R29" i="1797"/>
  <c r="R28" i="1797"/>
  <c r="R27" i="1797"/>
  <c r="D27" i="1797"/>
  <c r="R26" i="1797"/>
  <c r="L26" i="1797"/>
  <c r="D26" i="1797"/>
  <c r="R25" i="1797"/>
  <c r="L25" i="1797"/>
  <c r="D25" i="1797" s="1"/>
  <c r="R24" i="1797"/>
  <c r="D24" i="1797"/>
  <c r="R23" i="1797"/>
  <c r="L23" i="1797"/>
  <c r="D23" i="1797"/>
  <c r="R22" i="1797"/>
  <c r="L22" i="1797"/>
  <c r="D22" i="1797"/>
  <c r="R21" i="1797"/>
  <c r="D21" i="1797"/>
  <c r="R20" i="1797"/>
  <c r="L20" i="1797"/>
  <c r="D20" i="1797"/>
  <c r="R19" i="1797"/>
  <c r="R18" i="1797"/>
  <c r="D18" i="1797"/>
  <c r="R17" i="1797"/>
  <c r="D17" i="1797"/>
  <c r="R16" i="1797"/>
  <c r="L16" i="1797"/>
  <c r="D16" i="1797"/>
  <c r="R15" i="1797"/>
  <c r="D15" i="1797"/>
  <c r="R14" i="1797"/>
  <c r="D14" i="1797"/>
  <c r="R13" i="1797"/>
  <c r="D13" i="1797"/>
  <c r="R12" i="1797"/>
  <c r="R11" i="1797"/>
  <c r="L11" i="1797"/>
  <c r="D11" i="1797" s="1"/>
  <c r="L10" i="1797"/>
  <c r="D10" i="1797"/>
  <c r="L9" i="1797"/>
  <c r="D9" i="1797" s="1"/>
  <c r="L8" i="1797"/>
  <c r="D8" i="1797"/>
  <c r="R6" i="1797"/>
  <c r="R5" i="1797"/>
  <c r="R4" i="1797"/>
  <c r="R52" i="1796"/>
  <c r="R51" i="1796"/>
  <c r="D50" i="1796"/>
  <c r="R49" i="1796"/>
  <c r="D49" i="1796"/>
  <c r="R48" i="1796"/>
  <c r="D48" i="1796"/>
  <c r="D46" i="1796"/>
  <c r="D45" i="1796"/>
  <c r="R44" i="1796"/>
  <c r="L28" i="1796" s="1"/>
  <c r="D28" i="1796" s="1"/>
  <c r="D44" i="1796"/>
  <c r="R42" i="1796"/>
  <c r="D42" i="1796"/>
  <c r="R41" i="1796"/>
  <c r="D41" i="1796"/>
  <c r="R40" i="1796"/>
  <c r="D40" i="1796"/>
  <c r="R39" i="1796"/>
  <c r="L20" i="1796" s="1"/>
  <c r="D20" i="1796" s="1"/>
  <c r="H39" i="1796"/>
  <c r="D39" i="1796"/>
  <c r="R38" i="1796"/>
  <c r="H38" i="1796"/>
  <c r="D38" i="1796"/>
  <c r="R37" i="1796"/>
  <c r="H37" i="1796"/>
  <c r="D37" i="1796"/>
  <c r="R36" i="1796"/>
  <c r="L10" i="1796" s="1"/>
  <c r="D10" i="1796" s="1"/>
  <c r="H36" i="1796"/>
  <c r="D36" i="1796"/>
  <c r="R35" i="1796"/>
  <c r="H35" i="1796"/>
  <c r="D35" i="1796"/>
  <c r="R34" i="1796"/>
  <c r="L12" i="1796" s="1"/>
  <c r="D12" i="1796" s="1"/>
  <c r="H34" i="1796"/>
  <c r="D34" i="1796"/>
  <c r="R33" i="1796"/>
  <c r="R32" i="1796"/>
  <c r="R31" i="1796"/>
  <c r="R30" i="1796"/>
  <c r="R29" i="1796"/>
  <c r="R28" i="1796"/>
  <c r="R27" i="1796"/>
  <c r="D27" i="1796"/>
  <c r="R26" i="1796"/>
  <c r="L26" i="1796"/>
  <c r="D26" i="1796"/>
  <c r="R25" i="1796"/>
  <c r="L25" i="1796"/>
  <c r="D25" i="1796" s="1"/>
  <c r="R24" i="1796"/>
  <c r="L24" i="1796"/>
  <c r="D24" i="1796"/>
  <c r="R23" i="1796"/>
  <c r="L23" i="1796"/>
  <c r="D23" i="1796" s="1"/>
  <c r="R22" i="1796"/>
  <c r="L22" i="1796"/>
  <c r="D22" i="1796" s="1"/>
  <c r="R21" i="1796"/>
  <c r="D21" i="1796"/>
  <c r="R20" i="1796"/>
  <c r="R19" i="1796"/>
  <c r="L19" i="1796"/>
  <c r="D19" i="1796"/>
  <c r="R18" i="1796"/>
  <c r="D18" i="1796"/>
  <c r="R17" i="1796"/>
  <c r="L17" i="1796"/>
  <c r="D17" i="1796" s="1"/>
  <c r="R16" i="1796"/>
  <c r="L16" i="1796"/>
  <c r="D16" i="1796" s="1"/>
  <c r="R15" i="1796"/>
  <c r="D15" i="1796"/>
  <c r="R14" i="1796"/>
  <c r="D14" i="1796"/>
  <c r="R13" i="1796"/>
  <c r="D13" i="1796"/>
  <c r="R12" i="1796"/>
  <c r="R11" i="1796"/>
  <c r="L11" i="1796"/>
  <c r="D11" i="1796"/>
  <c r="L9" i="1796"/>
  <c r="D9" i="1796"/>
  <c r="L8" i="1796"/>
  <c r="D8" i="1796" s="1"/>
  <c r="L7" i="1796"/>
  <c r="D7" i="1796" s="1"/>
  <c r="R6" i="1796"/>
  <c r="L6" i="1796"/>
  <c r="D6" i="1796"/>
  <c r="R5" i="1796"/>
  <c r="R4" i="1796"/>
  <c r="R52" i="1795"/>
  <c r="R51" i="1795"/>
  <c r="D50" i="1795"/>
  <c r="R49" i="1795"/>
  <c r="D49" i="1795"/>
  <c r="R48" i="1795"/>
  <c r="D48" i="1795"/>
  <c r="D46" i="1795"/>
  <c r="D45" i="1795"/>
  <c r="R44" i="1795"/>
  <c r="L28" i="1795" s="1"/>
  <c r="D28" i="1795" s="1"/>
  <c r="D44" i="1795"/>
  <c r="R42" i="1795"/>
  <c r="L6" i="1795" s="1"/>
  <c r="D6" i="1795" s="1"/>
  <c r="D42" i="1795"/>
  <c r="R41" i="1795"/>
  <c r="D41" i="1795"/>
  <c r="R40" i="1795"/>
  <c r="L8" i="1795" s="1"/>
  <c r="D8" i="1795" s="1"/>
  <c r="D40" i="1795"/>
  <c r="R39" i="1795"/>
  <c r="L20" i="1795" s="1"/>
  <c r="D20" i="1795" s="1"/>
  <c r="H39" i="1795"/>
  <c r="D39" i="1795"/>
  <c r="R38" i="1795"/>
  <c r="H38" i="1795"/>
  <c r="D38" i="1795"/>
  <c r="R37" i="1795"/>
  <c r="H37" i="1795"/>
  <c r="D37" i="1795"/>
  <c r="R36" i="1795"/>
  <c r="H36" i="1795"/>
  <c r="D36" i="1795"/>
  <c r="R35" i="1795"/>
  <c r="H35" i="1795"/>
  <c r="D35" i="1795"/>
  <c r="R34" i="1795"/>
  <c r="H34" i="1795"/>
  <c r="D34" i="1795"/>
  <c r="R33" i="1795"/>
  <c r="R32" i="1795"/>
  <c r="R31" i="1795"/>
  <c r="R30" i="1795"/>
  <c r="R29" i="1795"/>
  <c r="R28" i="1795"/>
  <c r="R27" i="1795"/>
  <c r="D27" i="1795"/>
  <c r="R26" i="1795"/>
  <c r="L26" i="1795"/>
  <c r="D26" i="1795"/>
  <c r="R25" i="1795"/>
  <c r="L25" i="1795"/>
  <c r="D25" i="1795"/>
  <c r="R24" i="1795"/>
  <c r="L24" i="1795"/>
  <c r="D24" i="1795"/>
  <c r="R23" i="1795"/>
  <c r="D23" i="1795"/>
  <c r="R22" i="1795"/>
  <c r="D22" i="1795"/>
  <c r="R21" i="1795"/>
  <c r="D21" i="1795"/>
  <c r="R20" i="1795"/>
  <c r="R19" i="1795"/>
  <c r="D19" i="1795"/>
  <c r="R18" i="1795"/>
  <c r="D18" i="1795"/>
  <c r="R17" i="1795"/>
  <c r="L17" i="1795"/>
  <c r="D17" i="1795"/>
  <c r="R16" i="1795"/>
  <c r="L16" i="1795"/>
  <c r="D16" i="1795"/>
  <c r="R15" i="1795"/>
  <c r="D15" i="1795"/>
  <c r="R14" i="1795"/>
  <c r="D14" i="1795"/>
  <c r="R13" i="1795"/>
  <c r="D13" i="1795"/>
  <c r="R12" i="1795"/>
  <c r="L12" i="1795"/>
  <c r="D12" i="1795"/>
  <c r="R11" i="1795"/>
  <c r="L11" i="1795"/>
  <c r="D11" i="1795"/>
  <c r="L10" i="1795"/>
  <c r="D10" i="1795" s="1"/>
  <c r="L9" i="1795"/>
  <c r="D9" i="1795" s="1"/>
  <c r="L7" i="1795"/>
  <c r="D7" i="1795"/>
  <c r="R6" i="1795"/>
  <c r="R5" i="1795"/>
  <c r="R4" i="1795"/>
  <c r="R52" i="1794"/>
  <c r="R51" i="1794"/>
  <c r="D50" i="1794"/>
  <c r="R49" i="1794"/>
  <c r="G49" i="1794"/>
  <c r="D49" i="1794"/>
  <c r="R48" i="1794"/>
  <c r="D48" i="1794"/>
  <c r="D46" i="1794"/>
  <c r="D45" i="1794"/>
  <c r="D44" i="1794"/>
  <c r="R42" i="1794"/>
  <c r="L6" i="1794" s="1"/>
  <c r="D6" i="1794" s="1"/>
  <c r="D42" i="1794"/>
  <c r="R41" i="1794"/>
  <c r="L7" i="1794" s="1"/>
  <c r="D7" i="1794" s="1"/>
  <c r="D41" i="1794"/>
  <c r="R40" i="1794"/>
  <c r="D40" i="1794"/>
  <c r="R39" i="1794"/>
  <c r="D39" i="1794"/>
  <c r="R38" i="1794"/>
  <c r="L9" i="1794" s="1"/>
  <c r="D9" i="1794" s="1"/>
  <c r="D38" i="1794"/>
  <c r="R37" i="1794"/>
  <c r="D37" i="1794"/>
  <c r="R36" i="1794"/>
  <c r="L10" i="1794" s="1"/>
  <c r="D10" i="1794" s="1"/>
  <c r="D36" i="1794"/>
  <c r="R35" i="1794"/>
  <c r="D35" i="1794"/>
  <c r="R34" i="1794"/>
  <c r="L12" i="1794" s="1"/>
  <c r="D12" i="1794" s="1"/>
  <c r="D34" i="1794"/>
  <c r="D54" i="1794" s="1"/>
  <c r="H14" i="1794" s="1"/>
  <c r="R33" i="1794"/>
  <c r="L23" i="1794" s="1"/>
  <c r="D23" i="1794" s="1"/>
  <c r="R32" i="1794"/>
  <c r="R31" i="1794"/>
  <c r="R30" i="1794"/>
  <c r="R29" i="1794"/>
  <c r="R28" i="1794"/>
  <c r="L16" i="1794" s="1"/>
  <c r="D16" i="1794" s="1"/>
  <c r="D28" i="1794"/>
  <c r="R27" i="1794"/>
  <c r="D27" i="1794"/>
  <c r="R26" i="1794"/>
  <c r="L26" i="1794"/>
  <c r="D26" i="1794"/>
  <c r="R25" i="1794"/>
  <c r="L25" i="1794"/>
  <c r="D25" i="1794"/>
  <c r="R24" i="1794"/>
  <c r="D24" i="1794"/>
  <c r="R23" i="1794"/>
  <c r="R22" i="1794"/>
  <c r="L22" i="1794"/>
  <c r="D22" i="1794" s="1"/>
  <c r="R21" i="1794"/>
  <c r="D21" i="1794"/>
  <c r="R20" i="1794"/>
  <c r="L20" i="1794"/>
  <c r="D20" i="1794"/>
  <c r="R19" i="1794"/>
  <c r="L19" i="1794"/>
  <c r="D19" i="1794"/>
  <c r="R18" i="1794"/>
  <c r="D18" i="1794"/>
  <c r="R17" i="1794"/>
  <c r="D17" i="1794"/>
  <c r="R16" i="1794"/>
  <c r="S15" i="1794"/>
  <c r="R15" i="1794"/>
  <c r="D15" i="1794"/>
  <c r="S14" i="1794"/>
  <c r="R14" i="1794"/>
  <c r="D14" i="1794"/>
  <c r="R13" i="1794"/>
  <c r="D13" i="1794"/>
  <c r="R12" i="1794"/>
  <c r="R11" i="1794"/>
  <c r="L11" i="1794"/>
  <c r="D11" i="1794" s="1"/>
  <c r="L8" i="1794"/>
  <c r="D8" i="1794"/>
  <c r="R6" i="1794"/>
  <c r="R5" i="1794"/>
  <c r="R4" i="1794"/>
  <c r="R52" i="1793"/>
  <c r="R51" i="1793"/>
  <c r="D50" i="1793"/>
  <c r="R49" i="1793"/>
  <c r="D49" i="1793"/>
  <c r="R48" i="1793"/>
  <c r="D48" i="1793"/>
  <c r="D46" i="1793"/>
  <c r="D45" i="1793"/>
  <c r="R44" i="1793"/>
  <c r="D44" i="1793"/>
  <c r="R42" i="1793"/>
  <c r="L6" i="1793" s="1"/>
  <c r="D6" i="1793" s="1"/>
  <c r="D42" i="1793"/>
  <c r="R41" i="1793"/>
  <c r="L7" i="1793" s="1"/>
  <c r="D7" i="1793" s="1"/>
  <c r="D41" i="1793"/>
  <c r="R40" i="1793"/>
  <c r="D40" i="1793"/>
  <c r="R39" i="1793"/>
  <c r="H39" i="1793"/>
  <c r="D39" i="1793"/>
  <c r="R38" i="1793"/>
  <c r="H38" i="1793"/>
  <c r="D38" i="1793"/>
  <c r="R37" i="1793"/>
  <c r="H37" i="1793"/>
  <c r="D37" i="1793"/>
  <c r="R36" i="1793"/>
  <c r="H36" i="1793"/>
  <c r="D36" i="1793"/>
  <c r="R35" i="1793"/>
  <c r="L19" i="1793" s="1"/>
  <c r="D19" i="1793" s="1"/>
  <c r="H35" i="1793"/>
  <c r="D35" i="1793"/>
  <c r="R34" i="1793"/>
  <c r="H34" i="1793"/>
  <c r="D34" i="1793"/>
  <c r="R33" i="1793"/>
  <c r="R32" i="1793"/>
  <c r="R31" i="1793"/>
  <c r="R30" i="1793"/>
  <c r="R29" i="1793"/>
  <c r="R28" i="1793"/>
  <c r="L16" i="1793" s="1"/>
  <c r="D16" i="1793" s="1"/>
  <c r="L28" i="1793"/>
  <c r="D28" i="1793"/>
  <c r="R27" i="1793"/>
  <c r="D27" i="1793"/>
  <c r="R26" i="1793"/>
  <c r="L26" i="1793"/>
  <c r="D26" i="1793" s="1"/>
  <c r="R25" i="1793"/>
  <c r="L25" i="1793"/>
  <c r="D25" i="1793" s="1"/>
  <c r="R24" i="1793"/>
  <c r="D24" i="1793"/>
  <c r="R23" i="1793"/>
  <c r="L23" i="1793"/>
  <c r="D23" i="1793"/>
  <c r="R22" i="1793"/>
  <c r="L22" i="1793"/>
  <c r="D22" i="1793"/>
  <c r="R21" i="1793"/>
  <c r="D21" i="1793"/>
  <c r="R20" i="1793"/>
  <c r="L20" i="1793"/>
  <c r="D20" i="1793" s="1"/>
  <c r="R19" i="1793"/>
  <c r="R18" i="1793"/>
  <c r="D18" i="1793"/>
  <c r="R17" i="1793"/>
  <c r="D17" i="1793"/>
  <c r="R16" i="1793"/>
  <c r="R15" i="1793"/>
  <c r="D15" i="1793"/>
  <c r="R14" i="1793"/>
  <c r="D14" i="1793"/>
  <c r="R13" i="1793"/>
  <c r="D13" i="1793"/>
  <c r="R12" i="1793"/>
  <c r="L12" i="1793"/>
  <c r="D12" i="1793" s="1"/>
  <c r="R11" i="1793"/>
  <c r="L11" i="1793"/>
  <c r="D11" i="1793"/>
  <c r="L10" i="1793"/>
  <c r="D10" i="1793"/>
  <c r="L9" i="1793"/>
  <c r="D9" i="1793" s="1"/>
  <c r="L8" i="1793"/>
  <c r="D8" i="1793"/>
  <c r="R6" i="1793"/>
  <c r="R5" i="1793"/>
  <c r="R4" i="1793"/>
  <c r="R52" i="1792"/>
  <c r="R51" i="1792"/>
  <c r="D50" i="1792"/>
  <c r="R49" i="1792"/>
  <c r="D49" i="1792"/>
  <c r="R48" i="1792"/>
  <c r="D48" i="1792"/>
  <c r="D46" i="1792"/>
  <c r="D45" i="1792"/>
  <c r="R44" i="1792"/>
  <c r="D44" i="1792"/>
  <c r="R42" i="1792"/>
  <c r="L6" i="1792" s="1"/>
  <c r="D6" i="1792" s="1"/>
  <c r="D42" i="1792"/>
  <c r="R41" i="1792"/>
  <c r="D41" i="1792"/>
  <c r="R40" i="1792"/>
  <c r="L8" i="1792" s="1"/>
  <c r="D8" i="1792" s="1"/>
  <c r="D40" i="1792"/>
  <c r="R39" i="1792"/>
  <c r="H39" i="1792"/>
  <c r="D39" i="1792"/>
  <c r="R38" i="1792"/>
  <c r="H38" i="1792"/>
  <c r="D38" i="1792"/>
  <c r="R37" i="1792"/>
  <c r="H37" i="1792"/>
  <c r="D37" i="1792"/>
  <c r="R36" i="1792"/>
  <c r="L10" i="1792" s="1"/>
  <c r="D10" i="1792" s="1"/>
  <c r="H36" i="1792"/>
  <c r="D36" i="1792"/>
  <c r="R35" i="1792"/>
  <c r="H35" i="1792"/>
  <c r="D35" i="1792"/>
  <c r="R34" i="1792"/>
  <c r="H34" i="1792"/>
  <c r="D34" i="1792"/>
  <c r="R33" i="1792"/>
  <c r="R32" i="1792"/>
  <c r="R31" i="1792"/>
  <c r="R30" i="1792"/>
  <c r="R29" i="1792"/>
  <c r="R28" i="1792"/>
  <c r="L28" i="1792"/>
  <c r="D28" i="1792"/>
  <c r="R27" i="1792"/>
  <c r="D27" i="1792"/>
  <c r="R26" i="1792"/>
  <c r="L26" i="1792"/>
  <c r="D26" i="1792"/>
  <c r="R25" i="1792"/>
  <c r="L25" i="1792"/>
  <c r="D25" i="1792"/>
  <c r="R24" i="1792"/>
  <c r="L24" i="1792"/>
  <c r="D24" i="1792"/>
  <c r="R23" i="1792"/>
  <c r="L23" i="1792"/>
  <c r="D23" i="1792"/>
  <c r="R22" i="1792"/>
  <c r="L22" i="1792"/>
  <c r="D22" i="1792" s="1"/>
  <c r="R21" i="1792"/>
  <c r="D21" i="1792"/>
  <c r="R20" i="1792"/>
  <c r="L20" i="1792"/>
  <c r="D20" i="1792"/>
  <c r="R19" i="1792"/>
  <c r="L19" i="1792"/>
  <c r="D19" i="1792"/>
  <c r="R18" i="1792"/>
  <c r="D18" i="1792"/>
  <c r="R17" i="1792"/>
  <c r="L17" i="1792"/>
  <c r="D17" i="1792"/>
  <c r="R16" i="1792"/>
  <c r="L16" i="1792"/>
  <c r="D16" i="1792" s="1"/>
  <c r="R15" i="1792"/>
  <c r="D15" i="1792"/>
  <c r="R14" i="1792"/>
  <c r="D14" i="1792"/>
  <c r="R13" i="1792"/>
  <c r="D13" i="1792"/>
  <c r="R12" i="1792"/>
  <c r="L12" i="1792"/>
  <c r="D12" i="1792"/>
  <c r="R11" i="1792"/>
  <c r="L11" i="1792"/>
  <c r="D11" i="1792"/>
  <c r="L9" i="1792"/>
  <c r="D9" i="1792" s="1"/>
  <c r="L7" i="1792"/>
  <c r="D7" i="1792"/>
  <c r="R6" i="1792"/>
  <c r="R5" i="1792"/>
  <c r="R4" i="1792"/>
  <c r="R52" i="1791"/>
  <c r="R51" i="1791"/>
  <c r="D50" i="1791"/>
  <c r="R49" i="1791"/>
  <c r="D49" i="1791"/>
  <c r="R48" i="1791"/>
  <c r="D48" i="1791"/>
  <c r="D46" i="1791"/>
  <c r="D45" i="1791"/>
  <c r="R44" i="1791"/>
  <c r="D44" i="1791"/>
  <c r="R42" i="1791"/>
  <c r="L6" i="1791" s="1"/>
  <c r="D6" i="1791" s="1"/>
  <c r="D42" i="1791"/>
  <c r="R41" i="1791"/>
  <c r="L7" i="1791" s="1"/>
  <c r="D7" i="1791" s="1"/>
  <c r="D41" i="1791"/>
  <c r="R40" i="1791"/>
  <c r="L8" i="1791" s="1"/>
  <c r="D8" i="1791" s="1"/>
  <c r="D40" i="1791"/>
  <c r="R39" i="1791"/>
  <c r="H39" i="1791"/>
  <c r="D39" i="1791"/>
  <c r="R38" i="1791"/>
  <c r="H38" i="1791"/>
  <c r="D38" i="1791"/>
  <c r="R37" i="1791"/>
  <c r="H37" i="1791"/>
  <c r="D37" i="1791"/>
  <c r="R36" i="1791"/>
  <c r="H36" i="1791"/>
  <c r="D36" i="1791"/>
  <c r="R35" i="1791"/>
  <c r="H35" i="1791"/>
  <c r="D35" i="1791"/>
  <c r="R34" i="1791"/>
  <c r="H34" i="1791"/>
  <c r="D34" i="1791"/>
  <c r="R33" i="1791"/>
  <c r="R32" i="1791"/>
  <c r="R31" i="1791"/>
  <c r="R30" i="1791"/>
  <c r="R29" i="1791"/>
  <c r="R28" i="1791"/>
  <c r="L16" i="1791" s="1"/>
  <c r="D16" i="1791" s="1"/>
  <c r="L28" i="1791"/>
  <c r="D28" i="1791"/>
  <c r="R27" i="1791"/>
  <c r="D27" i="1791"/>
  <c r="R26" i="1791"/>
  <c r="L26" i="1791"/>
  <c r="D26" i="1791"/>
  <c r="R25" i="1791"/>
  <c r="L25" i="1791"/>
  <c r="D25" i="1791" s="1"/>
  <c r="R24" i="1791"/>
  <c r="D24" i="1791"/>
  <c r="R23" i="1791"/>
  <c r="D23" i="1791"/>
  <c r="R22" i="1791"/>
  <c r="D22" i="1791"/>
  <c r="R21" i="1791"/>
  <c r="D21" i="1791"/>
  <c r="R20" i="1791"/>
  <c r="L20" i="1791"/>
  <c r="D20" i="1791" s="1"/>
  <c r="R19" i="1791"/>
  <c r="D19" i="1791"/>
  <c r="R18" i="1791"/>
  <c r="D18" i="1791"/>
  <c r="R17" i="1791"/>
  <c r="L17" i="1791"/>
  <c r="D17" i="1791"/>
  <c r="R16" i="1791"/>
  <c r="R15" i="1791"/>
  <c r="D15" i="1791"/>
  <c r="R14" i="1791"/>
  <c r="D14" i="1791"/>
  <c r="R13" i="1791"/>
  <c r="D13" i="1791"/>
  <c r="R12" i="1791"/>
  <c r="L12" i="1791"/>
  <c r="D12" i="1791"/>
  <c r="R11" i="1791"/>
  <c r="L11" i="1791"/>
  <c r="D11" i="1791"/>
  <c r="L10" i="1791"/>
  <c r="D10" i="1791"/>
  <c r="L9" i="1791"/>
  <c r="D9" i="1791"/>
  <c r="R6" i="1791"/>
  <c r="R5" i="1791"/>
  <c r="R4" i="1791"/>
  <c r="R52" i="1790"/>
  <c r="R51" i="1790"/>
  <c r="D50" i="1790"/>
  <c r="R49" i="1790"/>
  <c r="G49" i="1790"/>
  <c r="D49" i="1790"/>
  <c r="R48" i="1790"/>
  <c r="D48" i="1790"/>
  <c r="D46" i="1790"/>
  <c r="D45" i="1790"/>
  <c r="D44" i="1790"/>
  <c r="D54" i="1790" s="1"/>
  <c r="H14" i="1790" s="1"/>
  <c r="R42" i="1790"/>
  <c r="L6" i="1790" s="1"/>
  <c r="D6" i="1790" s="1"/>
  <c r="D42" i="1790"/>
  <c r="R41" i="1790"/>
  <c r="L7" i="1790" s="1"/>
  <c r="D7" i="1790" s="1"/>
  <c r="D41" i="1790"/>
  <c r="R40" i="1790"/>
  <c r="D40" i="1790"/>
  <c r="R39" i="1790"/>
  <c r="D39" i="1790"/>
  <c r="R38" i="1790"/>
  <c r="L9" i="1790" s="1"/>
  <c r="D9" i="1790" s="1"/>
  <c r="D38" i="1790"/>
  <c r="R37" i="1790"/>
  <c r="D37" i="1790"/>
  <c r="R36" i="1790"/>
  <c r="D36" i="1790"/>
  <c r="R35" i="1790"/>
  <c r="D35" i="1790"/>
  <c r="R34" i="1790"/>
  <c r="L12" i="1790" s="1"/>
  <c r="D12" i="1790" s="1"/>
  <c r="D34" i="1790"/>
  <c r="R33" i="1790"/>
  <c r="L23" i="1790" s="1"/>
  <c r="D23" i="1790" s="1"/>
  <c r="R32" i="1790"/>
  <c r="L11" i="1790" s="1"/>
  <c r="D11" i="1790" s="1"/>
  <c r="R31" i="1790"/>
  <c r="R30" i="1790"/>
  <c r="R29" i="1790"/>
  <c r="R28" i="1790"/>
  <c r="L16" i="1790" s="1"/>
  <c r="D16" i="1790" s="1"/>
  <c r="D28" i="1790"/>
  <c r="R27" i="1790"/>
  <c r="D27" i="1790"/>
  <c r="R26" i="1790"/>
  <c r="L26" i="1790"/>
  <c r="D26" i="1790"/>
  <c r="R25" i="1790"/>
  <c r="L25" i="1790"/>
  <c r="D25" i="1790"/>
  <c r="R24" i="1790"/>
  <c r="D24" i="1790"/>
  <c r="R23" i="1790"/>
  <c r="R22" i="1790"/>
  <c r="L22" i="1790"/>
  <c r="D22" i="1790" s="1"/>
  <c r="R21" i="1790"/>
  <c r="D21" i="1790"/>
  <c r="R20" i="1790"/>
  <c r="L20" i="1790"/>
  <c r="D20" i="1790"/>
  <c r="R19" i="1790"/>
  <c r="L19" i="1790"/>
  <c r="D19" i="1790"/>
  <c r="R18" i="1790"/>
  <c r="D18" i="1790"/>
  <c r="R17" i="1790"/>
  <c r="D17" i="1790"/>
  <c r="R16" i="1790"/>
  <c r="S15" i="1790"/>
  <c r="R15" i="1790"/>
  <c r="D15" i="1790"/>
  <c r="S14" i="1790"/>
  <c r="R14" i="1790"/>
  <c r="D14" i="1790"/>
  <c r="R13" i="1790"/>
  <c r="D13" i="1790"/>
  <c r="R12" i="1790"/>
  <c r="R11" i="1790"/>
  <c r="L10" i="1790"/>
  <c r="D10" i="1790" s="1"/>
  <c r="L8" i="1790"/>
  <c r="D8" i="1790"/>
  <c r="R6" i="1790"/>
  <c r="R5" i="1790"/>
  <c r="R4" i="1790"/>
  <c r="G49" i="1801" l="1"/>
  <c r="G49" i="1800"/>
  <c r="G49" i="1799"/>
  <c r="D54" i="1801"/>
  <c r="H14" i="1801" s="1"/>
  <c r="D29" i="1801"/>
  <c r="H13" i="1801" s="1"/>
  <c r="D54" i="1800"/>
  <c r="H14" i="1800" s="1"/>
  <c r="D54" i="1799"/>
  <c r="H14" i="1799" s="1"/>
  <c r="G49" i="1797"/>
  <c r="G49" i="1796"/>
  <c r="G49" i="1795"/>
  <c r="D54" i="1797"/>
  <c r="H14" i="1797" s="1"/>
  <c r="D54" i="1796"/>
  <c r="H14" i="1796" s="1"/>
  <c r="D54" i="1795"/>
  <c r="H14" i="1795" s="1"/>
  <c r="G49" i="1793"/>
  <c r="G49" i="1792"/>
  <c r="G49" i="1791"/>
  <c r="D54" i="1793"/>
  <c r="H14" i="1793" s="1"/>
  <c r="D54" i="1792"/>
  <c r="H14" i="1792" s="1"/>
  <c r="D29" i="1792"/>
  <c r="H13" i="1792" s="1"/>
  <c r="D54" i="1791"/>
  <c r="H14" i="1791" s="1"/>
  <c r="D29" i="1802"/>
  <c r="H13" i="1802" s="1"/>
  <c r="H15" i="1802" s="1"/>
  <c r="H29" i="1802" s="1"/>
  <c r="G51" i="1802" s="1"/>
  <c r="D29" i="1800"/>
  <c r="H13" i="1800" s="1"/>
  <c r="D29" i="1799"/>
  <c r="H13" i="1799" s="1"/>
  <c r="D29" i="1798"/>
  <c r="H13" i="1798" s="1"/>
  <c r="H15" i="1798" s="1"/>
  <c r="H29" i="1798" s="1"/>
  <c r="G51" i="1798" s="1"/>
  <c r="D29" i="1797"/>
  <c r="H13" i="1797" s="1"/>
  <c r="D29" i="1796"/>
  <c r="H13" i="1796" s="1"/>
  <c r="D29" i="1795"/>
  <c r="H13" i="1795" s="1"/>
  <c r="D29" i="1794"/>
  <c r="H13" i="1794" s="1"/>
  <c r="H15" i="1794" s="1"/>
  <c r="H29" i="1794" s="1"/>
  <c r="G51" i="1794" s="1"/>
  <c r="D29" i="1793"/>
  <c r="H13" i="1793" s="1"/>
  <c r="D29" i="1791"/>
  <c r="H13" i="1791" s="1"/>
  <c r="D29" i="1790"/>
  <c r="H13" i="1790" s="1"/>
  <c r="H15" i="1790" s="1"/>
  <c r="H29" i="1790" s="1"/>
  <c r="G51" i="1790" s="1"/>
  <c r="H16" i="1781"/>
  <c r="H16" i="1780"/>
  <c r="C23" i="1781"/>
  <c r="H16" i="1779"/>
  <c r="R52" i="1789"/>
  <c r="L22" i="1789" s="1"/>
  <c r="D22" i="1789" s="1"/>
  <c r="R51" i="1789"/>
  <c r="D50" i="1789"/>
  <c r="R49" i="1789"/>
  <c r="D49" i="1789"/>
  <c r="R48" i="1789"/>
  <c r="D48" i="1789"/>
  <c r="D46" i="1789"/>
  <c r="D45" i="1789"/>
  <c r="R44" i="1789"/>
  <c r="L28" i="1789" s="1"/>
  <c r="D28" i="1789" s="1"/>
  <c r="D44" i="1789"/>
  <c r="R42" i="1789"/>
  <c r="D42" i="1789"/>
  <c r="R41" i="1789"/>
  <c r="D41" i="1789"/>
  <c r="R40" i="1789"/>
  <c r="D40" i="1789"/>
  <c r="R39" i="1789"/>
  <c r="H39" i="1789"/>
  <c r="D39" i="1789"/>
  <c r="R38" i="1789"/>
  <c r="H38" i="1789"/>
  <c r="D38" i="1789"/>
  <c r="R37" i="1789"/>
  <c r="H37" i="1789"/>
  <c r="D37" i="1789"/>
  <c r="R36" i="1789"/>
  <c r="H36" i="1789"/>
  <c r="D36" i="1789"/>
  <c r="R35" i="1789"/>
  <c r="L19" i="1789" s="1"/>
  <c r="D19" i="1789" s="1"/>
  <c r="H35" i="1789"/>
  <c r="D35" i="1789"/>
  <c r="R34" i="1789"/>
  <c r="L12" i="1789" s="1"/>
  <c r="D12" i="1789" s="1"/>
  <c r="H34" i="1789"/>
  <c r="D34" i="1789"/>
  <c r="R33" i="1789"/>
  <c r="R32" i="1789"/>
  <c r="R31" i="1789"/>
  <c r="R30" i="1789"/>
  <c r="R29" i="1789"/>
  <c r="R28" i="1789"/>
  <c r="R27" i="1789"/>
  <c r="D27" i="1789"/>
  <c r="R26" i="1789"/>
  <c r="L26" i="1789"/>
  <c r="D26" i="1789"/>
  <c r="R25" i="1789"/>
  <c r="L25" i="1789"/>
  <c r="D25" i="1789"/>
  <c r="R24" i="1789"/>
  <c r="D24" i="1789"/>
  <c r="R23" i="1789"/>
  <c r="L23" i="1789"/>
  <c r="D23" i="1789"/>
  <c r="R22" i="1789"/>
  <c r="R21" i="1789"/>
  <c r="D21" i="1789"/>
  <c r="R20" i="1789"/>
  <c r="L20" i="1789"/>
  <c r="D20" i="1789"/>
  <c r="R19" i="1789"/>
  <c r="R18" i="1789"/>
  <c r="D18" i="1789"/>
  <c r="R17" i="1789"/>
  <c r="D17" i="1789"/>
  <c r="R16" i="1789"/>
  <c r="L16" i="1789"/>
  <c r="D16" i="1789"/>
  <c r="R15" i="1789"/>
  <c r="D15" i="1789"/>
  <c r="R14" i="1789"/>
  <c r="D14" i="1789"/>
  <c r="R13" i="1789"/>
  <c r="D13" i="1789"/>
  <c r="R12" i="1789"/>
  <c r="R11" i="1789"/>
  <c r="L11" i="1789"/>
  <c r="D11" i="1789" s="1"/>
  <c r="L10" i="1789"/>
  <c r="D10" i="1789"/>
  <c r="L9" i="1789"/>
  <c r="D9" i="1789"/>
  <c r="L8" i="1789"/>
  <c r="D8" i="1789"/>
  <c r="L7" i="1789"/>
  <c r="D7" i="1789"/>
  <c r="R6" i="1789"/>
  <c r="L6" i="1789"/>
  <c r="D6" i="1789"/>
  <c r="R5" i="1789"/>
  <c r="R4" i="1789"/>
  <c r="R52" i="1788"/>
  <c r="R51" i="1788"/>
  <c r="D50" i="1788"/>
  <c r="R49" i="1788"/>
  <c r="D49" i="1788"/>
  <c r="R48" i="1788"/>
  <c r="D48" i="1788"/>
  <c r="D46" i="1788"/>
  <c r="D45" i="1788"/>
  <c r="R44" i="1788"/>
  <c r="L28" i="1788" s="1"/>
  <c r="D28" i="1788" s="1"/>
  <c r="D44" i="1788"/>
  <c r="R42" i="1788"/>
  <c r="L6" i="1788" s="1"/>
  <c r="D6" i="1788" s="1"/>
  <c r="D42" i="1788"/>
  <c r="R41" i="1788"/>
  <c r="L7" i="1788" s="1"/>
  <c r="D7" i="1788" s="1"/>
  <c r="D41" i="1788"/>
  <c r="R40" i="1788"/>
  <c r="D40" i="1788"/>
  <c r="R39" i="1788"/>
  <c r="H39" i="1788"/>
  <c r="D39" i="1788"/>
  <c r="R38" i="1788"/>
  <c r="L9" i="1788" s="1"/>
  <c r="D9" i="1788" s="1"/>
  <c r="H38" i="1788"/>
  <c r="D38" i="1788"/>
  <c r="R37" i="1788"/>
  <c r="H37" i="1788"/>
  <c r="D37" i="1788"/>
  <c r="R36" i="1788"/>
  <c r="H36" i="1788"/>
  <c r="D36" i="1788"/>
  <c r="R35" i="1788"/>
  <c r="L19" i="1788" s="1"/>
  <c r="D19" i="1788" s="1"/>
  <c r="H35" i="1788"/>
  <c r="G49" i="1788" s="1"/>
  <c r="D35" i="1788"/>
  <c r="R34" i="1788"/>
  <c r="L12" i="1788" s="1"/>
  <c r="D12" i="1788" s="1"/>
  <c r="H34" i="1788"/>
  <c r="D34" i="1788"/>
  <c r="R33" i="1788"/>
  <c r="R32" i="1788"/>
  <c r="R31" i="1788"/>
  <c r="R30" i="1788"/>
  <c r="R29" i="1788"/>
  <c r="R28" i="1788"/>
  <c r="L16" i="1788" s="1"/>
  <c r="D16" i="1788" s="1"/>
  <c r="R27" i="1788"/>
  <c r="D27" i="1788"/>
  <c r="R26" i="1788"/>
  <c r="L26" i="1788"/>
  <c r="D26" i="1788" s="1"/>
  <c r="R25" i="1788"/>
  <c r="L25" i="1788"/>
  <c r="D25" i="1788" s="1"/>
  <c r="R24" i="1788"/>
  <c r="L24" i="1788"/>
  <c r="D24" i="1788"/>
  <c r="R23" i="1788"/>
  <c r="L23" i="1788"/>
  <c r="D23" i="1788"/>
  <c r="R22" i="1788"/>
  <c r="L22" i="1788"/>
  <c r="D22" i="1788"/>
  <c r="R21" i="1788"/>
  <c r="L17" i="1788" s="1"/>
  <c r="D17" i="1788" s="1"/>
  <c r="D21" i="1788"/>
  <c r="R20" i="1788"/>
  <c r="L20" i="1788"/>
  <c r="D20" i="1788"/>
  <c r="R19" i="1788"/>
  <c r="R18" i="1788"/>
  <c r="D18" i="1788"/>
  <c r="R17" i="1788"/>
  <c r="R16" i="1788"/>
  <c r="R15" i="1788"/>
  <c r="D15" i="1788"/>
  <c r="R14" i="1788"/>
  <c r="D14" i="1788"/>
  <c r="R13" i="1788"/>
  <c r="D13" i="1788"/>
  <c r="R12" i="1788"/>
  <c r="R11" i="1788"/>
  <c r="L11" i="1788"/>
  <c r="D11" i="1788"/>
  <c r="L10" i="1788"/>
  <c r="D10" i="1788"/>
  <c r="L8" i="1788"/>
  <c r="D8" i="1788"/>
  <c r="R6" i="1788"/>
  <c r="R5" i="1788"/>
  <c r="R4" i="1788"/>
  <c r="R52" i="1787"/>
  <c r="R51" i="1787"/>
  <c r="D50" i="1787"/>
  <c r="R49" i="1787"/>
  <c r="G49" i="1787"/>
  <c r="D49" i="1787"/>
  <c r="R48" i="1787"/>
  <c r="D48" i="1787"/>
  <c r="D46" i="1787"/>
  <c r="D45" i="1787"/>
  <c r="R44" i="1787"/>
  <c r="L28" i="1787" s="1"/>
  <c r="D28" i="1787" s="1"/>
  <c r="D44" i="1787"/>
  <c r="R42" i="1787"/>
  <c r="D42" i="1787"/>
  <c r="R41" i="1787"/>
  <c r="D41" i="1787"/>
  <c r="R40" i="1787"/>
  <c r="L8" i="1787" s="1"/>
  <c r="D8" i="1787" s="1"/>
  <c r="D40" i="1787"/>
  <c r="R39" i="1787"/>
  <c r="L20" i="1787" s="1"/>
  <c r="D20" i="1787" s="1"/>
  <c r="H39" i="1787"/>
  <c r="D39" i="1787"/>
  <c r="R38" i="1787"/>
  <c r="L9" i="1787" s="1"/>
  <c r="D9" i="1787" s="1"/>
  <c r="H38" i="1787"/>
  <c r="D38" i="1787"/>
  <c r="R37" i="1787"/>
  <c r="H37" i="1787"/>
  <c r="D37" i="1787"/>
  <c r="R36" i="1787"/>
  <c r="H36" i="1787"/>
  <c r="D36" i="1787"/>
  <c r="R35" i="1787"/>
  <c r="H35" i="1787"/>
  <c r="D35" i="1787"/>
  <c r="R34" i="1787"/>
  <c r="H34" i="1787"/>
  <c r="D34" i="1787"/>
  <c r="R33" i="1787"/>
  <c r="R32" i="1787"/>
  <c r="L11" i="1787" s="1"/>
  <c r="D11" i="1787" s="1"/>
  <c r="R31" i="1787"/>
  <c r="R30" i="1787"/>
  <c r="R29" i="1787"/>
  <c r="R28" i="1787"/>
  <c r="R27" i="1787"/>
  <c r="D27" i="1787"/>
  <c r="R26" i="1787"/>
  <c r="L26" i="1787"/>
  <c r="D26" i="1787"/>
  <c r="R25" i="1787"/>
  <c r="L25" i="1787"/>
  <c r="D25" i="1787"/>
  <c r="R24" i="1787"/>
  <c r="L24" i="1787"/>
  <c r="D24" i="1787"/>
  <c r="R23" i="1787"/>
  <c r="D23" i="1787"/>
  <c r="R22" i="1787"/>
  <c r="D22" i="1787"/>
  <c r="R21" i="1787"/>
  <c r="D21" i="1787"/>
  <c r="R20" i="1787"/>
  <c r="R19" i="1787"/>
  <c r="D19" i="1787"/>
  <c r="R18" i="1787"/>
  <c r="D18" i="1787"/>
  <c r="R17" i="1787"/>
  <c r="L17" i="1787"/>
  <c r="D17" i="1787"/>
  <c r="R16" i="1787"/>
  <c r="L16" i="1787"/>
  <c r="D16" i="1787" s="1"/>
  <c r="R15" i="1787"/>
  <c r="D15" i="1787"/>
  <c r="R14" i="1787"/>
  <c r="D14" i="1787"/>
  <c r="R13" i="1787"/>
  <c r="D13" i="1787"/>
  <c r="R12" i="1787"/>
  <c r="L12" i="1787"/>
  <c r="D12" i="1787"/>
  <c r="R11" i="1787"/>
  <c r="L10" i="1787"/>
  <c r="D10" i="1787" s="1"/>
  <c r="L7" i="1787"/>
  <c r="D7" i="1787"/>
  <c r="R6" i="1787"/>
  <c r="L6" i="1787"/>
  <c r="D6" i="1787"/>
  <c r="R5" i="1787"/>
  <c r="R4" i="1787"/>
  <c r="R52" i="1786"/>
  <c r="R51" i="1786"/>
  <c r="D50" i="1786"/>
  <c r="R49" i="1786"/>
  <c r="G49" i="1786"/>
  <c r="D49" i="1786"/>
  <c r="R48" i="1786"/>
  <c r="D48" i="1786"/>
  <c r="D46" i="1786"/>
  <c r="D45" i="1786"/>
  <c r="D44" i="1786"/>
  <c r="R42" i="1786"/>
  <c r="L6" i="1786" s="1"/>
  <c r="D6" i="1786" s="1"/>
  <c r="D42" i="1786"/>
  <c r="R41" i="1786"/>
  <c r="L7" i="1786" s="1"/>
  <c r="D7" i="1786" s="1"/>
  <c r="D41" i="1786"/>
  <c r="R40" i="1786"/>
  <c r="D40" i="1786"/>
  <c r="R39" i="1786"/>
  <c r="D39" i="1786"/>
  <c r="R38" i="1786"/>
  <c r="D38" i="1786"/>
  <c r="R37" i="1786"/>
  <c r="D37" i="1786"/>
  <c r="R36" i="1786"/>
  <c r="L10" i="1786" s="1"/>
  <c r="D10" i="1786" s="1"/>
  <c r="D36" i="1786"/>
  <c r="R35" i="1786"/>
  <c r="D35" i="1786"/>
  <c r="R34" i="1786"/>
  <c r="L12" i="1786" s="1"/>
  <c r="D12" i="1786" s="1"/>
  <c r="D34" i="1786"/>
  <c r="D54" i="1786" s="1"/>
  <c r="H14" i="1786" s="1"/>
  <c r="R33" i="1786"/>
  <c r="L23" i="1786" s="1"/>
  <c r="D23" i="1786" s="1"/>
  <c r="R32" i="1786"/>
  <c r="R31" i="1786"/>
  <c r="R30" i="1786"/>
  <c r="R29" i="1786"/>
  <c r="R28" i="1786"/>
  <c r="D28" i="1786"/>
  <c r="R27" i="1786"/>
  <c r="D27" i="1786"/>
  <c r="R26" i="1786"/>
  <c r="L26" i="1786"/>
  <c r="D26" i="1786" s="1"/>
  <c r="R25" i="1786"/>
  <c r="L25" i="1786"/>
  <c r="D25" i="1786"/>
  <c r="R24" i="1786"/>
  <c r="D24" i="1786"/>
  <c r="R23" i="1786"/>
  <c r="R22" i="1786"/>
  <c r="L22" i="1786"/>
  <c r="D22" i="1786"/>
  <c r="R21" i="1786"/>
  <c r="D21" i="1786"/>
  <c r="R20" i="1786"/>
  <c r="L20" i="1786"/>
  <c r="D20" i="1786" s="1"/>
  <c r="R19" i="1786"/>
  <c r="L19" i="1786"/>
  <c r="D19" i="1786"/>
  <c r="R18" i="1786"/>
  <c r="D18" i="1786"/>
  <c r="R17" i="1786"/>
  <c r="D17" i="1786"/>
  <c r="R16" i="1786"/>
  <c r="L16" i="1786"/>
  <c r="D16" i="1786" s="1"/>
  <c r="S15" i="1786"/>
  <c r="R15" i="1786"/>
  <c r="D15" i="1786"/>
  <c r="S14" i="1786"/>
  <c r="R14" i="1786"/>
  <c r="D14" i="1786"/>
  <c r="R13" i="1786"/>
  <c r="D13" i="1786"/>
  <c r="R12" i="1786"/>
  <c r="R11" i="1786"/>
  <c r="L11" i="1786"/>
  <c r="D11" i="1786"/>
  <c r="L9" i="1786"/>
  <c r="D9" i="1786"/>
  <c r="L8" i="1786"/>
  <c r="D8" i="1786"/>
  <c r="R6" i="1786"/>
  <c r="R5" i="1786"/>
  <c r="R4" i="1786"/>
  <c r="R52" i="1785"/>
  <c r="L22" i="1785" s="1"/>
  <c r="D22" i="1785" s="1"/>
  <c r="R51" i="1785"/>
  <c r="D50" i="1785"/>
  <c r="R49" i="1785"/>
  <c r="D49" i="1785"/>
  <c r="R48" i="1785"/>
  <c r="D48" i="1785"/>
  <c r="D46" i="1785"/>
  <c r="D45" i="1785"/>
  <c r="R44" i="1785"/>
  <c r="D44" i="1785"/>
  <c r="R42" i="1785"/>
  <c r="L6" i="1785" s="1"/>
  <c r="D6" i="1785" s="1"/>
  <c r="D42" i="1785"/>
  <c r="R41" i="1785"/>
  <c r="L7" i="1785" s="1"/>
  <c r="D7" i="1785" s="1"/>
  <c r="D41" i="1785"/>
  <c r="R40" i="1785"/>
  <c r="D40" i="1785"/>
  <c r="R39" i="1785"/>
  <c r="H39" i="1785"/>
  <c r="D39" i="1785"/>
  <c r="R38" i="1785"/>
  <c r="H38" i="1785"/>
  <c r="D38" i="1785"/>
  <c r="R37" i="1785"/>
  <c r="H37" i="1785"/>
  <c r="D37" i="1785"/>
  <c r="R36" i="1785"/>
  <c r="H36" i="1785"/>
  <c r="D36" i="1785"/>
  <c r="R35" i="1785"/>
  <c r="L19" i="1785" s="1"/>
  <c r="D19" i="1785" s="1"/>
  <c r="H35" i="1785"/>
  <c r="D35" i="1785"/>
  <c r="R34" i="1785"/>
  <c r="H34" i="1785"/>
  <c r="D34" i="1785"/>
  <c r="R33" i="1785"/>
  <c r="R32" i="1785"/>
  <c r="R31" i="1785"/>
  <c r="R30" i="1785"/>
  <c r="R29" i="1785"/>
  <c r="R28" i="1785"/>
  <c r="L28" i="1785"/>
  <c r="D28" i="1785"/>
  <c r="R27" i="1785"/>
  <c r="D27" i="1785"/>
  <c r="R26" i="1785"/>
  <c r="L26" i="1785"/>
  <c r="D26" i="1785" s="1"/>
  <c r="R25" i="1785"/>
  <c r="L25" i="1785"/>
  <c r="D25" i="1785" s="1"/>
  <c r="R24" i="1785"/>
  <c r="D24" i="1785"/>
  <c r="R23" i="1785"/>
  <c r="L23" i="1785"/>
  <c r="D23" i="1785"/>
  <c r="R22" i="1785"/>
  <c r="R21" i="1785"/>
  <c r="D21" i="1785"/>
  <c r="R20" i="1785"/>
  <c r="L20" i="1785"/>
  <c r="D20" i="1785" s="1"/>
  <c r="R19" i="1785"/>
  <c r="R18" i="1785"/>
  <c r="D18" i="1785"/>
  <c r="R17" i="1785"/>
  <c r="D17" i="1785"/>
  <c r="R16" i="1785"/>
  <c r="L16" i="1785"/>
  <c r="D16" i="1785"/>
  <c r="R15" i="1785"/>
  <c r="D15" i="1785"/>
  <c r="R14" i="1785"/>
  <c r="D14" i="1785"/>
  <c r="R13" i="1785"/>
  <c r="D13" i="1785"/>
  <c r="R12" i="1785"/>
  <c r="L12" i="1785"/>
  <c r="D12" i="1785" s="1"/>
  <c r="R11" i="1785"/>
  <c r="L11" i="1785"/>
  <c r="D11" i="1785"/>
  <c r="L10" i="1785"/>
  <c r="D10" i="1785"/>
  <c r="L9" i="1785"/>
  <c r="D9" i="1785"/>
  <c r="L8" i="1785"/>
  <c r="D8" i="1785"/>
  <c r="R6" i="1785"/>
  <c r="R5" i="1785"/>
  <c r="R4" i="1785"/>
  <c r="R52" i="1784"/>
  <c r="R51" i="1784"/>
  <c r="D50" i="1784"/>
  <c r="R49" i="1784"/>
  <c r="D49" i="1784"/>
  <c r="R48" i="1784"/>
  <c r="D48" i="1784"/>
  <c r="D46" i="1784"/>
  <c r="D45" i="1784"/>
  <c r="R44" i="1784"/>
  <c r="L28" i="1784" s="1"/>
  <c r="D28" i="1784" s="1"/>
  <c r="D44" i="1784"/>
  <c r="R42" i="1784"/>
  <c r="L6" i="1784" s="1"/>
  <c r="D6" i="1784" s="1"/>
  <c r="D42" i="1784"/>
  <c r="R41" i="1784"/>
  <c r="D41" i="1784"/>
  <c r="R40" i="1784"/>
  <c r="D40" i="1784"/>
  <c r="R39" i="1784"/>
  <c r="H39" i="1784"/>
  <c r="D39" i="1784"/>
  <c r="R38" i="1784"/>
  <c r="L9" i="1784" s="1"/>
  <c r="D9" i="1784" s="1"/>
  <c r="H38" i="1784"/>
  <c r="D38" i="1784"/>
  <c r="R37" i="1784"/>
  <c r="H37" i="1784"/>
  <c r="D37" i="1784"/>
  <c r="R36" i="1784"/>
  <c r="L10" i="1784" s="1"/>
  <c r="D10" i="1784" s="1"/>
  <c r="H36" i="1784"/>
  <c r="D36" i="1784"/>
  <c r="R35" i="1784"/>
  <c r="H35" i="1784"/>
  <c r="G49" i="1784" s="1"/>
  <c r="D35" i="1784"/>
  <c r="R34" i="1784"/>
  <c r="H34" i="1784"/>
  <c r="D34" i="1784"/>
  <c r="R33" i="1784"/>
  <c r="R32" i="1784"/>
  <c r="R31" i="1784"/>
  <c r="R30" i="1784"/>
  <c r="R29" i="1784"/>
  <c r="R28" i="1784"/>
  <c r="R27" i="1784"/>
  <c r="D27" i="1784"/>
  <c r="R26" i="1784"/>
  <c r="D26" i="1784"/>
  <c r="R25" i="1784"/>
  <c r="L25" i="1784"/>
  <c r="D25" i="1784"/>
  <c r="R24" i="1784"/>
  <c r="L24" i="1784"/>
  <c r="D24" i="1784"/>
  <c r="R23" i="1784"/>
  <c r="L23" i="1784"/>
  <c r="D23" i="1784"/>
  <c r="R22" i="1784"/>
  <c r="L22" i="1784"/>
  <c r="D22" i="1784" s="1"/>
  <c r="R21" i="1784"/>
  <c r="D21" i="1784"/>
  <c r="R20" i="1784"/>
  <c r="L20" i="1784"/>
  <c r="D20" i="1784" s="1"/>
  <c r="R19" i="1784"/>
  <c r="L19" i="1784"/>
  <c r="D19" i="1784" s="1"/>
  <c r="R18" i="1784"/>
  <c r="D18" i="1784"/>
  <c r="R17" i="1784"/>
  <c r="L17" i="1784"/>
  <c r="D17" i="1784"/>
  <c r="R16" i="1784"/>
  <c r="L16" i="1784"/>
  <c r="D16" i="1784" s="1"/>
  <c r="R15" i="1784"/>
  <c r="D15" i="1784"/>
  <c r="R14" i="1784"/>
  <c r="D14" i="1784"/>
  <c r="R13" i="1784"/>
  <c r="D13" i="1784"/>
  <c r="R12" i="1784"/>
  <c r="L12" i="1784"/>
  <c r="D12" i="1784"/>
  <c r="R11" i="1784"/>
  <c r="L11" i="1784"/>
  <c r="D11" i="1784"/>
  <c r="L8" i="1784"/>
  <c r="D8" i="1784" s="1"/>
  <c r="L7" i="1784"/>
  <c r="D7" i="1784"/>
  <c r="R6" i="1784"/>
  <c r="R5" i="1784"/>
  <c r="R4" i="1784"/>
  <c r="R52" i="1783"/>
  <c r="R51" i="1783"/>
  <c r="D50" i="1783"/>
  <c r="R49" i="1783"/>
  <c r="D49" i="1783"/>
  <c r="R48" i="1783"/>
  <c r="D48" i="1783"/>
  <c r="D46" i="1783"/>
  <c r="D45" i="1783"/>
  <c r="R44" i="1783"/>
  <c r="D44" i="1783"/>
  <c r="R42" i="1783"/>
  <c r="D42" i="1783"/>
  <c r="R41" i="1783"/>
  <c r="D41" i="1783"/>
  <c r="R40" i="1783"/>
  <c r="L8" i="1783" s="1"/>
  <c r="D8" i="1783" s="1"/>
  <c r="D40" i="1783"/>
  <c r="R39" i="1783"/>
  <c r="L20" i="1783" s="1"/>
  <c r="D20" i="1783" s="1"/>
  <c r="H39" i="1783"/>
  <c r="D39" i="1783"/>
  <c r="R38" i="1783"/>
  <c r="H38" i="1783"/>
  <c r="D38" i="1783"/>
  <c r="R37" i="1783"/>
  <c r="H37" i="1783"/>
  <c r="D37" i="1783"/>
  <c r="R36" i="1783"/>
  <c r="L10" i="1783" s="1"/>
  <c r="D10" i="1783" s="1"/>
  <c r="H36" i="1783"/>
  <c r="D36" i="1783"/>
  <c r="R35" i="1783"/>
  <c r="H35" i="1783"/>
  <c r="D35" i="1783"/>
  <c r="R34" i="1783"/>
  <c r="H34" i="1783"/>
  <c r="D34" i="1783"/>
  <c r="R33" i="1783"/>
  <c r="R32" i="1783"/>
  <c r="R31" i="1783"/>
  <c r="R30" i="1783"/>
  <c r="R29" i="1783"/>
  <c r="R28" i="1783"/>
  <c r="L16" i="1783" s="1"/>
  <c r="D16" i="1783" s="1"/>
  <c r="L28" i="1783"/>
  <c r="D28" i="1783"/>
  <c r="R27" i="1783"/>
  <c r="D27" i="1783"/>
  <c r="R26" i="1783"/>
  <c r="L26" i="1783"/>
  <c r="D26" i="1783"/>
  <c r="R25" i="1783"/>
  <c r="L25" i="1783"/>
  <c r="D25" i="1783"/>
  <c r="R24" i="1783"/>
  <c r="L24" i="1783"/>
  <c r="D24" i="1783"/>
  <c r="R23" i="1783"/>
  <c r="D23" i="1783"/>
  <c r="R22" i="1783"/>
  <c r="D22" i="1783"/>
  <c r="R21" i="1783"/>
  <c r="D21" i="1783"/>
  <c r="R20" i="1783"/>
  <c r="R19" i="1783"/>
  <c r="D19" i="1783"/>
  <c r="R18" i="1783"/>
  <c r="D18" i="1783"/>
  <c r="R17" i="1783"/>
  <c r="L17" i="1783"/>
  <c r="D17" i="1783"/>
  <c r="R16" i="1783"/>
  <c r="R15" i="1783"/>
  <c r="D15" i="1783"/>
  <c r="R14" i="1783"/>
  <c r="D14" i="1783"/>
  <c r="R13" i="1783"/>
  <c r="D13" i="1783"/>
  <c r="R12" i="1783"/>
  <c r="L12" i="1783"/>
  <c r="D12" i="1783"/>
  <c r="R11" i="1783"/>
  <c r="L11" i="1783"/>
  <c r="D11" i="1783"/>
  <c r="L9" i="1783"/>
  <c r="D9" i="1783" s="1"/>
  <c r="L7" i="1783"/>
  <c r="D7" i="1783"/>
  <c r="R6" i="1783"/>
  <c r="L6" i="1783"/>
  <c r="D6" i="1783" s="1"/>
  <c r="R5" i="1783"/>
  <c r="R4" i="1783"/>
  <c r="R52" i="1782"/>
  <c r="R51" i="1782"/>
  <c r="D50" i="1782"/>
  <c r="R49" i="1782"/>
  <c r="G49" i="1782"/>
  <c r="D49" i="1782"/>
  <c r="R48" i="1782"/>
  <c r="D48" i="1782"/>
  <c r="D46" i="1782"/>
  <c r="D45" i="1782"/>
  <c r="D44" i="1782"/>
  <c r="R42" i="1782"/>
  <c r="D42" i="1782"/>
  <c r="R41" i="1782"/>
  <c r="L7" i="1782" s="1"/>
  <c r="D7" i="1782" s="1"/>
  <c r="D41" i="1782"/>
  <c r="R40" i="1782"/>
  <c r="L8" i="1782" s="1"/>
  <c r="D8" i="1782" s="1"/>
  <c r="D40" i="1782"/>
  <c r="R39" i="1782"/>
  <c r="D39" i="1782"/>
  <c r="D54" i="1782" s="1"/>
  <c r="H14" i="1782" s="1"/>
  <c r="R38" i="1782"/>
  <c r="D38" i="1782"/>
  <c r="R37" i="1782"/>
  <c r="D37" i="1782"/>
  <c r="R36" i="1782"/>
  <c r="L10" i="1782" s="1"/>
  <c r="D10" i="1782" s="1"/>
  <c r="D36" i="1782"/>
  <c r="R35" i="1782"/>
  <c r="D35" i="1782"/>
  <c r="R34" i="1782"/>
  <c r="D34" i="1782"/>
  <c r="R33" i="1782"/>
  <c r="R32" i="1782"/>
  <c r="L11" i="1782" s="1"/>
  <c r="D11" i="1782" s="1"/>
  <c r="R31" i="1782"/>
  <c r="R30" i="1782"/>
  <c r="R29" i="1782"/>
  <c r="R28" i="1782"/>
  <c r="D28" i="1782"/>
  <c r="R27" i="1782"/>
  <c r="D27" i="1782"/>
  <c r="R26" i="1782"/>
  <c r="L26" i="1782"/>
  <c r="D26" i="1782"/>
  <c r="R25" i="1782"/>
  <c r="L25" i="1782"/>
  <c r="D25" i="1782"/>
  <c r="R24" i="1782"/>
  <c r="D24" i="1782"/>
  <c r="R23" i="1782"/>
  <c r="L23" i="1782"/>
  <c r="D23" i="1782"/>
  <c r="R22" i="1782"/>
  <c r="L22" i="1782"/>
  <c r="D22" i="1782"/>
  <c r="R21" i="1782"/>
  <c r="D21" i="1782"/>
  <c r="R20" i="1782"/>
  <c r="L20" i="1782"/>
  <c r="D20" i="1782"/>
  <c r="R19" i="1782"/>
  <c r="L19" i="1782"/>
  <c r="D19" i="1782"/>
  <c r="R18" i="1782"/>
  <c r="D18" i="1782"/>
  <c r="R17" i="1782"/>
  <c r="D17" i="1782"/>
  <c r="R16" i="1782"/>
  <c r="L16" i="1782"/>
  <c r="D16" i="1782" s="1"/>
  <c r="S15" i="1782"/>
  <c r="R15" i="1782"/>
  <c r="D15" i="1782"/>
  <c r="S14" i="1782"/>
  <c r="R14" i="1782"/>
  <c r="D14" i="1782"/>
  <c r="R13" i="1782"/>
  <c r="D13" i="1782"/>
  <c r="R12" i="1782"/>
  <c r="L12" i="1782"/>
  <c r="D12" i="1782"/>
  <c r="R11" i="1782"/>
  <c r="L9" i="1782"/>
  <c r="D9" i="1782" s="1"/>
  <c r="R6" i="1782"/>
  <c r="L6" i="1782"/>
  <c r="D6" i="1782"/>
  <c r="R5" i="1782"/>
  <c r="R4" i="1782"/>
  <c r="H15" i="1801" l="1"/>
  <c r="H29" i="1801" s="1"/>
  <c r="G51" i="1801" s="1"/>
  <c r="H15" i="1800"/>
  <c r="H29" i="1800" s="1"/>
  <c r="G51" i="1800" s="1"/>
  <c r="H15" i="1799"/>
  <c r="H29" i="1799" s="1"/>
  <c r="G51" i="1799" s="1"/>
  <c r="H15" i="1797"/>
  <c r="H29" i="1797" s="1"/>
  <c r="G51" i="1797" s="1"/>
  <c r="H15" i="1796"/>
  <c r="H29" i="1796" s="1"/>
  <c r="G51" i="1796" s="1"/>
  <c r="H15" i="1795"/>
  <c r="H29" i="1795" s="1"/>
  <c r="G51" i="1795" s="1"/>
  <c r="H15" i="1793"/>
  <c r="H29" i="1793" s="1"/>
  <c r="G51" i="1793" s="1"/>
  <c r="H15" i="1792"/>
  <c r="H29" i="1792" s="1"/>
  <c r="G51" i="1792" s="1"/>
  <c r="H15" i="1791"/>
  <c r="H29" i="1791" s="1"/>
  <c r="G51" i="1791" s="1"/>
  <c r="G49" i="1789"/>
  <c r="D54" i="1789"/>
  <c r="H14" i="1789" s="1"/>
  <c r="D54" i="1788"/>
  <c r="H14" i="1788" s="1"/>
  <c r="D54" i="1787"/>
  <c r="H14" i="1787" s="1"/>
  <c r="G49" i="1785"/>
  <c r="G49" i="1783"/>
  <c r="D54" i="1785"/>
  <c r="H14" i="1785" s="1"/>
  <c r="D54" i="1784"/>
  <c r="H14" i="1784" s="1"/>
  <c r="D54" i="1783"/>
  <c r="H14" i="1783" s="1"/>
  <c r="D29" i="1789"/>
  <c r="H13" i="1789" s="1"/>
  <c r="D29" i="1788"/>
  <c r="H13" i="1788" s="1"/>
  <c r="H15" i="1788" s="1"/>
  <c r="H29" i="1788" s="1"/>
  <c r="G51" i="1788" s="1"/>
  <c r="D29" i="1787"/>
  <c r="H13" i="1787" s="1"/>
  <c r="D29" i="1786"/>
  <c r="H13" i="1786" s="1"/>
  <c r="H15" i="1786" s="1"/>
  <c r="H29" i="1786" s="1"/>
  <c r="G51" i="1786" s="1"/>
  <c r="D29" i="1785"/>
  <c r="H13" i="1785" s="1"/>
  <c r="D29" i="1784"/>
  <c r="H13" i="1784" s="1"/>
  <c r="D29" i="1783"/>
  <c r="H13" i="1783" s="1"/>
  <c r="D29" i="1782"/>
  <c r="H13" i="1782" s="1"/>
  <c r="H15" i="1782" s="1"/>
  <c r="H29" i="1782" s="1"/>
  <c r="G51" i="1782" s="1"/>
  <c r="H16" i="1776"/>
  <c r="H44" i="1775"/>
  <c r="H15" i="1789" l="1"/>
  <c r="H29" i="1789" s="1"/>
  <c r="G51" i="1789" s="1"/>
  <c r="H15" i="1787"/>
  <c r="H29" i="1787" s="1"/>
  <c r="G51" i="1787" s="1"/>
  <c r="H15" i="1785"/>
  <c r="H29" i="1785" s="1"/>
  <c r="G51" i="1785" s="1"/>
  <c r="H15" i="1784"/>
  <c r="H29" i="1784" s="1"/>
  <c r="G51" i="1784" s="1"/>
  <c r="H15" i="1783"/>
  <c r="H29" i="1783" s="1"/>
  <c r="G51" i="1783" s="1"/>
  <c r="L24" i="1773"/>
  <c r="C12" i="1772"/>
  <c r="H16" i="1772"/>
  <c r="H16" i="1771"/>
  <c r="R52" i="1781" l="1"/>
  <c r="L22" i="1781" s="1"/>
  <c r="D22" i="1781" s="1"/>
  <c r="R51" i="1781"/>
  <c r="D50" i="1781"/>
  <c r="R49" i="1781"/>
  <c r="D49" i="1781"/>
  <c r="R48" i="1781"/>
  <c r="D48" i="1781"/>
  <c r="D46" i="1781"/>
  <c r="D45" i="1781"/>
  <c r="R44" i="1781"/>
  <c r="L28" i="1781" s="1"/>
  <c r="D28" i="1781" s="1"/>
  <c r="D44" i="1781"/>
  <c r="R42" i="1781"/>
  <c r="L6" i="1781" s="1"/>
  <c r="D6" i="1781" s="1"/>
  <c r="D42" i="1781"/>
  <c r="R41" i="1781"/>
  <c r="D41" i="1781"/>
  <c r="R40" i="1781"/>
  <c r="D40" i="1781"/>
  <c r="R39" i="1781"/>
  <c r="H39" i="1781"/>
  <c r="D39" i="1781"/>
  <c r="R38" i="1781"/>
  <c r="H38" i="1781"/>
  <c r="D38" i="1781"/>
  <c r="R37" i="1781"/>
  <c r="H37" i="1781"/>
  <c r="D37" i="1781"/>
  <c r="R36" i="1781"/>
  <c r="L10" i="1781" s="1"/>
  <c r="D10" i="1781" s="1"/>
  <c r="H36" i="1781"/>
  <c r="D36" i="1781"/>
  <c r="R35" i="1781"/>
  <c r="L19" i="1781" s="1"/>
  <c r="D19" i="1781" s="1"/>
  <c r="H35" i="1781"/>
  <c r="D35" i="1781"/>
  <c r="R34" i="1781"/>
  <c r="L12" i="1781" s="1"/>
  <c r="D12" i="1781" s="1"/>
  <c r="H34" i="1781"/>
  <c r="D34" i="1781"/>
  <c r="R33" i="1781"/>
  <c r="L23" i="1781" s="1"/>
  <c r="D23" i="1781" s="1"/>
  <c r="R32" i="1781"/>
  <c r="R31" i="1781"/>
  <c r="R30" i="1781"/>
  <c r="R29" i="1781"/>
  <c r="R28" i="1781"/>
  <c r="R27" i="1781"/>
  <c r="D27" i="1781"/>
  <c r="R26" i="1781"/>
  <c r="L26" i="1781"/>
  <c r="D26" i="1781" s="1"/>
  <c r="R25" i="1781"/>
  <c r="L25" i="1781"/>
  <c r="D25" i="1781" s="1"/>
  <c r="R24" i="1781"/>
  <c r="D24" i="1781"/>
  <c r="R23" i="1781"/>
  <c r="R22" i="1781"/>
  <c r="R21" i="1781"/>
  <c r="D21" i="1781"/>
  <c r="R20" i="1781"/>
  <c r="L20" i="1781"/>
  <c r="D20" i="1781"/>
  <c r="R19" i="1781"/>
  <c r="R18" i="1781"/>
  <c r="D18" i="1781"/>
  <c r="R17" i="1781"/>
  <c r="D17" i="1781"/>
  <c r="R16" i="1781"/>
  <c r="L16" i="1781"/>
  <c r="D16" i="1781" s="1"/>
  <c r="R15" i="1781"/>
  <c r="D15" i="1781"/>
  <c r="R14" i="1781"/>
  <c r="D14" i="1781"/>
  <c r="R13" i="1781"/>
  <c r="D13" i="1781"/>
  <c r="R12" i="1781"/>
  <c r="R11" i="1781"/>
  <c r="L11" i="1781"/>
  <c r="D11" i="1781"/>
  <c r="L9" i="1781"/>
  <c r="D9" i="1781"/>
  <c r="L8" i="1781"/>
  <c r="D8" i="1781"/>
  <c r="L7" i="1781"/>
  <c r="D7" i="1781" s="1"/>
  <c r="R6" i="1781"/>
  <c r="R5" i="1781"/>
  <c r="R4" i="1781"/>
  <c r="R52" i="1780"/>
  <c r="R51" i="1780"/>
  <c r="D50" i="1780"/>
  <c r="R49" i="1780"/>
  <c r="D49" i="1780"/>
  <c r="R48" i="1780"/>
  <c r="D48" i="1780"/>
  <c r="D46" i="1780"/>
  <c r="D45" i="1780"/>
  <c r="R44" i="1780"/>
  <c r="L28" i="1780" s="1"/>
  <c r="D28" i="1780" s="1"/>
  <c r="D44" i="1780"/>
  <c r="R42" i="1780"/>
  <c r="D42" i="1780"/>
  <c r="R41" i="1780"/>
  <c r="L7" i="1780" s="1"/>
  <c r="D7" i="1780" s="1"/>
  <c r="D41" i="1780"/>
  <c r="R40" i="1780"/>
  <c r="L8" i="1780" s="1"/>
  <c r="D8" i="1780" s="1"/>
  <c r="D40" i="1780"/>
  <c r="R39" i="1780"/>
  <c r="H39" i="1780"/>
  <c r="D39" i="1780"/>
  <c r="R38" i="1780"/>
  <c r="H38" i="1780"/>
  <c r="D38" i="1780"/>
  <c r="R37" i="1780"/>
  <c r="H37" i="1780"/>
  <c r="D37" i="1780"/>
  <c r="R36" i="1780"/>
  <c r="H36" i="1780"/>
  <c r="D36" i="1780"/>
  <c r="R35" i="1780"/>
  <c r="L19" i="1780" s="1"/>
  <c r="D19" i="1780" s="1"/>
  <c r="H35" i="1780"/>
  <c r="D35" i="1780"/>
  <c r="R34" i="1780"/>
  <c r="L12" i="1780" s="1"/>
  <c r="D12" i="1780" s="1"/>
  <c r="H34" i="1780"/>
  <c r="D34" i="1780"/>
  <c r="R33" i="1780"/>
  <c r="R32" i="1780"/>
  <c r="L11" i="1780" s="1"/>
  <c r="D11" i="1780" s="1"/>
  <c r="R31" i="1780"/>
  <c r="R30" i="1780"/>
  <c r="R29" i="1780"/>
  <c r="R28" i="1780"/>
  <c r="R27" i="1780"/>
  <c r="D27" i="1780"/>
  <c r="R26" i="1780"/>
  <c r="L26" i="1780"/>
  <c r="D26" i="1780" s="1"/>
  <c r="R25" i="1780"/>
  <c r="L25" i="1780"/>
  <c r="D25" i="1780"/>
  <c r="R24" i="1780"/>
  <c r="L24" i="1780"/>
  <c r="D24" i="1780"/>
  <c r="R23" i="1780"/>
  <c r="L23" i="1780"/>
  <c r="D23" i="1780" s="1"/>
  <c r="R22" i="1780"/>
  <c r="L22" i="1780"/>
  <c r="D22" i="1780"/>
  <c r="R21" i="1780"/>
  <c r="D21" i="1780"/>
  <c r="R20" i="1780"/>
  <c r="L20" i="1780"/>
  <c r="D20" i="1780"/>
  <c r="R19" i="1780"/>
  <c r="R18" i="1780"/>
  <c r="D18" i="1780"/>
  <c r="R17" i="1780"/>
  <c r="L17" i="1780"/>
  <c r="D17" i="1780" s="1"/>
  <c r="R16" i="1780"/>
  <c r="L16" i="1780"/>
  <c r="D16" i="1780"/>
  <c r="R15" i="1780"/>
  <c r="D15" i="1780"/>
  <c r="R14" i="1780"/>
  <c r="D14" i="1780"/>
  <c r="R13" i="1780"/>
  <c r="D13" i="1780"/>
  <c r="R12" i="1780"/>
  <c r="R11" i="1780"/>
  <c r="L10" i="1780"/>
  <c r="D10" i="1780"/>
  <c r="L9" i="1780"/>
  <c r="D9" i="1780"/>
  <c r="R6" i="1780"/>
  <c r="L6" i="1780"/>
  <c r="D6" i="1780"/>
  <c r="R5" i="1780"/>
  <c r="R4" i="1780"/>
  <c r="R52" i="1779"/>
  <c r="R51" i="1779"/>
  <c r="D50" i="1779"/>
  <c r="R49" i="1779"/>
  <c r="D49" i="1779"/>
  <c r="R48" i="1779"/>
  <c r="D48" i="1779"/>
  <c r="D46" i="1779"/>
  <c r="D45" i="1779"/>
  <c r="R44" i="1779"/>
  <c r="L28" i="1779" s="1"/>
  <c r="D28" i="1779" s="1"/>
  <c r="D44" i="1779"/>
  <c r="R42" i="1779"/>
  <c r="D42" i="1779"/>
  <c r="R41" i="1779"/>
  <c r="D41" i="1779"/>
  <c r="R40" i="1779"/>
  <c r="L8" i="1779" s="1"/>
  <c r="D8" i="1779" s="1"/>
  <c r="D40" i="1779"/>
  <c r="R39" i="1779"/>
  <c r="L20" i="1779" s="1"/>
  <c r="D20" i="1779" s="1"/>
  <c r="H39" i="1779"/>
  <c r="D39" i="1779"/>
  <c r="R38" i="1779"/>
  <c r="H38" i="1779"/>
  <c r="D38" i="1779"/>
  <c r="R37" i="1779"/>
  <c r="H37" i="1779"/>
  <c r="D37" i="1779"/>
  <c r="R36" i="1779"/>
  <c r="H36" i="1779"/>
  <c r="D36" i="1779"/>
  <c r="R35" i="1779"/>
  <c r="H35" i="1779"/>
  <c r="D35" i="1779"/>
  <c r="R34" i="1779"/>
  <c r="L12" i="1779" s="1"/>
  <c r="D12" i="1779" s="1"/>
  <c r="H34" i="1779"/>
  <c r="D34" i="1779"/>
  <c r="R33" i="1779"/>
  <c r="R32" i="1779"/>
  <c r="R31" i="1779"/>
  <c r="R30" i="1779"/>
  <c r="R29" i="1779"/>
  <c r="R28" i="1779"/>
  <c r="L16" i="1779" s="1"/>
  <c r="D16" i="1779" s="1"/>
  <c r="R27" i="1779"/>
  <c r="D27" i="1779"/>
  <c r="R26" i="1779"/>
  <c r="L26" i="1779"/>
  <c r="D26" i="1779"/>
  <c r="R25" i="1779"/>
  <c r="L25" i="1779"/>
  <c r="D25" i="1779" s="1"/>
  <c r="R24" i="1779"/>
  <c r="L24" i="1779"/>
  <c r="D24" i="1779"/>
  <c r="R23" i="1779"/>
  <c r="D23" i="1779"/>
  <c r="R22" i="1779"/>
  <c r="D22" i="1779"/>
  <c r="R21" i="1779"/>
  <c r="D21" i="1779"/>
  <c r="R20" i="1779"/>
  <c r="R19" i="1779"/>
  <c r="D19" i="1779"/>
  <c r="R18" i="1779"/>
  <c r="D18" i="1779"/>
  <c r="R17" i="1779"/>
  <c r="L17" i="1779"/>
  <c r="D17" i="1779"/>
  <c r="R16" i="1779"/>
  <c r="R15" i="1779"/>
  <c r="D15" i="1779"/>
  <c r="R14" i="1779"/>
  <c r="D14" i="1779"/>
  <c r="R13" i="1779"/>
  <c r="D13" i="1779"/>
  <c r="R12" i="1779"/>
  <c r="R11" i="1779"/>
  <c r="L11" i="1779"/>
  <c r="D11" i="1779"/>
  <c r="L10" i="1779"/>
  <c r="D10" i="1779" s="1"/>
  <c r="L9" i="1779"/>
  <c r="D9" i="1779" s="1"/>
  <c r="L7" i="1779"/>
  <c r="D7" i="1779"/>
  <c r="R6" i="1779"/>
  <c r="L6" i="1779"/>
  <c r="D6" i="1779" s="1"/>
  <c r="R5" i="1779"/>
  <c r="R4" i="1779"/>
  <c r="R52" i="1778"/>
  <c r="R51" i="1778"/>
  <c r="D50" i="1778"/>
  <c r="R49" i="1778"/>
  <c r="G49" i="1778"/>
  <c r="D49" i="1778"/>
  <c r="R48" i="1778"/>
  <c r="D48" i="1778"/>
  <c r="D46" i="1778"/>
  <c r="D45" i="1778"/>
  <c r="D44" i="1778"/>
  <c r="R42" i="1778"/>
  <c r="L6" i="1778" s="1"/>
  <c r="D6" i="1778" s="1"/>
  <c r="D42" i="1778"/>
  <c r="R41" i="1778"/>
  <c r="D41" i="1778"/>
  <c r="R40" i="1778"/>
  <c r="D40" i="1778"/>
  <c r="R39" i="1778"/>
  <c r="D39" i="1778"/>
  <c r="R38" i="1778"/>
  <c r="L9" i="1778" s="1"/>
  <c r="D9" i="1778" s="1"/>
  <c r="D38" i="1778"/>
  <c r="R37" i="1778"/>
  <c r="D37" i="1778"/>
  <c r="R36" i="1778"/>
  <c r="D36" i="1778"/>
  <c r="R35" i="1778"/>
  <c r="D35" i="1778"/>
  <c r="R34" i="1778"/>
  <c r="L12" i="1778" s="1"/>
  <c r="D12" i="1778" s="1"/>
  <c r="D34" i="1778"/>
  <c r="D54" i="1778" s="1"/>
  <c r="H14" i="1778" s="1"/>
  <c r="R33" i="1778"/>
  <c r="R32" i="1778"/>
  <c r="R31" i="1778"/>
  <c r="R30" i="1778"/>
  <c r="R29" i="1778"/>
  <c r="R28" i="1778"/>
  <c r="D28" i="1778"/>
  <c r="R27" i="1778"/>
  <c r="D27" i="1778"/>
  <c r="R26" i="1778"/>
  <c r="L26" i="1778"/>
  <c r="D26" i="1778" s="1"/>
  <c r="R25" i="1778"/>
  <c r="L25" i="1778"/>
  <c r="D25" i="1778"/>
  <c r="R24" i="1778"/>
  <c r="D24" i="1778"/>
  <c r="R23" i="1778"/>
  <c r="L23" i="1778"/>
  <c r="D23" i="1778" s="1"/>
  <c r="R22" i="1778"/>
  <c r="L22" i="1778"/>
  <c r="D22" i="1778"/>
  <c r="R21" i="1778"/>
  <c r="D21" i="1778"/>
  <c r="R20" i="1778"/>
  <c r="L20" i="1778"/>
  <c r="D20" i="1778"/>
  <c r="R19" i="1778"/>
  <c r="L19" i="1778"/>
  <c r="D19" i="1778"/>
  <c r="R18" i="1778"/>
  <c r="D18" i="1778"/>
  <c r="R17" i="1778"/>
  <c r="D17" i="1778"/>
  <c r="R16" i="1778"/>
  <c r="L16" i="1778"/>
  <c r="D16" i="1778" s="1"/>
  <c r="S15" i="1778"/>
  <c r="R15" i="1778"/>
  <c r="D15" i="1778"/>
  <c r="S14" i="1778"/>
  <c r="R14" i="1778"/>
  <c r="D14" i="1778"/>
  <c r="R13" i="1778"/>
  <c r="D13" i="1778"/>
  <c r="R12" i="1778"/>
  <c r="R11" i="1778"/>
  <c r="L11" i="1778"/>
  <c r="D11" i="1778"/>
  <c r="L10" i="1778"/>
  <c r="D10" i="1778"/>
  <c r="L8" i="1778"/>
  <c r="D8" i="1778"/>
  <c r="L7" i="1778"/>
  <c r="D7" i="1778"/>
  <c r="R6" i="1778"/>
  <c r="R5" i="1778"/>
  <c r="R4" i="1778"/>
  <c r="R52" i="1777"/>
  <c r="R51" i="1777"/>
  <c r="D50" i="1777"/>
  <c r="R49" i="1777"/>
  <c r="D49" i="1777"/>
  <c r="R48" i="1777"/>
  <c r="D48" i="1777"/>
  <c r="D46" i="1777"/>
  <c r="D45" i="1777"/>
  <c r="R44" i="1777"/>
  <c r="D44" i="1777"/>
  <c r="R42" i="1777"/>
  <c r="L6" i="1777" s="1"/>
  <c r="D6" i="1777" s="1"/>
  <c r="D42" i="1777"/>
  <c r="R41" i="1777"/>
  <c r="L7" i="1777" s="1"/>
  <c r="D7" i="1777" s="1"/>
  <c r="D41" i="1777"/>
  <c r="R40" i="1777"/>
  <c r="D40" i="1777"/>
  <c r="R39" i="1777"/>
  <c r="H39" i="1777"/>
  <c r="D39" i="1777"/>
  <c r="R38" i="1777"/>
  <c r="H38" i="1777"/>
  <c r="D38" i="1777"/>
  <c r="R37" i="1777"/>
  <c r="H37" i="1777"/>
  <c r="D37" i="1777"/>
  <c r="R36" i="1777"/>
  <c r="H36" i="1777"/>
  <c r="D36" i="1777"/>
  <c r="R35" i="1777"/>
  <c r="L19" i="1777" s="1"/>
  <c r="D19" i="1777" s="1"/>
  <c r="H35" i="1777"/>
  <c r="D35" i="1777"/>
  <c r="R34" i="1777"/>
  <c r="H34" i="1777"/>
  <c r="D34" i="1777"/>
  <c r="R33" i="1777"/>
  <c r="R32" i="1777"/>
  <c r="R31" i="1777"/>
  <c r="R30" i="1777"/>
  <c r="R29" i="1777"/>
  <c r="R28" i="1777"/>
  <c r="L28" i="1777"/>
  <c r="D28" i="1777"/>
  <c r="R27" i="1777"/>
  <c r="D27" i="1777"/>
  <c r="R26" i="1777"/>
  <c r="L26" i="1777"/>
  <c r="D26" i="1777"/>
  <c r="R25" i="1777"/>
  <c r="L25" i="1777"/>
  <c r="D25" i="1777" s="1"/>
  <c r="R24" i="1777"/>
  <c r="D24" i="1777"/>
  <c r="R23" i="1777"/>
  <c r="L23" i="1777"/>
  <c r="D23" i="1777"/>
  <c r="R22" i="1777"/>
  <c r="L22" i="1777"/>
  <c r="D22" i="1777"/>
  <c r="R21" i="1777"/>
  <c r="D21" i="1777"/>
  <c r="R20" i="1777"/>
  <c r="L20" i="1777"/>
  <c r="D20" i="1777"/>
  <c r="R19" i="1777"/>
  <c r="R18" i="1777"/>
  <c r="D18" i="1777"/>
  <c r="R17" i="1777"/>
  <c r="D17" i="1777"/>
  <c r="R16" i="1777"/>
  <c r="L16" i="1777"/>
  <c r="D16" i="1777"/>
  <c r="R15" i="1777"/>
  <c r="D15" i="1777"/>
  <c r="R14" i="1777"/>
  <c r="D14" i="1777"/>
  <c r="R13" i="1777"/>
  <c r="D13" i="1777"/>
  <c r="R12" i="1777"/>
  <c r="L12" i="1777"/>
  <c r="D12" i="1777"/>
  <c r="R11" i="1777"/>
  <c r="L11" i="1777"/>
  <c r="D11" i="1777" s="1"/>
  <c r="L10" i="1777"/>
  <c r="D10" i="1777"/>
  <c r="L9" i="1777"/>
  <c r="D9" i="1777" s="1"/>
  <c r="L8" i="1777"/>
  <c r="D8" i="1777" s="1"/>
  <c r="R6" i="1777"/>
  <c r="R5" i="1777"/>
  <c r="R4" i="1777"/>
  <c r="R52" i="1776"/>
  <c r="R51" i="1776"/>
  <c r="D50" i="1776"/>
  <c r="R49" i="1776"/>
  <c r="D49" i="1776"/>
  <c r="R48" i="1776"/>
  <c r="D48" i="1776"/>
  <c r="D46" i="1776"/>
  <c r="D45" i="1776"/>
  <c r="R44" i="1776"/>
  <c r="D44" i="1776"/>
  <c r="R42" i="1776"/>
  <c r="L6" i="1776" s="1"/>
  <c r="D6" i="1776" s="1"/>
  <c r="D42" i="1776"/>
  <c r="R41" i="1776"/>
  <c r="D41" i="1776"/>
  <c r="R40" i="1776"/>
  <c r="D40" i="1776"/>
  <c r="R39" i="1776"/>
  <c r="H39" i="1776"/>
  <c r="D39" i="1776"/>
  <c r="R38" i="1776"/>
  <c r="L9" i="1776" s="1"/>
  <c r="D9" i="1776" s="1"/>
  <c r="H38" i="1776"/>
  <c r="D38" i="1776"/>
  <c r="R37" i="1776"/>
  <c r="H37" i="1776"/>
  <c r="D37" i="1776"/>
  <c r="R36" i="1776"/>
  <c r="L10" i="1776" s="1"/>
  <c r="D10" i="1776" s="1"/>
  <c r="H36" i="1776"/>
  <c r="D36" i="1776"/>
  <c r="R35" i="1776"/>
  <c r="H35" i="1776"/>
  <c r="D35" i="1776"/>
  <c r="R34" i="1776"/>
  <c r="H34" i="1776"/>
  <c r="D34" i="1776"/>
  <c r="R33" i="1776"/>
  <c r="R32" i="1776"/>
  <c r="R31" i="1776"/>
  <c r="R30" i="1776"/>
  <c r="R29" i="1776"/>
  <c r="R28" i="1776"/>
  <c r="L28" i="1776"/>
  <c r="D28" i="1776"/>
  <c r="R27" i="1776"/>
  <c r="D27" i="1776"/>
  <c r="R26" i="1776"/>
  <c r="L26" i="1776"/>
  <c r="D26" i="1776"/>
  <c r="R25" i="1776"/>
  <c r="D25" i="1776"/>
  <c r="R24" i="1776"/>
  <c r="L24" i="1776"/>
  <c r="D24" i="1776"/>
  <c r="R23" i="1776"/>
  <c r="L23" i="1776"/>
  <c r="D23" i="1776"/>
  <c r="R22" i="1776"/>
  <c r="L22" i="1776"/>
  <c r="D22" i="1776" s="1"/>
  <c r="R21" i="1776"/>
  <c r="D21" i="1776"/>
  <c r="R20" i="1776"/>
  <c r="L20" i="1776"/>
  <c r="D20" i="1776"/>
  <c r="R19" i="1776"/>
  <c r="L19" i="1776"/>
  <c r="D19" i="1776"/>
  <c r="R18" i="1776"/>
  <c r="D18" i="1776"/>
  <c r="R17" i="1776"/>
  <c r="L17" i="1776"/>
  <c r="D17" i="1776"/>
  <c r="R16" i="1776"/>
  <c r="L16" i="1776"/>
  <c r="D16" i="1776" s="1"/>
  <c r="R15" i="1776"/>
  <c r="D15" i="1776"/>
  <c r="R14" i="1776"/>
  <c r="D14" i="1776"/>
  <c r="R13" i="1776"/>
  <c r="D13" i="1776"/>
  <c r="R12" i="1776"/>
  <c r="L12" i="1776"/>
  <c r="D12" i="1776"/>
  <c r="R11" i="1776"/>
  <c r="L11" i="1776"/>
  <c r="D11" i="1776"/>
  <c r="L8" i="1776"/>
  <c r="D8" i="1776"/>
  <c r="L7" i="1776"/>
  <c r="D7" i="1776"/>
  <c r="R6" i="1776"/>
  <c r="R5" i="1776"/>
  <c r="R4" i="1776"/>
  <c r="R52" i="1775"/>
  <c r="R51" i="1775"/>
  <c r="D50" i="1775"/>
  <c r="R49" i="1775"/>
  <c r="D49" i="1775"/>
  <c r="R48" i="1775"/>
  <c r="D48" i="1775"/>
  <c r="D46" i="1775"/>
  <c r="D45" i="1775"/>
  <c r="R44" i="1775"/>
  <c r="L28" i="1775" s="1"/>
  <c r="D28" i="1775" s="1"/>
  <c r="D44" i="1775"/>
  <c r="R42" i="1775"/>
  <c r="L6" i="1775" s="1"/>
  <c r="D6" i="1775" s="1"/>
  <c r="D42" i="1775"/>
  <c r="R41" i="1775"/>
  <c r="L7" i="1775" s="1"/>
  <c r="D7" i="1775" s="1"/>
  <c r="D41" i="1775"/>
  <c r="R40" i="1775"/>
  <c r="D40" i="1775"/>
  <c r="R39" i="1775"/>
  <c r="H39" i="1775"/>
  <c r="D39" i="1775"/>
  <c r="R38" i="1775"/>
  <c r="H38" i="1775"/>
  <c r="D38" i="1775"/>
  <c r="R37" i="1775"/>
  <c r="H37" i="1775"/>
  <c r="D37" i="1775"/>
  <c r="R36" i="1775"/>
  <c r="H36" i="1775"/>
  <c r="D36" i="1775"/>
  <c r="R35" i="1775"/>
  <c r="H35" i="1775"/>
  <c r="D35" i="1775"/>
  <c r="R34" i="1775"/>
  <c r="H34" i="1775"/>
  <c r="D34" i="1775"/>
  <c r="R33" i="1775"/>
  <c r="R32" i="1775"/>
  <c r="R31" i="1775"/>
  <c r="R30" i="1775"/>
  <c r="R29" i="1775"/>
  <c r="R28" i="1775"/>
  <c r="L16" i="1775" s="1"/>
  <c r="D16" i="1775" s="1"/>
  <c r="R27" i="1775"/>
  <c r="D27" i="1775"/>
  <c r="R26" i="1775"/>
  <c r="L26" i="1775"/>
  <c r="D26" i="1775"/>
  <c r="R25" i="1775"/>
  <c r="L25" i="1775"/>
  <c r="D25" i="1775" s="1"/>
  <c r="R24" i="1775"/>
  <c r="L24" i="1775"/>
  <c r="D24" i="1775"/>
  <c r="R23" i="1775"/>
  <c r="D23" i="1775"/>
  <c r="R22" i="1775"/>
  <c r="D22" i="1775"/>
  <c r="R21" i="1775"/>
  <c r="D21" i="1775"/>
  <c r="R20" i="1775"/>
  <c r="L20" i="1775"/>
  <c r="D20" i="1775" s="1"/>
  <c r="R19" i="1775"/>
  <c r="D19" i="1775"/>
  <c r="R18" i="1775"/>
  <c r="D18" i="1775"/>
  <c r="R17" i="1775"/>
  <c r="L17" i="1775"/>
  <c r="D17" i="1775"/>
  <c r="R16" i="1775"/>
  <c r="R15" i="1775"/>
  <c r="D15" i="1775"/>
  <c r="R14" i="1775"/>
  <c r="D14" i="1775"/>
  <c r="R13" i="1775"/>
  <c r="D13" i="1775"/>
  <c r="R12" i="1775"/>
  <c r="L12" i="1775"/>
  <c r="D12" i="1775"/>
  <c r="R11" i="1775"/>
  <c r="L11" i="1775"/>
  <c r="D11" i="1775"/>
  <c r="L10" i="1775"/>
  <c r="D10" i="1775" s="1"/>
  <c r="L9" i="1775"/>
  <c r="D9" i="1775" s="1"/>
  <c r="L8" i="1775"/>
  <c r="D8" i="1775" s="1"/>
  <c r="R6" i="1775"/>
  <c r="R5" i="1775"/>
  <c r="R4" i="1775"/>
  <c r="R52" i="1774"/>
  <c r="R51" i="1774"/>
  <c r="D50" i="1774"/>
  <c r="R49" i="1774"/>
  <c r="G49" i="1774"/>
  <c r="D49" i="1774"/>
  <c r="R48" i="1774"/>
  <c r="D48" i="1774"/>
  <c r="D46" i="1774"/>
  <c r="D45" i="1774"/>
  <c r="D44" i="1774"/>
  <c r="R42" i="1774"/>
  <c r="L6" i="1774" s="1"/>
  <c r="D6" i="1774" s="1"/>
  <c r="D42" i="1774"/>
  <c r="R41" i="1774"/>
  <c r="L7" i="1774" s="1"/>
  <c r="D7" i="1774" s="1"/>
  <c r="D41" i="1774"/>
  <c r="R40" i="1774"/>
  <c r="D40" i="1774"/>
  <c r="R39" i="1774"/>
  <c r="D39" i="1774"/>
  <c r="R38" i="1774"/>
  <c r="L9" i="1774" s="1"/>
  <c r="D9" i="1774" s="1"/>
  <c r="D38" i="1774"/>
  <c r="R37" i="1774"/>
  <c r="D37" i="1774"/>
  <c r="R36" i="1774"/>
  <c r="L10" i="1774" s="1"/>
  <c r="D10" i="1774" s="1"/>
  <c r="D36" i="1774"/>
  <c r="R35" i="1774"/>
  <c r="L19" i="1774" s="1"/>
  <c r="D19" i="1774" s="1"/>
  <c r="D35" i="1774"/>
  <c r="R34" i="1774"/>
  <c r="D34" i="1774"/>
  <c r="D54" i="1774" s="1"/>
  <c r="H14" i="1774" s="1"/>
  <c r="R33" i="1774"/>
  <c r="R32" i="1774"/>
  <c r="R31" i="1774"/>
  <c r="R30" i="1774"/>
  <c r="R29" i="1774"/>
  <c r="R28" i="1774"/>
  <c r="L16" i="1774" s="1"/>
  <c r="D16" i="1774" s="1"/>
  <c r="D28" i="1774"/>
  <c r="R27" i="1774"/>
  <c r="D27" i="1774"/>
  <c r="R26" i="1774"/>
  <c r="L26" i="1774"/>
  <c r="D26" i="1774"/>
  <c r="R25" i="1774"/>
  <c r="L25" i="1774"/>
  <c r="D25" i="1774"/>
  <c r="R24" i="1774"/>
  <c r="D24" i="1774"/>
  <c r="R23" i="1774"/>
  <c r="L23" i="1774"/>
  <c r="D23" i="1774"/>
  <c r="R22" i="1774"/>
  <c r="L22" i="1774"/>
  <c r="D22" i="1774" s="1"/>
  <c r="R21" i="1774"/>
  <c r="D21" i="1774"/>
  <c r="R20" i="1774"/>
  <c r="L20" i="1774"/>
  <c r="D20" i="1774"/>
  <c r="R19" i="1774"/>
  <c r="R18" i="1774"/>
  <c r="D18" i="1774"/>
  <c r="R17" i="1774"/>
  <c r="D17" i="1774"/>
  <c r="R16" i="1774"/>
  <c r="S15" i="1774"/>
  <c r="R15" i="1774"/>
  <c r="D15" i="1774"/>
  <c r="S14" i="1774"/>
  <c r="R14" i="1774"/>
  <c r="D14" i="1774"/>
  <c r="R13" i="1774"/>
  <c r="D13" i="1774"/>
  <c r="R12" i="1774"/>
  <c r="L12" i="1774"/>
  <c r="D12" i="1774"/>
  <c r="R11" i="1774"/>
  <c r="L11" i="1774"/>
  <c r="D11" i="1774" s="1"/>
  <c r="L8" i="1774"/>
  <c r="D8" i="1774"/>
  <c r="R6" i="1774"/>
  <c r="R5" i="1774"/>
  <c r="R4" i="1774"/>
  <c r="G49" i="1781" l="1"/>
  <c r="G49" i="1780"/>
  <c r="D54" i="1781"/>
  <c r="H14" i="1781" s="1"/>
  <c r="D54" i="1780"/>
  <c r="H14" i="1780" s="1"/>
  <c r="G49" i="1779"/>
  <c r="D54" i="1779"/>
  <c r="H14" i="1779" s="1"/>
  <c r="G49" i="1777"/>
  <c r="G49" i="1776"/>
  <c r="G49" i="1775"/>
  <c r="D54" i="1777"/>
  <c r="H14" i="1777" s="1"/>
  <c r="D54" i="1776"/>
  <c r="H14" i="1776" s="1"/>
  <c r="D29" i="1776"/>
  <c r="H13" i="1776" s="1"/>
  <c r="D54" i="1775"/>
  <c r="H14" i="1775" s="1"/>
  <c r="D29" i="1781"/>
  <c r="H13" i="1781" s="1"/>
  <c r="D29" i="1780"/>
  <c r="H13" i="1780" s="1"/>
  <c r="D29" i="1779"/>
  <c r="H13" i="1779" s="1"/>
  <c r="H15" i="1779" s="1"/>
  <c r="H29" i="1779" s="1"/>
  <c r="D29" i="1778"/>
  <c r="H13" i="1778" s="1"/>
  <c r="H15" i="1778" s="1"/>
  <c r="H29" i="1778" s="1"/>
  <c r="G51" i="1778" s="1"/>
  <c r="D29" i="1777"/>
  <c r="H13" i="1777" s="1"/>
  <c r="D29" i="1775"/>
  <c r="H13" i="1775" s="1"/>
  <c r="D29" i="1774"/>
  <c r="H13" i="1774" s="1"/>
  <c r="H15" i="1774" s="1"/>
  <c r="H29" i="1774" s="1"/>
  <c r="G51" i="1774"/>
  <c r="H16" i="1769"/>
  <c r="H16" i="1768"/>
  <c r="H15" i="1781" l="1"/>
  <c r="H29" i="1781" s="1"/>
  <c r="G51" i="1781" s="1"/>
  <c r="H15" i="1780"/>
  <c r="H29" i="1780" s="1"/>
  <c r="G51" i="1780" s="1"/>
  <c r="G51" i="1779"/>
  <c r="H15" i="1777"/>
  <c r="H29" i="1777" s="1"/>
  <c r="G51" i="1777" s="1"/>
  <c r="H15" i="1776"/>
  <c r="H29" i="1776" s="1"/>
  <c r="G51" i="1776" s="1"/>
  <c r="H15" i="1775"/>
  <c r="H29" i="1775" s="1"/>
  <c r="G51" i="1775" s="1"/>
  <c r="C12" i="1767"/>
  <c r="C23" i="1763" l="1"/>
  <c r="C20" i="1763"/>
  <c r="C12" i="1763"/>
  <c r="C21" i="1763"/>
  <c r="L25" i="1761" l="1"/>
  <c r="C19" i="1760"/>
  <c r="H16" i="1761"/>
  <c r="H44" i="1761"/>
  <c r="H16" i="1760"/>
  <c r="H16" i="1757" l="1"/>
  <c r="H16" i="1753" l="1"/>
  <c r="H16" i="1752"/>
  <c r="H16" i="1751"/>
  <c r="C23" i="1753"/>
  <c r="C21" i="1752"/>
  <c r="L26" i="1751"/>
  <c r="L25" i="1751"/>
  <c r="C21" i="1751"/>
  <c r="H16" i="1736" l="1"/>
  <c r="H16" i="1735"/>
  <c r="R52" i="1773" l="1"/>
  <c r="R51" i="1773"/>
  <c r="D50" i="1773"/>
  <c r="R49" i="1773"/>
  <c r="D49" i="1773"/>
  <c r="R48" i="1773"/>
  <c r="D48" i="1773"/>
  <c r="D46" i="1773"/>
  <c r="D45" i="1773"/>
  <c r="R44" i="1773"/>
  <c r="D44" i="1773"/>
  <c r="R42" i="1773"/>
  <c r="L6" i="1773" s="1"/>
  <c r="D6" i="1773" s="1"/>
  <c r="D42" i="1773"/>
  <c r="R41" i="1773"/>
  <c r="L7" i="1773" s="1"/>
  <c r="D7" i="1773" s="1"/>
  <c r="D41" i="1773"/>
  <c r="R40" i="1773"/>
  <c r="D40" i="1773"/>
  <c r="R39" i="1773"/>
  <c r="H39" i="1773"/>
  <c r="D39" i="1773"/>
  <c r="R38" i="1773"/>
  <c r="L9" i="1773" s="1"/>
  <c r="D9" i="1773" s="1"/>
  <c r="H38" i="1773"/>
  <c r="D38" i="1773"/>
  <c r="R37" i="1773"/>
  <c r="H37" i="1773"/>
  <c r="D37" i="1773"/>
  <c r="R36" i="1773"/>
  <c r="H36" i="1773"/>
  <c r="D36" i="1773"/>
  <c r="R35" i="1773"/>
  <c r="H35" i="1773"/>
  <c r="D35" i="1773"/>
  <c r="R34" i="1773"/>
  <c r="L12" i="1773" s="1"/>
  <c r="D12" i="1773" s="1"/>
  <c r="H34" i="1773"/>
  <c r="D34" i="1773"/>
  <c r="R33" i="1773"/>
  <c r="R32" i="1773"/>
  <c r="L11" i="1773" s="1"/>
  <c r="D11" i="1773" s="1"/>
  <c r="R31" i="1773"/>
  <c r="R30" i="1773"/>
  <c r="R29" i="1773"/>
  <c r="R28" i="1773"/>
  <c r="L28" i="1773"/>
  <c r="D28" i="1773"/>
  <c r="R27" i="1773"/>
  <c r="D27" i="1773"/>
  <c r="R26" i="1773"/>
  <c r="L26" i="1773"/>
  <c r="D26" i="1773" s="1"/>
  <c r="R25" i="1773"/>
  <c r="L25" i="1773"/>
  <c r="D25" i="1773" s="1"/>
  <c r="R24" i="1773"/>
  <c r="D24" i="1773"/>
  <c r="R23" i="1773"/>
  <c r="L23" i="1773"/>
  <c r="D23" i="1773" s="1"/>
  <c r="R22" i="1773"/>
  <c r="L22" i="1773"/>
  <c r="D22" i="1773"/>
  <c r="R21" i="1773"/>
  <c r="D21" i="1773"/>
  <c r="R20" i="1773"/>
  <c r="L20" i="1773"/>
  <c r="D20" i="1773" s="1"/>
  <c r="R19" i="1773"/>
  <c r="L19" i="1773"/>
  <c r="D19" i="1773" s="1"/>
  <c r="R18" i="1773"/>
  <c r="D18" i="1773"/>
  <c r="R17" i="1773"/>
  <c r="D17" i="1773"/>
  <c r="R16" i="1773"/>
  <c r="L16" i="1773"/>
  <c r="D16" i="1773"/>
  <c r="R15" i="1773"/>
  <c r="D15" i="1773"/>
  <c r="R14" i="1773"/>
  <c r="D14" i="1773"/>
  <c r="R13" i="1773"/>
  <c r="D13" i="1773"/>
  <c r="R12" i="1773"/>
  <c r="R11" i="1773"/>
  <c r="L10" i="1773"/>
  <c r="D10" i="1773"/>
  <c r="L8" i="1773"/>
  <c r="D8" i="1773" s="1"/>
  <c r="R6" i="1773"/>
  <c r="R5" i="1773"/>
  <c r="R4" i="1773"/>
  <c r="R52" i="1772"/>
  <c r="R51" i="1772"/>
  <c r="D50" i="1772"/>
  <c r="R49" i="1772"/>
  <c r="D49" i="1772"/>
  <c r="R48" i="1772"/>
  <c r="D48" i="1772"/>
  <c r="D46" i="1772"/>
  <c r="D45" i="1772"/>
  <c r="R44" i="1772"/>
  <c r="D44" i="1772"/>
  <c r="R42" i="1772"/>
  <c r="D42" i="1772"/>
  <c r="R41" i="1772"/>
  <c r="D41" i="1772"/>
  <c r="R40" i="1772"/>
  <c r="D40" i="1772"/>
  <c r="R39" i="1772"/>
  <c r="H39" i="1772"/>
  <c r="D39" i="1772"/>
  <c r="R38" i="1772"/>
  <c r="H38" i="1772"/>
  <c r="D38" i="1772"/>
  <c r="R37" i="1772"/>
  <c r="H37" i="1772"/>
  <c r="D37" i="1772"/>
  <c r="R36" i="1772"/>
  <c r="L10" i="1772" s="1"/>
  <c r="D10" i="1772" s="1"/>
  <c r="H36" i="1772"/>
  <c r="D36" i="1772"/>
  <c r="R35" i="1772"/>
  <c r="H35" i="1772"/>
  <c r="D35" i="1772"/>
  <c r="R34" i="1772"/>
  <c r="H34" i="1772"/>
  <c r="D34" i="1772"/>
  <c r="R33" i="1772"/>
  <c r="R32" i="1772"/>
  <c r="R31" i="1772"/>
  <c r="R30" i="1772"/>
  <c r="R29" i="1772"/>
  <c r="R28" i="1772"/>
  <c r="L28" i="1772"/>
  <c r="D28" i="1772"/>
  <c r="R27" i="1772"/>
  <c r="D27" i="1772"/>
  <c r="R26" i="1772"/>
  <c r="L26" i="1772"/>
  <c r="D26" i="1772"/>
  <c r="R25" i="1772"/>
  <c r="L25" i="1772"/>
  <c r="D25" i="1772" s="1"/>
  <c r="R24" i="1772"/>
  <c r="L24" i="1772"/>
  <c r="D24" i="1772" s="1"/>
  <c r="R23" i="1772"/>
  <c r="L23" i="1772"/>
  <c r="D23" i="1772" s="1"/>
  <c r="R22" i="1772"/>
  <c r="L22" i="1772"/>
  <c r="D22" i="1772" s="1"/>
  <c r="R21" i="1772"/>
  <c r="L17" i="1772" s="1"/>
  <c r="D17" i="1772" s="1"/>
  <c r="D21" i="1772"/>
  <c r="R20" i="1772"/>
  <c r="L20" i="1772"/>
  <c r="D20" i="1772" s="1"/>
  <c r="R19" i="1772"/>
  <c r="L19" i="1772"/>
  <c r="D19" i="1772"/>
  <c r="R18" i="1772"/>
  <c r="D18" i="1772"/>
  <c r="R17" i="1772"/>
  <c r="R16" i="1772"/>
  <c r="L16" i="1772"/>
  <c r="D16" i="1772" s="1"/>
  <c r="R15" i="1772"/>
  <c r="D15" i="1772"/>
  <c r="R14" i="1772"/>
  <c r="D14" i="1772"/>
  <c r="R13" i="1772"/>
  <c r="D13" i="1772"/>
  <c r="R12" i="1772"/>
  <c r="L12" i="1772"/>
  <c r="D12" i="1772" s="1"/>
  <c r="R11" i="1772"/>
  <c r="L11" i="1772"/>
  <c r="D11" i="1772"/>
  <c r="L9" i="1772"/>
  <c r="D9" i="1772"/>
  <c r="L8" i="1772"/>
  <c r="D8" i="1772" s="1"/>
  <c r="L7" i="1772"/>
  <c r="D7" i="1772" s="1"/>
  <c r="R6" i="1772"/>
  <c r="L6" i="1772"/>
  <c r="D6" i="1772" s="1"/>
  <c r="R5" i="1772"/>
  <c r="R4" i="1772"/>
  <c r="R52" i="1771"/>
  <c r="R51" i="1771"/>
  <c r="D50" i="1771"/>
  <c r="R49" i="1771"/>
  <c r="D49" i="1771"/>
  <c r="R48" i="1771"/>
  <c r="D48" i="1771"/>
  <c r="D46" i="1771"/>
  <c r="D45" i="1771"/>
  <c r="R44" i="1771"/>
  <c r="L28" i="1771" s="1"/>
  <c r="D28" i="1771" s="1"/>
  <c r="D44" i="1771"/>
  <c r="R42" i="1771"/>
  <c r="D42" i="1771"/>
  <c r="R41" i="1771"/>
  <c r="D41" i="1771"/>
  <c r="R40" i="1771"/>
  <c r="D40" i="1771"/>
  <c r="R39" i="1771"/>
  <c r="L20" i="1771" s="1"/>
  <c r="D20" i="1771" s="1"/>
  <c r="H39" i="1771"/>
  <c r="D39" i="1771"/>
  <c r="R38" i="1771"/>
  <c r="H38" i="1771"/>
  <c r="D38" i="1771"/>
  <c r="R37" i="1771"/>
  <c r="H37" i="1771"/>
  <c r="D37" i="1771"/>
  <c r="R36" i="1771"/>
  <c r="H36" i="1771"/>
  <c r="D36" i="1771"/>
  <c r="R35" i="1771"/>
  <c r="H35" i="1771"/>
  <c r="D35" i="1771"/>
  <c r="R34" i="1771"/>
  <c r="L12" i="1771" s="1"/>
  <c r="D12" i="1771" s="1"/>
  <c r="H34" i="1771"/>
  <c r="D34" i="1771"/>
  <c r="R33" i="1771"/>
  <c r="R32" i="1771"/>
  <c r="L11" i="1771" s="1"/>
  <c r="D11" i="1771" s="1"/>
  <c r="R31" i="1771"/>
  <c r="R30" i="1771"/>
  <c r="R29" i="1771"/>
  <c r="R28" i="1771"/>
  <c r="R27" i="1771"/>
  <c r="D27" i="1771"/>
  <c r="R26" i="1771"/>
  <c r="L26" i="1771"/>
  <c r="D26" i="1771" s="1"/>
  <c r="R25" i="1771"/>
  <c r="L25" i="1771"/>
  <c r="D25" i="1771"/>
  <c r="R24" i="1771"/>
  <c r="L24" i="1771"/>
  <c r="D24" i="1771"/>
  <c r="R23" i="1771"/>
  <c r="D23" i="1771"/>
  <c r="R22" i="1771"/>
  <c r="D22" i="1771"/>
  <c r="R21" i="1771"/>
  <c r="D21" i="1771"/>
  <c r="R20" i="1771"/>
  <c r="R19" i="1771"/>
  <c r="D19" i="1771"/>
  <c r="R18" i="1771"/>
  <c r="D18" i="1771"/>
  <c r="R17" i="1771"/>
  <c r="L17" i="1771"/>
  <c r="D17" i="1771"/>
  <c r="R16" i="1771"/>
  <c r="L16" i="1771"/>
  <c r="D16" i="1771" s="1"/>
  <c r="R15" i="1771"/>
  <c r="D15" i="1771"/>
  <c r="R14" i="1771"/>
  <c r="D14" i="1771"/>
  <c r="R13" i="1771"/>
  <c r="D13" i="1771"/>
  <c r="R12" i="1771"/>
  <c r="R11" i="1771"/>
  <c r="L10" i="1771"/>
  <c r="D10" i="1771" s="1"/>
  <c r="L9" i="1771"/>
  <c r="D9" i="1771" s="1"/>
  <c r="L8" i="1771"/>
  <c r="D8" i="1771" s="1"/>
  <c r="L7" i="1771"/>
  <c r="D7" i="1771"/>
  <c r="R6" i="1771"/>
  <c r="L6" i="1771"/>
  <c r="D6" i="1771"/>
  <c r="R5" i="1771"/>
  <c r="R4" i="1771"/>
  <c r="R52" i="1770"/>
  <c r="R51" i="1770"/>
  <c r="D50" i="1770"/>
  <c r="R49" i="1770"/>
  <c r="G49" i="1770"/>
  <c r="D49" i="1770"/>
  <c r="R48" i="1770"/>
  <c r="D48" i="1770"/>
  <c r="D46" i="1770"/>
  <c r="D45" i="1770"/>
  <c r="D44" i="1770"/>
  <c r="R42" i="1770"/>
  <c r="L6" i="1770" s="1"/>
  <c r="D6" i="1770" s="1"/>
  <c r="D42" i="1770"/>
  <c r="R41" i="1770"/>
  <c r="L7" i="1770" s="1"/>
  <c r="D7" i="1770" s="1"/>
  <c r="D41" i="1770"/>
  <c r="R40" i="1770"/>
  <c r="D40" i="1770"/>
  <c r="R39" i="1770"/>
  <c r="D39" i="1770"/>
  <c r="R38" i="1770"/>
  <c r="D38" i="1770"/>
  <c r="R37" i="1770"/>
  <c r="D37" i="1770"/>
  <c r="R36" i="1770"/>
  <c r="L10" i="1770" s="1"/>
  <c r="D10" i="1770" s="1"/>
  <c r="D36" i="1770"/>
  <c r="R35" i="1770"/>
  <c r="D35" i="1770"/>
  <c r="R34" i="1770"/>
  <c r="D34" i="1770"/>
  <c r="D54" i="1770" s="1"/>
  <c r="H14" i="1770" s="1"/>
  <c r="R33" i="1770"/>
  <c r="L23" i="1770" s="1"/>
  <c r="D23" i="1770" s="1"/>
  <c r="R32" i="1770"/>
  <c r="R31" i="1770"/>
  <c r="R30" i="1770"/>
  <c r="R29" i="1770"/>
  <c r="R28" i="1770"/>
  <c r="L16" i="1770" s="1"/>
  <c r="D16" i="1770" s="1"/>
  <c r="D28" i="1770"/>
  <c r="R27" i="1770"/>
  <c r="D27" i="1770"/>
  <c r="R26" i="1770"/>
  <c r="L26" i="1770"/>
  <c r="D26" i="1770" s="1"/>
  <c r="R25" i="1770"/>
  <c r="L25" i="1770"/>
  <c r="D25" i="1770"/>
  <c r="R24" i="1770"/>
  <c r="D24" i="1770"/>
  <c r="R23" i="1770"/>
  <c r="R22" i="1770"/>
  <c r="L22" i="1770"/>
  <c r="D22" i="1770" s="1"/>
  <c r="R21" i="1770"/>
  <c r="D21" i="1770"/>
  <c r="R20" i="1770"/>
  <c r="L20" i="1770"/>
  <c r="D20" i="1770" s="1"/>
  <c r="R19" i="1770"/>
  <c r="L19" i="1770"/>
  <c r="D19" i="1770"/>
  <c r="R18" i="1770"/>
  <c r="D18" i="1770"/>
  <c r="R17" i="1770"/>
  <c r="D17" i="1770"/>
  <c r="R16" i="1770"/>
  <c r="S15" i="1770"/>
  <c r="R15" i="1770"/>
  <c r="D15" i="1770"/>
  <c r="S14" i="1770"/>
  <c r="R14" i="1770"/>
  <c r="D14" i="1770"/>
  <c r="R13" i="1770"/>
  <c r="D13" i="1770"/>
  <c r="R12" i="1770"/>
  <c r="L12" i="1770"/>
  <c r="D12" i="1770" s="1"/>
  <c r="R11" i="1770"/>
  <c r="L11" i="1770"/>
  <c r="D11" i="1770" s="1"/>
  <c r="L9" i="1770"/>
  <c r="D9" i="1770"/>
  <c r="L8" i="1770"/>
  <c r="D8" i="1770" s="1"/>
  <c r="R6" i="1770"/>
  <c r="R5" i="1770"/>
  <c r="R4" i="1770"/>
  <c r="R52" i="1769"/>
  <c r="R51" i="1769"/>
  <c r="D50" i="1769"/>
  <c r="R49" i="1769"/>
  <c r="D49" i="1769"/>
  <c r="R48" i="1769"/>
  <c r="D48" i="1769"/>
  <c r="D46" i="1769"/>
  <c r="D45" i="1769"/>
  <c r="R44" i="1769"/>
  <c r="L28" i="1769" s="1"/>
  <c r="D28" i="1769" s="1"/>
  <c r="D44" i="1769"/>
  <c r="R42" i="1769"/>
  <c r="L6" i="1769" s="1"/>
  <c r="D6" i="1769" s="1"/>
  <c r="D42" i="1769"/>
  <c r="R41" i="1769"/>
  <c r="D41" i="1769"/>
  <c r="R40" i="1769"/>
  <c r="D40" i="1769"/>
  <c r="R39" i="1769"/>
  <c r="H39" i="1769"/>
  <c r="D39" i="1769"/>
  <c r="R38" i="1769"/>
  <c r="H38" i="1769"/>
  <c r="D38" i="1769"/>
  <c r="R37" i="1769"/>
  <c r="H37" i="1769"/>
  <c r="D37" i="1769"/>
  <c r="R36" i="1769"/>
  <c r="L10" i="1769" s="1"/>
  <c r="D10" i="1769" s="1"/>
  <c r="H36" i="1769"/>
  <c r="D36" i="1769"/>
  <c r="R35" i="1769"/>
  <c r="L19" i="1769" s="1"/>
  <c r="D19" i="1769" s="1"/>
  <c r="H35" i="1769"/>
  <c r="D35" i="1769"/>
  <c r="R34" i="1769"/>
  <c r="H34" i="1769"/>
  <c r="D34" i="1769"/>
  <c r="R33" i="1769"/>
  <c r="R32" i="1769"/>
  <c r="R31" i="1769"/>
  <c r="R30" i="1769"/>
  <c r="R29" i="1769"/>
  <c r="R28" i="1769"/>
  <c r="L16" i="1769" s="1"/>
  <c r="D16" i="1769" s="1"/>
  <c r="R27" i="1769"/>
  <c r="D27" i="1769"/>
  <c r="R26" i="1769"/>
  <c r="L26" i="1769"/>
  <c r="D26" i="1769" s="1"/>
  <c r="R25" i="1769"/>
  <c r="L25" i="1769"/>
  <c r="D25" i="1769" s="1"/>
  <c r="R24" i="1769"/>
  <c r="D24" i="1769"/>
  <c r="R23" i="1769"/>
  <c r="L23" i="1769"/>
  <c r="D23" i="1769"/>
  <c r="R22" i="1769"/>
  <c r="L22" i="1769"/>
  <c r="D22" i="1769"/>
  <c r="R21" i="1769"/>
  <c r="D21" i="1769"/>
  <c r="R20" i="1769"/>
  <c r="L20" i="1769"/>
  <c r="D20" i="1769"/>
  <c r="R19" i="1769"/>
  <c r="R18" i="1769"/>
  <c r="D18" i="1769"/>
  <c r="R17" i="1769"/>
  <c r="D17" i="1769"/>
  <c r="R16" i="1769"/>
  <c r="R15" i="1769"/>
  <c r="D15" i="1769"/>
  <c r="R14" i="1769"/>
  <c r="D14" i="1769"/>
  <c r="R13" i="1769"/>
  <c r="D13" i="1769"/>
  <c r="R12" i="1769"/>
  <c r="L12" i="1769"/>
  <c r="D12" i="1769" s="1"/>
  <c r="R11" i="1769"/>
  <c r="L11" i="1769"/>
  <c r="D11" i="1769"/>
  <c r="L9" i="1769"/>
  <c r="D9" i="1769" s="1"/>
  <c r="L8" i="1769"/>
  <c r="D8" i="1769"/>
  <c r="L7" i="1769"/>
  <c r="D7" i="1769" s="1"/>
  <c r="R6" i="1769"/>
  <c r="R5" i="1769"/>
  <c r="R4" i="1769"/>
  <c r="R52" i="1768"/>
  <c r="R51" i="1768"/>
  <c r="D50" i="1768"/>
  <c r="R49" i="1768"/>
  <c r="D49" i="1768"/>
  <c r="R48" i="1768"/>
  <c r="D48" i="1768"/>
  <c r="D46" i="1768"/>
  <c r="D45" i="1768"/>
  <c r="R44" i="1768"/>
  <c r="D44" i="1768"/>
  <c r="R42" i="1768"/>
  <c r="D42" i="1768"/>
  <c r="R41" i="1768"/>
  <c r="D41" i="1768"/>
  <c r="R40" i="1768"/>
  <c r="D40" i="1768"/>
  <c r="R39" i="1768"/>
  <c r="H39" i="1768"/>
  <c r="D39" i="1768"/>
  <c r="R38" i="1768"/>
  <c r="H38" i="1768"/>
  <c r="D38" i="1768"/>
  <c r="R37" i="1768"/>
  <c r="H37" i="1768"/>
  <c r="D37" i="1768"/>
  <c r="R36" i="1768"/>
  <c r="L10" i="1768" s="1"/>
  <c r="D10" i="1768" s="1"/>
  <c r="H36" i="1768"/>
  <c r="D36" i="1768"/>
  <c r="R35" i="1768"/>
  <c r="H35" i="1768"/>
  <c r="D35" i="1768"/>
  <c r="R34" i="1768"/>
  <c r="H34" i="1768"/>
  <c r="D34" i="1768"/>
  <c r="R33" i="1768"/>
  <c r="L23" i="1768" s="1"/>
  <c r="D23" i="1768" s="1"/>
  <c r="R32" i="1768"/>
  <c r="R31" i="1768"/>
  <c r="R30" i="1768"/>
  <c r="R29" i="1768"/>
  <c r="R28" i="1768"/>
  <c r="L28" i="1768"/>
  <c r="D28" i="1768"/>
  <c r="R27" i="1768"/>
  <c r="D27" i="1768"/>
  <c r="R26" i="1768"/>
  <c r="L26" i="1768"/>
  <c r="D26" i="1768"/>
  <c r="R25" i="1768"/>
  <c r="L25" i="1768"/>
  <c r="D25" i="1768" s="1"/>
  <c r="R24" i="1768"/>
  <c r="L24" i="1768"/>
  <c r="D24" i="1768" s="1"/>
  <c r="R23" i="1768"/>
  <c r="R22" i="1768"/>
  <c r="L22" i="1768"/>
  <c r="D22" i="1768" s="1"/>
  <c r="R21" i="1768"/>
  <c r="L17" i="1768" s="1"/>
  <c r="D17" i="1768" s="1"/>
  <c r="D21" i="1768"/>
  <c r="R20" i="1768"/>
  <c r="L20" i="1768"/>
  <c r="D20" i="1768" s="1"/>
  <c r="R19" i="1768"/>
  <c r="L19" i="1768"/>
  <c r="D19" i="1768" s="1"/>
  <c r="R18" i="1768"/>
  <c r="D18" i="1768"/>
  <c r="R17" i="1768"/>
  <c r="R16" i="1768"/>
  <c r="L16" i="1768"/>
  <c r="D16" i="1768" s="1"/>
  <c r="R15" i="1768"/>
  <c r="D15" i="1768"/>
  <c r="R14" i="1768"/>
  <c r="D14" i="1768"/>
  <c r="R13" i="1768"/>
  <c r="D13" i="1768"/>
  <c r="R12" i="1768"/>
  <c r="L12" i="1768"/>
  <c r="D12" i="1768" s="1"/>
  <c r="R11" i="1768"/>
  <c r="L11" i="1768"/>
  <c r="D11" i="1768"/>
  <c r="L9" i="1768"/>
  <c r="D9" i="1768"/>
  <c r="L8" i="1768"/>
  <c r="D8" i="1768" s="1"/>
  <c r="L7" i="1768"/>
  <c r="D7" i="1768" s="1"/>
  <c r="R6" i="1768"/>
  <c r="L6" i="1768"/>
  <c r="D6" i="1768" s="1"/>
  <c r="R5" i="1768"/>
  <c r="R4" i="1768"/>
  <c r="R52" i="1767"/>
  <c r="R51" i="1767"/>
  <c r="D50" i="1767"/>
  <c r="R49" i="1767"/>
  <c r="D49" i="1767"/>
  <c r="R48" i="1767"/>
  <c r="D48" i="1767"/>
  <c r="D46" i="1767"/>
  <c r="D45" i="1767"/>
  <c r="R44" i="1767"/>
  <c r="D44" i="1767"/>
  <c r="R42" i="1767"/>
  <c r="L6" i="1767" s="1"/>
  <c r="D6" i="1767" s="1"/>
  <c r="D42" i="1767"/>
  <c r="R41" i="1767"/>
  <c r="L7" i="1767" s="1"/>
  <c r="D7" i="1767" s="1"/>
  <c r="D41" i="1767"/>
  <c r="R40" i="1767"/>
  <c r="D40" i="1767"/>
  <c r="R39" i="1767"/>
  <c r="H39" i="1767"/>
  <c r="D39" i="1767"/>
  <c r="R38" i="1767"/>
  <c r="H38" i="1767"/>
  <c r="D38" i="1767"/>
  <c r="R37" i="1767"/>
  <c r="H37" i="1767"/>
  <c r="D37" i="1767"/>
  <c r="R36" i="1767"/>
  <c r="H36" i="1767"/>
  <c r="D36" i="1767"/>
  <c r="R35" i="1767"/>
  <c r="H35" i="1767"/>
  <c r="D35" i="1767"/>
  <c r="R34" i="1767"/>
  <c r="H34" i="1767"/>
  <c r="D34" i="1767"/>
  <c r="R33" i="1767"/>
  <c r="R32" i="1767"/>
  <c r="L11" i="1767" s="1"/>
  <c r="D11" i="1767" s="1"/>
  <c r="R31" i="1767"/>
  <c r="R30" i="1767"/>
  <c r="R29" i="1767"/>
  <c r="R28" i="1767"/>
  <c r="L28" i="1767"/>
  <c r="D28" i="1767"/>
  <c r="R27" i="1767"/>
  <c r="D27" i="1767"/>
  <c r="R26" i="1767"/>
  <c r="L26" i="1767"/>
  <c r="D26" i="1767" s="1"/>
  <c r="R25" i="1767"/>
  <c r="L25" i="1767"/>
  <c r="D25" i="1767"/>
  <c r="R24" i="1767"/>
  <c r="L24" i="1767"/>
  <c r="D24" i="1767"/>
  <c r="R23" i="1767"/>
  <c r="D23" i="1767"/>
  <c r="R22" i="1767"/>
  <c r="D22" i="1767"/>
  <c r="R21" i="1767"/>
  <c r="D21" i="1767"/>
  <c r="R20" i="1767"/>
  <c r="L20" i="1767"/>
  <c r="D20" i="1767"/>
  <c r="R19" i="1767"/>
  <c r="D19" i="1767"/>
  <c r="R18" i="1767"/>
  <c r="D18" i="1767"/>
  <c r="R17" i="1767"/>
  <c r="L17" i="1767"/>
  <c r="D17" i="1767"/>
  <c r="R16" i="1767"/>
  <c r="L16" i="1767"/>
  <c r="D16" i="1767" s="1"/>
  <c r="R15" i="1767"/>
  <c r="D15" i="1767"/>
  <c r="R14" i="1767"/>
  <c r="D14" i="1767"/>
  <c r="R13" i="1767"/>
  <c r="D13" i="1767"/>
  <c r="R12" i="1767"/>
  <c r="L12" i="1767"/>
  <c r="D12" i="1767" s="1"/>
  <c r="R11" i="1767"/>
  <c r="L10" i="1767"/>
  <c r="D10" i="1767"/>
  <c r="L9" i="1767"/>
  <c r="D9" i="1767"/>
  <c r="L8" i="1767"/>
  <c r="D8" i="1767"/>
  <c r="R6" i="1767"/>
  <c r="R5" i="1767"/>
  <c r="R4" i="1767"/>
  <c r="R52" i="1766"/>
  <c r="R51" i="1766"/>
  <c r="D50" i="1766"/>
  <c r="R49" i="1766"/>
  <c r="G49" i="1766"/>
  <c r="D49" i="1766"/>
  <c r="R48" i="1766"/>
  <c r="D48" i="1766"/>
  <c r="D46" i="1766"/>
  <c r="D45" i="1766"/>
  <c r="D44" i="1766"/>
  <c r="R42" i="1766"/>
  <c r="L6" i="1766" s="1"/>
  <c r="D6" i="1766" s="1"/>
  <c r="D42" i="1766"/>
  <c r="R41" i="1766"/>
  <c r="L7" i="1766" s="1"/>
  <c r="D7" i="1766" s="1"/>
  <c r="D41" i="1766"/>
  <c r="R40" i="1766"/>
  <c r="D40" i="1766"/>
  <c r="R39" i="1766"/>
  <c r="D39" i="1766"/>
  <c r="R38" i="1766"/>
  <c r="L9" i="1766" s="1"/>
  <c r="D9" i="1766" s="1"/>
  <c r="D38" i="1766"/>
  <c r="R37" i="1766"/>
  <c r="D37" i="1766"/>
  <c r="R36" i="1766"/>
  <c r="D36" i="1766"/>
  <c r="R35" i="1766"/>
  <c r="D35" i="1766"/>
  <c r="R34" i="1766"/>
  <c r="L12" i="1766" s="1"/>
  <c r="D12" i="1766" s="1"/>
  <c r="D34" i="1766"/>
  <c r="D54" i="1766" s="1"/>
  <c r="H14" i="1766" s="1"/>
  <c r="R33" i="1766"/>
  <c r="L23" i="1766" s="1"/>
  <c r="D23" i="1766" s="1"/>
  <c r="R32" i="1766"/>
  <c r="R31" i="1766"/>
  <c r="R30" i="1766"/>
  <c r="R29" i="1766"/>
  <c r="R28" i="1766"/>
  <c r="L16" i="1766" s="1"/>
  <c r="D16" i="1766" s="1"/>
  <c r="D28" i="1766"/>
  <c r="R27" i="1766"/>
  <c r="D27" i="1766"/>
  <c r="R26" i="1766"/>
  <c r="L26" i="1766"/>
  <c r="D26" i="1766"/>
  <c r="R25" i="1766"/>
  <c r="L25" i="1766"/>
  <c r="D25" i="1766"/>
  <c r="R24" i="1766"/>
  <c r="D24" i="1766"/>
  <c r="R23" i="1766"/>
  <c r="R22" i="1766"/>
  <c r="L22" i="1766"/>
  <c r="D22" i="1766" s="1"/>
  <c r="R21" i="1766"/>
  <c r="D21" i="1766"/>
  <c r="R20" i="1766"/>
  <c r="L20" i="1766"/>
  <c r="D20" i="1766"/>
  <c r="R19" i="1766"/>
  <c r="L19" i="1766"/>
  <c r="D19" i="1766"/>
  <c r="R18" i="1766"/>
  <c r="D18" i="1766"/>
  <c r="R17" i="1766"/>
  <c r="D17" i="1766"/>
  <c r="R16" i="1766"/>
  <c r="S15" i="1766"/>
  <c r="R15" i="1766"/>
  <c r="D15" i="1766"/>
  <c r="S14" i="1766"/>
  <c r="R14" i="1766"/>
  <c r="D14" i="1766"/>
  <c r="R13" i="1766"/>
  <c r="D13" i="1766"/>
  <c r="R12" i="1766"/>
  <c r="R11" i="1766"/>
  <c r="L11" i="1766"/>
  <c r="D11" i="1766" s="1"/>
  <c r="L10" i="1766"/>
  <c r="D10" i="1766" s="1"/>
  <c r="L8" i="1766"/>
  <c r="D8" i="1766" s="1"/>
  <c r="R6" i="1766"/>
  <c r="R5" i="1766"/>
  <c r="R4" i="1766"/>
  <c r="R52" i="1765"/>
  <c r="R51" i="1765"/>
  <c r="D50" i="1765"/>
  <c r="R49" i="1765"/>
  <c r="D49" i="1765"/>
  <c r="R48" i="1765"/>
  <c r="D48" i="1765"/>
  <c r="D46" i="1765"/>
  <c r="D45" i="1765"/>
  <c r="R44" i="1765"/>
  <c r="D44" i="1765"/>
  <c r="R42" i="1765"/>
  <c r="L6" i="1765" s="1"/>
  <c r="D6" i="1765" s="1"/>
  <c r="D29" i="1765" s="1"/>
  <c r="H13" i="1765" s="1"/>
  <c r="H15" i="1765" s="1"/>
  <c r="H29" i="1765" s="1"/>
  <c r="D42" i="1765"/>
  <c r="R41" i="1765"/>
  <c r="D41" i="1765"/>
  <c r="R40" i="1765"/>
  <c r="D40" i="1765"/>
  <c r="R39" i="1765"/>
  <c r="H39" i="1765"/>
  <c r="D39" i="1765"/>
  <c r="R38" i="1765"/>
  <c r="L9" i="1765" s="1"/>
  <c r="D9" i="1765" s="1"/>
  <c r="H38" i="1765"/>
  <c r="D38" i="1765"/>
  <c r="R37" i="1765"/>
  <c r="H37" i="1765"/>
  <c r="D37" i="1765"/>
  <c r="R36" i="1765"/>
  <c r="H36" i="1765"/>
  <c r="D36" i="1765"/>
  <c r="R35" i="1765"/>
  <c r="H35" i="1765"/>
  <c r="D35" i="1765"/>
  <c r="R34" i="1765"/>
  <c r="H34" i="1765"/>
  <c r="G49" i="1765" s="1"/>
  <c r="D34" i="1765"/>
  <c r="D54" i="1765" s="1"/>
  <c r="H14" i="1765" s="1"/>
  <c r="R33" i="1765"/>
  <c r="R32" i="1765"/>
  <c r="L11" i="1765" s="1"/>
  <c r="D11" i="1765" s="1"/>
  <c r="R31" i="1765"/>
  <c r="R30" i="1765"/>
  <c r="R29" i="1765"/>
  <c r="R28" i="1765"/>
  <c r="L28" i="1765"/>
  <c r="D28" i="1765"/>
  <c r="R27" i="1765"/>
  <c r="D27" i="1765"/>
  <c r="R26" i="1765"/>
  <c r="L26" i="1765"/>
  <c r="D26" i="1765"/>
  <c r="R25" i="1765"/>
  <c r="L25" i="1765"/>
  <c r="D25" i="1765"/>
  <c r="R24" i="1765"/>
  <c r="D24" i="1765"/>
  <c r="R23" i="1765"/>
  <c r="L23" i="1765"/>
  <c r="D23" i="1765"/>
  <c r="R22" i="1765"/>
  <c r="L22" i="1765"/>
  <c r="D22" i="1765"/>
  <c r="R21" i="1765"/>
  <c r="D21" i="1765"/>
  <c r="R20" i="1765"/>
  <c r="L20" i="1765"/>
  <c r="D20" i="1765"/>
  <c r="R19" i="1765"/>
  <c r="L19" i="1765"/>
  <c r="D19" i="1765"/>
  <c r="R18" i="1765"/>
  <c r="D18" i="1765"/>
  <c r="R17" i="1765"/>
  <c r="D17" i="1765"/>
  <c r="R16" i="1765"/>
  <c r="L16" i="1765"/>
  <c r="D16" i="1765"/>
  <c r="R15" i="1765"/>
  <c r="D15" i="1765"/>
  <c r="R14" i="1765"/>
  <c r="D14" i="1765"/>
  <c r="R13" i="1765"/>
  <c r="D13" i="1765"/>
  <c r="R12" i="1765"/>
  <c r="L12" i="1765"/>
  <c r="D12" i="1765"/>
  <c r="R11" i="1765"/>
  <c r="L10" i="1765"/>
  <c r="D10" i="1765"/>
  <c r="L8" i="1765"/>
  <c r="D8" i="1765" s="1"/>
  <c r="L7" i="1765"/>
  <c r="D7" i="1765" s="1"/>
  <c r="R6" i="1765"/>
  <c r="R5" i="1765"/>
  <c r="R4" i="1765"/>
  <c r="R52" i="1764"/>
  <c r="R51" i="1764"/>
  <c r="D50" i="1764"/>
  <c r="R49" i="1764"/>
  <c r="D49" i="1764"/>
  <c r="R48" i="1764"/>
  <c r="D48" i="1764"/>
  <c r="D46" i="1764"/>
  <c r="D45" i="1764"/>
  <c r="R44" i="1764"/>
  <c r="D44" i="1764"/>
  <c r="R42" i="1764"/>
  <c r="D42" i="1764"/>
  <c r="R41" i="1764"/>
  <c r="L7" i="1764" s="1"/>
  <c r="D7" i="1764" s="1"/>
  <c r="D41" i="1764"/>
  <c r="R40" i="1764"/>
  <c r="D40" i="1764"/>
  <c r="R39" i="1764"/>
  <c r="H39" i="1764"/>
  <c r="D39" i="1764"/>
  <c r="R38" i="1764"/>
  <c r="L9" i="1764" s="1"/>
  <c r="D9" i="1764" s="1"/>
  <c r="H38" i="1764"/>
  <c r="D38" i="1764"/>
  <c r="R37" i="1764"/>
  <c r="H37" i="1764"/>
  <c r="D37" i="1764"/>
  <c r="R36" i="1764"/>
  <c r="H36" i="1764"/>
  <c r="D36" i="1764"/>
  <c r="R35" i="1764"/>
  <c r="L19" i="1764" s="1"/>
  <c r="D19" i="1764" s="1"/>
  <c r="H35" i="1764"/>
  <c r="D35" i="1764"/>
  <c r="R34" i="1764"/>
  <c r="H34" i="1764"/>
  <c r="D34" i="1764"/>
  <c r="R33" i="1764"/>
  <c r="L23" i="1764" s="1"/>
  <c r="D23" i="1764" s="1"/>
  <c r="R32" i="1764"/>
  <c r="R31" i="1764"/>
  <c r="R30" i="1764"/>
  <c r="R29" i="1764"/>
  <c r="R28" i="1764"/>
  <c r="L28" i="1764"/>
  <c r="D28" i="1764"/>
  <c r="R27" i="1764"/>
  <c r="D27" i="1764"/>
  <c r="R26" i="1764"/>
  <c r="L26" i="1764"/>
  <c r="D26" i="1764"/>
  <c r="R25" i="1764"/>
  <c r="L25" i="1764"/>
  <c r="D25" i="1764" s="1"/>
  <c r="R24" i="1764"/>
  <c r="L24" i="1764"/>
  <c r="D24" i="1764" s="1"/>
  <c r="R23" i="1764"/>
  <c r="R22" i="1764"/>
  <c r="L22" i="1764"/>
  <c r="D22" i="1764"/>
  <c r="R21" i="1764"/>
  <c r="L17" i="1764" s="1"/>
  <c r="D17" i="1764" s="1"/>
  <c r="D21" i="1764"/>
  <c r="R20" i="1764"/>
  <c r="L20" i="1764"/>
  <c r="D20" i="1764" s="1"/>
  <c r="R19" i="1764"/>
  <c r="R18" i="1764"/>
  <c r="D18" i="1764"/>
  <c r="R17" i="1764"/>
  <c r="R16" i="1764"/>
  <c r="L16" i="1764"/>
  <c r="D16" i="1764"/>
  <c r="R15" i="1764"/>
  <c r="D15" i="1764"/>
  <c r="R14" i="1764"/>
  <c r="D14" i="1764"/>
  <c r="R13" i="1764"/>
  <c r="D13" i="1764"/>
  <c r="R12" i="1764"/>
  <c r="L12" i="1764"/>
  <c r="D12" i="1764"/>
  <c r="R11" i="1764"/>
  <c r="L11" i="1764"/>
  <c r="D11" i="1764"/>
  <c r="L10" i="1764"/>
  <c r="D10" i="1764" s="1"/>
  <c r="L8" i="1764"/>
  <c r="D8" i="1764" s="1"/>
  <c r="R6" i="1764"/>
  <c r="L6" i="1764"/>
  <c r="D6" i="1764" s="1"/>
  <c r="R5" i="1764"/>
  <c r="R4" i="1764"/>
  <c r="R52" i="1763"/>
  <c r="R51" i="1763"/>
  <c r="D50" i="1763"/>
  <c r="R49" i="1763"/>
  <c r="D49" i="1763"/>
  <c r="R48" i="1763"/>
  <c r="D48" i="1763"/>
  <c r="D46" i="1763"/>
  <c r="D45" i="1763"/>
  <c r="R44" i="1763"/>
  <c r="D44" i="1763"/>
  <c r="R42" i="1763"/>
  <c r="D42" i="1763"/>
  <c r="R41" i="1763"/>
  <c r="D41" i="1763"/>
  <c r="R40" i="1763"/>
  <c r="D40" i="1763"/>
  <c r="R39" i="1763"/>
  <c r="L20" i="1763" s="1"/>
  <c r="D20" i="1763" s="1"/>
  <c r="H39" i="1763"/>
  <c r="D39" i="1763"/>
  <c r="R38" i="1763"/>
  <c r="H38" i="1763"/>
  <c r="D38" i="1763"/>
  <c r="R37" i="1763"/>
  <c r="H37" i="1763"/>
  <c r="D37" i="1763"/>
  <c r="R36" i="1763"/>
  <c r="H36" i="1763"/>
  <c r="D36" i="1763"/>
  <c r="R35" i="1763"/>
  <c r="H35" i="1763"/>
  <c r="D35" i="1763"/>
  <c r="R34" i="1763"/>
  <c r="L12" i="1763" s="1"/>
  <c r="D12" i="1763" s="1"/>
  <c r="H34" i="1763"/>
  <c r="D34" i="1763"/>
  <c r="R33" i="1763"/>
  <c r="R32" i="1763"/>
  <c r="R31" i="1763"/>
  <c r="R30" i="1763"/>
  <c r="R29" i="1763"/>
  <c r="R28" i="1763"/>
  <c r="L16" i="1763" s="1"/>
  <c r="D16" i="1763" s="1"/>
  <c r="L28" i="1763"/>
  <c r="D28" i="1763"/>
  <c r="R27" i="1763"/>
  <c r="D27" i="1763"/>
  <c r="R26" i="1763"/>
  <c r="L26" i="1763"/>
  <c r="D26" i="1763"/>
  <c r="R25" i="1763"/>
  <c r="L25" i="1763"/>
  <c r="D25" i="1763" s="1"/>
  <c r="R24" i="1763"/>
  <c r="L24" i="1763"/>
  <c r="D24" i="1763" s="1"/>
  <c r="R23" i="1763"/>
  <c r="D23" i="1763"/>
  <c r="R22" i="1763"/>
  <c r="D22" i="1763"/>
  <c r="R21" i="1763"/>
  <c r="D21" i="1763"/>
  <c r="R20" i="1763"/>
  <c r="R19" i="1763"/>
  <c r="D19" i="1763"/>
  <c r="R18" i="1763"/>
  <c r="D18" i="1763"/>
  <c r="R17" i="1763"/>
  <c r="L17" i="1763"/>
  <c r="D17" i="1763" s="1"/>
  <c r="R16" i="1763"/>
  <c r="R15" i="1763"/>
  <c r="D15" i="1763"/>
  <c r="R14" i="1763"/>
  <c r="D14" i="1763"/>
  <c r="R13" i="1763"/>
  <c r="D13" i="1763"/>
  <c r="R12" i="1763"/>
  <c r="R11" i="1763"/>
  <c r="L11" i="1763"/>
  <c r="D11" i="1763" s="1"/>
  <c r="L10" i="1763"/>
  <c r="D10" i="1763" s="1"/>
  <c r="L9" i="1763"/>
  <c r="D9" i="1763" s="1"/>
  <c r="L8" i="1763"/>
  <c r="D8" i="1763" s="1"/>
  <c r="L7" i="1763"/>
  <c r="D7" i="1763"/>
  <c r="R6" i="1763"/>
  <c r="L6" i="1763"/>
  <c r="D6" i="1763" s="1"/>
  <c r="R5" i="1763"/>
  <c r="R4" i="1763"/>
  <c r="R52" i="1762"/>
  <c r="R51" i="1762"/>
  <c r="D50" i="1762"/>
  <c r="R49" i="1762"/>
  <c r="G49" i="1762"/>
  <c r="D49" i="1762"/>
  <c r="R48" i="1762"/>
  <c r="D48" i="1762"/>
  <c r="D46" i="1762"/>
  <c r="D45" i="1762"/>
  <c r="D44" i="1762"/>
  <c r="R42" i="1762"/>
  <c r="L6" i="1762" s="1"/>
  <c r="D6" i="1762" s="1"/>
  <c r="D42" i="1762"/>
  <c r="R41" i="1762"/>
  <c r="L7" i="1762" s="1"/>
  <c r="D7" i="1762" s="1"/>
  <c r="D41" i="1762"/>
  <c r="R40" i="1762"/>
  <c r="D40" i="1762"/>
  <c r="R39" i="1762"/>
  <c r="D39" i="1762"/>
  <c r="R38" i="1762"/>
  <c r="L9" i="1762" s="1"/>
  <c r="D9" i="1762" s="1"/>
  <c r="D38" i="1762"/>
  <c r="R37" i="1762"/>
  <c r="D37" i="1762"/>
  <c r="R36" i="1762"/>
  <c r="D36" i="1762"/>
  <c r="R35" i="1762"/>
  <c r="D35" i="1762"/>
  <c r="R34" i="1762"/>
  <c r="L12" i="1762" s="1"/>
  <c r="D12" i="1762" s="1"/>
  <c r="D34" i="1762"/>
  <c r="D54" i="1762" s="1"/>
  <c r="H14" i="1762" s="1"/>
  <c r="R33" i="1762"/>
  <c r="L23" i="1762" s="1"/>
  <c r="D23" i="1762" s="1"/>
  <c r="R32" i="1762"/>
  <c r="R31" i="1762"/>
  <c r="R30" i="1762"/>
  <c r="R29" i="1762"/>
  <c r="R28" i="1762"/>
  <c r="D28" i="1762"/>
  <c r="R27" i="1762"/>
  <c r="D27" i="1762"/>
  <c r="R26" i="1762"/>
  <c r="L26" i="1762"/>
  <c r="D26" i="1762"/>
  <c r="R25" i="1762"/>
  <c r="L25" i="1762"/>
  <c r="D25" i="1762"/>
  <c r="R24" i="1762"/>
  <c r="D24" i="1762"/>
  <c r="R23" i="1762"/>
  <c r="R22" i="1762"/>
  <c r="L22" i="1762"/>
  <c r="D22" i="1762"/>
  <c r="R21" i="1762"/>
  <c r="D21" i="1762"/>
  <c r="R20" i="1762"/>
  <c r="L20" i="1762"/>
  <c r="D20" i="1762"/>
  <c r="R19" i="1762"/>
  <c r="L19" i="1762"/>
  <c r="D19" i="1762"/>
  <c r="R18" i="1762"/>
  <c r="D18" i="1762"/>
  <c r="R17" i="1762"/>
  <c r="D17" i="1762"/>
  <c r="R16" i="1762"/>
  <c r="L16" i="1762"/>
  <c r="D16" i="1762" s="1"/>
  <c r="S15" i="1762"/>
  <c r="R15" i="1762"/>
  <c r="D15" i="1762"/>
  <c r="S14" i="1762"/>
  <c r="R14" i="1762"/>
  <c r="D14" i="1762"/>
  <c r="R13" i="1762"/>
  <c r="D13" i="1762"/>
  <c r="R12" i="1762"/>
  <c r="R11" i="1762"/>
  <c r="L11" i="1762"/>
  <c r="D11" i="1762"/>
  <c r="L10" i="1762"/>
  <c r="D10" i="1762"/>
  <c r="L8" i="1762"/>
  <c r="D8" i="1762" s="1"/>
  <c r="R6" i="1762"/>
  <c r="R5" i="1762"/>
  <c r="R4" i="1762"/>
  <c r="R52" i="1761"/>
  <c r="L22" i="1761" s="1"/>
  <c r="D22" i="1761" s="1"/>
  <c r="R51" i="1761"/>
  <c r="D50" i="1761"/>
  <c r="R49" i="1761"/>
  <c r="D49" i="1761"/>
  <c r="R48" i="1761"/>
  <c r="D48" i="1761"/>
  <c r="D46" i="1761"/>
  <c r="D45" i="1761"/>
  <c r="R44" i="1761"/>
  <c r="D44" i="1761"/>
  <c r="R42" i="1761"/>
  <c r="L6" i="1761" s="1"/>
  <c r="D6" i="1761" s="1"/>
  <c r="D42" i="1761"/>
  <c r="R41" i="1761"/>
  <c r="L7" i="1761" s="1"/>
  <c r="D7" i="1761" s="1"/>
  <c r="D41" i="1761"/>
  <c r="R40" i="1761"/>
  <c r="L8" i="1761" s="1"/>
  <c r="D8" i="1761" s="1"/>
  <c r="D40" i="1761"/>
  <c r="R39" i="1761"/>
  <c r="H39" i="1761"/>
  <c r="D39" i="1761"/>
  <c r="R38" i="1761"/>
  <c r="H38" i="1761"/>
  <c r="D38" i="1761"/>
  <c r="R37" i="1761"/>
  <c r="H37" i="1761"/>
  <c r="D37" i="1761"/>
  <c r="R36" i="1761"/>
  <c r="L10" i="1761" s="1"/>
  <c r="D10" i="1761" s="1"/>
  <c r="H36" i="1761"/>
  <c r="D36" i="1761"/>
  <c r="R35" i="1761"/>
  <c r="L19" i="1761" s="1"/>
  <c r="D19" i="1761" s="1"/>
  <c r="H35" i="1761"/>
  <c r="D35" i="1761"/>
  <c r="R34" i="1761"/>
  <c r="L12" i="1761" s="1"/>
  <c r="D12" i="1761" s="1"/>
  <c r="H34" i="1761"/>
  <c r="D34" i="1761"/>
  <c r="R33" i="1761"/>
  <c r="R32" i="1761"/>
  <c r="R31" i="1761"/>
  <c r="R30" i="1761"/>
  <c r="R29" i="1761"/>
  <c r="R28" i="1761"/>
  <c r="L28" i="1761"/>
  <c r="D28" i="1761"/>
  <c r="R27" i="1761"/>
  <c r="D27" i="1761"/>
  <c r="R26" i="1761"/>
  <c r="L26" i="1761"/>
  <c r="D26" i="1761" s="1"/>
  <c r="R25" i="1761"/>
  <c r="D25" i="1761"/>
  <c r="R24" i="1761"/>
  <c r="D24" i="1761"/>
  <c r="R23" i="1761"/>
  <c r="L23" i="1761"/>
  <c r="D23" i="1761"/>
  <c r="R22" i="1761"/>
  <c r="R21" i="1761"/>
  <c r="D21" i="1761"/>
  <c r="R20" i="1761"/>
  <c r="L20" i="1761"/>
  <c r="D20" i="1761" s="1"/>
  <c r="R19" i="1761"/>
  <c r="R18" i="1761"/>
  <c r="D18" i="1761"/>
  <c r="R17" i="1761"/>
  <c r="D17" i="1761"/>
  <c r="R16" i="1761"/>
  <c r="L16" i="1761"/>
  <c r="D16" i="1761" s="1"/>
  <c r="R15" i="1761"/>
  <c r="D15" i="1761"/>
  <c r="R14" i="1761"/>
  <c r="D14" i="1761"/>
  <c r="R13" i="1761"/>
  <c r="D13" i="1761"/>
  <c r="R12" i="1761"/>
  <c r="R11" i="1761"/>
  <c r="L11" i="1761"/>
  <c r="D11" i="1761"/>
  <c r="L9" i="1761"/>
  <c r="D9" i="1761"/>
  <c r="R6" i="1761"/>
  <c r="R5" i="1761"/>
  <c r="R4" i="1761"/>
  <c r="R52" i="1760"/>
  <c r="R51" i="1760"/>
  <c r="D50" i="1760"/>
  <c r="R49" i="1760"/>
  <c r="D49" i="1760"/>
  <c r="R48" i="1760"/>
  <c r="D48" i="1760"/>
  <c r="D46" i="1760"/>
  <c r="D45" i="1760"/>
  <c r="R44" i="1760"/>
  <c r="L28" i="1760" s="1"/>
  <c r="D28" i="1760" s="1"/>
  <c r="D44" i="1760"/>
  <c r="R42" i="1760"/>
  <c r="L6" i="1760" s="1"/>
  <c r="D6" i="1760" s="1"/>
  <c r="D42" i="1760"/>
  <c r="R41" i="1760"/>
  <c r="L7" i="1760" s="1"/>
  <c r="D7" i="1760" s="1"/>
  <c r="D41" i="1760"/>
  <c r="R40" i="1760"/>
  <c r="D40" i="1760"/>
  <c r="R39" i="1760"/>
  <c r="H39" i="1760"/>
  <c r="D39" i="1760"/>
  <c r="R38" i="1760"/>
  <c r="H38" i="1760"/>
  <c r="D38" i="1760"/>
  <c r="R37" i="1760"/>
  <c r="H37" i="1760"/>
  <c r="D37" i="1760"/>
  <c r="R36" i="1760"/>
  <c r="H36" i="1760"/>
  <c r="D36" i="1760"/>
  <c r="R35" i="1760"/>
  <c r="L19" i="1760" s="1"/>
  <c r="D19" i="1760" s="1"/>
  <c r="H35" i="1760"/>
  <c r="D35" i="1760"/>
  <c r="R34" i="1760"/>
  <c r="H34" i="1760"/>
  <c r="D34" i="1760"/>
  <c r="R33" i="1760"/>
  <c r="L23" i="1760" s="1"/>
  <c r="D23" i="1760" s="1"/>
  <c r="R32" i="1760"/>
  <c r="R31" i="1760"/>
  <c r="R30" i="1760"/>
  <c r="R29" i="1760"/>
  <c r="R28" i="1760"/>
  <c r="L16" i="1760" s="1"/>
  <c r="D16" i="1760" s="1"/>
  <c r="R27" i="1760"/>
  <c r="D27" i="1760"/>
  <c r="R26" i="1760"/>
  <c r="L26" i="1760"/>
  <c r="D26" i="1760"/>
  <c r="R25" i="1760"/>
  <c r="L25" i="1760"/>
  <c r="D25" i="1760" s="1"/>
  <c r="R24" i="1760"/>
  <c r="L24" i="1760"/>
  <c r="D24" i="1760"/>
  <c r="R23" i="1760"/>
  <c r="R22" i="1760"/>
  <c r="L22" i="1760"/>
  <c r="D22" i="1760"/>
  <c r="R21" i="1760"/>
  <c r="D21" i="1760"/>
  <c r="R20" i="1760"/>
  <c r="L20" i="1760"/>
  <c r="D20" i="1760"/>
  <c r="R19" i="1760"/>
  <c r="R18" i="1760"/>
  <c r="D18" i="1760"/>
  <c r="R17" i="1760"/>
  <c r="L17" i="1760"/>
  <c r="D17" i="1760"/>
  <c r="R16" i="1760"/>
  <c r="R15" i="1760"/>
  <c r="D15" i="1760"/>
  <c r="R14" i="1760"/>
  <c r="D14" i="1760"/>
  <c r="R13" i="1760"/>
  <c r="D13" i="1760"/>
  <c r="R12" i="1760"/>
  <c r="L12" i="1760"/>
  <c r="D12" i="1760"/>
  <c r="R11" i="1760"/>
  <c r="L11" i="1760"/>
  <c r="D11" i="1760"/>
  <c r="L10" i="1760"/>
  <c r="D10" i="1760" s="1"/>
  <c r="L9" i="1760"/>
  <c r="D9" i="1760" s="1"/>
  <c r="L8" i="1760"/>
  <c r="D8" i="1760"/>
  <c r="R6" i="1760"/>
  <c r="R5" i="1760"/>
  <c r="R4" i="1760"/>
  <c r="R52" i="1759"/>
  <c r="R51" i="1759"/>
  <c r="D50" i="1759"/>
  <c r="R49" i="1759"/>
  <c r="D49" i="1759"/>
  <c r="R48" i="1759"/>
  <c r="D48" i="1759"/>
  <c r="D46" i="1759"/>
  <c r="D45" i="1759"/>
  <c r="R44" i="1759"/>
  <c r="L28" i="1759" s="1"/>
  <c r="D28" i="1759" s="1"/>
  <c r="D44" i="1759"/>
  <c r="R42" i="1759"/>
  <c r="D42" i="1759"/>
  <c r="R41" i="1759"/>
  <c r="L7" i="1759" s="1"/>
  <c r="D7" i="1759" s="1"/>
  <c r="D41" i="1759"/>
  <c r="R40" i="1759"/>
  <c r="L8" i="1759" s="1"/>
  <c r="D8" i="1759" s="1"/>
  <c r="D40" i="1759"/>
  <c r="R39" i="1759"/>
  <c r="L20" i="1759" s="1"/>
  <c r="D20" i="1759" s="1"/>
  <c r="H39" i="1759"/>
  <c r="D39" i="1759"/>
  <c r="R38" i="1759"/>
  <c r="L9" i="1759" s="1"/>
  <c r="D9" i="1759" s="1"/>
  <c r="H38" i="1759"/>
  <c r="D38" i="1759"/>
  <c r="R37" i="1759"/>
  <c r="H37" i="1759"/>
  <c r="D37" i="1759"/>
  <c r="R36" i="1759"/>
  <c r="H36" i="1759"/>
  <c r="D36" i="1759"/>
  <c r="R35" i="1759"/>
  <c r="H35" i="1759"/>
  <c r="D35" i="1759"/>
  <c r="R34" i="1759"/>
  <c r="H34" i="1759"/>
  <c r="D34" i="1759"/>
  <c r="R33" i="1759"/>
  <c r="R32" i="1759"/>
  <c r="L11" i="1759" s="1"/>
  <c r="D11" i="1759" s="1"/>
  <c r="R31" i="1759"/>
  <c r="R30" i="1759"/>
  <c r="R29" i="1759"/>
  <c r="R28" i="1759"/>
  <c r="L16" i="1759" s="1"/>
  <c r="D16" i="1759" s="1"/>
  <c r="R27" i="1759"/>
  <c r="D27" i="1759"/>
  <c r="R26" i="1759"/>
  <c r="L26" i="1759"/>
  <c r="D26" i="1759"/>
  <c r="R25" i="1759"/>
  <c r="L25" i="1759"/>
  <c r="D25" i="1759"/>
  <c r="R24" i="1759"/>
  <c r="L24" i="1759"/>
  <c r="D24" i="1759"/>
  <c r="R23" i="1759"/>
  <c r="D23" i="1759"/>
  <c r="R22" i="1759"/>
  <c r="D22" i="1759"/>
  <c r="R21" i="1759"/>
  <c r="D21" i="1759"/>
  <c r="R20" i="1759"/>
  <c r="R19" i="1759"/>
  <c r="D19" i="1759"/>
  <c r="R18" i="1759"/>
  <c r="D18" i="1759"/>
  <c r="R17" i="1759"/>
  <c r="L17" i="1759"/>
  <c r="D17" i="1759"/>
  <c r="R16" i="1759"/>
  <c r="R15" i="1759"/>
  <c r="D15" i="1759"/>
  <c r="R14" i="1759"/>
  <c r="D14" i="1759"/>
  <c r="R13" i="1759"/>
  <c r="D13" i="1759"/>
  <c r="R12" i="1759"/>
  <c r="L12" i="1759"/>
  <c r="D12" i="1759" s="1"/>
  <c r="R11" i="1759"/>
  <c r="L10" i="1759"/>
  <c r="D10" i="1759" s="1"/>
  <c r="R6" i="1759"/>
  <c r="L6" i="1759"/>
  <c r="D6" i="1759"/>
  <c r="R5" i="1759"/>
  <c r="R4" i="1759"/>
  <c r="R52" i="1758"/>
  <c r="R51" i="1758"/>
  <c r="D50" i="1758"/>
  <c r="R49" i="1758"/>
  <c r="G49" i="1758"/>
  <c r="D49" i="1758"/>
  <c r="R48" i="1758"/>
  <c r="D48" i="1758"/>
  <c r="D46" i="1758"/>
  <c r="D45" i="1758"/>
  <c r="D44" i="1758"/>
  <c r="R42" i="1758"/>
  <c r="L6" i="1758" s="1"/>
  <c r="D6" i="1758" s="1"/>
  <c r="D42" i="1758"/>
  <c r="R41" i="1758"/>
  <c r="L7" i="1758" s="1"/>
  <c r="D7" i="1758" s="1"/>
  <c r="D41" i="1758"/>
  <c r="R40" i="1758"/>
  <c r="D40" i="1758"/>
  <c r="R39" i="1758"/>
  <c r="D39" i="1758"/>
  <c r="R38" i="1758"/>
  <c r="L9" i="1758" s="1"/>
  <c r="D9" i="1758" s="1"/>
  <c r="D38" i="1758"/>
  <c r="R37" i="1758"/>
  <c r="D37" i="1758"/>
  <c r="R36" i="1758"/>
  <c r="L10" i="1758" s="1"/>
  <c r="D10" i="1758" s="1"/>
  <c r="D36" i="1758"/>
  <c r="R35" i="1758"/>
  <c r="D35" i="1758"/>
  <c r="R34" i="1758"/>
  <c r="L12" i="1758" s="1"/>
  <c r="D12" i="1758" s="1"/>
  <c r="D34" i="1758"/>
  <c r="D54" i="1758" s="1"/>
  <c r="H14" i="1758" s="1"/>
  <c r="R33" i="1758"/>
  <c r="L23" i="1758" s="1"/>
  <c r="D23" i="1758" s="1"/>
  <c r="R32" i="1758"/>
  <c r="R31" i="1758"/>
  <c r="R30" i="1758"/>
  <c r="R29" i="1758"/>
  <c r="R28" i="1758"/>
  <c r="D28" i="1758"/>
  <c r="R27" i="1758"/>
  <c r="D27" i="1758"/>
  <c r="R26" i="1758"/>
  <c r="L26" i="1758"/>
  <c r="D26" i="1758"/>
  <c r="R25" i="1758"/>
  <c r="L25" i="1758"/>
  <c r="D25" i="1758"/>
  <c r="R24" i="1758"/>
  <c r="D24" i="1758"/>
  <c r="R23" i="1758"/>
  <c r="R22" i="1758"/>
  <c r="L22" i="1758"/>
  <c r="D22" i="1758"/>
  <c r="R21" i="1758"/>
  <c r="D21" i="1758"/>
  <c r="R20" i="1758"/>
  <c r="L20" i="1758"/>
  <c r="D20" i="1758"/>
  <c r="R19" i="1758"/>
  <c r="L19" i="1758"/>
  <c r="D19" i="1758"/>
  <c r="R18" i="1758"/>
  <c r="D18" i="1758"/>
  <c r="R17" i="1758"/>
  <c r="D17" i="1758"/>
  <c r="R16" i="1758"/>
  <c r="L16" i="1758"/>
  <c r="D16" i="1758" s="1"/>
  <c r="S15" i="1758"/>
  <c r="R15" i="1758"/>
  <c r="D15" i="1758"/>
  <c r="S14" i="1758"/>
  <c r="R14" i="1758"/>
  <c r="D14" i="1758"/>
  <c r="R13" i="1758"/>
  <c r="D13" i="1758"/>
  <c r="R12" i="1758"/>
  <c r="R11" i="1758"/>
  <c r="L11" i="1758"/>
  <c r="D11" i="1758"/>
  <c r="L8" i="1758"/>
  <c r="D8" i="1758"/>
  <c r="R6" i="1758"/>
  <c r="R5" i="1758"/>
  <c r="R4" i="1758"/>
  <c r="R52" i="1757"/>
  <c r="R51" i="1757"/>
  <c r="D50" i="1757"/>
  <c r="R49" i="1757"/>
  <c r="D49" i="1757"/>
  <c r="R48" i="1757"/>
  <c r="D48" i="1757"/>
  <c r="D46" i="1757"/>
  <c r="D45" i="1757"/>
  <c r="R44" i="1757"/>
  <c r="L28" i="1757" s="1"/>
  <c r="D28" i="1757" s="1"/>
  <c r="D44" i="1757"/>
  <c r="R42" i="1757"/>
  <c r="L6" i="1757" s="1"/>
  <c r="D6" i="1757" s="1"/>
  <c r="D42" i="1757"/>
  <c r="R41" i="1757"/>
  <c r="D41" i="1757"/>
  <c r="R40" i="1757"/>
  <c r="D40" i="1757"/>
  <c r="R39" i="1757"/>
  <c r="H39" i="1757"/>
  <c r="D39" i="1757"/>
  <c r="R38" i="1757"/>
  <c r="L9" i="1757" s="1"/>
  <c r="D9" i="1757" s="1"/>
  <c r="H38" i="1757"/>
  <c r="D38" i="1757"/>
  <c r="R37" i="1757"/>
  <c r="H37" i="1757"/>
  <c r="D37" i="1757"/>
  <c r="R36" i="1757"/>
  <c r="H36" i="1757"/>
  <c r="D36" i="1757"/>
  <c r="R35" i="1757"/>
  <c r="H35" i="1757"/>
  <c r="D35" i="1757"/>
  <c r="R34" i="1757"/>
  <c r="L12" i="1757" s="1"/>
  <c r="D12" i="1757" s="1"/>
  <c r="H34" i="1757"/>
  <c r="D34" i="1757"/>
  <c r="R33" i="1757"/>
  <c r="R32" i="1757"/>
  <c r="R31" i="1757"/>
  <c r="R30" i="1757"/>
  <c r="R29" i="1757"/>
  <c r="R28" i="1757"/>
  <c r="R27" i="1757"/>
  <c r="D27" i="1757"/>
  <c r="R26" i="1757"/>
  <c r="L26" i="1757"/>
  <c r="D26" i="1757"/>
  <c r="R25" i="1757"/>
  <c r="L25" i="1757"/>
  <c r="D25" i="1757" s="1"/>
  <c r="R24" i="1757"/>
  <c r="D24" i="1757"/>
  <c r="R23" i="1757"/>
  <c r="L23" i="1757"/>
  <c r="D23" i="1757"/>
  <c r="R22" i="1757"/>
  <c r="L22" i="1757"/>
  <c r="D22" i="1757"/>
  <c r="R21" i="1757"/>
  <c r="D21" i="1757"/>
  <c r="R20" i="1757"/>
  <c r="L20" i="1757"/>
  <c r="D20" i="1757"/>
  <c r="R19" i="1757"/>
  <c r="L19" i="1757"/>
  <c r="D19" i="1757" s="1"/>
  <c r="R18" i="1757"/>
  <c r="D18" i="1757"/>
  <c r="R17" i="1757"/>
  <c r="D17" i="1757"/>
  <c r="R16" i="1757"/>
  <c r="L16" i="1757"/>
  <c r="D16" i="1757"/>
  <c r="R15" i="1757"/>
  <c r="D15" i="1757"/>
  <c r="R14" i="1757"/>
  <c r="D14" i="1757"/>
  <c r="R13" i="1757"/>
  <c r="D13" i="1757"/>
  <c r="R12" i="1757"/>
  <c r="R11" i="1757"/>
  <c r="L11" i="1757"/>
  <c r="D11" i="1757" s="1"/>
  <c r="L10" i="1757"/>
  <c r="D10" i="1757"/>
  <c r="L8" i="1757"/>
  <c r="D8" i="1757"/>
  <c r="L7" i="1757"/>
  <c r="D7" i="1757" s="1"/>
  <c r="R6" i="1757"/>
  <c r="R5" i="1757"/>
  <c r="R4" i="1757"/>
  <c r="R52" i="1756"/>
  <c r="R51" i="1756"/>
  <c r="D50" i="1756"/>
  <c r="R49" i="1756"/>
  <c r="D49" i="1756"/>
  <c r="R48" i="1756"/>
  <c r="D48" i="1756"/>
  <c r="D46" i="1756"/>
  <c r="D45" i="1756"/>
  <c r="R44" i="1756"/>
  <c r="D44" i="1756"/>
  <c r="R42" i="1756"/>
  <c r="L6" i="1756" s="1"/>
  <c r="D6" i="1756" s="1"/>
  <c r="D42" i="1756"/>
  <c r="R41" i="1756"/>
  <c r="D41" i="1756"/>
  <c r="R40" i="1756"/>
  <c r="L8" i="1756" s="1"/>
  <c r="D8" i="1756" s="1"/>
  <c r="D40" i="1756"/>
  <c r="R39" i="1756"/>
  <c r="H39" i="1756"/>
  <c r="D39" i="1756"/>
  <c r="R38" i="1756"/>
  <c r="H38" i="1756"/>
  <c r="D38" i="1756"/>
  <c r="R37" i="1756"/>
  <c r="H37" i="1756"/>
  <c r="D37" i="1756"/>
  <c r="R36" i="1756"/>
  <c r="L10" i="1756" s="1"/>
  <c r="D10" i="1756" s="1"/>
  <c r="H36" i="1756"/>
  <c r="D36" i="1756"/>
  <c r="R35" i="1756"/>
  <c r="H35" i="1756"/>
  <c r="D35" i="1756"/>
  <c r="R34" i="1756"/>
  <c r="H34" i="1756"/>
  <c r="D34" i="1756"/>
  <c r="R33" i="1756"/>
  <c r="R32" i="1756"/>
  <c r="R31" i="1756"/>
  <c r="R30" i="1756"/>
  <c r="R29" i="1756"/>
  <c r="R28" i="1756"/>
  <c r="L16" i="1756" s="1"/>
  <c r="D16" i="1756" s="1"/>
  <c r="L28" i="1756"/>
  <c r="D28" i="1756"/>
  <c r="R27" i="1756"/>
  <c r="D27" i="1756"/>
  <c r="R26" i="1756"/>
  <c r="L26" i="1756"/>
  <c r="D26" i="1756" s="1"/>
  <c r="R25" i="1756"/>
  <c r="L25" i="1756"/>
  <c r="D25" i="1756"/>
  <c r="R24" i="1756"/>
  <c r="L24" i="1756"/>
  <c r="D24" i="1756"/>
  <c r="R23" i="1756"/>
  <c r="L23" i="1756"/>
  <c r="D23" i="1756"/>
  <c r="R22" i="1756"/>
  <c r="L22" i="1756"/>
  <c r="D22" i="1756" s="1"/>
  <c r="R21" i="1756"/>
  <c r="D21" i="1756"/>
  <c r="R20" i="1756"/>
  <c r="L20" i="1756"/>
  <c r="D20" i="1756" s="1"/>
  <c r="R19" i="1756"/>
  <c r="L19" i="1756"/>
  <c r="D19" i="1756"/>
  <c r="R18" i="1756"/>
  <c r="D18" i="1756"/>
  <c r="R17" i="1756"/>
  <c r="L17" i="1756"/>
  <c r="D17" i="1756"/>
  <c r="R16" i="1756"/>
  <c r="R15" i="1756"/>
  <c r="D15" i="1756"/>
  <c r="R14" i="1756"/>
  <c r="D14" i="1756"/>
  <c r="R13" i="1756"/>
  <c r="D13" i="1756"/>
  <c r="R12" i="1756"/>
  <c r="L12" i="1756"/>
  <c r="D12" i="1756" s="1"/>
  <c r="R11" i="1756"/>
  <c r="L11" i="1756"/>
  <c r="D11" i="1756"/>
  <c r="L9" i="1756"/>
  <c r="D9" i="1756"/>
  <c r="L7" i="1756"/>
  <c r="D7" i="1756" s="1"/>
  <c r="R6" i="1756"/>
  <c r="R5" i="1756"/>
  <c r="R4" i="1756"/>
  <c r="R52" i="1755"/>
  <c r="R51" i="1755"/>
  <c r="D50" i="1755"/>
  <c r="R49" i="1755"/>
  <c r="D49" i="1755"/>
  <c r="R48" i="1755"/>
  <c r="D48" i="1755"/>
  <c r="D46" i="1755"/>
  <c r="D45" i="1755"/>
  <c r="R44" i="1755"/>
  <c r="D44" i="1755"/>
  <c r="R42" i="1755"/>
  <c r="L6" i="1755" s="1"/>
  <c r="D6" i="1755" s="1"/>
  <c r="D42" i="1755"/>
  <c r="R41" i="1755"/>
  <c r="D41" i="1755"/>
  <c r="R40" i="1755"/>
  <c r="D40" i="1755"/>
  <c r="R39" i="1755"/>
  <c r="L20" i="1755" s="1"/>
  <c r="D20" i="1755" s="1"/>
  <c r="H39" i="1755"/>
  <c r="D39" i="1755"/>
  <c r="R38" i="1755"/>
  <c r="H38" i="1755"/>
  <c r="D38" i="1755"/>
  <c r="R37" i="1755"/>
  <c r="H37" i="1755"/>
  <c r="D37" i="1755"/>
  <c r="R36" i="1755"/>
  <c r="L10" i="1755" s="1"/>
  <c r="D10" i="1755" s="1"/>
  <c r="H36" i="1755"/>
  <c r="D36" i="1755"/>
  <c r="R35" i="1755"/>
  <c r="H35" i="1755"/>
  <c r="D35" i="1755"/>
  <c r="R34" i="1755"/>
  <c r="H34" i="1755"/>
  <c r="D34" i="1755"/>
  <c r="R33" i="1755"/>
  <c r="R32" i="1755"/>
  <c r="R31" i="1755"/>
  <c r="R30" i="1755"/>
  <c r="R29" i="1755"/>
  <c r="R28" i="1755"/>
  <c r="L16" i="1755" s="1"/>
  <c r="D16" i="1755" s="1"/>
  <c r="L28" i="1755"/>
  <c r="D28" i="1755"/>
  <c r="R27" i="1755"/>
  <c r="D27" i="1755"/>
  <c r="R26" i="1755"/>
  <c r="L26" i="1755"/>
  <c r="D26" i="1755"/>
  <c r="R25" i="1755"/>
  <c r="L25" i="1755"/>
  <c r="D25" i="1755"/>
  <c r="R24" i="1755"/>
  <c r="L24" i="1755"/>
  <c r="D24" i="1755"/>
  <c r="R23" i="1755"/>
  <c r="D23" i="1755"/>
  <c r="R22" i="1755"/>
  <c r="D22" i="1755"/>
  <c r="R21" i="1755"/>
  <c r="D21" i="1755"/>
  <c r="R20" i="1755"/>
  <c r="R19" i="1755"/>
  <c r="D19" i="1755"/>
  <c r="R18" i="1755"/>
  <c r="D18" i="1755"/>
  <c r="R17" i="1755"/>
  <c r="L17" i="1755"/>
  <c r="D17" i="1755"/>
  <c r="R16" i="1755"/>
  <c r="R15" i="1755"/>
  <c r="D15" i="1755"/>
  <c r="R14" i="1755"/>
  <c r="D14" i="1755"/>
  <c r="R13" i="1755"/>
  <c r="D13" i="1755"/>
  <c r="R12" i="1755"/>
  <c r="L12" i="1755"/>
  <c r="D12" i="1755"/>
  <c r="R11" i="1755"/>
  <c r="L11" i="1755"/>
  <c r="D11" i="1755"/>
  <c r="L9" i="1755"/>
  <c r="D9" i="1755" s="1"/>
  <c r="L8" i="1755"/>
  <c r="D8" i="1755" s="1"/>
  <c r="L7" i="1755"/>
  <c r="D7" i="1755"/>
  <c r="R6" i="1755"/>
  <c r="R5" i="1755"/>
  <c r="R4" i="1755"/>
  <c r="R52" i="1754"/>
  <c r="R51" i="1754"/>
  <c r="D50" i="1754"/>
  <c r="R49" i="1754"/>
  <c r="G49" i="1754"/>
  <c r="D49" i="1754"/>
  <c r="R48" i="1754"/>
  <c r="D48" i="1754"/>
  <c r="D46" i="1754"/>
  <c r="D45" i="1754"/>
  <c r="D44" i="1754"/>
  <c r="R42" i="1754"/>
  <c r="D42" i="1754"/>
  <c r="R41" i="1754"/>
  <c r="L7" i="1754" s="1"/>
  <c r="D7" i="1754" s="1"/>
  <c r="D41" i="1754"/>
  <c r="D54" i="1754" s="1"/>
  <c r="H14" i="1754" s="1"/>
  <c r="R40" i="1754"/>
  <c r="L8" i="1754" s="1"/>
  <c r="D8" i="1754" s="1"/>
  <c r="D40" i="1754"/>
  <c r="R39" i="1754"/>
  <c r="D39" i="1754"/>
  <c r="R38" i="1754"/>
  <c r="D38" i="1754"/>
  <c r="R37" i="1754"/>
  <c r="D37" i="1754"/>
  <c r="R36" i="1754"/>
  <c r="D36" i="1754"/>
  <c r="R35" i="1754"/>
  <c r="D35" i="1754"/>
  <c r="R34" i="1754"/>
  <c r="L12" i="1754" s="1"/>
  <c r="D12" i="1754" s="1"/>
  <c r="D34" i="1754"/>
  <c r="R33" i="1754"/>
  <c r="L23" i="1754" s="1"/>
  <c r="D23" i="1754" s="1"/>
  <c r="R32" i="1754"/>
  <c r="L11" i="1754" s="1"/>
  <c r="D11" i="1754" s="1"/>
  <c r="R31" i="1754"/>
  <c r="R30" i="1754"/>
  <c r="R29" i="1754"/>
  <c r="R28" i="1754"/>
  <c r="L16" i="1754" s="1"/>
  <c r="D16" i="1754" s="1"/>
  <c r="D28" i="1754"/>
  <c r="R27" i="1754"/>
  <c r="D27" i="1754"/>
  <c r="R26" i="1754"/>
  <c r="L26" i="1754"/>
  <c r="D26" i="1754"/>
  <c r="R25" i="1754"/>
  <c r="L25" i="1754"/>
  <c r="D25" i="1754"/>
  <c r="R24" i="1754"/>
  <c r="D24" i="1754"/>
  <c r="R23" i="1754"/>
  <c r="R22" i="1754"/>
  <c r="L22" i="1754"/>
  <c r="D22" i="1754" s="1"/>
  <c r="R21" i="1754"/>
  <c r="D21" i="1754"/>
  <c r="R20" i="1754"/>
  <c r="L20" i="1754"/>
  <c r="D20" i="1754"/>
  <c r="R19" i="1754"/>
  <c r="L19" i="1754"/>
  <c r="D19" i="1754"/>
  <c r="R18" i="1754"/>
  <c r="D18" i="1754"/>
  <c r="R17" i="1754"/>
  <c r="D17" i="1754"/>
  <c r="R16" i="1754"/>
  <c r="S15" i="1754"/>
  <c r="R15" i="1754"/>
  <c r="D15" i="1754"/>
  <c r="S14" i="1754"/>
  <c r="R14" i="1754"/>
  <c r="D14" i="1754"/>
  <c r="R13" i="1754"/>
  <c r="D13" i="1754"/>
  <c r="R12" i="1754"/>
  <c r="R11" i="1754"/>
  <c r="L10" i="1754"/>
  <c r="D10" i="1754"/>
  <c r="L9" i="1754"/>
  <c r="D9" i="1754"/>
  <c r="R6" i="1754"/>
  <c r="L6" i="1754"/>
  <c r="D6" i="1754" s="1"/>
  <c r="R5" i="1754"/>
  <c r="R4" i="1754"/>
  <c r="R52" i="1753"/>
  <c r="R51" i="1753"/>
  <c r="D50" i="1753"/>
  <c r="R49" i="1753"/>
  <c r="D49" i="1753"/>
  <c r="R48" i="1753"/>
  <c r="D48" i="1753"/>
  <c r="D46" i="1753"/>
  <c r="D45" i="1753"/>
  <c r="R44" i="1753"/>
  <c r="D44" i="1753"/>
  <c r="R42" i="1753"/>
  <c r="L6" i="1753" s="1"/>
  <c r="D6" i="1753" s="1"/>
  <c r="D42" i="1753"/>
  <c r="R41" i="1753"/>
  <c r="L7" i="1753" s="1"/>
  <c r="D7" i="1753" s="1"/>
  <c r="D41" i="1753"/>
  <c r="R40" i="1753"/>
  <c r="D40" i="1753"/>
  <c r="R39" i="1753"/>
  <c r="H39" i="1753"/>
  <c r="D39" i="1753"/>
  <c r="R38" i="1753"/>
  <c r="H38" i="1753"/>
  <c r="D38" i="1753"/>
  <c r="R37" i="1753"/>
  <c r="H37" i="1753"/>
  <c r="D37" i="1753"/>
  <c r="R36" i="1753"/>
  <c r="L10" i="1753" s="1"/>
  <c r="D10" i="1753" s="1"/>
  <c r="H36" i="1753"/>
  <c r="D36" i="1753"/>
  <c r="R35" i="1753"/>
  <c r="L19" i="1753" s="1"/>
  <c r="D19" i="1753" s="1"/>
  <c r="H35" i="1753"/>
  <c r="D35" i="1753"/>
  <c r="R34" i="1753"/>
  <c r="H34" i="1753"/>
  <c r="D34" i="1753"/>
  <c r="R33" i="1753"/>
  <c r="L23" i="1753" s="1"/>
  <c r="D23" i="1753" s="1"/>
  <c r="R32" i="1753"/>
  <c r="R31" i="1753"/>
  <c r="R30" i="1753"/>
  <c r="R29" i="1753"/>
  <c r="R28" i="1753"/>
  <c r="L16" i="1753" s="1"/>
  <c r="D16" i="1753" s="1"/>
  <c r="L28" i="1753"/>
  <c r="D28" i="1753"/>
  <c r="R27" i="1753"/>
  <c r="D27" i="1753"/>
  <c r="R26" i="1753"/>
  <c r="L26" i="1753"/>
  <c r="D26" i="1753"/>
  <c r="R25" i="1753"/>
  <c r="L25" i="1753"/>
  <c r="D25" i="1753" s="1"/>
  <c r="R24" i="1753"/>
  <c r="D24" i="1753"/>
  <c r="R23" i="1753"/>
  <c r="R22" i="1753"/>
  <c r="L22" i="1753"/>
  <c r="D22" i="1753"/>
  <c r="R21" i="1753"/>
  <c r="D21" i="1753"/>
  <c r="R20" i="1753"/>
  <c r="L20" i="1753"/>
  <c r="D20" i="1753"/>
  <c r="R19" i="1753"/>
  <c r="R18" i="1753"/>
  <c r="D18" i="1753"/>
  <c r="R17" i="1753"/>
  <c r="D17" i="1753"/>
  <c r="R16" i="1753"/>
  <c r="R15" i="1753"/>
  <c r="D15" i="1753"/>
  <c r="R14" i="1753"/>
  <c r="D14" i="1753"/>
  <c r="R13" i="1753"/>
  <c r="D13" i="1753"/>
  <c r="R12" i="1753"/>
  <c r="L12" i="1753"/>
  <c r="D12" i="1753"/>
  <c r="R11" i="1753"/>
  <c r="L11" i="1753"/>
  <c r="D11" i="1753"/>
  <c r="L9" i="1753"/>
  <c r="D9" i="1753" s="1"/>
  <c r="L8" i="1753"/>
  <c r="D8" i="1753"/>
  <c r="R6" i="1753"/>
  <c r="R5" i="1753"/>
  <c r="R4" i="1753"/>
  <c r="R52" i="1752"/>
  <c r="R51" i="1752"/>
  <c r="D50" i="1752"/>
  <c r="R49" i="1752"/>
  <c r="D49" i="1752"/>
  <c r="R48" i="1752"/>
  <c r="D48" i="1752"/>
  <c r="D46" i="1752"/>
  <c r="D45" i="1752"/>
  <c r="R44" i="1752"/>
  <c r="D44" i="1752"/>
  <c r="R42" i="1752"/>
  <c r="L6" i="1752" s="1"/>
  <c r="D6" i="1752" s="1"/>
  <c r="D42" i="1752"/>
  <c r="R41" i="1752"/>
  <c r="D41" i="1752"/>
  <c r="R40" i="1752"/>
  <c r="L8" i="1752" s="1"/>
  <c r="D8" i="1752" s="1"/>
  <c r="D40" i="1752"/>
  <c r="R39" i="1752"/>
  <c r="H39" i="1752"/>
  <c r="D39" i="1752"/>
  <c r="R38" i="1752"/>
  <c r="H38" i="1752"/>
  <c r="D38" i="1752"/>
  <c r="R37" i="1752"/>
  <c r="H37" i="1752"/>
  <c r="D37" i="1752"/>
  <c r="R36" i="1752"/>
  <c r="L10" i="1752" s="1"/>
  <c r="D10" i="1752" s="1"/>
  <c r="H36" i="1752"/>
  <c r="D36" i="1752"/>
  <c r="R35" i="1752"/>
  <c r="H35" i="1752"/>
  <c r="D35" i="1752"/>
  <c r="R34" i="1752"/>
  <c r="H34" i="1752"/>
  <c r="D34" i="1752"/>
  <c r="R33" i="1752"/>
  <c r="R32" i="1752"/>
  <c r="R31" i="1752"/>
  <c r="R30" i="1752"/>
  <c r="R29" i="1752"/>
  <c r="R28" i="1752"/>
  <c r="L28" i="1752"/>
  <c r="D28" i="1752"/>
  <c r="R27" i="1752"/>
  <c r="D27" i="1752"/>
  <c r="R26" i="1752"/>
  <c r="L26" i="1752"/>
  <c r="D26" i="1752" s="1"/>
  <c r="R25" i="1752"/>
  <c r="L25" i="1752"/>
  <c r="D25" i="1752"/>
  <c r="R24" i="1752"/>
  <c r="L24" i="1752"/>
  <c r="D24" i="1752"/>
  <c r="R23" i="1752"/>
  <c r="L23" i="1752"/>
  <c r="D23" i="1752"/>
  <c r="R22" i="1752"/>
  <c r="L22" i="1752"/>
  <c r="D22" i="1752" s="1"/>
  <c r="R21" i="1752"/>
  <c r="D21" i="1752"/>
  <c r="R20" i="1752"/>
  <c r="L20" i="1752"/>
  <c r="D20" i="1752"/>
  <c r="R19" i="1752"/>
  <c r="L19" i="1752"/>
  <c r="D19" i="1752"/>
  <c r="R18" i="1752"/>
  <c r="D18" i="1752"/>
  <c r="R17" i="1752"/>
  <c r="L17" i="1752"/>
  <c r="D17" i="1752"/>
  <c r="R16" i="1752"/>
  <c r="L16" i="1752"/>
  <c r="D16" i="1752" s="1"/>
  <c r="R15" i="1752"/>
  <c r="D15" i="1752"/>
  <c r="R14" i="1752"/>
  <c r="D14" i="1752"/>
  <c r="R13" i="1752"/>
  <c r="D13" i="1752"/>
  <c r="R12" i="1752"/>
  <c r="L12" i="1752"/>
  <c r="D12" i="1752"/>
  <c r="R11" i="1752"/>
  <c r="L11" i="1752"/>
  <c r="D11" i="1752"/>
  <c r="L9" i="1752"/>
  <c r="D9" i="1752" s="1"/>
  <c r="L7" i="1752"/>
  <c r="D7" i="1752"/>
  <c r="R6" i="1752"/>
  <c r="R5" i="1752"/>
  <c r="R4" i="1752"/>
  <c r="R52" i="1751"/>
  <c r="R51" i="1751"/>
  <c r="D50" i="1751"/>
  <c r="R49" i="1751"/>
  <c r="D49" i="1751"/>
  <c r="R48" i="1751"/>
  <c r="D48" i="1751"/>
  <c r="D46" i="1751"/>
  <c r="D45" i="1751"/>
  <c r="R44" i="1751"/>
  <c r="D44" i="1751"/>
  <c r="R42" i="1751"/>
  <c r="D42" i="1751"/>
  <c r="R41" i="1751"/>
  <c r="D41" i="1751"/>
  <c r="R40" i="1751"/>
  <c r="L8" i="1751" s="1"/>
  <c r="D8" i="1751" s="1"/>
  <c r="D40" i="1751"/>
  <c r="R39" i="1751"/>
  <c r="L20" i="1751" s="1"/>
  <c r="D20" i="1751" s="1"/>
  <c r="H39" i="1751"/>
  <c r="D39" i="1751"/>
  <c r="R38" i="1751"/>
  <c r="H38" i="1751"/>
  <c r="D38" i="1751"/>
  <c r="R37" i="1751"/>
  <c r="H37" i="1751"/>
  <c r="D37" i="1751"/>
  <c r="R36" i="1751"/>
  <c r="H36" i="1751"/>
  <c r="D36" i="1751"/>
  <c r="R35" i="1751"/>
  <c r="H35" i="1751"/>
  <c r="D35" i="1751"/>
  <c r="R34" i="1751"/>
  <c r="L12" i="1751" s="1"/>
  <c r="D12" i="1751" s="1"/>
  <c r="H34" i="1751"/>
  <c r="D34" i="1751"/>
  <c r="R33" i="1751"/>
  <c r="R32" i="1751"/>
  <c r="L11" i="1751" s="1"/>
  <c r="D11" i="1751" s="1"/>
  <c r="R31" i="1751"/>
  <c r="R30" i="1751"/>
  <c r="R29" i="1751"/>
  <c r="R28" i="1751"/>
  <c r="L28" i="1751"/>
  <c r="D28" i="1751"/>
  <c r="R27" i="1751"/>
  <c r="D27" i="1751"/>
  <c r="R26" i="1751"/>
  <c r="D26" i="1751"/>
  <c r="R25" i="1751"/>
  <c r="D25" i="1751"/>
  <c r="R24" i="1751"/>
  <c r="L24" i="1751"/>
  <c r="D24" i="1751"/>
  <c r="R23" i="1751"/>
  <c r="D23" i="1751"/>
  <c r="R22" i="1751"/>
  <c r="D22" i="1751"/>
  <c r="R21" i="1751"/>
  <c r="D21" i="1751"/>
  <c r="R20" i="1751"/>
  <c r="R19" i="1751"/>
  <c r="D19" i="1751"/>
  <c r="R18" i="1751"/>
  <c r="D18" i="1751"/>
  <c r="R17" i="1751"/>
  <c r="L17" i="1751"/>
  <c r="D17" i="1751"/>
  <c r="R16" i="1751"/>
  <c r="L16" i="1751"/>
  <c r="D16" i="1751" s="1"/>
  <c r="R15" i="1751"/>
  <c r="D15" i="1751"/>
  <c r="R14" i="1751"/>
  <c r="D14" i="1751"/>
  <c r="R13" i="1751"/>
  <c r="D13" i="1751"/>
  <c r="R12" i="1751"/>
  <c r="R11" i="1751"/>
  <c r="L10" i="1751"/>
  <c r="D10" i="1751"/>
  <c r="L9" i="1751"/>
  <c r="D9" i="1751"/>
  <c r="L7" i="1751"/>
  <c r="D7" i="1751"/>
  <c r="R6" i="1751"/>
  <c r="L6" i="1751"/>
  <c r="D6" i="1751"/>
  <c r="R5" i="1751"/>
  <c r="R4" i="1751"/>
  <c r="R52" i="1750"/>
  <c r="R51" i="1750"/>
  <c r="D50" i="1750"/>
  <c r="R49" i="1750"/>
  <c r="G49" i="1750"/>
  <c r="D49" i="1750"/>
  <c r="R48" i="1750"/>
  <c r="D48" i="1750"/>
  <c r="D46" i="1750"/>
  <c r="D45" i="1750"/>
  <c r="D44" i="1750"/>
  <c r="R42" i="1750"/>
  <c r="L6" i="1750" s="1"/>
  <c r="D6" i="1750" s="1"/>
  <c r="D42" i="1750"/>
  <c r="R41" i="1750"/>
  <c r="L7" i="1750" s="1"/>
  <c r="D7" i="1750" s="1"/>
  <c r="D41" i="1750"/>
  <c r="R40" i="1750"/>
  <c r="D40" i="1750"/>
  <c r="R39" i="1750"/>
  <c r="D39" i="1750"/>
  <c r="R38" i="1750"/>
  <c r="D38" i="1750"/>
  <c r="R37" i="1750"/>
  <c r="D37" i="1750"/>
  <c r="R36" i="1750"/>
  <c r="D36" i="1750"/>
  <c r="R35" i="1750"/>
  <c r="D35" i="1750"/>
  <c r="R34" i="1750"/>
  <c r="L12" i="1750" s="1"/>
  <c r="D12" i="1750" s="1"/>
  <c r="D34" i="1750"/>
  <c r="D54" i="1750" s="1"/>
  <c r="H14" i="1750" s="1"/>
  <c r="R33" i="1750"/>
  <c r="L23" i="1750" s="1"/>
  <c r="D23" i="1750" s="1"/>
  <c r="R32" i="1750"/>
  <c r="R31" i="1750"/>
  <c r="R30" i="1750"/>
  <c r="R29" i="1750"/>
  <c r="R28" i="1750"/>
  <c r="L16" i="1750" s="1"/>
  <c r="D16" i="1750" s="1"/>
  <c r="D28" i="1750"/>
  <c r="R27" i="1750"/>
  <c r="D27" i="1750"/>
  <c r="R26" i="1750"/>
  <c r="L26" i="1750"/>
  <c r="D26" i="1750"/>
  <c r="R25" i="1750"/>
  <c r="L25" i="1750"/>
  <c r="D25" i="1750"/>
  <c r="R24" i="1750"/>
  <c r="D24" i="1750"/>
  <c r="R23" i="1750"/>
  <c r="R22" i="1750"/>
  <c r="L22" i="1750"/>
  <c r="D22" i="1750"/>
  <c r="R21" i="1750"/>
  <c r="D21" i="1750"/>
  <c r="R20" i="1750"/>
  <c r="L20" i="1750"/>
  <c r="D20" i="1750"/>
  <c r="R19" i="1750"/>
  <c r="L19" i="1750"/>
  <c r="D19" i="1750"/>
  <c r="R18" i="1750"/>
  <c r="D18" i="1750"/>
  <c r="R17" i="1750"/>
  <c r="D17" i="1750"/>
  <c r="R16" i="1750"/>
  <c r="S15" i="1750"/>
  <c r="R15" i="1750"/>
  <c r="D15" i="1750"/>
  <c r="S14" i="1750"/>
  <c r="R14" i="1750"/>
  <c r="D14" i="1750"/>
  <c r="R13" i="1750"/>
  <c r="D13" i="1750"/>
  <c r="R12" i="1750"/>
  <c r="R11" i="1750"/>
  <c r="L11" i="1750"/>
  <c r="D11" i="1750"/>
  <c r="L10" i="1750"/>
  <c r="D10" i="1750"/>
  <c r="L9" i="1750"/>
  <c r="D9" i="1750"/>
  <c r="L8" i="1750"/>
  <c r="D8" i="1750"/>
  <c r="R6" i="1750"/>
  <c r="R5" i="1750"/>
  <c r="R4" i="1750"/>
  <c r="D54" i="1773" l="1"/>
  <c r="H14" i="1773" s="1"/>
  <c r="D54" i="1772"/>
  <c r="H14" i="1772" s="1"/>
  <c r="D54" i="1771"/>
  <c r="H14" i="1771" s="1"/>
  <c r="G49" i="1773"/>
  <c r="G49" i="1772"/>
  <c r="G49" i="1771"/>
  <c r="G49" i="1769"/>
  <c r="G49" i="1768"/>
  <c r="G49" i="1767"/>
  <c r="D54" i="1769"/>
  <c r="H14" i="1769" s="1"/>
  <c r="D54" i="1768"/>
  <c r="H14" i="1768" s="1"/>
  <c r="D54" i="1767"/>
  <c r="H14" i="1767" s="1"/>
  <c r="G49" i="1764"/>
  <c r="G49" i="1763"/>
  <c r="D54" i="1764"/>
  <c r="H14" i="1764" s="1"/>
  <c r="D54" i="1763"/>
  <c r="H14" i="1763" s="1"/>
  <c r="D54" i="1761"/>
  <c r="H14" i="1761" s="1"/>
  <c r="D54" i="1760"/>
  <c r="H14" i="1760" s="1"/>
  <c r="D54" i="1759"/>
  <c r="H14" i="1759" s="1"/>
  <c r="G49" i="1761"/>
  <c r="G49" i="1760"/>
  <c r="G49" i="1759"/>
  <c r="D54" i="1757"/>
  <c r="H14" i="1757" s="1"/>
  <c r="D54" i="1756"/>
  <c r="H14" i="1756" s="1"/>
  <c r="D54" i="1755"/>
  <c r="H14" i="1755" s="1"/>
  <c r="D29" i="1755"/>
  <c r="H13" i="1755" s="1"/>
  <c r="G49" i="1757"/>
  <c r="G49" i="1756"/>
  <c r="G49" i="1755"/>
  <c r="G49" i="1753"/>
  <c r="G49" i="1752"/>
  <c r="G49" i="1751"/>
  <c r="D54" i="1753"/>
  <c r="H14" i="1753" s="1"/>
  <c r="D54" i="1752"/>
  <c r="H14" i="1752" s="1"/>
  <c r="D54" i="1751"/>
  <c r="H14" i="1751" s="1"/>
  <c r="D29" i="1773"/>
  <c r="H13" i="1773" s="1"/>
  <c r="D29" i="1772"/>
  <c r="H13" i="1772" s="1"/>
  <c r="D29" i="1771"/>
  <c r="H13" i="1771" s="1"/>
  <c r="D29" i="1770"/>
  <c r="H13" i="1770" s="1"/>
  <c r="H15" i="1770" s="1"/>
  <c r="H29" i="1770" s="1"/>
  <c r="G51" i="1770" s="1"/>
  <c r="D29" i="1769"/>
  <c r="H13" i="1769" s="1"/>
  <c r="D29" i="1768"/>
  <c r="H13" i="1768" s="1"/>
  <c r="H15" i="1768" s="1"/>
  <c r="H29" i="1768" s="1"/>
  <c r="D29" i="1767"/>
  <c r="H13" i="1767" s="1"/>
  <c r="D29" i="1766"/>
  <c r="H13" i="1766" s="1"/>
  <c r="H15" i="1766" s="1"/>
  <c r="H29" i="1766" s="1"/>
  <c r="G51" i="1766" s="1"/>
  <c r="G51" i="1765"/>
  <c r="D29" i="1764"/>
  <c r="H13" i="1764" s="1"/>
  <c r="D29" i="1763"/>
  <c r="H13" i="1763" s="1"/>
  <c r="D29" i="1762"/>
  <c r="H13" i="1762" s="1"/>
  <c r="H15" i="1762" s="1"/>
  <c r="H29" i="1762" s="1"/>
  <c r="G51" i="1762" s="1"/>
  <c r="D29" i="1761"/>
  <c r="H13" i="1761" s="1"/>
  <c r="D29" i="1760"/>
  <c r="H13" i="1760" s="1"/>
  <c r="D29" i="1759"/>
  <c r="H13" i="1759" s="1"/>
  <c r="D29" i="1758"/>
  <c r="H13" i="1758" s="1"/>
  <c r="H15" i="1758" s="1"/>
  <c r="H29" i="1758" s="1"/>
  <c r="G51" i="1758" s="1"/>
  <c r="D29" i="1757"/>
  <c r="H13" i="1757" s="1"/>
  <c r="D29" i="1756"/>
  <c r="H13" i="1756" s="1"/>
  <c r="D29" i="1754"/>
  <c r="H13" i="1754" s="1"/>
  <c r="H15" i="1754" s="1"/>
  <c r="H29" i="1754" s="1"/>
  <c r="G51" i="1754" s="1"/>
  <c r="D29" i="1753"/>
  <c r="H13" i="1753" s="1"/>
  <c r="D29" i="1752"/>
  <c r="H13" i="1752" s="1"/>
  <c r="D29" i="1751"/>
  <c r="H13" i="1751" s="1"/>
  <c r="D29" i="1750"/>
  <c r="H13" i="1750" s="1"/>
  <c r="H15" i="1750" s="1"/>
  <c r="H29" i="1750" s="1"/>
  <c r="G51" i="1750"/>
  <c r="R52" i="1737"/>
  <c r="L22" i="1737" s="1"/>
  <c r="D22" i="1737" s="1"/>
  <c r="R51" i="1737"/>
  <c r="D50" i="1737"/>
  <c r="R49" i="1737"/>
  <c r="D49" i="1737"/>
  <c r="R48" i="1737"/>
  <c r="D48" i="1737"/>
  <c r="D46" i="1737"/>
  <c r="D45" i="1737"/>
  <c r="R44" i="1737"/>
  <c r="L28" i="1737" s="1"/>
  <c r="D28" i="1737" s="1"/>
  <c r="D44" i="1737"/>
  <c r="R42" i="1737"/>
  <c r="L6" i="1737" s="1"/>
  <c r="D6" i="1737" s="1"/>
  <c r="D42" i="1737"/>
  <c r="R41" i="1737"/>
  <c r="L7" i="1737" s="1"/>
  <c r="D7" i="1737" s="1"/>
  <c r="D41" i="1737"/>
  <c r="R40" i="1737"/>
  <c r="D40" i="1737"/>
  <c r="R39" i="1737"/>
  <c r="H39" i="1737"/>
  <c r="D39" i="1737"/>
  <c r="R38" i="1737"/>
  <c r="H38" i="1737"/>
  <c r="D38" i="1737"/>
  <c r="R37" i="1737"/>
  <c r="H37" i="1737"/>
  <c r="D37" i="1737"/>
  <c r="R36" i="1737"/>
  <c r="L10" i="1737" s="1"/>
  <c r="D10" i="1737" s="1"/>
  <c r="H36" i="1737"/>
  <c r="D36" i="1737"/>
  <c r="R35" i="1737"/>
  <c r="H35" i="1737"/>
  <c r="D35" i="1737"/>
  <c r="R34" i="1737"/>
  <c r="L12" i="1737" s="1"/>
  <c r="D12" i="1737" s="1"/>
  <c r="H34" i="1737"/>
  <c r="D34" i="1737"/>
  <c r="R33" i="1737"/>
  <c r="L23" i="1737" s="1"/>
  <c r="D23" i="1737" s="1"/>
  <c r="R32" i="1737"/>
  <c r="R31" i="1737"/>
  <c r="R30" i="1737"/>
  <c r="R29" i="1737"/>
  <c r="R28" i="1737"/>
  <c r="R27" i="1737"/>
  <c r="D27" i="1737"/>
  <c r="R26" i="1737"/>
  <c r="L26" i="1737"/>
  <c r="D26" i="1737" s="1"/>
  <c r="R25" i="1737"/>
  <c r="L25" i="1737"/>
  <c r="D25" i="1737" s="1"/>
  <c r="R24" i="1737"/>
  <c r="D24" i="1737"/>
  <c r="R23" i="1737"/>
  <c r="R22" i="1737"/>
  <c r="R21" i="1737"/>
  <c r="D21" i="1737"/>
  <c r="R20" i="1737"/>
  <c r="L20" i="1737"/>
  <c r="D20" i="1737" s="1"/>
  <c r="R19" i="1737"/>
  <c r="L19" i="1737"/>
  <c r="D19" i="1737" s="1"/>
  <c r="R18" i="1737"/>
  <c r="D18" i="1737"/>
  <c r="R17" i="1737"/>
  <c r="D17" i="1737"/>
  <c r="R16" i="1737"/>
  <c r="L16" i="1737"/>
  <c r="D16" i="1737" s="1"/>
  <c r="R15" i="1737"/>
  <c r="D15" i="1737"/>
  <c r="R14" i="1737"/>
  <c r="D14" i="1737"/>
  <c r="R13" i="1737"/>
  <c r="D13" i="1737"/>
  <c r="R12" i="1737"/>
  <c r="R11" i="1737"/>
  <c r="L11" i="1737"/>
  <c r="D11" i="1737" s="1"/>
  <c r="L9" i="1737"/>
  <c r="D9" i="1737"/>
  <c r="L8" i="1737"/>
  <c r="D8" i="1737"/>
  <c r="R6" i="1737"/>
  <c r="R5" i="1737"/>
  <c r="R4" i="1737"/>
  <c r="R52" i="1736"/>
  <c r="R51" i="1736"/>
  <c r="D50" i="1736"/>
  <c r="R49" i="1736"/>
  <c r="D49" i="1736"/>
  <c r="R48" i="1736"/>
  <c r="D48" i="1736"/>
  <c r="D46" i="1736"/>
  <c r="D45" i="1736"/>
  <c r="R44" i="1736"/>
  <c r="L28" i="1736" s="1"/>
  <c r="D28" i="1736" s="1"/>
  <c r="D44" i="1736"/>
  <c r="R42" i="1736"/>
  <c r="D42" i="1736"/>
  <c r="R41" i="1736"/>
  <c r="L7" i="1736" s="1"/>
  <c r="D7" i="1736" s="1"/>
  <c r="D41" i="1736"/>
  <c r="R40" i="1736"/>
  <c r="D40" i="1736"/>
  <c r="R39" i="1736"/>
  <c r="H39" i="1736"/>
  <c r="D39" i="1736"/>
  <c r="R38" i="1736"/>
  <c r="H38" i="1736"/>
  <c r="D38" i="1736"/>
  <c r="R37" i="1736"/>
  <c r="H37" i="1736"/>
  <c r="D37" i="1736"/>
  <c r="R36" i="1736"/>
  <c r="L10" i="1736" s="1"/>
  <c r="D10" i="1736" s="1"/>
  <c r="H36" i="1736"/>
  <c r="D36" i="1736"/>
  <c r="R35" i="1736"/>
  <c r="L19" i="1736" s="1"/>
  <c r="D19" i="1736" s="1"/>
  <c r="H35" i="1736"/>
  <c r="D35" i="1736"/>
  <c r="R34" i="1736"/>
  <c r="L12" i="1736" s="1"/>
  <c r="D12" i="1736" s="1"/>
  <c r="H34" i="1736"/>
  <c r="D34" i="1736"/>
  <c r="R33" i="1736"/>
  <c r="R32" i="1736"/>
  <c r="R31" i="1736"/>
  <c r="R30" i="1736"/>
  <c r="R29" i="1736"/>
  <c r="R28" i="1736"/>
  <c r="L16" i="1736" s="1"/>
  <c r="D16" i="1736" s="1"/>
  <c r="R27" i="1736"/>
  <c r="D27" i="1736"/>
  <c r="R26" i="1736"/>
  <c r="L26" i="1736"/>
  <c r="D26" i="1736"/>
  <c r="R25" i="1736"/>
  <c r="L25" i="1736"/>
  <c r="D25" i="1736" s="1"/>
  <c r="R24" i="1736"/>
  <c r="L24" i="1736"/>
  <c r="D24" i="1736" s="1"/>
  <c r="R23" i="1736"/>
  <c r="L23" i="1736"/>
  <c r="D23" i="1736"/>
  <c r="R22" i="1736"/>
  <c r="L22" i="1736"/>
  <c r="D22" i="1736"/>
  <c r="R21" i="1736"/>
  <c r="L17" i="1736" s="1"/>
  <c r="D17" i="1736" s="1"/>
  <c r="D21" i="1736"/>
  <c r="R20" i="1736"/>
  <c r="L20" i="1736"/>
  <c r="D20" i="1736" s="1"/>
  <c r="R19" i="1736"/>
  <c r="R18" i="1736"/>
  <c r="D18" i="1736"/>
  <c r="R17" i="1736"/>
  <c r="R16" i="1736"/>
  <c r="R15" i="1736"/>
  <c r="D15" i="1736"/>
  <c r="R14" i="1736"/>
  <c r="D14" i="1736"/>
  <c r="R13" i="1736"/>
  <c r="D13" i="1736"/>
  <c r="R12" i="1736"/>
  <c r="R11" i="1736"/>
  <c r="L11" i="1736"/>
  <c r="D11" i="1736"/>
  <c r="L9" i="1736"/>
  <c r="D9" i="1736"/>
  <c r="L8" i="1736"/>
  <c r="D8" i="1736" s="1"/>
  <c r="R6" i="1736"/>
  <c r="L6" i="1736"/>
  <c r="D6" i="1736" s="1"/>
  <c r="R5" i="1736"/>
  <c r="R4" i="1736"/>
  <c r="R52" i="1735"/>
  <c r="R51" i="1735"/>
  <c r="D50" i="1735"/>
  <c r="R49" i="1735"/>
  <c r="D49" i="1735"/>
  <c r="R48" i="1735"/>
  <c r="D48" i="1735"/>
  <c r="D46" i="1735"/>
  <c r="D45" i="1735"/>
  <c r="R44" i="1735"/>
  <c r="L28" i="1735" s="1"/>
  <c r="D28" i="1735" s="1"/>
  <c r="D44" i="1735"/>
  <c r="R42" i="1735"/>
  <c r="L6" i="1735" s="1"/>
  <c r="D6" i="1735" s="1"/>
  <c r="D42" i="1735"/>
  <c r="R41" i="1735"/>
  <c r="D41" i="1735"/>
  <c r="R40" i="1735"/>
  <c r="L8" i="1735" s="1"/>
  <c r="D8" i="1735" s="1"/>
  <c r="D40" i="1735"/>
  <c r="R39" i="1735"/>
  <c r="L20" i="1735" s="1"/>
  <c r="D20" i="1735" s="1"/>
  <c r="H39" i="1735"/>
  <c r="D39" i="1735"/>
  <c r="R38" i="1735"/>
  <c r="H38" i="1735"/>
  <c r="D38" i="1735"/>
  <c r="R37" i="1735"/>
  <c r="H37" i="1735"/>
  <c r="D37" i="1735"/>
  <c r="R36" i="1735"/>
  <c r="L10" i="1735" s="1"/>
  <c r="D10" i="1735" s="1"/>
  <c r="H36" i="1735"/>
  <c r="D36" i="1735"/>
  <c r="R35" i="1735"/>
  <c r="H35" i="1735"/>
  <c r="D35" i="1735"/>
  <c r="R34" i="1735"/>
  <c r="H34" i="1735"/>
  <c r="D34" i="1735"/>
  <c r="R33" i="1735"/>
  <c r="R32" i="1735"/>
  <c r="R31" i="1735"/>
  <c r="R30" i="1735"/>
  <c r="R29" i="1735"/>
  <c r="R28" i="1735"/>
  <c r="L16" i="1735" s="1"/>
  <c r="D16" i="1735" s="1"/>
  <c r="R27" i="1735"/>
  <c r="D27" i="1735"/>
  <c r="R26" i="1735"/>
  <c r="L26" i="1735"/>
  <c r="D26" i="1735"/>
  <c r="R25" i="1735"/>
  <c r="L25" i="1735"/>
  <c r="D25" i="1735"/>
  <c r="R24" i="1735"/>
  <c r="L24" i="1735"/>
  <c r="D24" i="1735"/>
  <c r="R23" i="1735"/>
  <c r="D23" i="1735"/>
  <c r="R22" i="1735"/>
  <c r="D22" i="1735"/>
  <c r="R21" i="1735"/>
  <c r="D21" i="1735"/>
  <c r="R20" i="1735"/>
  <c r="R19" i="1735"/>
  <c r="D19" i="1735"/>
  <c r="R18" i="1735"/>
  <c r="D18" i="1735"/>
  <c r="R17" i="1735"/>
  <c r="L17" i="1735"/>
  <c r="D17" i="1735"/>
  <c r="R16" i="1735"/>
  <c r="R15" i="1735"/>
  <c r="D15" i="1735"/>
  <c r="R14" i="1735"/>
  <c r="D14" i="1735"/>
  <c r="R13" i="1735"/>
  <c r="D13" i="1735"/>
  <c r="R12" i="1735"/>
  <c r="L12" i="1735"/>
  <c r="D12" i="1735"/>
  <c r="R11" i="1735"/>
  <c r="L11" i="1735"/>
  <c r="D11" i="1735"/>
  <c r="L9" i="1735"/>
  <c r="D9" i="1735" s="1"/>
  <c r="L7" i="1735"/>
  <c r="D7" i="1735"/>
  <c r="R6" i="1735"/>
  <c r="R5" i="1735"/>
  <c r="R4" i="1735"/>
  <c r="R52" i="1734"/>
  <c r="R51" i="1734"/>
  <c r="D50" i="1734"/>
  <c r="R49" i="1734"/>
  <c r="G49" i="1734"/>
  <c r="D49" i="1734"/>
  <c r="R48" i="1734"/>
  <c r="D48" i="1734"/>
  <c r="D46" i="1734"/>
  <c r="D45" i="1734"/>
  <c r="D44" i="1734"/>
  <c r="R42" i="1734"/>
  <c r="L6" i="1734" s="1"/>
  <c r="D6" i="1734" s="1"/>
  <c r="D42" i="1734"/>
  <c r="R41" i="1734"/>
  <c r="L7" i="1734" s="1"/>
  <c r="D7" i="1734" s="1"/>
  <c r="D41" i="1734"/>
  <c r="R40" i="1734"/>
  <c r="D40" i="1734"/>
  <c r="R39" i="1734"/>
  <c r="D39" i="1734"/>
  <c r="R38" i="1734"/>
  <c r="D38" i="1734"/>
  <c r="R37" i="1734"/>
  <c r="D37" i="1734"/>
  <c r="R36" i="1734"/>
  <c r="L10" i="1734" s="1"/>
  <c r="D10" i="1734" s="1"/>
  <c r="D36" i="1734"/>
  <c r="R35" i="1734"/>
  <c r="D35" i="1734"/>
  <c r="R34" i="1734"/>
  <c r="L12" i="1734" s="1"/>
  <c r="D12" i="1734" s="1"/>
  <c r="D34" i="1734"/>
  <c r="D54" i="1734" s="1"/>
  <c r="H14" i="1734" s="1"/>
  <c r="R33" i="1734"/>
  <c r="L23" i="1734" s="1"/>
  <c r="D23" i="1734" s="1"/>
  <c r="R32" i="1734"/>
  <c r="R31" i="1734"/>
  <c r="R30" i="1734"/>
  <c r="R29" i="1734"/>
  <c r="R28" i="1734"/>
  <c r="L16" i="1734" s="1"/>
  <c r="D16" i="1734" s="1"/>
  <c r="D28" i="1734"/>
  <c r="R27" i="1734"/>
  <c r="D27" i="1734"/>
  <c r="R26" i="1734"/>
  <c r="L26" i="1734"/>
  <c r="D26" i="1734" s="1"/>
  <c r="R25" i="1734"/>
  <c r="L25" i="1734"/>
  <c r="D25" i="1734"/>
  <c r="R24" i="1734"/>
  <c r="D24" i="1734"/>
  <c r="R23" i="1734"/>
  <c r="R22" i="1734"/>
  <c r="L22" i="1734"/>
  <c r="D22" i="1734"/>
  <c r="R21" i="1734"/>
  <c r="D21" i="1734"/>
  <c r="R20" i="1734"/>
  <c r="L20" i="1734"/>
  <c r="D20" i="1734"/>
  <c r="R19" i="1734"/>
  <c r="L19" i="1734"/>
  <c r="D19" i="1734"/>
  <c r="R18" i="1734"/>
  <c r="D18" i="1734"/>
  <c r="R17" i="1734"/>
  <c r="D17" i="1734"/>
  <c r="R16" i="1734"/>
  <c r="S15" i="1734"/>
  <c r="R15" i="1734"/>
  <c r="D15" i="1734"/>
  <c r="S14" i="1734"/>
  <c r="R14" i="1734"/>
  <c r="D14" i="1734"/>
  <c r="R13" i="1734"/>
  <c r="D13" i="1734"/>
  <c r="R12" i="1734"/>
  <c r="R11" i="1734"/>
  <c r="L11" i="1734"/>
  <c r="D11" i="1734"/>
  <c r="L9" i="1734"/>
  <c r="D9" i="1734"/>
  <c r="L8" i="1734"/>
  <c r="D8" i="1734"/>
  <c r="R6" i="1734"/>
  <c r="R5" i="1734"/>
  <c r="R4" i="1734"/>
  <c r="H15" i="1773" l="1"/>
  <c r="H29" i="1773" s="1"/>
  <c r="G51" i="1773" s="1"/>
  <c r="H15" i="1772"/>
  <c r="H29" i="1772" s="1"/>
  <c r="G51" i="1772" s="1"/>
  <c r="H15" i="1771"/>
  <c r="H29" i="1771" s="1"/>
  <c r="G51" i="1771" s="1"/>
  <c r="G51" i="1768"/>
  <c r="H15" i="1769"/>
  <c r="H29" i="1769" s="1"/>
  <c r="G51" i="1769" s="1"/>
  <c r="H15" i="1767"/>
  <c r="H29" i="1767" s="1"/>
  <c r="G51" i="1767" s="1"/>
  <c r="H15" i="1764"/>
  <c r="H29" i="1764" s="1"/>
  <c r="G51" i="1764" s="1"/>
  <c r="H15" i="1763"/>
  <c r="H29" i="1763" s="1"/>
  <c r="G51" i="1763" s="1"/>
  <c r="H15" i="1761"/>
  <c r="H29" i="1761" s="1"/>
  <c r="G51" i="1761" s="1"/>
  <c r="H15" i="1760"/>
  <c r="H29" i="1760" s="1"/>
  <c r="G51" i="1760" s="1"/>
  <c r="H15" i="1759"/>
  <c r="H29" i="1759" s="1"/>
  <c r="G51" i="1759" s="1"/>
  <c r="H15" i="1757"/>
  <c r="H29" i="1757" s="1"/>
  <c r="G51" i="1757" s="1"/>
  <c r="H15" i="1756"/>
  <c r="H29" i="1756" s="1"/>
  <c r="G51" i="1756" s="1"/>
  <c r="H15" i="1755"/>
  <c r="H29" i="1755" s="1"/>
  <c r="G51" i="1755" s="1"/>
  <c r="H15" i="1753"/>
  <c r="H29" i="1753" s="1"/>
  <c r="G51" i="1753" s="1"/>
  <c r="H15" i="1752"/>
  <c r="H29" i="1752" s="1"/>
  <c r="G51" i="1752" s="1"/>
  <c r="H15" i="1751"/>
  <c r="H29" i="1751" s="1"/>
  <c r="G51" i="1751" s="1"/>
  <c r="G49" i="1737"/>
  <c r="G49" i="1736"/>
  <c r="G49" i="1735"/>
  <c r="D54" i="1737"/>
  <c r="H14" i="1737" s="1"/>
  <c r="D54" i="1736"/>
  <c r="H14" i="1736" s="1"/>
  <c r="D54" i="1735"/>
  <c r="H14" i="1735" s="1"/>
  <c r="D29" i="1737"/>
  <c r="H13" i="1737" s="1"/>
  <c r="D29" i="1736"/>
  <c r="H13" i="1736" s="1"/>
  <c r="D29" i="1735"/>
  <c r="H13" i="1735" s="1"/>
  <c r="D29" i="1734"/>
  <c r="H13" i="1734" s="1"/>
  <c r="H15" i="1734" s="1"/>
  <c r="H29" i="1734" s="1"/>
  <c r="G51" i="1734" s="1"/>
  <c r="H15" i="1737" l="1"/>
  <c r="H29" i="1737" s="1"/>
  <c r="G51" i="1737" s="1"/>
  <c r="H15" i="1736"/>
  <c r="H29" i="1736" s="1"/>
  <c r="G51" i="1736" s="1"/>
  <c r="H15" i="1735"/>
  <c r="H29" i="1735" s="1"/>
  <c r="G51" i="1735" s="1"/>
</calcChain>
</file>

<file path=xl/sharedStrings.xml><?xml version="1.0" encoding="utf-8"?>
<sst xmlns="http://schemas.openxmlformats.org/spreadsheetml/2006/main" count="12997" uniqueCount="227">
  <si>
    <t>GUILLERMO BEVERAGE DISTRIBUTION SERVICES</t>
  </si>
  <si>
    <t>PRODUCTS</t>
  </si>
  <si>
    <t>SELLING PRICE</t>
  </si>
  <si>
    <t>EMPTIES</t>
  </si>
  <si>
    <t>TOTAL</t>
  </si>
  <si>
    <t>SALES AND CASH REMITTANCE REPORT</t>
  </si>
  <si>
    <t>NON-ALCOHOLIC BEVERAGES</t>
  </si>
  <si>
    <t>SALES</t>
  </si>
  <si>
    <t xml:space="preserve">ROUTE # </t>
  </si>
  <si>
    <t>DATE:</t>
  </si>
  <si>
    <t>CALI PINEAPPLE 330ml</t>
  </si>
  <si>
    <t>PRODUCT</t>
  </si>
  <si>
    <t># OF CASES</t>
  </si>
  <si>
    <t>AMOUNT</t>
  </si>
  <si>
    <t>CALI ICE APPLE 330ml</t>
  </si>
  <si>
    <t>RH1000</t>
  </si>
  <si>
    <t>DSP</t>
  </si>
  <si>
    <t>CALI PINEAPPLE CAN 330ml</t>
  </si>
  <si>
    <t>RH500</t>
  </si>
  <si>
    <t>CALI ICE APPLE CAN 330ml</t>
  </si>
  <si>
    <t>RH330</t>
  </si>
  <si>
    <t>DRIVER</t>
  </si>
  <si>
    <t>CALI 10 DIET CAN 330ml</t>
  </si>
  <si>
    <t>PP1000</t>
  </si>
  <si>
    <t>MAGNOLIA</t>
  </si>
  <si>
    <t>PP320</t>
  </si>
  <si>
    <t>TRUCKMAN</t>
  </si>
  <si>
    <t>FRUIT DRINK GRAPE 250ml</t>
  </si>
  <si>
    <t>SML330</t>
  </si>
  <si>
    <t>FRUIT DRINK ORANGE 250ml</t>
  </si>
  <si>
    <t>FB330</t>
  </si>
  <si>
    <t>HEALTHTEA APPLE 250ml</t>
  </si>
  <si>
    <t>MHT</t>
  </si>
  <si>
    <t>CASH REMITTANCE COMPUTATION</t>
  </si>
  <si>
    <t>HEALTHTEA LEMON 250ml</t>
  </si>
  <si>
    <t>MHT BOTTLE</t>
  </si>
  <si>
    <t>TOTAL SALES</t>
  </si>
  <si>
    <t>HEALTHTEA STRAWBERRY 250ml</t>
  </si>
  <si>
    <t>CALI</t>
  </si>
  <si>
    <t>LESS: CONTAINERS RETURNED</t>
  </si>
  <si>
    <t>GROSS SALES</t>
  </si>
  <si>
    <t>ALCO BEVERAGES</t>
  </si>
  <si>
    <t>LESS:</t>
  </si>
  <si>
    <t>DISCOUNT</t>
  </si>
  <si>
    <t>PREMIUM ALL MALT 330ml</t>
  </si>
  <si>
    <t>TCS</t>
  </si>
  <si>
    <t>PREMIUM ALL MALT CAN 330ml</t>
  </si>
  <si>
    <t>COL</t>
  </si>
  <si>
    <t>KIRIN 330ml</t>
  </si>
  <si>
    <t>KIRIN CAN 330ml</t>
  </si>
  <si>
    <t>TOLL, FEES</t>
  </si>
  <si>
    <t>CERVEZA BLANCA CAN 330ml</t>
  </si>
  <si>
    <t>SUPERDRY 330ml</t>
  </si>
  <si>
    <t>SUPERDRY CAN 330ml</t>
  </si>
  <si>
    <t>CERVEZA NEGRA 330ml</t>
  </si>
  <si>
    <t>NET SALES
AMOUNT TO BE REMITTED:</t>
  </si>
  <si>
    <t>SAN MIGUEL CHOCOLATE LAGER CAN 330ml</t>
  </si>
  <si>
    <t>SAN MIG ZERO 330ml</t>
  </si>
  <si>
    <t>CONTAINERS RETURNED</t>
  </si>
  <si>
    <t>CASH BREAKDOWN</t>
  </si>
  <si>
    <t>SAN MIG LIGHT 330ml</t>
  </si>
  <si>
    <t>QTY</t>
  </si>
  <si>
    <t>PESOS</t>
  </si>
  <si>
    <t>NO. OF PCS.</t>
  </si>
  <si>
    <t>SAN MIG LIGHT CAN 330ml</t>
  </si>
  <si>
    <t>PP</t>
  </si>
  <si>
    <t>COMPLETE</t>
  </si>
  <si>
    <t>FLAVORED BEER APL/LEM/LYC 330ml</t>
  </si>
  <si>
    <t>SHELL</t>
  </si>
  <si>
    <t>FLAVORED BEER CAN APL/LEM/LY 330ml</t>
  </si>
  <si>
    <t>BOTTLES</t>
  </si>
  <si>
    <t>PALE PILSEN 320ml</t>
  </si>
  <si>
    <t>RHL/PL/GEK</t>
  </si>
  <si>
    <t>PALE PILSEN 330ml</t>
  </si>
  <si>
    <t>PALE PILSEN 1000ml</t>
  </si>
  <si>
    <t>PALE PILSEN Can 330ml</t>
  </si>
  <si>
    <t>RHP</t>
  </si>
  <si>
    <t>RED HORSE 330ml</t>
  </si>
  <si>
    <t>RED HORSE 500ml</t>
  </si>
  <si>
    <t>COINS</t>
  </si>
  <si>
    <t>RED HORSE 1000ml</t>
  </si>
  <si>
    <t>FBA/SML/RHS</t>
  </si>
  <si>
    <t>BANK</t>
  </si>
  <si>
    <t>CHECK NO.</t>
  </si>
  <si>
    <t>RED HORSE CAN 330ml</t>
  </si>
  <si>
    <t>SAN MIG FREE</t>
  </si>
  <si>
    <t>TOTAL REMITTANCE</t>
  </si>
  <si>
    <t>GOLD EAGLE 320ml</t>
  </si>
  <si>
    <t>GOLD EAGLE 1000ml</t>
  </si>
  <si>
    <t>SAN MIG HARD SELTZER 330ml</t>
  </si>
  <si>
    <t>TOTAL CONTAINERS RETURNED</t>
  </si>
  <si>
    <t>DEALER SALES PERSONEL
NAME AND SIGNATURE</t>
  </si>
  <si>
    <t>CHECKED BY: WIC/CLERK
NAME AND SIGNATURE</t>
  </si>
  <si>
    <t>PAMB</t>
  </si>
  <si>
    <t>CNB</t>
  </si>
  <si>
    <t>CIB</t>
  </si>
  <si>
    <t>FBLYC</t>
  </si>
  <si>
    <t>RHSL</t>
  </si>
  <si>
    <t>S.I. NO.</t>
  </si>
  <si>
    <t>LESS: CREDIT</t>
  </si>
  <si>
    <t>ADD: COLLECTION</t>
  </si>
  <si>
    <t>RH500C</t>
  </si>
  <si>
    <t>CHOCO LAGER CAN</t>
  </si>
  <si>
    <t>RED HORSE 500 CAN</t>
  </si>
  <si>
    <t>GE1000</t>
  </si>
  <si>
    <t>FBA BOTT.</t>
  </si>
  <si>
    <t>RED HORSE SUPER 1000</t>
  </si>
  <si>
    <t>SMLC/RHC</t>
  </si>
  <si>
    <t>SMFC</t>
  </si>
  <si>
    <t>CHOCO LAG</t>
  </si>
  <si>
    <t>HSC</t>
  </si>
  <si>
    <t>DANDAYO, RONNEL</t>
  </si>
  <si>
    <t>PAMC</t>
  </si>
  <si>
    <t>ENCLONAR, JEROME</t>
  </si>
  <si>
    <t>SALIG, JOVANI</t>
  </si>
  <si>
    <t>SDC</t>
  </si>
  <si>
    <t>FBAC</t>
  </si>
  <si>
    <t>OTHERS/PROMO</t>
  </si>
  <si>
    <t>RHS BOTT.</t>
  </si>
  <si>
    <t>PPC/RHC</t>
  </si>
  <si>
    <t>PL BOTT.</t>
  </si>
  <si>
    <t>RHSL BOTT.</t>
  </si>
  <si>
    <t>SMLC/PPC/RHC</t>
  </si>
  <si>
    <t>CC/CIC</t>
  </si>
  <si>
    <t>PAMC/CBC</t>
  </si>
  <si>
    <t>SHORT / OVER</t>
  </si>
  <si>
    <t>PORMENTO, ESTEMARK</t>
  </si>
  <si>
    <t>BAOC, PRECILLANO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</si>
  <si>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 xml:space="preserve">) </t>
    </r>
    <r>
      <rPr>
        <sz val="11"/>
        <rFont val="Calibri"/>
        <family val="2"/>
        <scheme val="minor"/>
      </rPr>
      <t>/ OVER</t>
    </r>
  </si>
  <si>
    <t>FBAC/FBLC</t>
  </si>
  <si>
    <t>GOMORA, JURLAN</t>
  </si>
  <si>
    <t>CC/CIC/C10C</t>
  </si>
  <si>
    <t>CBB</t>
  </si>
  <si>
    <t>CLC/SDC</t>
  </si>
  <si>
    <t>SMZB</t>
  </si>
  <si>
    <r>
      <t xml:space="preserve">SHORT / </t>
    </r>
    <r>
      <rPr>
        <u/>
        <sz val="11"/>
        <rFont val="Calibri"/>
        <family val="2"/>
        <scheme val="minor"/>
      </rPr>
      <t xml:space="preserve">OVER </t>
    </r>
  </si>
  <si>
    <t>SAN MIG FREE 330ml</t>
  </si>
  <si>
    <t>SAN MIG HARD SELTZER CAN 330ml</t>
  </si>
  <si>
    <r>
      <t xml:space="preserve">SHORT / </t>
    </r>
    <r>
      <rPr>
        <u/>
        <sz val="11"/>
        <rFont val="Calibri"/>
        <family val="2"/>
        <scheme val="minor"/>
      </rPr>
      <t>OVER</t>
    </r>
  </si>
  <si>
    <t>RACAZA, ALEX</t>
  </si>
  <si>
    <t xml:space="preserve">                           RONNEL DANDAYO</t>
  </si>
  <si>
    <t>GICA, GRACE</t>
  </si>
  <si>
    <t xml:space="preserve">                            GRACE B. GICA</t>
  </si>
  <si>
    <t xml:space="preserve">                            ESTEMARK PORMENTO</t>
  </si>
  <si>
    <t>SALIG, JULIVEN</t>
  </si>
  <si>
    <t>BDO</t>
  </si>
  <si>
    <t>PNB</t>
  </si>
  <si>
    <t>147136</t>
  </si>
  <si>
    <t>1ST VALLEY BANK</t>
  </si>
  <si>
    <t>5089308</t>
  </si>
  <si>
    <t>SML BOTT.</t>
  </si>
  <si>
    <t>FB BOTT.</t>
  </si>
  <si>
    <t>FBLYC/FBAC</t>
  </si>
  <si>
    <t>SMLC/RHC/PPC</t>
  </si>
  <si>
    <t>BAOC, PRECILLANO / PODIOTAN, AIR JOHN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</si>
  <si>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 xml:space="preserve">) </t>
    </r>
    <r>
      <rPr>
        <sz val="11"/>
        <rFont val="Calibri"/>
        <family val="2"/>
        <scheme val="minor"/>
      </rPr>
      <t xml:space="preserve">/ OVER </t>
    </r>
  </si>
  <si>
    <t>2000002766</t>
  </si>
  <si>
    <t>G-CASH</t>
  </si>
  <si>
    <t>42966</t>
  </si>
  <si>
    <r>
      <rPr>
        <u/>
        <sz val="11"/>
        <color rgb="FFFF0000"/>
        <rFont val="Calibri"/>
        <family val="2"/>
        <scheme val="minor"/>
      </rPr>
      <t>(SHORT)</t>
    </r>
    <r>
      <rPr>
        <sz val="11"/>
        <rFont val="Calibri"/>
        <family val="2"/>
        <scheme val="minor"/>
      </rPr>
      <t xml:space="preserve"> / OVER</t>
    </r>
  </si>
  <si>
    <t>PSBC</t>
  </si>
  <si>
    <t>2120012839</t>
  </si>
  <si>
    <t>146923</t>
  </si>
  <si>
    <t>2000007261</t>
  </si>
  <si>
    <t>2000005779</t>
  </si>
  <si>
    <t>PAMC/CBC/CLC</t>
  </si>
  <si>
    <t>FBLYC/FBAC/FBLC</t>
  </si>
  <si>
    <t>PP BOTT.</t>
  </si>
  <si>
    <t>CLC/SDC/CBC</t>
  </si>
  <si>
    <t>SML500C/PP500C</t>
  </si>
  <si>
    <t>130458</t>
  </si>
  <si>
    <t>BANK ACCOUNT</t>
  </si>
  <si>
    <t>2130016745</t>
  </si>
  <si>
    <t>2778</t>
  </si>
  <si>
    <t>147172</t>
  </si>
  <si>
    <t>ELIZABETH HENSON</t>
  </si>
  <si>
    <t>PODIOTAN, AIR JOHN</t>
  </si>
  <si>
    <t>MGYZ</t>
  </si>
  <si>
    <t>2120012846</t>
  </si>
  <si>
    <t>147483</t>
  </si>
  <si>
    <t>37670</t>
  </si>
  <si>
    <t>5089363</t>
  </si>
  <si>
    <t>BANK TRANSFER</t>
  </si>
  <si>
    <t>146556</t>
  </si>
  <si>
    <t>BALWARTE</t>
  </si>
  <si>
    <t>LOPEZ, GINA GRACE</t>
  </si>
  <si>
    <t>42972</t>
  </si>
  <si>
    <t>147500</t>
  </si>
  <si>
    <t>147503</t>
  </si>
  <si>
    <t>132727</t>
  </si>
  <si>
    <t xml:space="preserve">SHORT / OVER </t>
  </si>
  <si>
    <t>42975</t>
  </si>
  <si>
    <t>RHL BOTT.</t>
  </si>
  <si>
    <t>2120012862</t>
  </si>
  <si>
    <t>143445</t>
  </si>
  <si>
    <t>2000007285</t>
  </si>
  <si>
    <t>147226</t>
  </si>
  <si>
    <t>52448</t>
  </si>
  <si>
    <t>5089368</t>
  </si>
  <si>
    <t>2120012867</t>
  </si>
  <si>
    <t>2000002799</t>
  </si>
  <si>
    <t>2000007289</t>
  </si>
  <si>
    <t>42980</t>
  </si>
  <si>
    <t>146605</t>
  </si>
  <si>
    <t>147521</t>
  </si>
  <si>
    <t>2000005815</t>
  </si>
  <si>
    <t>146612</t>
  </si>
  <si>
    <t>CALI BOTT.</t>
  </si>
  <si>
    <t>147258</t>
  </si>
  <si>
    <t>143460</t>
  </si>
  <si>
    <t>2000002916</t>
  </si>
  <si>
    <t>PLAZA STORE</t>
  </si>
  <si>
    <t>42983</t>
  </si>
  <si>
    <t xml:space="preserve">                           GRACE B. GICA</t>
  </si>
  <si>
    <t>2000007715</t>
  </si>
  <si>
    <t>5089378</t>
  </si>
  <si>
    <t>BEB'S MIRACLE</t>
  </si>
  <si>
    <t>147561</t>
  </si>
  <si>
    <t>2000007724</t>
  </si>
  <si>
    <t>2000005832</t>
  </si>
  <si>
    <t>2000002929</t>
  </si>
  <si>
    <t>52479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</si>
  <si>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>)</t>
    </r>
    <r>
      <rPr>
        <sz val="11"/>
        <rFont val="Calibri"/>
        <family val="2"/>
        <scheme val="minor"/>
      </rPr>
      <t xml:space="preserve"> / OVER </t>
    </r>
  </si>
  <si>
    <t>147293</t>
  </si>
  <si>
    <t>143471</t>
  </si>
  <si>
    <t>52484</t>
  </si>
  <si>
    <t>42990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</si>
</sst>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[$-3409]mmmm\ dd\,\ yyyy;@"/>
    <numFmt numFmtId="165" formatCode="_-&quot;₱&quot;* #,##0.00_-;\-&quot;₱&quot;* \(#,##0.00\)_-;_-&quot;₱&quot;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1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43" fontId="0" fillId="0" borderId="0" xfId="1" applyFont="1"/>
    <xf numFmtId="43" fontId="0" fillId="2" borderId="0" xfId="0" applyNumberFormat="1" applyFill="1"/>
    <xf numFmtId="43" fontId="0" fillId="4" borderId="1" xfId="0" applyNumberFormat="1" applyFill="1" applyBorder="1"/>
    <xf numFmtId="0" fontId="0" fillId="2" borderId="1" xfId="0" applyFill="1" applyBorder="1"/>
    <xf numFmtId="0" fontId="0" fillId="0" borderId="3" xfId="0" applyBorder="1"/>
    <xf numFmtId="0" fontId="0" fillId="0" borderId="10" xfId="0" applyBorder="1" applyAlignment="1">
      <alignment horizontal="center"/>
    </xf>
    <xf numFmtId="0" fontId="4" fillId="0" borderId="16" xfId="0" applyFont="1" applyBorder="1"/>
    <xf numFmtId="0" fontId="4" fillId="0" borderId="12" xfId="0" applyFont="1" applyBorder="1"/>
    <xf numFmtId="43" fontId="4" fillId="0" borderId="16" xfId="1" applyFont="1" applyBorder="1"/>
    <xf numFmtId="43" fontId="4" fillId="0" borderId="22" xfId="1" applyFont="1" applyBorder="1"/>
    <xf numFmtId="0" fontId="0" fillId="0" borderId="16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2" xfId="0" applyBorder="1"/>
    <xf numFmtId="0" fontId="0" fillId="0" borderId="18" xfId="0" applyBorder="1"/>
    <xf numFmtId="0" fontId="0" fillId="0" borderId="10" xfId="0" applyBorder="1"/>
    <xf numFmtId="0" fontId="0" fillId="0" borderId="32" xfId="0" applyBorder="1"/>
    <xf numFmtId="0" fontId="0" fillId="0" borderId="36" xfId="0" applyBorder="1"/>
    <xf numFmtId="0" fontId="0" fillId="0" borderId="37" xfId="0" applyBorder="1"/>
    <xf numFmtId="0" fontId="0" fillId="0" borderId="24" xfId="0" applyBorder="1"/>
    <xf numFmtId="0" fontId="0" fillId="0" borderId="41" xfId="0" applyBorder="1"/>
    <xf numFmtId="0" fontId="0" fillId="0" borderId="16" xfId="0" applyBorder="1" applyAlignment="1">
      <alignment horizontal="center"/>
    </xf>
    <xf numFmtId="0" fontId="3" fillId="3" borderId="40" xfId="0" applyFont="1" applyFill="1" applyBorder="1"/>
    <xf numFmtId="0" fontId="3" fillId="3" borderId="16" xfId="0" applyFont="1" applyFill="1" applyBorder="1"/>
    <xf numFmtId="0" fontId="3" fillId="3" borderId="23" xfId="0" applyFont="1" applyFill="1" applyBorder="1"/>
    <xf numFmtId="0" fontId="3" fillId="3" borderId="41" xfId="0" applyFont="1" applyFill="1" applyBorder="1"/>
    <xf numFmtId="43" fontId="4" fillId="0" borderId="18" xfId="1" applyFont="1" applyBorder="1"/>
    <xf numFmtId="43" fontId="4" fillId="0" borderId="42" xfId="1" applyFont="1" applyBorder="1"/>
    <xf numFmtId="0" fontId="3" fillId="3" borderId="12" xfId="0" applyFont="1" applyFill="1" applyBorder="1"/>
    <xf numFmtId="0" fontId="4" fillId="0" borderId="29" xfId="0" applyFont="1" applyBorder="1"/>
    <xf numFmtId="0" fontId="0" fillId="0" borderId="40" xfId="0" applyBorder="1"/>
    <xf numFmtId="0" fontId="0" fillId="0" borderId="27" xfId="0" applyBorder="1"/>
    <xf numFmtId="0" fontId="0" fillId="0" borderId="29" xfId="0" applyBorder="1"/>
    <xf numFmtId="0" fontId="4" fillId="0" borderId="16" xfId="0" applyFont="1" applyBorder="1" applyAlignment="1">
      <alignment horizontal="right"/>
    </xf>
    <xf numFmtId="0" fontId="0" fillId="0" borderId="16" xfId="0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43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0" fontId="0" fillId="0" borderId="42" xfId="0" applyBorder="1"/>
    <xf numFmtId="43" fontId="4" fillId="0" borderId="40" xfId="1" applyFont="1" applyBorder="1"/>
    <xf numFmtId="43" fontId="4" fillId="0" borderId="21" xfId="1" applyFont="1" applyBorder="1"/>
    <xf numFmtId="0" fontId="0" fillId="0" borderId="21" xfId="0" applyBorder="1"/>
    <xf numFmtId="43" fontId="0" fillId="2" borderId="1" xfId="0" applyNumberFormat="1" applyFill="1" applyBorder="1"/>
    <xf numFmtId="43" fontId="4" fillId="0" borderId="23" xfId="1" applyFont="1" applyBorder="1"/>
    <xf numFmtId="0" fontId="3" fillId="3" borderId="10" xfId="0" applyFont="1" applyFill="1" applyBorder="1"/>
    <xf numFmtId="0" fontId="0" fillId="0" borderId="43" xfId="0" applyBorder="1"/>
    <xf numFmtId="0" fontId="4" fillId="0" borderId="21" xfId="0" applyFont="1" applyBorder="1"/>
    <xf numFmtId="0" fontId="4" fillId="0" borderId="10" xfId="0" applyFont="1" applyBorder="1"/>
    <xf numFmtId="0" fontId="4" fillId="0" borderId="18" xfId="0" applyFont="1" applyBorder="1"/>
    <xf numFmtId="0" fontId="4" fillId="0" borderId="27" xfId="0" applyFont="1" applyBorder="1"/>
    <xf numFmtId="0" fontId="0" fillId="0" borderId="0" xfId="0" applyAlignment="1">
      <alignment horizontal="center"/>
    </xf>
    <xf numFmtId="0" fontId="0" fillId="3" borderId="21" xfId="0" applyFill="1" applyBorder="1"/>
    <xf numFmtId="0" fontId="0" fillId="3" borderId="18" xfId="0" applyFill="1" applyBorder="1"/>
    <xf numFmtId="43" fontId="4" fillId="0" borderId="12" xfId="1" applyFont="1" applyBorder="1"/>
    <xf numFmtId="0" fontId="4" fillId="0" borderId="16" xfId="0" applyFont="1" applyBorder="1" applyAlignment="1">
      <alignment horizontal="center"/>
    </xf>
    <xf numFmtId="0" fontId="9" fillId="0" borderId="10" xfId="0" applyFont="1" applyBorder="1" applyAlignment="1">
      <alignment horizontal="left" vertical="center"/>
    </xf>
    <xf numFmtId="0" fontId="10" fillId="0" borderId="40" xfId="0" applyFont="1" applyBorder="1" applyAlignment="1">
      <alignment horizontal="left"/>
    </xf>
    <xf numFmtId="49" fontId="4" fillId="0" borderId="16" xfId="0" applyNumberFormat="1" applyFont="1" applyBorder="1" applyAlignment="1">
      <alignment horizontal="right"/>
    </xf>
    <xf numFmtId="0" fontId="4" fillId="0" borderId="23" xfId="0" applyFont="1" applyBorder="1"/>
    <xf numFmtId="0" fontId="9" fillId="0" borderId="1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11" fillId="0" borderId="28" xfId="0" applyFont="1" applyBorder="1" applyAlignment="1">
      <alignment horizontal="left"/>
    </xf>
    <xf numFmtId="0" fontId="11" fillId="3" borderId="10" xfId="0" applyFont="1" applyFill="1" applyBorder="1"/>
    <xf numFmtId="0" fontId="11" fillId="0" borderId="43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4" fillId="0" borderId="41" xfId="0" applyFont="1" applyBorder="1" applyAlignment="1">
      <alignment horizontal="left"/>
    </xf>
    <xf numFmtId="0" fontId="16" fillId="0" borderId="16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5" fillId="0" borderId="43" xfId="0" applyFont="1" applyBorder="1" applyAlignment="1">
      <alignment horizontal="right"/>
    </xf>
    <xf numFmtId="0" fontId="17" fillId="0" borderId="10" xfId="0" applyFont="1" applyBorder="1" applyAlignment="1">
      <alignment horizontal="center"/>
    </xf>
    <xf numFmtId="49" fontId="0" fillId="0" borderId="16" xfId="0" applyNumberFormat="1" applyBorder="1" applyAlignment="1">
      <alignment horizontal="right"/>
    </xf>
    <xf numFmtId="0" fontId="18" fillId="0" borderId="10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4" fillId="0" borderId="36" xfId="0" applyFont="1" applyBorder="1"/>
    <xf numFmtId="4" fontId="12" fillId="0" borderId="28" xfId="0" applyNumberFormat="1" applyFont="1" applyBorder="1" applyAlignment="1">
      <alignment horizontal="center"/>
    </xf>
    <xf numFmtId="0" fontId="9" fillId="0" borderId="21" xfId="0" applyFont="1" applyBorder="1"/>
    <xf numFmtId="0" fontId="4" fillId="0" borderId="16" xfId="0" applyFont="1" applyFill="1" applyBorder="1"/>
    <xf numFmtId="49" fontId="23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49" fontId="0" fillId="0" borderId="16" xfId="0" applyNumberFormat="1" applyFont="1" applyBorder="1" applyAlignment="1">
      <alignment horizontal="right"/>
    </xf>
    <xf numFmtId="0" fontId="9" fillId="0" borderId="16" xfId="0" applyFont="1" applyBorder="1" applyAlignment="1">
      <alignment horizontal="right"/>
    </xf>
    <xf numFmtId="0" fontId="24" fillId="0" borderId="16" xfId="0" applyFont="1" applyBorder="1"/>
    <xf numFmtId="49" fontId="9" fillId="0" borderId="16" xfId="0" applyNumberFormat="1" applyFont="1" applyBorder="1" applyAlignment="1">
      <alignment horizontal="right"/>
    </xf>
    <xf numFmtId="0" fontId="23" fillId="0" borderId="16" xfId="0" applyFont="1" applyBorder="1"/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0" fontId="9" fillId="0" borderId="16" xfId="0" applyFont="1" applyBorder="1"/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1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textRotation="90"/>
    </xf>
    <xf numFmtId="0" fontId="5" fillId="3" borderId="13" xfId="0" applyFont="1" applyFill="1" applyBorder="1" applyAlignment="1">
      <alignment horizontal="center" vertical="center" textRotation="90"/>
    </xf>
    <xf numFmtId="0" fontId="5" fillId="3" borderId="17" xfId="0" applyFont="1" applyFill="1" applyBorder="1" applyAlignment="1">
      <alignment horizontal="center" vertical="center" textRotation="90"/>
    </xf>
    <xf numFmtId="0" fontId="0" fillId="0" borderId="1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3" borderId="16" xfId="0" applyFill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23" xfId="0" applyBorder="1" applyAlignment="1">
      <alignment horizontal="left"/>
    </xf>
    <xf numFmtId="43" fontId="4" fillId="0" borderId="12" xfId="1" applyFont="1" applyBorder="1" applyAlignment="1">
      <alignment horizontal="left"/>
    </xf>
    <xf numFmtId="43" fontId="4" fillId="0" borderId="28" xfId="1" applyFont="1" applyBorder="1" applyAlignment="1">
      <alignment horizontal="left"/>
    </xf>
    <xf numFmtId="43" fontId="4" fillId="0" borderId="23" xfId="1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43" fontId="12" fillId="0" borderId="12" xfId="1" applyFont="1" applyBorder="1" applyAlignment="1">
      <alignment horizontal="left"/>
    </xf>
    <xf numFmtId="43" fontId="12" fillId="0" borderId="28" xfId="1" applyFont="1" applyBorder="1" applyAlignment="1">
      <alignment horizontal="left"/>
    </xf>
    <xf numFmtId="43" fontId="12" fillId="0" borderId="23" xfId="1" applyFont="1" applyBorder="1" applyAlignment="1">
      <alignment horizontal="left"/>
    </xf>
    <xf numFmtId="0" fontId="0" fillId="0" borderId="27" xfId="0" applyBorder="1" applyAlignment="1">
      <alignment horizontal="left"/>
    </xf>
    <xf numFmtId="43" fontId="6" fillId="0" borderId="27" xfId="1" applyFont="1" applyBorder="1" applyAlignment="1">
      <alignment horizontal="right"/>
    </xf>
    <xf numFmtId="43" fontId="6" fillId="0" borderId="41" xfId="1" applyFont="1" applyBorder="1" applyAlignment="1">
      <alignment horizontal="right"/>
    </xf>
    <xf numFmtId="43" fontId="6" fillId="0" borderId="22" xfId="1" applyFont="1" applyBorder="1" applyAlignment="1">
      <alignment horizontal="right"/>
    </xf>
    <xf numFmtId="44" fontId="12" fillId="3" borderId="16" xfId="0" applyNumberFormat="1" applyFont="1" applyFill="1" applyBorder="1" applyAlignment="1">
      <alignment horizontal="center"/>
    </xf>
    <xf numFmtId="0" fontId="0" fillId="0" borderId="6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43" fontId="4" fillId="0" borderId="45" xfId="1" applyFont="1" applyBorder="1" applyAlignment="1">
      <alignment horizontal="left" vertical="center"/>
    </xf>
    <xf numFmtId="43" fontId="4" fillId="0" borderId="44" xfId="1" applyFont="1" applyBorder="1" applyAlignment="1">
      <alignment horizontal="left" vertical="center"/>
    </xf>
    <xf numFmtId="0" fontId="0" fillId="0" borderId="6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0" fontId="0" fillId="0" borderId="35" xfId="0" applyBorder="1" applyAlignment="1">
      <alignment horizontal="right" vertical="center" wrapText="1"/>
    </xf>
    <xf numFmtId="44" fontId="8" fillId="0" borderId="33" xfId="0" applyNumberFormat="1" applyFont="1" applyBorder="1" applyAlignment="1">
      <alignment horizontal="left" vertical="center"/>
    </xf>
    <xf numFmtId="44" fontId="8" fillId="0" borderId="2" xfId="0" applyNumberFormat="1" applyFont="1" applyBorder="1" applyAlignment="1">
      <alignment horizontal="left" vertical="center"/>
    </xf>
    <xf numFmtId="44" fontId="8" fillId="0" borderId="38" xfId="0" applyNumberFormat="1" applyFont="1" applyBorder="1" applyAlignment="1">
      <alignment horizontal="left" vertical="center"/>
    </xf>
    <xf numFmtId="44" fontId="8" fillId="0" borderId="25" xfId="0" applyNumberFormat="1" applyFont="1" applyBorder="1" applyAlignment="1">
      <alignment horizontal="left" vertical="center"/>
    </xf>
    <xf numFmtId="44" fontId="8" fillId="0" borderId="30" xfId="0" applyNumberFormat="1" applyFont="1" applyBorder="1" applyAlignment="1">
      <alignment horizontal="left" vertical="center"/>
    </xf>
    <xf numFmtId="44" fontId="8" fillId="0" borderId="26" xfId="0" applyNumberFormat="1" applyFont="1" applyBorder="1" applyAlignment="1">
      <alignment horizontal="left" vertical="center"/>
    </xf>
    <xf numFmtId="44" fontId="11" fillId="3" borderId="16" xfId="0" applyNumberFormat="1" applyFont="1" applyFill="1" applyBorder="1" applyAlignment="1">
      <alignment horizontal="right"/>
    </xf>
    <xf numFmtId="0" fontId="11" fillId="0" borderId="32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4" fontId="12" fillId="0" borderId="16" xfId="0" applyNumberFormat="1" applyFont="1" applyBorder="1" applyAlignment="1">
      <alignment horizontal="right"/>
    </xf>
    <xf numFmtId="4" fontId="4" fillId="0" borderId="23" xfId="0" applyNumberFormat="1" applyFont="1" applyBorder="1" applyAlignment="1">
      <alignment horizontal="right"/>
    </xf>
    <xf numFmtId="4" fontId="4" fillId="0" borderId="16" xfId="0" applyNumberFormat="1" applyFont="1" applyBorder="1" applyAlignment="1">
      <alignment horizontal="right"/>
    </xf>
    <xf numFmtId="44" fontId="4" fillId="0" borderId="27" xfId="0" applyNumberFormat="1" applyFont="1" applyBorder="1" applyAlignment="1">
      <alignment horizontal="center"/>
    </xf>
    <xf numFmtId="44" fontId="4" fillId="0" borderId="41" xfId="0" applyNumberFormat="1" applyFont="1" applyBorder="1" applyAlignment="1">
      <alignment horizontal="center"/>
    </xf>
    <xf numFmtId="44" fontId="4" fillId="0" borderId="22" xfId="0" applyNumberFormat="1" applyFont="1" applyBorder="1" applyAlignment="1">
      <alignment horizontal="center"/>
    </xf>
    <xf numFmtId="44" fontId="4" fillId="0" borderId="12" xfId="0" applyNumberFormat="1" applyFont="1" applyBorder="1" applyAlignment="1">
      <alignment horizontal="right"/>
    </xf>
    <xf numFmtId="44" fontId="4" fillId="0" borderId="28" xfId="0" applyNumberFormat="1" applyFont="1" applyBorder="1" applyAlignment="1">
      <alignment horizontal="right"/>
    </xf>
    <xf numFmtId="44" fontId="4" fillId="0" borderId="23" xfId="0" applyNumberFormat="1" applyFont="1" applyBorder="1" applyAlignment="1">
      <alignment horizontal="right"/>
    </xf>
    <xf numFmtId="44" fontId="4" fillId="0" borderId="11" xfId="0" applyNumberFormat="1" applyFont="1" applyBorder="1" applyAlignment="1">
      <alignment horizontal="right"/>
    </xf>
    <xf numFmtId="44" fontId="4" fillId="0" borderId="14" xfId="0" applyNumberFormat="1" applyFont="1" applyBorder="1" applyAlignment="1">
      <alignment horizontal="right"/>
    </xf>
    <xf numFmtId="44" fontId="4" fillId="0" borderId="19" xfId="0" applyNumberFormat="1" applyFont="1" applyBorder="1" applyAlignment="1">
      <alignment horizontal="right"/>
    </xf>
    <xf numFmtId="44" fontId="4" fillId="0" borderId="47" xfId="0" applyNumberFormat="1" applyFont="1" applyBorder="1" applyAlignment="1">
      <alignment horizontal="right"/>
    </xf>
    <xf numFmtId="44" fontId="4" fillId="0" borderId="48" xfId="0" applyNumberFormat="1" applyFont="1" applyBorder="1" applyAlignment="1">
      <alignment horizontal="right"/>
    </xf>
    <xf numFmtId="44" fontId="4" fillId="0" borderId="49" xfId="0" applyNumberFormat="1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4" fontId="4" fillId="0" borderId="11" xfId="0" applyNumberFormat="1" applyFont="1" applyBorder="1" applyAlignment="1">
      <alignment horizontal="right"/>
    </xf>
    <xf numFmtId="4" fontId="4" fillId="0" borderId="14" xfId="0" applyNumberFormat="1" applyFont="1" applyBorder="1" applyAlignment="1">
      <alignment horizontal="right"/>
    </xf>
    <xf numFmtId="4" fontId="4" fillId="0" borderId="19" xfId="0" applyNumberFormat="1" applyFont="1" applyBorder="1" applyAlignment="1">
      <alignment horizontal="right"/>
    </xf>
    <xf numFmtId="0" fontId="5" fillId="3" borderId="10" xfId="0" applyFont="1" applyFill="1" applyBorder="1" applyAlignment="1">
      <alignment horizontal="center" vertical="center" textRotation="90"/>
    </xf>
    <xf numFmtId="0" fontId="5" fillId="3" borderId="21" xfId="0" applyFont="1" applyFill="1" applyBorder="1" applyAlignment="1">
      <alignment horizontal="center" vertical="center" textRotation="90"/>
    </xf>
    <xf numFmtId="0" fontId="5" fillId="3" borderId="18" xfId="0" applyFont="1" applyFill="1" applyBorder="1" applyAlignment="1">
      <alignment horizontal="center" vertical="center" textRotation="90"/>
    </xf>
    <xf numFmtId="0" fontId="4" fillId="0" borderId="2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4" fontId="4" fillId="0" borderId="16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0" borderId="4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30" xfId="0" applyBorder="1" applyAlignment="1">
      <alignment horizontal="right" vertical="center" wrapText="1"/>
    </xf>
    <xf numFmtId="0" fontId="0" fillId="0" borderId="26" xfId="0" applyBorder="1" applyAlignment="1">
      <alignment horizontal="right" vertical="center" wrapText="1"/>
    </xf>
    <xf numFmtId="43" fontId="13" fillId="0" borderId="8" xfId="1" applyFont="1" applyBorder="1" applyAlignment="1">
      <alignment horizontal="left" vertical="center"/>
    </xf>
    <xf numFmtId="43" fontId="13" fillId="0" borderId="17" xfId="1" applyFont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6" xfId="0" applyBorder="1" applyAlignment="1">
      <alignment horizontal="right" wrapText="1"/>
    </xf>
    <xf numFmtId="0" fontId="0" fillId="0" borderId="34" xfId="0" applyBorder="1" applyAlignment="1">
      <alignment horizontal="right" wrapText="1"/>
    </xf>
    <xf numFmtId="0" fontId="3" fillId="0" borderId="1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right" vertical="center" wrapText="1"/>
    </xf>
    <xf numFmtId="165" fontId="19" fillId="0" borderId="6" xfId="0" applyNumberFormat="1" applyFont="1" applyBorder="1" applyAlignment="1">
      <alignment horizontal="left" vertical="center"/>
    </xf>
    <xf numFmtId="165" fontId="19" fillId="0" borderId="4" xfId="0" applyNumberFormat="1" applyFont="1" applyBorder="1" applyAlignment="1">
      <alignment horizontal="left" vertical="center"/>
    </xf>
    <xf numFmtId="165" fontId="19" fillId="0" borderId="7" xfId="0" applyNumberFormat="1" applyFont="1" applyBorder="1" applyAlignment="1">
      <alignment horizontal="left" vertical="center"/>
    </xf>
    <xf numFmtId="165" fontId="19" fillId="0" borderId="50" xfId="0" applyNumberFormat="1" applyFont="1" applyBorder="1" applyAlignment="1">
      <alignment horizontal="left" vertical="center"/>
    </xf>
    <xf numFmtId="165" fontId="19" fillId="0" borderId="51" xfId="0" applyNumberFormat="1" applyFont="1" applyBorder="1" applyAlignment="1">
      <alignment horizontal="left" vertical="center"/>
    </xf>
    <xf numFmtId="165" fontId="19" fillId="0" borderId="52" xfId="0" applyNumberFormat="1" applyFont="1" applyBorder="1" applyAlignment="1">
      <alignment horizontal="left" vertical="center"/>
    </xf>
    <xf numFmtId="4" fontId="12" fillId="0" borderId="23" xfId="0" applyNumberFormat="1" applyFont="1" applyBorder="1"/>
    <xf numFmtId="4" fontId="12" fillId="0" borderId="16" xfId="0" applyNumberFormat="1" applyFont="1" applyBorder="1"/>
    <xf numFmtId="4" fontId="4" fillId="0" borderId="23" xfId="0" applyNumberFormat="1" applyFont="1" applyBorder="1"/>
    <xf numFmtId="4" fontId="4" fillId="0" borderId="16" xfId="0" applyNumberFormat="1" applyFont="1" applyBorder="1"/>
    <xf numFmtId="165" fontId="21" fillId="0" borderId="6" xfId="0" applyNumberFormat="1" applyFont="1" applyBorder="1" applyAlignment="1">
      <alignment horizontal="left" vertical="center"/>
    </xf>
    <xf numFmtId="165" fontId="21" fillId="0" borderId="4" xfId="0" applyNumberFormat="1" applyFont="1" applyBorder="1" applyAlignment="1">
      <alignment horizontal="left" vertical="center"/>
    </xf>
    <xf numFmtId="165" fontId="21" fillId="0" borderId="7" xfId="0" applyNumberFormat="1" applyFont="1" applyBorder="1" applyAlignment="1">
      <alignment horizontal="left" vertical="center"/>
    </xf>
    <xf numFmtId="165" fontId="21" fillId="0" borderId="50" xfId="0" applyNumberFormat="1" applyFont="1" applyBorder="1" applyAlignment="1">
      <alignment horizontal="left" vertical="center"/>
    </xf>
    <xf numFmtId="165" fontId="21" fillId="0" borderId="51" xfId="0" applyNumberFormat="1" applyFont="1" applyBorder="1" applyAlignment="1">
      <alignment horizontal="left" vertical="center"/>
    </xf>
    <xf numFmtId="165" fontId="21" fillId="0" borderId="52" xfId="0" applyNumberFormat="1" applyFont="1" applyBorder="1" applyAlignment="1">
      <alignment horizontal="left" vertical="center"/>
    </xf>
    <xf numFmtId="44" fontId="0" fillId="3" borderId="16" xfId="0" applyNumberFormat="1" applyFill="1" applyBorder="1" applyAlignment="1">
      <alignment horizontal="right"/>
    </xf>
    <xf numFmtId="44" fontId="12" fillId="3" borderId="16" xfId="0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tyles" Target="styles.xml"/><Relationship Id="rId10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theme" Target="theme/theme1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318524-6039-44C5-A449-11E763D2F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79EA69-D85F-4788-AB65-A86F5D149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2ACD056-479C-4E78-814E-B49E4DBAA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E525CA-AF68-4066-A847-7CEAE693E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EC3A4B-375A-4033-A172-15BB9AD8B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33B590-3D42-4BAC-A5CB-0FED7B37F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A5D576-8C3D-4D53-AE8E-14D9AA977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4DA8D9-0A23-4F08-BC5C-3D86CF061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44C33C-495E-43C6-A19C-E42E626C5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2ACA88-B1F2-47F8-829E-B599DF9F0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6B43F0-6310-4B5A-A3DE-2C8219227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AC5ED1-D03C-4606-B695-91E2CC4C5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3030D2-03DE-4DC9-B983-04751BAA0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59F430-B2B2-4181-AF0B-1CDAEB283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9AE3CC-09F5-445F-A90D-9615110E4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E145EA-1BF5-49E8-825E-3D4ABC677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DE2173-88A9-4C36-B915-80DE98E9C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41979A-657F-4EF7-9C2F-8B0EE531A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CA23A5-E851-4AF6-9BCC-28147F841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690E72-B010-4D0D-AA87-F70E4DA56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C7FDD3-CC27-4423-8EFB-C7219299B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BAE813-21FE-4681-B0F5-0301D0FE1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7F6DD5-F951-46EC-9DD0-A79D00923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0C0915-6EA4-48F0-8BCA-069AFDE34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E4DE2E-D218-4FA8-BE7A-A94F95060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94B452-9D9D-4DFB-8F38-39C1EE76E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782DB2-6394-4EE9-B4CD-5D91C236F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7B49FF-CD35-494D-BD40-DEA1DBE26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5A331B-1B43-4D5A-9D6F-11C173367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368B24-6204-47D3-885D-430467C61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C842D-C3FE-4E46-A67C-20D45BFD4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06349D-5FBB-4278-8024-C8F694711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9B4FE9-D4A2-4A6F-8DB2-2DB558DFC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66BCAB-2AFF-4879-A391-42D0B1B28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B6258E-390B-4197-B691-BEAA23089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264ED2-BB4C-4503-95B3-5CBE2A270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592D6D-08D1-433E-9544-22E1ABE49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9EEF2F-FC77-416C-9380-7EA8A52F6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D8A63E-D80E-4F48-9DCE-E978CBC7B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6D0744-7F5F-44A1-B4FC-87EED2E6C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512F5C-3498-4471-9A9B-6431B7BEF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764FFA-47FB-40F4-BE2F-7B5FEA8F0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587129-E4C7-44B8-B222-E21B0C49F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B3B236-EA64-427D-A13F-344E620C2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21F0A5-C9B4-4E4B-A2EA-DB4843A7D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6CB722-7DA0-43C7-BAF0-BA6EF8565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A5FF40-1162-4ADC-8995-1C18F19FD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0484B4-DD3B-4F6F-A332-8E11C97CF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B01701-28AA-4CD2-87F9-49365CB90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B05F71-6B92-4593-8429-EACF651E1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00A936-F7FA-4360-B34F-57397B007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97156C-0C2D-4708-9153-7A0E4932B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B8B29E-1C69-4A93-B2D1-629D546D4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626647-1A03-4076-A61E-1B3885E7E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DB615-A9F7-459D-B1CA-79F6FB42C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141A0-06B6-4CE7-8719-A331F7AB4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DD42E4-9EB6-4274-93DD-B86F8D157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266EEF-E430-49F8-A14F-5D6677DAE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F9D482-1696-4703-BD66-0B6AC848E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FF33F8-4C3F-4108-9A54-68D2088E9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C7A2E0-CB3F-421E-929C-A56121091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10ADCF-6509-45B1-B1E7-A2ABE02B6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0DFE0-D007-4D5F-88F1-E72BE713B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64EB9B-0E00-4B6E-B9EA-DBEAB45E4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1EFFF3-A63D-43C3-ABE9-5EE1D5811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05598E-E1DA-4386-9826-70BA8C1A4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DC2791-D6EC-42C1-91A0-E623520E9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9DFB84-4FFC-4D64-A5A2-6FD2DB3DF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E622AC-094C-45EA-B407-D574C0FF8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12422B-E74A-4015-904B-8C0F916C4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F4B6C1-9554-465C-88F1-80589C635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0A735D-471D-4285-9948-DCE74EB76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D675EB-04EB-4CB3-8CC5-A8E748458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C91C7C-41C3-42C7-92F8-033B1988C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16FEA1-9A98-4E5C-8843-BEB7AD340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1B81C2-7D02-4049-BB74-BD9D5E1F0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D71D67-8678-4B0F-A05E-B52E7A6CE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695325</xdr:colOff>
      <xdr:row>54</xdr:row>
      <xdr:rowOff>47625</xdr:rowOff>
    </xdr:from>
    <xdr:to>
      <xdr:col>3</xdr:col>
      <xdr:colOff>238125</xdr:colOff>
      <xdr:row>56</xdr:row>
      <xdr:rowOff>75622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EAF833-A760-4081-9DBB-7B5460E04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10601325"/>
          <a:ext cx="1162050" cy="408997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39790F-CC66-46A9-9E65-7EABDD82E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2CF06D-C99C-4965-85CA-939AAA43E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6199B4-91E6-4AED-B1BA-9F794173B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0904AC-0FAA-4041-80FB-42D7C78B5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86782F-3E33-4B4E-844F-8F55E507D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A2B126-B684-4ED9-BF10-219DC0890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7C17FF-C815-4779-87A0-614EA156B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77720E-10BF-4917-AAD8-D7BC02FC9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1F061A-A766-422F-98B6-AC5618279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B5D4F7-AF3F-4838-85B6-28A61BD65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49814E-DFA5-41F9-8513-CC99FC2E5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AECC63-1A7B-4992-B85F-B23A4C5DF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EABD66-4DBD-44F4-8D33-B88C305AF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F69E67-770F-4E3D-ABDB-287854A76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D0E78A-C39A-4AF1-96ED-A29F71C6F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A8268D-B25E-4D20-A518-2601FB577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EC21A5-7F52-44B6-BBE4-899D3436D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3957DF-5CDD-4C2C-990F-905BCC3D5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2826-7E98-4473-9814-1B8909A373CC}">
  <dimension ref="A1"/>
  <sheetViews>
    <sheetView workbookViewId="0">
      <selection activeCell="I4" sqref="I4:J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AE6D-987F-449B-9B98-3BB0F27B695A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86" t="s">
        <v>2</v>
      </c>
      <c r="Q1" s="8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87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0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3DB5-0E29-40F6-8BCD-BE1BF448058D}">
  <dimension ref="A1:R59"/>
  <sheetViews>
    <sheetView zoomScaleNormal="100" zoomScaleSheetLayoutView="85" workbookViewId="0">
      <selection activeCell="G8" sqref="G8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86" t="s">
        <v>2</v>
      </c>
      <c r="Q1" s="8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46055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>
        <v>283</v>
      </c>
      <c r="D6" s="13">
        <f t="shared" ref="D6:D28" si="1">C6*L6</f>
        <v>215363</v>
      </c>
      <c r="F6" s="157" t="s">
        <v>16</v>
      </c>
      <c r="G6" s="159" t="s">
        <v>111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>
        <v>10</v>
      </c>
      <c r="D7" s="13">
        <f t="shared" si="1"/>
        <v>7810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/>
      <c r="D8" s="13">
        <f t="shared" si="1"/>
        <v>0</v>
      </c>
      <c r="F8" s="165" t="s">
        <v>21</v>
      </c>
      <c r="G8" s="167" t="s">
        <v>144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>
        <v>118</v>
      </c>
      <c r="D9" s="13">
        <f t="shared" si="1"/>
        <v>86494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/>
      <c r="D10" s="13">
        <f t="shared" si="1"/>
        <v>0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>
        <v>14</v>
      </c>
      <c r="D13" s="48">
        <f t="shared" si="1"/>
        <v>4298</v>
      </c>
      <c r="F13" s="179" t="s">
        <v>36</v>
      </c>
      <c r="G13" s="180"/>
      <c r="H13" s="181">
        <f>D29</f>
        <v>314042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>
        <v>7</v>
      </c>
      <c r="D14" s="31">
        <f t="shared" si="1"/>
        <v>77</v>
      </c>
      <c r="F14" s="184" t="s">
        <v>39</v>
      </c>
      <c r="G14" s="185"/>
      <c r="H14" s="186">
        <f>D54</f>
        <v>21381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/>
      <c r="D15" s="31">
        <f t="shared" si="1"/>
        <v>0</v>
      </c>
      <c r="F15" s="189" t="s">
        <v>40</v>
      </c>
      <c r="G15" s="180"/>
      <c r="H15" s="190">
        <f>H13-H14</f>
        <v>292661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93">
        <f>324*6</f>
        <v>1944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133</v>
      </c>
      <c r="C17" s="84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66"/>
      <c r="I19" s="166"/>
      <c r="J19" s="166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124</v>
      </c>
      <c r="C22" s="84"/>
      <c r="D22" s="48">
        <f t="shared" si="1"/>
        <v>0</v>
      </c>
      <c r="F22" s="77"/>
      <c r="G22" s="73"/>
      <c r="H22" s="216"/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101</v>
      </c>
      <c r="C23" s="84"/>
      <c r="D23" s="48">
        <f t="shared" si="1"/>
        <v>0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118</v>
      </c>
      <c r="C24" s="84"/>
      <c r="D24" s="48">
        <f t="shared" si="1"/>
        <v>0</v>
      </c>
      <c r="F24" s="77"/>
      <c r="G24" s="79"/>
      <c r="H24" s="269"/>
      <c r="I24" s="270"/>
      <c r="J24" s="27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132</v>
      </c>
      <c r="C26" s="84"/>
      <c r="D26" s="48">
        <f t="shared" si="1"/>
        <v>0</v>
      </c>
      <c r="F26" s="75"/>
      <c r="G26" s="65"/>
      <c r="H26" s="218"/>
      <c r="I26" s="218"/>
      <c r="J26" s="218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90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/>
      <c r="D28" s="48">
        <f t="shared" si="1"/>
        <v>0</v>
      </c>
      <c r="F28" s="87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314042</v>
      </c>
      <c r="F29" s="202" t="s">
        <v>55</v>
      </c>
      <c r="G29" s="203"/>
      <c r="H29" s="206">
        <f>H15-H16-H17-H18-H19-H20-H22-H23-H24+H26+H27+H28</f>
        <v>290717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40">
        <v>35</v>
      </c>
      <c r="H34" s="234">
        <f t="shared" ref="H34:H39" si="2">F34*G34</f>
        <v>35000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19</v>
      </c>
      <c r="H35" s="234">
        <f t="shared" si="2"/>
        <v>9500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>
        <v>21</v>
      </c>
      <c r="D36" s="12">
        <f>C36*1.5</f>
        <v>31.5</v>
      </c>
      <c r="F36" s="12">
        <v>200</v>
      </c>
      <c r="G36" s="37"/>
      <c r="H36" s="234">
        <f t="shared" si="2"/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165</v>
      </c>
      <c r="D37" s="12">
        <f>C37*111</f>
        <v>18315</v>
      </c>
      <c r="F37" s="12">
        <v>100</v>
      </c>
      <c r="G37" s="39">
        <v>58</v>
      </c>
      <c r="H37" s="234">
        <f t="shared" si="2"/>
        <v>5800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13</v>
      </c>
      <c r="D38" s="12">
        <f>C38*84</f>
        <v>1092</v>
      </c>
      <c r="F38" s="30">
        <v>50</v>
      </c>
      <c r="G38" s="39">
        <v>14</v>
      </c>
      <c r="H38" s="234">
        <f t="shared" si="2"/>
        <v>700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9</v>
      </c>
      <c r="D39" s="31">
        <f>C39*4.5</f>
        <v>40.5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9</v>
      </c>
      <c r="D40" s="12">
        <f>C40*111</f>
        <v>999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>
        <v>101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0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2</v>
      </c>
      <c r="D44" s="12">
        <f>C44*120</f>
        <v>240</v>
      </c>
      <c r="F44" s="37" t="s">
        <v>145</v>
      </c>
      <c r="G44" s="96" t="s">
        <v>147</v>
      </c>
      <c r="H44" s="218">
        <v>233510.5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 t="s">
        <v>146</v>
      </c>
      <c r="G45" s="62"/>
      <c r="H45" s="218">
        <v>5935.5</v>
      </c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1</v>
      </c>
      <c r="D48" s="12">
        <f>C48*78</f>
        <v>78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3</v>
      </c>
      <c r="D49" s="12">
        <f>C49*42</f>
        <v>126</v>
      </c>
      <c r="F49" s="259" t="s">
        <v>86</v>
      </c>
      <c r="G49" s="206">
        <f>H34+H35+H36+H37+H38+H39+H40+H41+G42+H44+H45+H46</f>
        <v>290547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34</v>
      </c>
      <c r="D50" s="12">
        <f>C50*1.5</f>
        <v>51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-170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21381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B3A9-2952-4790-BA7C-78F4763ABC6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86" t="s">
        <v>2</v>
      </c>
      <c r="Q1" s="8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46055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458</v>
      </c>
      <c r="D6" s="13">
        <f t="shared" ref="D6:D28" si="1">C6*L6</f>
        <v>348538</v>
      </c>
      <c r="F6" s="157" t="s">
        <v>16</v>
      </c>
      <c r="G6" s="159" t="s">
        <v>126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11</v>
      </c>
      <c r="D7" s="13">
        <f t="shared" si="1"/>
        <v>8591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53</v>
      </c>
      <c r="D9" s="13">
        <f t="shared" si="1"/>
        <v>38849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114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20</v>
      </c>
      <c r="D13" s="48">
        <f t="shared" si="1"/>
        <v>6140</v>
      </c>
      <c r="F13" s="179" t="s">
        <v>36</v>
      </c>
      <c r="G13" s="180"/>
      <c r="H13" s="181">
        <f>D29</f>
        <v>403660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22</v>
      </c>
      <c r="D14" s="31">
        <f t="shared" si="1"/>
        <v>242</v>
      </c>
      <c r="F14" s="184" t="s">
        <v>39</v>
      </c>
      <c r="G14" s="185"/>
      <c r="H14" s="186">
        <f>D54</f>
        <v>63054.75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340605.25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492*6</f>
        <v>2952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79"/>
      <c r="I19" s="279"/>
      <c r="J19" s="27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>
        <v>2</v>
      </c>
      <c r="D21" s="48">
        <f t="shared" si="1"/>
        <v>1300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120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10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14"/>
      <c r="G27" s="14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87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403660</v>
      </c>
      <c r="F29" s="202" t="s">
        <v>55</v>
      </c>
      <c r="G29" s="203"/>
      <c r="H29" s="206">
        <f>H15-H16-H17-H18-H19-H20-H22-H23-H24+H26+H27</f>
        <v>337653.25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154</v>
      </c>
      <c r="H34" s="234">
        <f>F34*G34</f>
        <v>154000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309</v>
      </c>
      <c r="H35" s="234">
        <f t="shared" ref="H35:H39" si="2">F35*G35</f>
        <v>154500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>
        <v>2</v>
      </c>
      <c r="H36" s="234">
        <f>F36*G36</f>
        <v>400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558</v>
      </c>
      <c r="D37" s="12">
        <f>C37*111</f>
        <v>61938</v>
      </c>
      <c r="F37" s="12">
        <v>100</v>
      </c>
      <c r="G37" s="39">
        <v>187</v>
      </c>
      <c r="H37" s="234">
        <f t="shared" si="2"/>
        <v>18700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202</v>
      </c>
      <c r="H38" s="234">
        <f t="shared" si="2"/>
        <v>10100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11</v>
      </c>
      <c r="D42" s="12">
        <f>C42*2.25</f>
        <v>24.75</v>
      </c>
      <c r="F42" s="39" t="s">
        <v>79</v>
      </c>
      <c r="G42" s="234">
        <v>66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0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62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1</v>
      </c>
      <c r="D46" s="12">
        <f>C46*1.5</f>
        <v>1.5</v>
      </c>
      <c r="F46" s="37"/>
      <c r="G46" s="89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21</v>
      </c>
      <c r="D49" s="12">
        <f>C49*42</f>
        <v>882</v>
      </c>
      <c r="F49" s="259" t="s">
        <v>86</v>
      </c>
      <c r="G49" s="206">
        <f>H34+H35+H36+H37+H38+H39+H40+H41+G42+H44+H45+H46</f>
        <v>337766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18</v>
      </c>
      <c r="D50" s="12">
        <f>C50*1.5</f>
        <v>27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135</v>
      </c>
      <c r="G51" s="263">
        <f>G49-H29</f>
        <v>112.75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63054.75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B19F-E938-4316-92AE-1A8F0CB46C7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86" t="s">
        <v>2</v>
      </c>
      <c r="Q1" s="8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46055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330</v>
      </c>
      <c r="D6" s="13">
        <f t="shared" ref="D6:D28" si="1">C6*L6</f>
        <v>251130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7</v>
      </c>
      <c r="D7" s="13">
        <f t="shared" si="1"/>
        <v>5467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40</v>
      </c>
      <c r="D9" s="13">
        <f t="shared" si="1"/>
        <v>29320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127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v>5</v>
      </c>
      <c r="D12" s="48">
        <f t="shared" si="1"/>
        <v>4960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7</v>
      </c>
      <c r="D13" s="48">
        <f t="shared" si="1"/>
        <v>2149</v>
      </c>
      <c r="F13" s="179" t="s">
        <v>36</v>
      </c>
      <c r="G13" s="180"/>
      <c r="H13" s="181">
        <f>D29</f>
        <v>293070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4</v>
      </c>
      <c r="D14" s="31">
        <f t="shared" si="1"/>
        <v>44</v>
      </c>
      <c r="F14" s="184" t="s">
        <v>39</v>
      </c>
      <c r="G14" s="185"/>
      <c r="H14" s="186">
        <f>D54</f>
        <v>43414.5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249655.5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v>648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80"/>
      <c r="I19" s="280"/>
      <c r="J19" s="280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7"/>
      <c r="G22" s="73"/>
      <c r="H22" s="216"/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101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87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293070</v>
      </c>
      <c r="F29" s="202" t="s">
        <v>55</v>
      </c>
      <c r="G29" s="203"/>
      <c r="H29" s="206">
        <f>H15-H16-H17-H18-H19-H20-H22-H23-H24+H26+H27</f>
        <v>249007.5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8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144</v>
      </c>
      <c r="H34" s="234">
        <f>F34*G34</f>
        <v>144000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57</v>
      </c>
      <c r="H35" s="234">
        <f>F35*G35</f>
        <v>28500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ref="H36:H39" si="2"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367</v>
      </c>
      <c r="D37" s="12">
        <f>C37*111</f>
        <v>40737</v>
      </c>
      <c r="F37" s="12">
        <v>100</v>
      </c>
      <c r="G37" s="39">
        <v>92</v>
      </c>
      <c r="H37" s="234">
        <f t="shared" si="2"/>
        <v>9200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7</v>
      </c>
      <c r="H38" s="234">
        <f t="shared" si="2"/>
        <v>350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2</v>
      </c>
      <c r="D39" s="31">
        <f>C39*4.5</f>
        <v>9</v>
      </c>
      <c r="F39" s="12">
        <v>20</v>
      </c>
      <c r="G39" s="37">
        <v>2</v>
      </c>
      <c r="H39" s="234">
        <f t="shared" si="2"/>
        <v>40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9</v>
      </c>
      <c r="D40" s="12">
        <f>C40*111</f>
        <v>999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4</v>
      </c>
      <c r="D42" s="12">
        <f>C42*2.25</f>
        <v>9</v>
      </c>
      <c r="F42" s="39" t="s">
        <v>79</v>
      </c>
      <c r="G42" s="234">
        <v>119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0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4</v>
      </c>
      <c r="D44" s="12">
        <f>C44*120</f>
        <v>480</v>
      </c>
      <c r="F44" s="97" t="s">
        <v>148</v>
      </c>
      <c r="G44" s="76" t="s">
        <v>149</v>
      </c>
      <c r="H44" s="218">
        <v>67807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7</v>
      </c>
      <c r="D48" s="12">
        <f>C48*78</f>
        <v>546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2</v>
      </c>
      <c r="D49" s="12">
        <f>C49*42</f>
        <v>84</v>
      </c>
      <c r="F49" s="259" t="s">
        <v>86</v>
      </c>
      <c r="G49" s="206">
        <f>H34+H35+H36+H37+H38+H39+H40+H41+G42+H44+H45+H46</f>
        <v>250016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7</v>
      </c>
      <c r="D50" s="12">
        <f>C50*1.5</f>
        <v>10.5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138</v>
      </c>
      <c r="G51" s="263">
        <f>G49-H29</f>
        <v>1008.5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43414.5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FFA4-AA74-40F9-9C4E-FB957192CE66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92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1956-5230-4113-9027-A64E3FB55813}">
  <dimension ref="A1:R59"/>
  <sheetViews>
    <sheetView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46056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>
        <v>307</v>
      </c>
      <c r="D6" s="13">
        <f t="shared" ref="D6:D28" si="1">C6*L6</f>
        <v>233627</v>
      </c>
      <c r="F6" s="157" t="s">
        <v>16</v>
      </c>
      <c r="G6" s="159" t="s">
        <v>111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>
        <v>8</v>
      </c>
      <c r="D7" s="13">
        <f t="shared" si="1"/>
        <v>6248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/>
      <c r="D8" s="13">
        <f t="shared" si="1"/>
        <v>0</v>
      </c>
      <c r="F8" s="165" t="s">
        <v>21</v>
      </c>
      <c r="G8" s="167" t="s">
        <v>144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>
        <v>20</v>
      </c>
      <c r="D9" s="13">
        <f t="shared" si="1"/>
        <v>14660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/>
      <c r="D10" s="13">
        <f t="shared" si="1"/>
        <v>0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>
        <v>1</v>
      </c>
      <c r="D12" s="48">
        <f t="shared" si="1"/>
        <v>992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>
        <v>2</v>
      </c>
      <c r="D13" s="48">
        <f t="shared" si="1"/>
        <v>614</v>
      </c>
      <c r="F13" s="179" t="s">
        <v>36</v>
      </c>
      <c r="G13" s="180"/>
      <c r="H13" s="181">
        <f>D29</f>
        <v>263815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>
        <v>2</v>
      </c>
      <c r="D14" s="31">
        <f t="shared" si="1"/>
        <v>22</v>
      </c>
      <c r="F14" s="184" t="s">
        <v>39</v>
      </c>
      <c r="G14" s="185"/>
      <c r="H14" s="186">
        <f>D54</f>
        <v>36288.75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/>
      <c r="D15" s="31">
        <f t="shared" si="1"/>
        <v>0</v>
      </c>
      <c r="F15" s="189" t="s">
        <v>40</v>
      </c>
      <c r="G15" s="180"/>
      <c r="H15" s="190">
        <f>H13-H14</f>
        <v>227526.25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93">
        <f>6*6</f>
        <v>36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133</v>
      </c>
      <c r="C17" s="84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93">
        <v>50</v>
      </c>
      <c r="I19" s="193"/>
      <c r="J19" s="193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>
        <f>2+2</f>
        <v>4</v>
      </c>
      <c r="D21" s="48">
        <f t="shared" si="1"/>
        <v>2600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124</v>
      </c>
      <c r="C22" s="84"/>
      <c r="D22" s="48">
        <f t="shared" si="1"/>
        <v>0</v>
      </c>
      <c r="F22" s="77"/>
      <c r="G22" s="73"/>
      <c r="H22" s="216"/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101</v>
      </c>
      <c r="C23" s="84"/>
      <c r="D23" s="48">
        <f t="shared" si="1"/>
        <v>0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118</v>
      </c>
      <c r="C24" s="84"/>
      <c r="D24" s="48">
        <f t="shared" si="1"/>
        <v>0</v>
      </c>
      <c r="F24" s="77"/>
      <c r="G24" s="79"/>
      <c r="H24" s="269"/>
      <c r="I24" s="270"/>
      <c r="J24" s="27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150</v>
      </c>
      <c r="C25" s="84">
        <v>12</v>
      </c>
      <c r="D25" s="48">
        <f t="shared" si="1"/>
        <v>543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1050/24+1.5</f>
        <v>45.25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151</v>
      </c>
      <c r="C26" s="84">
        <v>12</v>
      </c>
      <c r="D26" s="48">
        <f t="shared" si="1"/>
        <v>454</v>
      </c>
      <c r="F26" s="75"/>
      <c r="G26" s="65"/>
      <c r="H26" s="218"/>
      <c r="I26" s="218"/>
      <c r="J26" s="218"/>
      <c r="L26" s="7">
        <f>872/24+1.5</f>
        <v>37.833333333333336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95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>
        <v>5</v>
      </c>
      <c r="D28" s="48">
        <f t="shared" si="1"/>
        <v>4055</v>
      </c>
      <c r="F28" s="92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263815</v>
      </c>
      <c r="F29" s="202" t="s">
        <v>55</v>
      </c>
      <c r="G29" s="203"/>
      <c r="H29" s="206">
        <f>H15-H16-H17-H18-H19-H20-H22-H23-H24+H26+H27+H28</f>
        <v>227440.25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191</v>
      </c>
      <c r="H34" s="234">
        <f t="shared" ref="H34:H39" si="2">F34*G34</f>
        <v>191000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67</v>
      </c>
      <c r="H35" s="234">
        <f t="shared" si="2"/>
        <v>33500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si="2"/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313</v>
      </c>
      <c r="D37" s="12">
        <f>C37*111</f>
        <v>34743</v>
      </c>
      <c r="F37" s="12">
        <v>100</v>
      </c>
      <c r="G37" s="39">
        <v>26</v>
      </c>
      <c r="H37" s="234">
        <f t="shared" si="2"/>
        <v>2600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2</v>
      </c>
      <c r="H38" s="234">
        <f t="shared" si="2"/>
        <v>100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5</v>
      </c>
      <c r="D40" s="12">
        <f>C40*111</f>
        <v>555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5</v>
      </c>
      <c r="D42" s="12">
        <f>C42*2.25</f>
        <v>11.25</v>
      </c>
      <c r="F42" s="39" t="s">
        <v>79</v>
      </c>
      <c r="G42" s="234">
        <v>19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1</v>
      </c>
      <c r="D44" s="12">
        <f>C44*120</f>
        <v>120</v>
      </c>
      <c r="F44" s="37"/>
      <c r="G44" s="85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2</v>
      </c>
      <c r="D45" s="12">
        <f>C45*84</f>
        <v>168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20</v>
      </c>
      <c r="D46" s="12">
        <f>C46*1.5</f>
        <v>30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227219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10</v>
      </c>
      <c r="D50" s="12">
        <f>C50*1.5</f>
        <v>15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-221.25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36288.75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262BB-DBC3-4912-B74E-C5C21089E9C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46056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242</v>
      </c>
      <c r="D6" s="13">
        <f t="shared" ref="D6:D28" si="1">C6*L6</f>
        <v>184162</v>
      </c>
      <c r="F6" s="157" t="s">
        <v>16</v>
      </c>
      <c r="G6" s="159" t="s">
        <v>126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7</v>
      </c>
      <c r="D7" s="13">
        <f t="shared" si="1"/>
        <v>5467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33</v>
      </c>
      <c r="D9" s="13">
        <f t="shared" si="1"/>
        <v>24189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114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4</v>
      </c>
      <c r="D13" s="48">
        <f t="shared" si="1"/>
        <v>1228</v>
      </c>
      <c r="F13" s="179" t="s">
        <v>36</v>
      </c>
      <c r="G13" s="180"/>
      <c r="H13" s="181">
        <f>D29</f>
        <v>216897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9</v>
      </c>
      <c r="D14" s="31">
        <f t="shared" si="1"/>
        <v>99</v>
      </c>
      <c r="F14" s="184" t="s">
        <v>39</v>
      </c>
      <c r="G14" s="185"/>
      <c r="H14" s="186">
        <f>D54</f>
        <v>35701.5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181195.5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140*6</f>
        <v>840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152</v>
      </c>
      <c r="C19" s="10">
        <v>1</v>
      </c>
      <c r="D19" s="48">
        <f t="shared" si="1"/>
        <v>1102</v>
      </c>
      <c r="F19" s="56"/>
      <c r="G19" s="68" t="s">
        <v>50</v>
      </c>
      <c r="H19" s="279"/>
      <c r="I19" s="279"/>
      <c r="J19" s="27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>
        <f>1</f>
        <v>1</v>
      </c>
      <c r="D21" s="48">
        <f t="shared" si="1"/>
        <v>650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120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10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14"/>
      <c r="G27" s="14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92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216897</v>
      </c>
      <c r="F29" s="202" t="s">
        <v>55</v>
      </c>
      <c r="G29" s="203"/>
      <c r="H29" s="206">
        <f>H15-H16-H17-H18-H19-H20-H22-H23-H24+H26+H27</f>
        <v>180355.5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154</v>
      </c>
      <c r="H34" s="234">
        <f>F34*G34</f>
        <v>154000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51</v>
      </c>
      <c r="H35" s="234">
        <f t="shared" ref="H35:H39" si="2">F35*G35</f>
        <v>25500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316</v>
      </c>
      <c r="D37" s="12">
        <f>C37*111</f>
        <v>35076</v>
      </c>
      <c r="F37" s="12">
        <v>100</v>
      </c>
      <c r="G37" s="39">
        <v>7</v>
      </c>
      <c r="H37" s="234">
        <f t="shared" si="2"/>
        <v>700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1</v>
      </c>
      <c r="H38" s="234">
        <f t="shared" si="2"/>
        <v>50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12</v>
      </c>
      <c r="D42" s="12">
        <f>C42*2.25</f>
        <v>27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62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94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2</v>
      </c>
      <c r="D49" s="12">
        <f>C49*42</f>
        <v>84</v>
      </c>
      <c r="F49" s="259" t="s">
        <v>86</v>
      </c>
      <c r="G49" s="206">
        <f>H34+H35+H36+H37+H38+H39+H40+H41+G42+H44+H45+H46</f>
        <v>180250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4</v>
      </c>
      <c r="D50" s="12">
        <f>C50*1.5</f>
        <v>6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155</v>
      </c>
      <c r="G51" s="273">
        <f>G49-H29</f>
        <v>-105.5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35701.5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8FD61-F949-4349-89B0-A5556641628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46056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414</v>
      </c>
      <c r="D6" s="13">
        <f t="shared" ref="D6:D28" si="1">C6*L6</f>
        <v>315054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4</v>
      </c>
      <c r="D7" s="13">
        <f t="shared" si="1"/>
        <v>3124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35</v>
      </c>
      <c r="D9" s="13">
        <f t="shared" si="1"/>
        <v>25655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154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v>3</v>
      </c>
      <c r="D12" s="48">
        <f t="shared" si="1"/>
        <v>2976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12</v>
      </c>
      <c r="D13" s="48">
        <f t="shared" si="1"/>
        <v>3684</v>
      </c>
      <c r="F13" s="179" t="s">
        <v>36</v>
      </c>
      <c r="G13" s="180"/>
      <c r="H13" s="181">
        <f>D29</f>
        <v>355427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4</v>
      </c>
      <c r="D14" s="31">
        <f t="shared" si="1"/>
        <v>44</v>
      </c>
      <c r="F14" s="184" t="s">
        <v>39</v>
      </c>
      <c r="G14" s="185"/>
      <c r="H14" s="186">
        <f>D54</f>
        <v>51192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304235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329*6+50*6</f>
        <v>2274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>
        <v>2</v>
      </c>
      <c r="D18" s="48">
        <f t="shared" si="1"/>
        <v>1240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80"/>
      <c r="I19" s="280"/>
      <c r="J19" s="280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>
        <v>2</v>
      </c>
      <c r="D21" s="48">
        <f t="shared" si="1"/>
        <v>1300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7"/>
      <c r="G22" s="73"/>
      <c r="H22" s="216"/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98" t="s">
        <v>153</v>
      </c>
      <c r="C23" s="10">
        <f>1+1</f>
        <v>2</v>
      </c>
      <c r="D23" s="48">
        <f t="shared" si="1"/>
        <v>2350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101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92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355427</v>
      </c>
      <c r="F29" s="202" t="s">
        <v>55</v>
      </c>
      <c r="G29" s="203"/>
      <c r="H29" s="206">
        <f>H15-H16-H17-H18-H19-H20-H22-H23-H24+H26+H27</f>
        <v>301961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54</v>
      </c>
      <c r="H34" s="234">
        <f>F34*G34</f>
        <v>54000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42</v>
      </c>
      <c r="H35" s="234">
        <f>F35*G35</f>
        <v>21000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>
        <v>3</v>
      </c>
      <c r="H36" s="234">
        <f t="shared" ref="H36:H39" si="2">F36*G36</f>
        <v>600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429</v>
      </c>
      <c r="D37" s="12">
        <f>C37*111</f>
        <v>47619</v>
      </c>
      <c r="F37" s="12">
        <v>100</v>
      </c>
      <c r="G37" s="39">
        <v>83</v>
      </c>
      <c r="H37" s="234">
        <f t="shared" si="2"/>
        <v>8300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17</v>
      </c>
      <c r="D38" s="12">
        <f>C38*84</f>
        <v>1428</v>
      </c>
      <c r="F38" s="30">
        <v>50</v>
      </c>
      <c r="G38" s="39">
        <v>11</v>
      </c>
      <c r="H38" s="234">
        <f t="shared" si="2"/>
        <v>550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8</v>
      </c>
      <c r="D40" s="12">
        <f>C40*111</f>
        <v>888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6</v>
      </c>
      <c r="D42" s="12">
        <f>C42*2.25</f>
        <v>13.5</v>
      </c>
      <c r="F42" s="39" t="s">
        <v>79</v>
      </c>
      <c r="G42" s="234">
        <v>480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4</v>
      </c>
      <c r="D44" s="12">
        <f>C44*120</f>
        <v>480</v>
      </c>
      <c r="F44" s="37" t="s">
        <v>146</v>
      </c>
      <c r="G44" s="76" t="s">
        <v>156</v>
      </c>
      <c r="H44" s="218">
        <v>216552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1</v>
      </c>
      <c r="D45" s="12">
        <f>C45*84</f>
        <v>84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23</v>
      </c>
      <c r="D46" s="12">
        <f>C46*1.5</f>
        <v>34.5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7</v>
      </c>
      <c r="D49" s="12">
        <f>C49*42</f>
        <v>294</v>
      </c>
      <c r="F49" s="259" t="s">
        <v>86</v>
      </c>
      <c r="G49" s="206">
        <f>H34+H35+H36+H37+H38+H39+H40+H41+G42+H44+H45+H46</f>
        <v>301482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20</v>
      </c>
      <c r="D50" s="12">
        <f>C50*1.5</f>
        <v>30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-479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51192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438E-57EA-43F8-92B7-103FD7C563FE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92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3B5E3-B725-4C85-AFE2-F772B06C14D8}">
  <dimension ref="A1:R59"/>
  <sheetViews>
    <sheetView zoomScaleNormal="100" zoomScaleSheetLayoutView="85" workbookViewId="0">
      <selection activeCell="G8" sqref="G8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46057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>
        <v>235</v>
      </c>
      <c r="D6" s="13">
        <f t="shared" ref="D6:D28" si="1">C6*L6</f>
        <v>178835</v>
      </c>
      <c r="F6" s="157" t="s">
        <v>16</v>
      </c>
      <c r="G6" s="159" t="s">
        <v>111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>
        <v>2</v>
      </c>
      <c r="D7" s="13">
        <f t="shared" si="1"/>
        <v>1562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/>
      <c r="D8" s="13">
        <f t="shared" si="1"/>
        <v>0</v>
      </c>
      <c r="F8" s="165" t="s">
        <v>21</v>
      </c>
      <c r="G8" s="167" t="s">
        <v>144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>
        <v>22</v>
      </c>
      <c r="D9" s="13">
        <f t="shared" si="1"/>
        <v>16126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/>
      <c r="D10" s="13">
        <f t="shared" si="1"/>
        <v>0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>
        <v>5</v>
      </c>
      <c r="D13" s="48">
        <f t="shared" si="1"/>
        <v>1535</v>
      </c>
      <c r="F13" s="179" t="s">
        <v>36</v>
      </c>
      <c r="G13" s="180"/>
      <c r="H13" s="181">
        <f>D29</f>
        <v>198091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>
        <v>3</v>
      </c>
      <c r="D14" s="31">
        <f t="shared" si="1"/>
        <v>33</v>
      </c>
      <c r="F14" s="184" t="s">
        <v>39</v>
      </c>
      <c r="G14" s="185"/>
      <c r="H14" s="186">
        <f>D54</f>
        <v>31146.75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/>
      <c r="D15" s="31">
        <f t="shared" si="1"/>
        <v>0</v>
      </c>
      <c r="F15" s="189" t="s">
        <v>40</v>
      </c>
      <c r="G15" s="180"/>
      <c r="H15" s="190">
        <f>H13-H14</f>
        <v>166944.25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133</v>
      </c>
      <c r="C17" s="84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66"/>
      <c r="I19" s="166"/>
      <c r="J19" s="166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124</v>
      </c>
      <c r="C22" s="84"/>
      <c r="D22" s="48">
        <f t="shared" si="1"/>
        <v>0</v>
      </c>
      <c r="F22" s="77"/>
      <c r="G22" s="73"/>
      <c r="H22" s="216"/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101</v>
      </c>
      <c r="C23" s="84"/>
      <c r="D23" s="48">
        <f t="shared" si="1"/>
        <v>0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118</v>
      </c>
      <c r="C24" s="84"/>
      <c r="D24" s="48">
        <f t="shared" si="1"/>
        <v>0</v>
      </c>
      <c r="F24" s="77"/>
      <c r="G24" s="79"/>
      <c r="H24" s="269"/>
      <c r="I24" s="270"/>
      <c r="J24" s="27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132</v>
      </c>
      <c r="C26" s="84"/>
      <c r="D26" s="48">
        <f t="shared" si="1"/>
        <v>0</v>
      </c>
      <c r="F26" s="75"/>
      <c r="G26" s="65"/>
      <c r="H26" s="218"/>
      <c r="I26" s="218"/>
      <c r="J26" s="218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95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/>
      <c r="D28" s="48">
        <f t="shared" si="1"/>
        <v>0</v>
      </c>
      <c r="F28" s="92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198091</v>
      </c>
      <c r="F29" s="202" t="s">
        <v>55</v>
      </c>
      <c r="G29" s="203"/>
      <c r="H29" s="206">
        <f>H15-H16-H17-H18-H19-H20-H22-H23-H24+H26+H27+H28</f>
        <v>166944.25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120</v>
      </c>
      <c r="H34" s="234">
        <f t="shared" ref="H34:H39" si="2">F34*G34</f>
        <v>120000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32</v>
      </c>
      <c r="H35" s="234">
        <f t="shared" si="2"/>
        <v>16000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234">
        <f t="shared" si="2"/>
        <v>200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273</v>
      </c>
      <c r="D37" s="12">
        <f>C37*111</f>
        <v>30303</v>
      </c>
      <c r="F37" s="12">
        <v>100</v>
      </c>
      <c r="G37" s="39">
        <v>5</v>
      </c>
      <c r="H37" s="234">
        <f t="shared" si="2"/>
        <v>500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4</v>
      </c>
      <c r="H38" s="234">
        <f t="shared" si="2"/>
        <v>200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5</v>
      </c>
      <c r="D42" s="12">
        <f>C42*2.25</f>
        <v>11.25</v>
      </c>
      <c r="F42" s="39" t="s">
        <v>79</v>
      </c>
      <c r="G42" s="234">
        <v>25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 t="s">
        <v>157</v>
      </c>
      <c r="G44" s="85"/>
      <c r="H44" s="218">
        <v>30000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166925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43</v>
      </c>
      <c r="D50" s="12">
        <f>C50*1.5</f>
        <v>64.5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-19.25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31146.75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B011-43F4-476B-9D41-9D992395F6FC}">
  <dimension ref="A1:R59"/>
  <sheetViews>
    <sheetView zoomScaleNormal="100" zoomScaleSheetLayoutView="85" workbookViewId="0">
      <selection activeCell="G8" sqref="G8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46057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203</v>
      </c>
      <c r="D6" s="13">
        <f t="shared" ref="D6:D28" si="1">C6*L6</f>
        <v>154483</v>
      </c>
      <c r="F6" s="157" t="s">
        <v>16</v>
      </c>
      <c r="G6" s="159" t="s">
        <v>126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5</v>
      </c>
      <c r="D7" s="13">
        <f t="shared" si="1"/>
        <v>3905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18</v>
      </c>
      <c r="D9" s="13">
        <f t="shared" si="1"/>
        <v>13194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114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8</v>
      </c>
      <c r="D13" s="48">
        <f t="shared" si="1"/>
        <v>2456</v>
      </c>
      <c r="F13" s="179" t="s">
        <v>36</v>
      </c>
      <c r="G13" s="180"/>
      <c r="H13" s="181">
        <f>D29</f>
        <v>176482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1</v>
      </c>
      <c r="D14" s="31">
        <f t="shared" si="1"/>
        <v>11</v>
      </c>
      <c r="F14" s="184" t="s">
        <v>39</v>
      </c>
      <c r="G14" s="185"/>
      <c r="H14" s="186">
        <f>D54</f>
        <v>26237.25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150244.75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79"/>
      <c r="I19" s="279"/>
      <c r="J19" s="27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120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10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14"/>
      <c r="G27" s="14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>
        <v>3</v>
      </c>
      <c r="D28" s="48">
        <f t="shared" si="1"/>
        <v>2433</v>
      </c>
      <c r="F28" s="92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176482</v>
      </c>
      <c r="F29" s="202" t="s">
        <v>55</v>
      </c>
      <c r="G29" s="203"/>
      <c r="H29" s="206">
        <f>H15-H16-H17-H18-H19-H20-H22-H23-H24+H26+H27</f>
        <v>150244.75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129</v>
      </c>
      <c r="H34" s="234">
        <f>F34*G34</f>
        <v>129000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24</v>
      </c>
      <c r="H35" s="234">
        <f t="shared" ref="H35:H39" si="2">F35*G35</f>
        <v>12000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>
        <v>2</v>
      </c>
      <c r="H36" s="234">
        <f>F36*G36</f>
        <v>400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223</v>
      </c>
      <c r="D37" s="12">
        <f>C37*111</f>
        <v>24753</v>
      </c>
      <c r="F37" s="12">
        <v>100</v>
      </c>
      <c r="G37" s="39">
        <v>71</v>
      </c>
      <c r="H37" s="234">
        <f t="shared" si="2"/>
        <v>7100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37</v>
      </c>
      <c r="H38" s="234">
        <f t="shared" si="2"/>
        <v>1850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4</v>
      </c>
      <c r="D40" s="12">
        <f>C40*111</f>
        <v>444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9</v>
      </c>
      <c r="D42" s="12">
        <f>C42*2.25</f>
        <v>20.25</v>
      </c>
      <c r="F42" s="39" t="s">
        <v>79</v>
      </c>
      <c r="G42" s="234">
        <v>110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62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2</v>
      </c>
      <c r="D46" s="12">
        <f>C46*1.5</f>
        <v>3</v>
      </c>
      <c r="F46" s="37"/>
      <c r="G46" s="94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7</v>
      </c>
      <c r="D48" s="12">
        <f>C48*78</f>
        <v>546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1</v>
      </c>
      <c r="D49" s="12">
        <f>C49*42</f>
        <v>42</v>
      </c>
      <c r="F49" s="259" t="s">
        <v>86</v>
      </c>
      <c r="G49" s="206">
        <f>H34+H35+H36+H37+H38+H39+H40+H41+G42+H44+H45+H46</f>
        <v>150460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3</v>
      </c>
      <c r="D50" s="12">
        <f>C50*1.5</f>
        <v>4.5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135</v>
      </c>
      <c r="G51" s="263">
        <f>G49-H29</f>
        <v>215.25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26237.25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27FD-76F8-46F6-84AA-F61536AE69B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46057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474</v>
      </c>
      <c r="D6" s="13">
        <f t="shared" ref="D6:D28" si="1">C6*L6</f>
        <v>360714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20</v>
      </c>
      <c r="D7" s="13">
        <f t="shared" si="1"/>
        <v>15620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>
        <v>2</v>
      </c>
      <c r="D8" s="13">
        <f t="shared" si="1"/>
        <v>2186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143</v>
      </c>
      <c r="D9" s="13">
        <f t="shared" si="1"/>
        <v>104819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>
        <v>3</v>
      </c>
      <c r="D10" s="13">
        <f t="shared" si="1"/>
        <v>3096</v>
      </c>
      <c r="F10" s="157" t="s">
        <v>26</v>
      </c>
      <c r="G10" s="173" t="s">
        <v>127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>
        <v>2</v>
      </c>
      <c r="D11" s="13">
        <f t="shared" si="1"/>
        <v>2340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v>5</v>
      </c>
      <c r="D12" s="48">
        <f t="shared" si="1"/>
        <v>4960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13</v>
      </c>
      <c r="D13" s="48">
        <f t="shared" si="1"/>
        <v>3991</v>
      </c>
      <c r="F13" s="179" t="s">
        <v>36</v>
      </c>
      <c r="G13" s="180"/>
      <c r="H13" s="181">
        <f>D29</f>
        <v>505520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/>
      <c r="D14" s="31">
        <f t="shared" si="1"/>
        <v>0</v>
      </c>
      <c r="F14" s="184" t="s">
        <v>39</v>
      </c>
      <c r="G14" s="185"/>
      <c r="H14" s="186">
        <f>D54</f>
        <v>73287.75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432232.25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144*6+329*6+121*6</f>
        <v>3564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80">
        <v>50</v>
      </c>
      <c r="I19" s="280"/>
      <c r="J19" s="280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>
        <v>7</v>
      </c>
      <c r="D21" s="48">
        <f t="shared" si="1"/>
        <v>4550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7"/>
      <c r="G22" s="73"/>
      <c r="H22" s="216"/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101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>
        <v>4</v>
      </c>
      <c r="D28" s="48">
        <f t="shared" si="1"/>
        <v>3244</v>
      </c>
      <c r="F28" s="92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505520</v>
      </c>
      <c r="F29" s="202" t="s">
        <v>55</v>
      </c>
      <c r="G29" s="203"/>
      <c r="H29" s="206">
        <f>H15-H16-H17-H18-H19-H20-H22-H23-H24+H26+H27</f>
        <v>428618.25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4">
        <v>184</v>
      </c>
      <c r="H34" s="234">
        <f>F34*G34</f>
        <v>184000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60</v>
      </c>
      <c r="H35" s="234">
        <f>F35*G35</f>
        <v>30000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>
        <v>17</v>
      </c>
      <c r="D36" s="12">
        <f>C36*1.5</f>
        <v>25.5</v>
      </c>
      <c r="F36" s="12">
        <v>200</v>
      </c>
      <c r="G36" s="37">
        <v>1</v>
      </c>
      <c r="H36" s="234">
        <f t="shared" ref="H36:H39" si="2">F36*G36</f>
        <v>200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616</v>
      </c>
      <c r="D37" s="12">
        <f>C37*111</f>
        <v>68376</v>
      </c>
      <c r="F37" s="12">
        <v>100</v>
      </c>
      <c r="G37" s="39">
        <v>36</v>
      </c>
      <c r="H37" s="234">
        <f t="shared" si="2"/>
        <v>3600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8</v>
      </c>
      <c r="D38" s="12">
        <f>C38*84</f>
        <v>672</v>
      </c>
      <c r="F38" s="30">
        <v>50</v>
      </c>
      <c r="G38" s="39">
        <v>21</v>
      </c>
      <c r="H38" s="234">
        <f t="shared" si="2"/>
        <v>1050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8</v>
      </c>
      <c r="D40" s="12">
        <f>C40*111</f>
        <v>888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3</v>
      </c>
      <c r="D42" s="12">
        <f>C42*2.25</f>
        <v>6.75</v>
      </c>
      <c r="F42" s="39" t="s">
        <v>79</v>
      </c>
      <c r="G42" s="234">
        <v>106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 t="s">
        <v>145</v>
      </c>
      <c r="G44" s="76" t="s">
        <v>158</v>
      </c>
      <c r="H44" s="218">
        <v>209026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6</v>
      </c>
      <c r="D45" s="12">
        <f>C45*84</f>
        <v>504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22</v>
      </c>
      <c r="D46" s="12">
        <f>C46*1.5</f>
        <v>33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26</v>
      </c>
      <c r="D48" s="12">
        <f>C48*78</f>
        <v>2028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5</v>
      </c>
      <c r="D49" s="12">
        <f>C49*42</f>
        <v>210</v>
      </c>
      <c r="F49" s="259" t="s">
        <v>86</v>
      </c>
      <c r="G49" s="206">
        <f>H34+H35+H36+H37+H38+H39+H40+H41+G42+H44+H45+H46</f>
        <v>427982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23</v>
      </c>
      <c r="D50" s="12">
        <f>C50*1.5</f>
        <v>34.5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159</v>
      </c>
      <c r="G51" s="273">
        <f>G49-H29</f>
        <v>-636.25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73287.75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27E8-61CB-448F-BDCF-2D1796DA201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92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D2B3-BC63-4C67-8393-A2DD8D452AF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46058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>
        <v>207</v>
      </c>
      <c r="D6" s="13">
        <f t="shared" ref="D6:D28" si="1">C6*L6</f>
        <v>157527</v>
      </c>
      <c r="F6" s="157" t="s">
        <v>16</v>
      </c>
      <c r="G6" s="159" t="s">
        <v>111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>
        <v>1</v>
      </c>
      <c r="D7" s="13">
        <f t="shared" si="1"/>
        <v>781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/>
      <c r="D8" s="13">
        <f t="shared" si="1"/>
        <v>0</v>
      </c>
      <c r="F8" s="165" t="s">
        <v>21</v>
      </c>
      <c r="G8" s="167" t="s">
        <v>144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>
        <v>33</v>
      </c>
      <c r="D9" s="13">
        <f t="shared" si="1"/>
        <v>24189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/>
      <c r="D10" s="13">
        <f t="shared" si="1"/>
        <v>0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>
        <v>2</v>
      </c>
      <c r="D12" s="48">
        <f t="shared" si="1"/>
        <v>1984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>
        <v>4</v>
      </c>
      <c r="D13" s="48">
        <f t="shared" si="1"/>
        <v>1228</v>
      </c>
      <c r="F13" s="179" t="s">
        <v>36</v>
      </c>
      <c r="G13" s="180"/>
      <c r="H13" s="181">
        <f>D29</f>
        <v>194843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>
        <v>6</v>
      </c>
      <c r="D14" s="31">
        <f t="shared" si="1"/>
        <v>66</v>
      </c>
      <c r="F14" s="184" t="s">
        <v>39</v>
      </c>
      <c r="G14" s="185"/>
      <c r="H14" s="186">
        <f>D54</f>
        <v>28632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>
        <v>1</v>
      </c>
      <c r="D15" s="31">
        <f t="shared" si="1"/>
        <v>620</v>
      </c>
      <c r="F15" s="189" t="s">
        <v>40</v>
      </c>
      <c r="G15" s="180"/>
      <c r="H15" s="190">
        <f>H13-H14</f>
        <v>166211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133</v>
      </c>
      <c r="C17" s="84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>
        <v>1</v>
      </c>
      <c r="D19" s="48">
        <f t="shared" si="1"/>
        <v>1102</v>
      </c>
      <c r="F19" s="56"/>
      <c r="G19" s="68" t="s">
        <v>50</v>
      </c>
      <c r="H19" s="166"/>
      <c r="I19" s="166"/>
      <c r="J19" s="166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>
        <v>4</v>
      </c>
      <c r="D21" s="48">
        <f t="shared" si="1"/>
        <v>2600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83" t="s">
        <v>165</v>
      </c>
      <c r="C22" s="84">
        <v>3</v>
      </c>
      <c r="D22" s="48">
        <f t="shared" si="1"/>
        <v>4746</v>
      </c>
      <c r="F22" s="77"/>
      <c r="G22" s="73"/>
      <c r="H22" s="216"/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101</v>
      </c>
      <c r="C23" s="84"/>
      <c r="D23" s="48">
        <f t="shared" si="1"/>
        <v>0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118</v>
      </c>
      <c r="C24" s="84"/>
      <c r="D24" s="48">
        <f t="shared" si="1"/>
        <v>0</v>
      </c>
      <c r="F24" s="77"/>
      <c r="G24" s="79"/>
      <c r="H24" s="269"/>
      <c r="I24" s="270"/>
      <c r="J24" s="27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132</v>
      </c>
      <c r="C26" s="84"/>
      <c r="D26" s="48">
        <f t="shared" si="1"/>
        <v>0</v>
      </c>
      <c r="F26" s="75"/>
      <c r="G26" s="65"/>
      <c r="H26" s="218"/>
      <c r="I26" s="218"/>
      <c r="J26" s="218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95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/>
      <c r="D28" s="48">
        <f t="shared" si="1"/>
        <v>0</v>
      </c>
      <c r="F28" s="92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194843</v>
      </c>
      <c r="F29" s="202" t="s">
        <v>55</v>
      </c>
      <c r="G29" s="203"/>
      <c r="H29" s="206">
        <f>H15-H16-H17-H18-H19-H20-H22-H23-H24+H26+H27+H28</f>
        <v>166211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66</v>
      </c>
      <c r="H34" s="234">
        <f t="shared" ref="H34:H39" si="2">F34*G34</f>
        <v>66000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19</v>
      </c>
      <c r="H35" s="234">
        <f t="shared" si="2"/>
        <v>9500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>
        <v>16</v>
      </c>
      <c r="D36" s="12">
        <f>C36*1.5</f>
        <v>24</v>
      </c>
      <c r="F36" s="12">
        <v>200</v>
      </c>
      <c r="G36" s="37"/>
      <c r="H36" s="234">
        <f t="shared" si="2"/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232</v>
      </c>
      <c r="D37" s="12">
        <f>C37*111</f>
        <v>25752</v>
      </c>
      <c r="F37" s="12">
        <v>100</v>
      </c>
      <c r="G37" s="39">
        <v>31</v>
      </c>
      <c r="H37" s="234">
        <f t="shared" si="2"/>
        <v>3100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9</v>
      </c>
      <c r="D38" s="12">
        <f>C38*84</f>
        <v>756</v>
      </c>
      <c r="F38" s="30">
        <v>50</v>
      </c>
      <c r="G38" s="39">
        <v>30</v>
      </c>
      <c r="H38" s="234">
        <f t="shared" si="2"/>
        <v>1500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>
        <v>2</v>
      </c>
      <c r="H39" s="234">
        <f t="shared" si="2"/>
        <v>40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8</v>
      </c>
      <c r="D40" s="12">
        <f>C40*111</f>
        <v>888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>
        <v>49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3</v>
      </c>
      <c r="D44" s="12">
        <f>C44*120</f>
        <v>360</v>
      </c>
      <c r="F44" s="37" t="s">
        <v>160</v>
      </c>
      <c r="G44" s="99" t="s">
        <v>161</v>
      </c>
      <c r="H44" s="218">
        <v>85702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7</v>
      </c>
      <c r="D46" s="12">
        <f>C46*1.5</f>
        <v>10.5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7</v>
      </c>
      <c r="D48" s="12">
        <f>C48*78</f>
        <v>546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165891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5</v>
      </c>
      <c r="D50" s="12">
        <f>C50*1.5</f>
        <v>7.5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-320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28632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A8C5-DCFC-4834-9A7A-5D0488C2EDE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46058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205</v>
      </c>
      <c r="D6" s="13">
        <f t="shared" ref="D6:D28" si="1">C6*L6</f>
        <v>156005</v>
      </c>
      <c r="F6" s="157" t="s">
        <v>16</v>
      </c>
      <c r="G6" s="159" t="s">
        <v>126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29</v>
      </c>
      <c r="D9" s="13">
        <f t="shared" si="1"/>
        <v>21257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>
        <v>2</v>
      </c>
      <c r="D10" s="13">
        <f t="shared" si="1"/>
        <v>2064</v>
      </c>
      <c r="F10" s="157" t="s">
        <v>26</v>
      </c>
      <c r="G10" s="173" t="s">
        <v>114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v>1</v>
      </c>
      <c r="D12" s="48">
        <f t="shared" si="1"/>
        <v>992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8</v>
      </c>
      <c r="D13" s="48">
        <f t="shared" si="1"/>
        <v>2456</v>
      </c>
      <c r="F13" s="179" t="s">
        <v>36</v>
      </c>
      <c r="G13" s="180"/>
      <c r="H13" s="181">
        <f>D29</f>
        <v>187600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2</v>
      </c>
      <c r="D14" s="31">
        <f t="shared" si="1"/>
        <v>22</v>
      </c>
      <c r="F14" s="184" t="s">
        <v>39</v>
      </c>
      <c r="G14" s="185"/>
      <c r="H14" s="186">
        <f>D54</f>
        <v>23733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163867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192*6</f>
        <v>1152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00" t="s">
        <v>166</v>
      </c>
      <c r="C19" s="10">
        <f>1+1</f>
        <v>2</v>
      </c>
      <c r="D19" s="48">
        <f t="shared" si="1"/>
        <v>2204</v>
      </c>
      <c r="F19" s="56"/>
      <c r="G19" s="68" t="s">
        <v>50</v>
      </c>
      <c r="H19" s="279"/>
      <c r="I19" s="279"/>
      <c r="J19" s="27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>
        <v>4</v>
      </c>
      <c r="D21" s="48">
        <f t="shared" si="1"/>
        <v>2600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120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10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14"/>
      <c r="G27" s="14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92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187600</v>
      </c>
      <c r="F29" s="202" t="s">
        <v>55</v>
      </c>
      <c r="G29" s="203"/>
      <c r="H29" s="206">
        <f>H15-H16-H17-H18-H19-H20-H22-H23-H24+H26+H27</f>
        <v>162715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5</v>
      </c>
      <c r="D34" s="30">
        <f>C34*120</f>
        <v>600</v>
      </c>
      <c r="F34" s="12">
        <v>1000</v>
      </c>
      <c r="G34" s="74">
        <v>28</v>
      </c>
      <c r="H34" s="234">
        <f>F34*G34</f>
        <v>28000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1</v>
      </c>
      <c r="H35" s="234">
        <f t="shared" ref="H35:H39" si="2">F35*G35</f>
        <v>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196</v>
      </c>
      <c r="D37" s="12">
        <f>C37*111</f>
        <v>21756</v>
      </c>
      <c r="F37" s="12">
        <v>100</v>
      </c>
      <c r="G37" s="39">
        <v>2</v>
      </c>
      <c r="H37" s="234">
        <f t="shared" si="2"/>
        <v>200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2</v>
      </c>
      <c r="D38" s="12">
        <f>C38*84</f>
        <v>168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3</v>
      </c>
      <c r="D40" s="12">
        <f>C40*111</f>
        <v>333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4</v>
      </c>
      <c r="D42" s="12">
        <f>C42*2.25</f>
        <v>9</v>
      </c>
      <c r="F42" s="39" t="s">
        <v>79</v>
      </c>
      <c r="G42" s="234">
        <v>150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2</v>
      </c>
      <c r="D44" s="12">
        <f>C44*120</f>
        <v>240</v>
      </c>
      <c r="F44" s="37" t="s">
        <v>145</v>
      </c>
      <c r="G44" s="62" t="s">
        <v>162</v>
      </c>
      <c r="H44" s="218">
        <v>134176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94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9</v>
      </c>
      <c r="D49" s="12">
        <f>C49*42</f>
        <v>378</v>
      </c>
      <c r="F49" s="259" t="s">
        <v>86</v>
      </c>
      <c r="G49" s="206">
        <f>H34+H35+H36+H37+H38+H39+H40+H41+G42+H44+H45+H46</f>
        <v>163026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4</v>
      </c>
      <c r="D50" s="12">
        <f>C50*1.5</f>
        <v>6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135</v>
      </c>
      <c r="G51" s="263">
        <f>G49-H29</f>
        <v>311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23733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E4A5-2A6A-4D16-A0EC-3D80AD8BA8ED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46058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248</v>
      </c>
      <c r="D6" s="13">
        <f t="shared" ref="D6:D28" si="1">C6*L6</f>
        <v>188728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6</v>
      </c>
      <c r="D9" s="13">
        <f t="shared" si="1"/>
        <v>4398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127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>
        <v>4</v>
      </c>
      <c r="D11" s="13">
        <f t="shared" si="1"/>
        <v>4680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v>3</v>
      </c>
      <c r="D12" s="48">
        <f t="shared" si="1"/>
        <v>2976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10</v>
      </c>
      <c r="D13" s="48">
        <f t="shared" si="1"/>
        <v>3070</v>
      </c>
      <c r="F13" s="179" t="s">
        <v>36</v>
      </c>
      <c r="G13" s="180"/>
      <c r="H13" s="181">
        <f>D29</f>
        <v>206767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9</v>
      </c>
      <c r="D14" s="31">
        <f t="shared" si="1"/>
        <v>99</v>
      </c>
      <c r="F14" s="184" t="s">
        <v>39</v>
      </c>
      <c r="G14" s="185"/>
      <c r="H14" s="186">
        <f>D54</f>
        <v>50062.5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>
        <v>1</v>
      </c>
      <c r="D15" s="31">
        <f t="shared" si="1"/>
        <v>620</v>
      </c>
      <c r="F15" s="189" t="s">
        <v>40</v>
      </c>
      <c r="G15" s="180"/>
      <c r="H15" s="190">
        <f>H13-H14</f>
        <v>156704.5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103*6+108*6</f>
        <v>1266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>
        <v>1</v>
      </c>
      <c r="D18" s="48">
        <f t="shared" si="1"/>
        <v>620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80"/>
      <c r="I19" s="280"/>
      <c r="J19" s="280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>
        <v>1</v>
      </c>
      <c r="D20" s="13">
        <f t="shared" si="1"/>
        <v>1102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7"/>
      <c r="G22" s="73"/>
      <c r="H22" s="216"/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101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167</v>
      </c>
      <c r="C25" s="10">
        <v>12</v>
      </c>
      <c r="D25" s="48">
        <f t="shared" si="1"/>
        <v>474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912/24+1.5</f>
        <v>39.5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92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206767</v>
      </c>
      <c r="F29" s="202" t="s">
        <v>55</v>
      </c>
      <c r="G29" s="203"/>
      <c r="H29" s="206">
        <f>H15-H16-H17-H18-H19-H20-H22-H23-H24+H26+H27</f>
        <v>155438.5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6</v>
      </c>
      <c r="D34" s="30">
        <f>C34*120</f>
        <v>720</v>
      </c>
      <c r="F34" s="12">
        <v>1000</v>
      </c>
      <c r="G34" s="74">
        <v>36</v>
      </c>
      <c r="H34" s="234">
        <f>F34*G34</f>
        <v>36000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1</v>
      </c>
      <c r="H35" s="234">
        <f>F35*G35</f>
        <v>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>
        <v>12</v>
      </c>
      <c r="D36" s="12">
        <f>C36*1.5</f>
        <v>18</v>
      </c>
      <c r="F36" s="12">
        <v>200</v>
      </c>
      <c r="G36" s="37"/>
      <c r="H36" s="234">
        <f t="shared" ref="H36:H39" si="2"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409</v>
      </c>
      <c r="D37" s="12">
        <f>C37*111</f>
        <v>45399</v>
      </c>
      <c r="F37" s="12">
        <v>100</v>
      </c>
      <c r="G37" s="39"/>
      <c r="H37" s="234">
        <f t="shared" si="2"/>
        <v>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1</v>
      </c>
      <c r="D38" s="12">
        <f>C38*84</f>
        <v>84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2</v>
      </c>
      <c r="D40" s="12">
        <f>C40*111</f>
        <v>222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4</v>
      </c>
      <c r="D42" s="12">
        <f>C42*2.25</f>
        <v>9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14</v>
      </c>
      <c r="D44" s="12">
        <f>C44*120</f>
        <v>1680</v>
      </c>
      <c r="F44" s="37" t="s">
        <v>146</v>
      </c>
      <c r="G44" s="76" t="s">
        <v>163</v>
      </c>
      <c r="H44" s="218">
        <f>56380</f>
        <v>56380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1</v>
      </c>
      <c r="D45" s="12">
        <f>C45*84</f>
        <v>84</v>
      </c>
      <c r="F45" s="37" t="s">
        <v>146</v>
      </c>
      <c r="G45" s="76" t="s">
        <v>164</v>
      </c>
      <c r="H45" s="218">
        <v>62596</v>
      </c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23</v>
      </c>
      <c r="D46" s="12">
        <f>C46*1.5</f>
        <v>34.5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23</v>
      </c>
      <c r="D48" s="12">
        <f>C48*78</f>
        <v>1794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155476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138</v>
      </c>
      <c r="G51" s="263">
        <f>G49-H29</f>
        <v>37.5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50062.5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548D2-5E62-4EF4-9678-742BB9B8C585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92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5898-602E-4C6C-9CB2-9AAE25C4E44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46059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>
        <v>57</v>
      </c>
      <c r="D6" s="13">
        <f t="shared" ref="D6:D28" si="1">C6*L6</f>
        <v>43377</v>
      </c>
      <c r="F6" s="157" t="s">
        <v>16</v>
      </c>
      <c r="G6" s="159" t="s">
        <v>111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>
        <v>25</v>
      </c>
      <c r="D7" s="13">
        <f t="shared" si="1"/>
        <v>19525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>
        <v>10</v>
      </c>
      <c r="D8" s="13">
        <f t="shared" si="1"/>
        <v>10930</v>
      </c>
      <c r="F8" s="165" t="s">
        <v>21</v>
      </c>
      <c r="G8" s="167" t="s">
        <v>144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>
        <v>7</v>
      </c>
      <c r="D9" s="13">
        <f t="shared" si="1"/>
        <v>5131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/>
      <c r="D10" s="13">
        <f t="shared" si="1"/>
        <v>0</v>
      </c>
      <c r="F10" s="157" t="s">
        <v>26</v>
      </c>
      <c r="G10" s="173" t="s">
        <v>127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>
        <f>50+5</f>
        <v>55</v>
      </c>
      <c r="D12" s="48">
        <f t="shared" si="1"/>
        <v>54560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>
        <v>2</v>
      </c>
      <c r="D13" s="48">
        <f t="shared" si="1"/>
        <v>614</v>
      </c>
      <c r="F13" s="179" t="s">
        <v>36</v>
      </c>
      <c r="G13" s="180"/>
      <c r="H13" s="181">
        <f>D29</f>
        <v>175949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>
        <v>11</v>
      </c>
      <c r="D14" s="31">
        <f t="shared" si="1"/>
        <v>121</v>
      </c>
      <c r="F14" s="184" t="s">
        <v>39</v>
      </c>
      <c r="G14" s="185"/>
      <c r="H14" s="186">
        <f>D54</f>
        <v>27286.5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>
        <v>5</v>
      </c>
      <c r="D15" s="31">
        <f t="shared" si="1"/>
        <v>3100</v>
      </c>
      <c r="F15" s="189" t="s">
        <v>40</v>
      </c>
      <c r="G15" s="180"/>
      <c r="H15" s="190">
        <f>H13-H14</f>
        <v>148662.5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>
        <v>1</v>
      </c>
      <c r="D16" s="48">
        <f t="shared" si="1"/>
        <v>1702</v>
      </c>
      <c r="F16" s="67" t="s">
        <v>42</v>
      </c>
      <c r="G16" s="66" t="s">
        <v>43</v>
      </c>
      <c r="H16" s="193"/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168</v>
      </c>
      <c r="C17" s="84">
        <v>1</v>
      </c>
      <c r="D17" s="48">
        <f t="shared" si="1"/>
        <v>1582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>
        <v>10</v>
      </c>
      <c r="D18" s="48">
        <f t="shared" si="1"/>
        <v>6200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>
        <v>2</v>
      </c>
      <c r="D19" s="48">
        <f t="shared" si="1"/>
        <v>2204</v>
      </c>
      <c r="F19" s="56"/>
      <c r="G19" s="68" t="s">
        <v>50</v>
      </c>
      <c r="H19" s="166"/>
      <c r="I19" s="166"/>
      <c r="J19" s="166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>
        <f>2+5</f>
        <v>7</v>
      </c>
      <c r="D20" s="13">
        <f t="shared" si="1"/>
        <v>8225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>
        <f>5+1</f>
        <v>6</v>
      </c>
      <c r="D21" s="48">
        <f t="shared" si="1"/>
        <v>3900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124</v>
      </c>
      <c r="C22" s="84"/>
      <c r="D22" s="48">
        <f t="shared" si="1"/>
        <v>0</v>
      </c>
      <c r="F22" s="77"/>
      <c r="G22" s="73"/>
      <c r="H22" s="216"/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00" t="s">
        <v>169</v>
      </c>
      <c r="C23" s="84">
        <f>2+2</f>
        <v>4</v>
      </c>
      <c r="D23" s="48">
        <f t="shared" si="1"/>
        <v>6668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118</v>
      </c>
      <c r="C24" s="84"/>
      <c r="D24" s="48">
        <f t="shared" si="1"/>
        <v>0</v>
      </c>
      <c r="F24" s="77"/>
      <c r="G24" s="79"/>
      <c r="H24" s="269"/>
      <c r="I24" s="270"/>
      <c r="J24" s="27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132</v>
      </c>
      <c r="C26" s="84"/>
      <c r="D26" s="48">
        <f t="shared" si="1"/>
        <v>0</v>
      </c>
      <c r="F26" s="75"/>
      <c r="G26" s="65"/>
      <c r="H26" s="218"/>
      <c r="I26" s="218"/>
      <c r="J26" s="218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95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>
        <v>10</v>
      </c>
      <c r="D28" s="48">
        <f t="shared" si="1"/>
        <v>8110</v>
      </c>
      <c r="F28" s="92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175949</v>
      </c>
      <c r="F29" s="202" t="s">
        <v>55</v>
      </c>
      <c r="G29" s="203"/>
      <c r="H29" s="206">
        <f>H15-H16-H17-H18-H19-H20-H22-H23-H24+H26+H27+H28</f>
        <v>148662.5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40</v>
      </c>
      <c r="H34" s="234">
        <f t="shared" ref="H34:H39" si="2">F34*G34</f>
        <v>40000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>
        <v>7</v>
      </c>
      <c r="D35" s="30">
        <f>C35*84</f>
        <v>588</v>
      </c>
      <c r="F35" s="58">
        <v>500</v>
      </c>
      <c r="G35" s="41">
        <v>1</v>
      </c>
      <c r="H35" s="234">
        <f t="shared" si="2"/>
        <v>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si="2"/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69</v>
      </c>
      <c r="D37" s="12">
        <f>C37*111</f>
        <v>7659</v>
      </c>
      <c r="F37" s="12">
        <v>100</v>
      </c>
      <c r="G37" s="39">
        <v>3</v>
      </c>
      <c r="H37" s="234">
        <f t="shared" si="2"/>
        <v>300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158</v>
      </c>
      <c r="D38" s="12">
        <f>C38*84</f>
        <v>13272</v>
      </c>
      <c r="F38" s="30">
        <v>50</v>
      </c>
      <c r="G38" s="39">
        <v>2</v>
      </c>
      <c r="H38" s="234">
        <f t="shared" si="2"/>
        <v>100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5</v>
      </c>
      <c r="D40" s="12">
        <f>C40*111</f>
        <v>555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14</v>
      </c>
      <c r="D41" s="12">
        <f>C41*84</f>
        <v>1176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>
        <v>128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 t="s">
        <v>145</v>
      </c>
      <c r="G44" s="62" t="s">
        <v>170</v>
      </c>
      <c r="H44" s="218">
        <v>107519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46</v>
      </c>
      <c r="D45" s="12">
        <f>C45*84</f>
        <v>3864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2</v>
      </c>
      <c r="D48" s="12">
        <f>C48*78</f>
        <v>156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148547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8</v>
      </c>
      <c r="D50" s="12">
        <f>C50*1.5</f>
        <v>12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-115.5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27286.5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55A5-1EBA-4D70-9673-427504D1E59F}">
  <dimension ref="A1:R59"/>
  <sheetViews>
    <sheetView topLeftCell="A13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46059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180</v>
      </c>
      <c r="D6" s="13">
        <f t="shared" ref="D6:D28" si="1">C6*L6</f>
        <v>136980</v>
      </c>
      <c r="F6" s="157" t="s">
        <v>16</v>
      </c>
      <c r="G6" s="159" t="s">
        <v>126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7</v>
      </c>
      <c r="D7" s="13">
        <f t="shared" si="1"/>
        <v>5467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54</v>
      </c>
      <c r="D9" s="13">
        <f t="shared" si="1"/>
        <v>39582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>
        <v>1</v>
      </c>
      <c r="D10" s="13">
        <f t="shared" si="1"/>
        <v>1032</v>
      </c>
      <c r="F10" s="157" t="s">
        <v>26</v>
      </c>
      <c r="G10" s="173" t="s">
        <v>114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v>5</v>
      </c>
      <c r="D12" s="48">
        <f t="shared" si="1"/>
        <v>4960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7</v>
      </c>
      <c r="D13" s="48">
        <f t="shared" si="1"/>
        <v>2149</v>
      </c>
      <c r="F13" s="179" t="s">
        <v>36</v>
      </c>
      <c r="G13" s="180"/>
      <c r="H13" s="181">
        <f>D29</f>
        <v>191902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10</v>
      </c>
      <c r="D14" s="31">
        <f t="shared" si="1"/>
        <v>110</v>
      </c>
      <c r="F14" s="184" t="s">
        <v>39</v>
      </c>
      <c r="G14" s="185"/>
      <c r="H14" s="186">
        <f>D54</f>
        <v>27573.75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164328.25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193">
        <v>20</v>
      </c>
      <c r="I19" s="193"/>
      <c r="J19" s="19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120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10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14"/>
      <c r="G27" s="14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>
        <v>2</v>
      </c>
      <c r="D28" s="48">
        <f t="shared" si="1"/>
        <v>1622</v>
      </c>
      <c r="F28" s="92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191902</v>
      </c>
      <c r="F29" s="202" t="s">
        <v>55</v>
      </c>
      <c r="G29" s="203"/>
      <c r="H29" s="206">
        <f>H15-H16-H17-H18-H19-H20-H22-H23-H24+H26+H27</f>
        <v>164308.25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146</v>
      </c>
      <c r="H34" s="234">
        <f>F34*G34</f>
        <v>146000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34</v>
      </c>
      <c r="H35" s="234">
        <f t="shared" ref="H35:H39" si="2">F35*G35</f>
        <v>17000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228</v>
      </c>
      <c r="D37" s="12">
        <f>C37*111</f>
        <v>25308</v>
      </c>
      <c r="F37" s="12">
        <v>100</v>
      </c>
      <c r="G37" s="39">
        <v>10</v>
      </c>
      <c r="H37" s="234">
        <f t="shared" si="2"/>
        <v>1000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10</v>
      </c>
      <c r="D38" s="12">
        <f>C38*84</f>
        <v>840</v>
      </c>
      <c r="F38" s="30">
        <v>50</v>
      </c>
      <c r="G38" s="39">
        <v>4</v>
      </c>
      <c r="H38" s="234">
        <f t="shared" si="2"/>
        <v>200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8</v>
      </c>
      <c r="D39" s="31">
        <f>C39*4.5</f>
        <v>36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7</v>
      </c>
      <c r="D40" s="12">
        <f>C40*111</f>
        <v>777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9</v>
      </c>
      <c r="D42" s="12">
        <f>C42*2.25</f>
        <v>20.25</v>
      </c>
      <c r="F42" s="39" t="s">
        <v>79</v>
      </c>
      <c r="G42" s="234">
        <v>109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62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2</v>
      </c>
      <c r="D46" s="12">
        <f>C46*1.5</f>
        <v>3</v>
      </c>
      <c r="F46" s="37"/>
      <c r="G46" s="94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6</v>
      </c>
      <c r="D48" s="12">
        <f>C48*78</f>
        <v>468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164309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1</v>
      </c>
      <c r="D50" s="12">
        <f>C50*1.5</f>
        <v>1.5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135</v>
      </c>
      <c r="G51" s="263">
        <f>G49-H29</f>
        <v>0.75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27573.75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4FAC6-2C3B-402B-82A5-2925C5A73AF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46059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/>
      <c r="D6" s="13">
        <f t="shared" ref="D6:D28" si="1">C6*L6</f>
        <v>0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127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80"/>
      <c r="I19" s="280"/>
      <c r="J19" s="280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7"/>
      <c r="G22" s="73"/>
      <c r="H22" s="216"/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101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92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>
        <f>F34*G34</f>
        <v>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>
        <f>F35*G35</f>
        <v>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ref="H36:H39" si="2"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>
        <f t="shared" si="2"/>
        <v>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138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9AEC-3660-498D-AD56-9027E679FB3A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92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F451-A91A-407B-B03F-AE32BC42742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46060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>
        <v>159</v>
      </c>
      <c r="D6" s="13">
        <f t="shared" ref="D6:D28" si="1">C6*L6</f>
        <v>120999</v>
      </c>
      <c r="F6" s="157" t="s">
        <v>16</v>
      </c>
      <c r="G6" s="159" t="s">
        <v>111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>
        <v>5</v>
      </c>
      <c r="D7" s="13">
        <f t="shared" si="1"/>
        <v>3905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>
        <v>15</v>
      </c>
      <c r="D8" s="13">
        <f t="shared" si="1"/>
        <v>16395</v>
      </c>
      <c r="F8" s="165" t="s">
        <v>21</v>
      </c>
      <c r="G8" s="167" t="s">
        <v>126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>
        <v>22</v>
      </c>
      <c r="D9" s="13">
        <f t="shared" si="1"/>
        <v>16126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>
        <v>4</v>
      </c>
      <c r="D10" s="13">
        <f t="shared" si="1"/>
        <v>4128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>
        <v>2</v>
      </c>
      <c r="D11" s="13">
        <f t="shared" si="1"/>
        <v>2340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>
        <f>1+2</f>
        <v>3</v>
      </c>
      <c r="D12" s="48">
        <f t="shared" si="1"/>
        <v>2976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>
        <v>1</v>
      </c>
      <c r="D13" s="48">
        <f t="shared" si="1"/>
        <v>307</v>
      </c>
      <c r="F13" s="179" t="s">
        <v>36</v>
      </c>
      <c r="G13" s="180"/>
      <c r="H13" s="181">
        <f>D29</f>
        <v>173376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>
        <v>14</v>
      </c>
      <c r="D14" s="31">
        <f t="shared" si="1"/>
        <v>154</v>
      </c>
      <c r="F14" s="184" t="s">
        <v>39</v>
      </c>
      <c r="G14" s="185"/>
      <c r="H14" s="186">
        <f>D54</f>
        <v>23477.25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/>
      <c r="D15" s="31">
        <f t="shared" si="1"/>
        <v>0</v>
      </c>
      <c r="F15" s="189" t="s">
        <v>40</v>
      </c>
      <c r="G15" s="180"/>
      <c r="H15" s="190">
        <f>H13-H14</f>
        <v>149898.75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133</v>
      </c>
      <c r="C17" s="84">
        <v>3</v>
      </c>
      <c r="D17" s="48">
        <f t="shared" si="1"/>
        <v>4746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93">
        <v>50</v>
      </c>
      <c r="I19" s="193"/>
      <c r="J19" s="193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>
        <v>2</v>
      </c>
      <c r="D21" s="48">
        <f t="shared" si="1"/>
        <v>1300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124</v>
      </c>
      <c r="C22" s="84"/>
      <c r="D22" s="48">
        <f t="shared" si="1"/>
        <v>0</v>
      </c>
      <c r="F22" s="77"/>
      <c r="G22" s="73"/>
      <c r="H22" s="216"/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101</v>
      </c>
      <c r="C23" s="84"/>
      <c r="D23" s="48">
        <f t="shared" si="1"/>
        <v>0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118</v>
      </c>
      <c r="C24" s="84"/>
      <c r="D24" s="48">
        <f t="shared" si="1"/>
        <v>0</v>
      </c>
      <c r="F24" s="77"/>
      <c r="G24" s="79"/>
      <c r="H24" s="269"/>
      <c r="I24" s="270"/>
      <c r="J24" s="27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132</v>
      </c>
      <c r="C26" s="84"/>
      <c r="D26" s="48">
        <f t="shared" si="1"/>
        <v>0</v>
      </c>
      <c r="F26" s="75"/>
      <c r="G26" s="65"/>
      <c r="H26" s="218"/>
      <c r="I26" s="218"/>
      <c r="J26" s="218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95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/>
      <c r="D28" s="48">
        <f t="shared" si="1"/>
        <v>0</v>
      </c>
      <c r="F28" s="92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173376</v>
      </c>
      <c r="F29" s="202" t="s">
        <v>55</v>
      </c>
      <c r="G29" s="203"/>
      <c r="H29" s="206">
        <f>H15-H16-H17-H18-H19-H20-H22-H23-H24+H26+H27+H28</f>
        <v>149848.75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40">
        <v>120</v>
      </c>
      <c r="H34" s="234">
        <f t="shared" ref="H34:H39" si="2">F34*G34</f>
        <v>120000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30</v>
      </c>
      <c r="H35" s="234">
        <f t="shared" si="2"/>
        <v>15000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si="2"/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165</v>
      </c>
      <c r="D37" s="12">
        <f>C37*111</f>
        <v>18315</v>
      </c>
      <c r="F37" s="12">
        <v>100</v>
      </c>
      <c r="G37" s="39">
        <v>7</v>
      </c>
      <c r="H37" s="234">
        <f t="shared" si="2"/>
        <v>700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25</v>
      </c>
      <c r="D38" s="12">
        <f>C38*84</f>
        <v>2100</v>
      </c>
      <c r="F38" s="30">
        <v>50</v>
      </c>
      <c r="G38" s="39">
        <v>1</v>
      </c>
      <c r="H38" s="234">
        <f t="shared" si="2"/>
        <v>50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1</v>
      </c>
      <c r="D39" s="31">
        <f>C39*4.5</f>
        <v>4.5</v>
      </c>
      <c r="F39" s="12">
        <v>20</v>
      </c>
      <c r="G39" s="37">
        <v>3</v>
      </c>
      <c r="H39" s="234">
        <f t="shared" si="2"/>
        <v>60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9</v>
      </c>
      <c r="D40" s="12">
        <f>C40*111</f>
        <v>999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15</v>
      </c>
      <c r="D42" s="12">
        <f>C42*2.25</f>
        <v>33.75</v>
      </c>
      <c r="F42" s="39" t="s">
        <v>79</v>
      </c>
      <c r="G42" s="234">
        <v>13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11</v>
      </c>
      <c r="D44" s="12">
        <f>C44*120</f>
        <v>1320</v>
      </c>
      <c r="F44" s="97" t="s">
        <v>171</v>
      </c>
      <c r="G44" s="85"/>
      <c r="H44" s="218">
        <v>14000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4</v>
      </c>
      <c r="D45" s="12">
        <f>C45*84</f>
        <v>336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1</v>
      </c>
      <c r="D46" s="12">
        <f>C46*1.5</f>
        <v>1.5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1</v>
      </c>
      <c r="D48" s="12">
        <f>C48*78</f>
        <v>78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1</v>
      </c>
      <c r="D49" s="12">
        <f>C49*42</f>
        <v>42</v>
      </c>
      <c r="F49" s="259" t="s">
        <v>86</v>
      </c>
      <c r="G49" s="206">
        <f>H34+H35+H36+H37+H38+H39+H40+H41+G42+H44+H45+H46</f>
        <v>149823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5</v>
      </c>
      <c r="D50" s="12">
        <f>C50*1.5</f>
        <v>7.5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-25.75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23477.25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7ACE-AC64-482F-A1FC-C26C157668B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46060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333</v>
      </c>
      <c r="D6" s="13">
        <f t="shared" ref="D6:D28" si="1">C6*L6</f>
        <v>253413</v>
      </c>
      <c r="F6" s="157" t="s">
        <v>16</v>
      </c>
      <c r="G6" s="159" t="s">
        <v>126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11</v>
      </c>
      <c r="D7" s="13">
        <f t="shared" si="1"/>
        <v>8591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3</v>
      </c>
      <c r="D9" s="13">
        <f t="shared" si="1"/>
        <v>2199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114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11</v>
      </c>
      <c r="D13" s="48">
        <f t="shared" si="1"/>
        <v>3377</v>
      </c>
      <c r="F13" s="179" t="s">
        <v>36</v>
      </c>
      <c r="G13" s="180"/>
      <c r="H13" s="181">
        <f>D29</f>
        <v>267745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15</v>
      </c>
      <c r="D14" s="31">
        <f t="shared" si="1"/>
        <v>165</v>
      </c>
      <c r="F14" s="184" t="s">
        <v>39</v>
      </c>
      <c r="G14" s="185"/>
      <c r="H14" s="186">
        <f>D54</f>
        <v>57427.5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210317.5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241*6</f>
        <v>1446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79"/>
      <c r="I19" s="279"/>
      <c r="J19" s="27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120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10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14"/>
      <c r="G27" s="14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92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267745</v>
      </c>
      <c r="F29" s="202" t="s">
        <v>55</v>
      </c>
      <c r="G29" s="203"/>
      <c r="H29" s="206">
        <f>H15-H16-H17-H18-H19-H20-H22-H23-H24+H26+H27</f>
        <v>208871.5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41</v>
      </c>
      <c r="H34" s="234">
        <f>F34*G34</f>
        <v>41000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41</v>
      </c>
      <c r="H35" s="234">
        <f t="shared" ref="H35:H39" si="2">F35*G35</f>
        <v>20500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>
        <v>3</v>
      </c>
      <c r="H36" s="234">
        <f>F36*G36</f>
        <v>600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458</v>
      </c>
      <c r="D37" s="12">
        <f>C37*111</f>
        <v>50838</v>
      </c>
      <c r="F37" s="12">
        <v>100</v>
      </c>
      <c r="G37" s="39">
        <v>75</v>
      </c>
      <c r="H37" s="234">
        <f t="shared" si="2"/>
        <v>7500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25</v>
      </c>
      <c r="D38" s="12">
        <f>C38*84</f>
        <v>2100</v>
      </c>
      <c r="F38" s="30">
        <v>50</v>
      </c>
      <c r="G38" s="39">
        <v>9</v>
      </c>
      <c r="H38" s="234">
        <f t="shared" si="2"/>
        <v>450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8</v>
      </c>
      <c r="D39" s="31">
        <f>C39*4.5</f>
        <v>36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34</v>
      </c>
      <c r="D40" s="12">
        <f>C40*111</f>
        <v>3774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2</v>
      </c>
      <c r="D42" s="12">
        <f>C42*2.25</f>
        <v>4.5</v>
      </c>
      <c r="F42" s="39" t="s">
        <v>79</v>
      </c>
      <c r="G42" s="234">
        <v>30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 t="s">
        <v>160</v>
      </c>
      <c r="G44" s="96" t="s">
        <v>172</v>
      </c>
      <c r="H44" s="218">
        <v>138760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94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10</v>
      </c>
      <c r="D49" s="12">
        <f>C49*42</f>
        <v>420</v>
      </c>
      <c r="F49" s="259" t="s">
        <v>86</v>
      </c>
      <c r="G49" s="206">
        <f>H34+H35+H36+H37+H38+H39+H40+H41+G42+H44+H45+H46</f>
        <v>208840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14</v>
      </c>
      <c r="D50" s="12">
        <f>C50*1.5</f>
        <v>21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155</v>
      </c>
      <c r="G51" s="273">
        <f>G49-H29</f>
        <v>-31.5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57427.5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06FD7-43F9-467C-8074-3D9CEFC67C7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46060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358</v>
      </c>
      <c r="D6" s="13">
        <f t="shared" ref="D6:D28" si="1">C6*L6</f>
        <v>272438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10</v>
      </c>
      <c r="D7" s="13">
        <f t="shared" si="1"/>
        <v>7810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16</v>
      </c>
      <c r="D9" s="13">
        <f t="shared" si="1"/>
        <v>11728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127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3</v>
      </c>
      <c r="D13" s="48">
        <f t="shared" si="1"/>
        <v>921</v>
      </c>
      <c r="F13" s="179" t="s">
        <v>36</v>
      </c>
      <c r="G13" s="180"/>
      <c r="H13" s="181">
        <f>D29</f>
        <v>294192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5</v>
      </c>
      <c r="D14" s="31">
        <f t="shared" si="1"/>
        <v>55</v>
      </c>
      <c r="F14" s="184" t="s">
        <v>39</v>
      </c>
      <c r="G14" s="185"/>
      <c r="H14" s="186">
        <f>D54</f>
        <v>44824.5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>
        <v>2</v>
      </c>
      <c r="D15" s="31">
        <f t="shared" si="1"/>
        <v>1240</v>
      </c>
      <c r="F15" s="189" t="s">
        <v>40</v>
      </c>
      <c r="G15" s="180"/>
      <c r="H15" s="190">
        <f>H13-H14</f>
        <v>249367.5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50*6+184*6</f>
        <v>1404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80"/>
      <c r="I19" s="280"/>
      <c r="J19" s="280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7"/>
      <c r="G22" s="73"/>
      <c r="H22" s="216"/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101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92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294192</v>
      </c>
      <c r="F29" s="202" t="s">
        <v>55</v>
      </c>
      <c r="G29" s="203"/>
      <c r="H29" s="206">
        <f>H15-H16-H17-H18-H19-H20-H22-H23-H24+H26+H27</f>
        <v>247963.5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84</v>
      </c>
      <c r="H34" s="234">
        <f>F34*G34</f>
        <v>84000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78</v>
      </c>
      <c r="H35" s="234">
        <f>F35*G35</f>
        <v>39000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ref="H36:H39" si="2"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358</v>
      </c>
      <c r="D37" s="12">
        <f>C37*111</f>
        <v>39738</v>
      </c>
      <c r="F37" s="12">
        <v>100</v>
      </c>
      <c r="G37" s="39">
        <v>19</v>
      </c>
      <c r="H37" s="234">
        <f t="shared" si="2"/>
        <v>1900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22</v>
      </c>
      <c r="D38" s="12">
        <f>C38*84</f>
        <v>1848</v>
      </c>
      <c r="F38" s="30">
        <v>50</v>
      </c>
      <c r="G38" s="39">
        <v>21</v>
      </c>
      <c r="H38" s="234">
        <f t="shared" si="2"/>
        <v>1050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1</v>
      </c>
      <c r="H39" s="234">
        <f t="shared" si="2"/>
        <v>20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24</v>
      </c>
      <c r="D40" s="12">
        <f>C40*111</f>
        <v>2664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4</v>
      </c>
      <c r="D42" s="12">
        <f>C42*2.25</f>
        <v>9</v>
      </c>
      <c r="F42" s="39" t="s">
        <v>79</v>
      </c>
      <c r="G42" s="234">
        <v>56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 t="s">
        <v>146</v>
      </c>
      <c r="G44" s="76" t="s">
        <v>173</v>
      </c>
      <c r="H44" s="218">
        <v>121864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8</v>
      </c>
      <c r="D46" s="12">
        <f>C46*1.5</f>
        <v>12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7</v>
      </c>
      <c r="D49" s="12">
        <f>C49*42</f>
        <v>294</v>
      </c>
      <c r="F49" s="259" t="s">
        <v>86</v>
      </c>
      <c r="G49" s="206">
        <f>H34+H35+H36+H37+H38+H39+H40+H41+G42+H44+H45+H46</f>
        <v>247890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2</v>
      </c>
      <c r="D50" s="12">
        <f>C50*1.5</f>
        <v>3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-73.5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44824.5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4AF1-8BBF-4B8D-85DB-E450FA908992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92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B1E61-92CA-41A4-B518-5D7614654BF2}">
  <dimension ref="A1:R59"/>
  <sheetViews>
    <sheetView zoomScaleNormal="100" zoomScaleSheetLayoutView="85" workbookViewId="0">
      <selection activeCell="G8" sqref="G8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46062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>
        <v>350</v>
      </c>
      <c r="D6" s="13">
        <f t="shared" ref="D6:D28" si="1">C6*L6</f>
        <v>266350</v>
      </c>
      <c r="F6" s="157" t="s">
        <v>16</v>
      </c>
      <c r="G6" s="159" t="s">
        <v>111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>
        <v>11</v>
      </c>
      <c r="D7" s="13">
        <f t="shared" si="1"/>
        <v>8591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/>
      <c r="D8" s="13">
        <f t="shared" si="1"/>
        <v>0</v>
      </c>
      <c r="F8" s="165" t="s">
        <v>21</v>
      </c>
      <c r="G8" s="167" t="s">
        <v>144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>
        <v>14</v>
      </c>
      <c r="D9" s="13">
        <f t="shared" si="1"/>
        <v>10262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>
        <v>10</v>
      </c>
      <c r="D10" s="13">
        <f t="shared" si="1"/>
        <v>10320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>
        <v>5</v>
      </c>
      <c r="D11" s="13">
        <f t="shared" si="1"/>
        <v>5850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>
        <v>10</v>
      </c>
      <c r="D13" s="48">
        <f t="shared" si="1"/>
        <v>3070</v>
      </c>
      <c r="F13" s="179" t="s">
        <v>36</v>
      </c>
      <c r="G13" s="180"/>
      <c r="H13" s="181">
        <f>D29</f>
        <v>305952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>
        <v>19</v>
      </c>
      <c r="D14" s="31">
        <f t="shared" si="1"/>
        <v>209</v>
      </c>
      <c r="F14" s="184" t="s">
        <v>39</v>
      </c>
      <c r="G14" s="185"/>
      <c r="H14" s="186">
        <f>D54</f>
        <v>50665.5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/>
      <c r="D15" s="31">
        <f t="shared" si="1"/>
        <v>0</v>
      </c>
      <c r="F15" s="189" t="s">
        <v>40</v>
      </c>
      <c r="G15" s="180"/>
      <c r="H15" s="190">
        <f>H13-H14</f>
        <v>255286.5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93">
        <f>231*6</f>
        <v>1386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133</v>
      </c>
      <c r="C17" s="84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66"/>
      <c r="I19" s="166"/>
      <c r="J19" s="166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>
        <v>2</v>
      </c>
      <c r="D21" s="48">
        <f t="shared" si="1"/>
        <v>1300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124</v>
      </c>
      <c r="C22" s="84"/>
      <c r="D22" s="48">
        <f t="shared" si="1"/>
        <v>0</v>
      </c>
      <c r="F22" s="77"/>
      <c r="G22" s="73"/>
      <c r="H22" s="216"/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101</v>
      </c>
      <c r="C23" s="84"/>
      <c r="D23" s="48">
        <f t="shared" si="1"/>
        <v>0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118</v>
      </c>
      <c r="C24" s="84"/>
      <c r="D24" s="48">
        <f t="shared" si="1"/>
        <v>0</v>
      </c>
      <c r="F24" s="77"/>
      <c r="G24" s="79"/>
      <c r="H24" s="269"/>
      <c r="I24" s="270"/>
      <c r="J24" s="27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132</v>
      </c>
      <c r="C26" s="84"/>
      <c r="D26" s="48">
        <f t="shared" si="1"/>
        <v>0</v>
      </c>
      <c r="F26" s="75"/>
      <c r="G26" s="65"/>
      <c r="H26" s="218"/>
      <c r="I26" s="218"/>
      <c r="J26" s="218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95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/>
      <c r="D28" s="48">
        <f t="shared" si="1"/>
        <v>0</v>
      </c>
      <c r="F28" s="92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305952</v>
      </c>
      <c r="F29" s="202" t="s">
        <v>55</v>
      </c>
      <c r="G29" s="203"/>
      <c r="H29" s="206">
        <f>H15-H16-H17-H18-H19-H20-H22-H23-H24+H26+H27+H28</f>
        <v>253900.5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3</v>
      </c>
      <c r="D34" s="30">
        <f>C34*120</f>
        <v>360</v>
      </c>
      <c r="F34" s="12">
        <v>1000</v>
      </c>
      <c r="G34" s="40">
        <v>74</v>
      </c>
      <c r="H34" s="234">
        <f t="shared" ref="H34:H39" si="2">F34*G34</f>
        <v>74000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50</v>
      </c>
      <c r="H35" s="234">
        <f t="shared" si="2"/>
        <v>25000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>
        <v>17</v>
      </c>
      <c r="D36" s="12">
        <f>C36*1.5</f>
        <v>25.5</v>
      </c>
      <c r="F36" s="12">
        <v>200</v>
      </c>
      <c r="G36" s="37">
        <v>6</v>
      </c>
      <c r="H36" s="234">
        <f t="shared" si="2"/>
        <v>1200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426</v>
      </c>
      <c r="D37" s="12">
        <f>C37*111</f>
        <v>47286</v>
      </c>
      <c r="F37" s="12">
        <v>100</v>
      </c>
      <c r="G37" s="39">
        <v>29</v>
      </c>
      <c r="H37" s="234">
        <f t="shared" si="2"/>
        <v>2900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4</v>
      </c>
      <c r="H38" s="234">
        <f t="shared" si="2"/>
        <v>200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11</v>
      </c>
      <c r="D40" s="12">
        <f>C40*111</f>
        <v>1221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3</v>
      </c>
      <c r="D41" s="12">
        <f>C41*84</f>
        <v>252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10</v>
      </c>
      <c r="D42" s="12">
        <f>C42*2.25</f>
        <v>22.5</v>
      </c>
      <c r="F42" s="39" t="s">
        <v>79</v>
      </c>
      <c r="G42" s="234">
        <v>7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5</v>
      </c>
      <c r="D44" s="12">
        <f>C44*120</f>
        <v>600</v>
      </c>
      <c r="F44" s="37" t="s">
        <v>145</v>
      </c>
      <c r="G44" s="62" t="s">
        <v>174</v>
      </c>
      <c r="H44" s="218">
        <v>150599.5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1</v>
      </c>
      <c r="D45" s="12">
        <f>C45*84</f>
        <v>84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10</v>
      </c>
      <c r="D46" s="12">
        <f>C46*1.5</f>
        <v>15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9</v>
      </c>
      <c r="D49" s="12">
        <f>C49*42</f>
        <v>378</v>
      </c>
      <c r="F49" s="259" t="s">
        <v>86</v>
      </c>
      <c r="G49" s="206">
        <f>H34+H35+H36+H37+H38+H39+H40+H41+G42+H44+H45+H46</f>
        <v>253906.5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14</v>
      </c>
      <c r="D50" s="12">
        <f>C50*1.5</f>
        <v>21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138</v>
      </c>
      <c r="G51" s="263">
        <f>G49-H29</f>
        <v>6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50665.5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4B85-4FC3-4AA3-9312-3BC25375126F}">
  <dimension ref="A1:R59"/>
  <sheetViews>
    <sheetView zoomScaleNormal="100" zoomScaleSheetLayoutView="85" workbookViewId="0">
      <selection activeCell="G8" sqref="G8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46062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328</v>
      </c>
      <c r="D6" s="13">
        <f t="shared" ref="D6:D28" si="1">C6*L6</f>
        <v>249608</v>
      </c>
      <c r="F6" s="157" t="s">
        <v>16</v>
      </c>
      <c r="G6" s="159" t="s">
        <v>126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106</v>
      </c>
      <c r="D9" s="13">
        <f t="shared" si="1"/>
        <v>77698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176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f>1+1</f>
        <v>2</v>
      </c>
      <c r="D12" s="48">
        <f t="shared" si="1"/>
        <v>1984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21</v>
      </c>
      <c r="D13" s="48">
        <f t="shared" si="1"/>
        <v>6447</v>
      </c>
      <c r="F13" s="179" t="s">
        <v>36</v>
      </c>
      <c r="G13" s="180"/>
      <c r="H13" s="181">
        <f>D29</f>
        <v>336387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/>
      <c r="D14" s="31">
        <f t="shared" si="1"/>
        <v>0</v>
      </c>
      <c r="F14" s="184" t="s">
        <v>39</v>
      </c>
      <c r="G14" s="185"/>
      <c r="H14" s="186">
        <f>D54</f>
        <v>52480.5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283906.5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434*6</f>
        <v>2604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79"/>
      <c r="I19" s="279"/>
      <c r="J19" s="27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>
        <v>1</v>
      </c>
      <c r="D21" s="48">
        <f t="shared" si="1"/>
        <v>650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120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10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14"/>
      <c r="G27" s="14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92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336387</v>
      </c>
      <c r="F29" s="202" t="s">
        <v>55</v>
      </c>
      <c r="G29" s="203"/>
      <c r="H29" s="206">
        <f>H15-H16-H17-H18-H19-H20-H22-H23-H24+H26+H27</f>
        <v>281302.5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31</v>
      </c>
      <c r="H34" s="234">
        <f>F34*G34</f>
        <v>31000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502</v>
      </c>
      <c r="H35" s="234">
        <f t="shared" ref="H35:H39" si="2">F35*G35</f>
        <v>251000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460</v>
      </c>
      <c r="D37" s="12">
        <f>C37*111</f>
        <v>51060</v>
      </c>
      <c r="F37" s="12">
        <v>100</v>
      </c>
      <c r="G37" s="39">
        <v>1</v>
      </c>
      <c r="H37" s="234">
        <f t="shared" si="2"/>
        <v>100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>
        <v>41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1</v>
      </c>
      <c r="D44" s="12">
        <f>C44*120</f>
        <v>120</v>
      </c>
      <c r="F44" s="37"/>
      <c r="G44" s="62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1</v>
      </c>
      <c r="D46" s="12">
        <f>C46*1.5</f>
        <v>1.5</v>
      </c>
      <c r="F46" s="37"/>
      <c r="G46" s="94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8</v>
      </c>
      <c r="D48" s="12">
        <f>C48*78</f>
        <v>624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16</v>
      </c>
      <c r="D49" s="12">
        <f>C49*42</f>
        <v>672</v>
      </c>
      <c r="F49" s="259" t="s">
        <v>86</v>
      </c>
      <c r="G49" s="206">
        <f>H34+H35+H36+H37+H38+H39+H40+H41+G42+H44+H45+H46</f>
        <v>282141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2</v>
      </c>
      <c r="D50" s="12">
        <f>C50*1.5</f>
        <v>3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135</v>
      </c>
      <c r="G51" s="263">
        <f>G49-H29</f>
        <v>838.5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52480.5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4860-2F33-4887-8EF1-129C655CA8B5}">
  <dimension ref="A1:R59"/>
  <sheetViews>
    <sheetView zoomScaleNormal="100" zoomScaleSheetLayoutView="85" workbookViewId="0">
      <selection activeCell="G8" sqref="G8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91" t="s">
        <v>2</v>
      </c>
      <c r="Q1" s="9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46062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305</v>
      </c>
      <c r="D6" s="13">
        <f t="shared" ref="D6:D28" si="1">C6*L6</f>
        <v>232105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10</v>
      </c>
      <c r="D7" s="13">
        <f t="shared" si="1"/>
        <v>7810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>
        <v>1</v>
      </c>
      <c r="D8" s="13">
        <f t="shared" si="1"/>
        <v>1093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85</v>
      </c>
      <c r="D9" s="13">
        <f t="shared" si="1"/>
        <v>62305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>
        <v>2</v>
      </c>
      <c r="D10" s="13">
        <f t="shared" si="1"/>
        <v>2064</v>
      </c>
      <c r="F10" s="157" t="s">
        <v>26</v>
      </c>
      <c r="G10" s="173" t="s">
        <v>127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13</v>
      </c>
      <c r="D13" s="48">
        <f t="shared" si="1"/>
        <v>3991</v>
      </c>
      <c r="F13" s="179" t="s">
        <v>36</v>
      </c>
      <c r="G13" s="180"/>
      <c r="H13" s="181">
        <f>D29</f>
        <v>309916.5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4</v>
      </c>
      <c r="D14" s="31">
        <f t="shared" si="1"/>
        <v>44</v>
      </c>
      <c r="F14" s="184" t="s">
        <v>39</v>
      </c>
      <c r="G14" s="185"/>
      <c r="H14" s="186">
        <f>D54</f>
        <v>42118.5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267798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80"/>
      <c r="I19" s="280"/>
      <c r="J19" s="280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106" t="s">
        <v>175</v>
      </c>
      <c r="G22" s="73">
        <v>8925</v>
      </c>
      <c r="H22" s="216">
        <v>141180</v>
      </c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118</v>
      </c>
      <c r="C24" s="10">
        <v>12</v>
      </c>
      <c r="D24" s="48">
        <f t="shared" si="1"/>
        <v>504.5</v>
      </c>
      <c r="F24" s="38"/>
      <c r="G24" s="37"/>
      <c r="H24" s="217"/>
      <c r="I24" s="218"/>
      <c r="J24" s="218"/>
      <c r="L24" s="47">
        <f>973/24+1.5</f>
        <v>42.041666666666664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92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309916.5</v>
      </c>
      <c r="F29" s="202" t="s">
        <v>55</v>
      </c>
      <c r="G29" s="203"/>
      <c r="H29" s="206">
        <f>H15-H16-H17-H18-H19-H20-H22-H23-H24+H26+H27</f>
        <v>126618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4">
        <v>69</v>
      </c>
      <c r="H34" s="234">
        <f>F34*G34</f>
        <v>69000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90</v>
      </c>
      <c r="H35" s="234">
        <f>F35*G35</f>
        <v>45000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>
        <v>18</v>
      </c>
      <c r="D36" s="12">
        <f>C36*1.5</f>
        <v>27</v>
      </c>
      <c r="F36" s="12">
        <v>200</v>
      </c>
      <c r="G36" s="37"/>
      <c r="H36" s="234">
        <f t="shared" ref="H36:H39" si="2"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353</v>
      </c>
      <c r="D37" s="12">
        <f>C37*111</f>
        <v>39183</v>
      </c>
      <c r="F37" s="12">
        <v>100</v>
      </c>
      <c r="G37" s="39">
        <v>124</v>
      </c>
      <c r="H37" s="234">
        <f t="shared" si="2"/>
        <v>12400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5</v>
      </c>
      <c r="H38" s="234">
        <f t="shared" si="2"/>
        <v>250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5</v>
      </c>
      <c r="D40" s="12">
        <f>C40*111</f>
        <v>555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18</v>
      </c>
      <c r="D42" s="12">
        <f>C42*2.25</f>
        <v>40.5</v>
      </c>
      <c r="F42" s="39" t="s">
        <v>79</v>
      </c>
      <c r="G42" s="234">
        <v>69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9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5</v>
      </c>
      <c r="D44" s="12">
        <f>C44*120</f>
        <v>600</v>
      </c>
      <c r="F44" s="37"/>
      <c r="G44" s="76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1</v>
      </c>
      <c r="D45" s="12">
        <f>C45*84</f>
        <v>84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17</v>
      </c>
      <c r="D46" s="12">
        <f>C46*1.5</f>
        <v>25.5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11</v>
      </c>
      <c r="D49" s="12">
        <f>C49*42</f>
        <v>462</v>
      </c>
      <c r="F49" s="259" t="s">
        <v>86</v>
      </c>
      <c r="G49" s="206">
        <f>H34+H35+H36+H37+H38+H39+H40+H41+G42+H44+H45+H46</f>
        <v>126719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5</v>
      </c>
      <c r="D50" s="12">
        <f>C50*1.5</f>
        <v>7.5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138</v>
      </c>
      <c r="G51" s="263">
        <f>G49-H29</f>
        <v>101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42118.5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BEF1-3EAE-459A-9EA5-8569780E69D5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103" t="s">
        <v>2</v>
      </c>
      <c r="Q1" s="10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104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01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2F3F-6634-4A65-810F-9DA276D44C4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46063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>
        <v>229</v>
      </c>
      <c r="D6" s="13">
        <f t="shared" ref="D6:D28" si="1">C6*L6</f>
        <v>174269</v>
      </c>
      <c r="F6" s="157" t="s">
        <v>16</v>
      </c>
      <c r="G6" s="159" t="s">
        <v>111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>
        <v>4</v>
      </c>
      <c r="D7" s="13">
        <f t="shared" si="1"/>
        <v>3124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/>
      <c r="D8" s="13">
        <f t="shared" si="1"/>
        <v>0</v>
      </c>
      <c r="F8" s="165" t="s">
        <v>21</v>
      </c>
      <c r="G8" s="167" t="s">
        <v>144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>
        <v>25</v>
      </c>
      <c r="D9" s="13">
        <f t="shared" si="1"/>
        <v>18325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/>
      <c r="D10" s="13">
        <f t="shared" si="1"/>
        <v>0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>
        <v>2</v>
      </c>
      <c r="D13" s="48">
        <f t="shared" si="1"/>
        <v>614</v>
      </c>
      <c r="F13" s="179" t="s">
        <v>36</v>
      </c>
      <c r="G13" s="180"/>
      <c r="H13" s="181">
        <f>D29</f>
        <v>197103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>
        <v>11</v>
      </c>
      <c r="D14" s="31">
        <f t="shared" si="1"/>
        <v>121</v>
      </c>
      <c r="F14" s="184" t="s">
        <v>39</v>
      </c>
      <c r="G14" s="185"/>
      <c r="H14" s="186">
        <f>D54</f>
        <v>29223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/>
      <c r="D15" s="31">
        <f t="shared" si="1"/>
        <v>0</v>
      </c>
      <c r="F15" s="189" t="s">
        <v>40</v>
      </c>
      <c r="G15" s="180"/>
      <c r="H15" s="190">
        <f>H13-H14</f>
        <v>167880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133</v>
      </c>
      <c r="C17" s="84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93">
        <v>214.28</v>
      </c>
      <c r="I19" s="193"/>
      <c r="J19" s="193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>
        <v>1</v>
      </c>
      <c r="D21" s="48">
        <f t="shared" si="1"/>
        <v>650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124</v>
      </c>
      <c r="C22" s="84"/>
      <c r="D22" s="48">
        <f t="shared" si="1"/>
        <v>0</v>
      </c>
      <c r="F22" s="77"/>
      <c r="G22" s="73"/>
      <c r="H22" s="216"/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101</v>
      </c>
      <c r="C23" s="84"/>
      <c r="D23" s="48">
        <f t="shared" si="1"/>
        <v>0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118</v>
      </c>
      <c r="C24" s="84"/>
      <c r="D24" s="48">
        <f t="shared" si="1"/>
        <v>0</v>
      </c>
      <c r="F24" s="77"/>
      <c r="G24" s="79"/>
      <c r="H24" s="269"/>
      <c r="I24" s="270"/>
      <c r="J24" s="27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132</v>
      </c>
      <c r="C26" s="84"/>
      <c r="D26" s="48">
        <f t="shared" si="1"/>
        <v>0</v>
      </c>
      <c r="F26" s="75"/>
      <c r="G26" s="65"/>
      <c r="H26" s="218"/>
      <c r="I26" s="218"/>
      <c r="J26" s="218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101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/>
      <c r="D28" s="48">
        <f t="shared" si="1"/>
        <v>0</v>
      </c>
      <c r="F28" s="104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197103</v>
      </c>
      <c r="F29" s="202" t="s">
        <v>55</v>
      </c>
      <c r="G29" s="203"/>
      <c r="H29" s="206">
        <f>H15-H16-H17-H18-H19-H20-H22-H23-H24+H26+H27+H28</f>
        <v>167665.72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83</v>
      </c>
      <c r="H34" s="234">
        <f t="shared" ref="H34:H39" si="2">F34*G34</f>
        <v>83000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23</v>
      </c>
      <c r="H35" s="234">
        <f t="shared" si="2"/>
        <v>11500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si="2"/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255</v>
      </c>
      <c r="D37" s="12">
        <f>C37*111</f>
        <v>28305</v>
      </c>
      <c r="F37" s="12">
        <v>100</v>
      </c>
      <c r="G37" s="39">
        <v>27</v>
      </c>
      <c r="H37" s="234">
        <f t="shared" si="2"/>
        <v>2700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6</v>
      </c>
      <c r="H38" s="234">
        <f t="shared" si="2"/>
        <v>300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2</v>
      </c>
      <c r="D40" s="12">
        <f>C40*111</f>
        <v>222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>
        <v>76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01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 t="s">
        <v>160</v>
      </c>
      <c r="G44" s="96" t="s">
        <v>178</v>
      </c>
      <c r="H44" s="218">
        <f>69966</f>
        <v>69966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35</v>
      </c>
      <c r="D46" s="12">
        <f>C46*1.5</f>
        <v>52.5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1</v>
      </c>
      <c r="D49" s="12">
        <f>C49*42</f>
        <v>42</v>
      </c>
      <c r="F49" s="259" t="s">
        <v>86</v>
      </c>
      <c r="G49" s="206">
        <f>H34+H35+H36+H37+H38+H39+H40+H41+G42+H44+H45+H46</f>
        <v>167542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13</v>
      </c>
      <c r="D50" s="12">
        <f>C50*1.5</f>
        <v>19.5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-123.72000000000116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29223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00AD5-F941-475F-B94A-40DBD7ADC5A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46063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231</v>
      </c>
      <c r="D6" s="13">
        <f t="shared" ref="D6:D28" si="1">C6*L6</f>
        <v>175791</v>
      </c>
      <c r="F6" s="157" t="s">
        <v>16</v>
      </c>
      <c r="G6" s="159" t="s">
        <v>126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4</v>
      </c>
      <c r="D7" s="13">
        <f t="shared" si="1"/>
        <v>3124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22</v>
      </c>
      <c r="D9" s="13">
        <f t="shared" si="1"/>
        <v>16126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176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v>1</v>
      </c>
      <c r="D12" s="48">
        <f t="shared" si="1"/>
        <v>992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9</v>
      </c>
      <c r="D13" s="48">
        <f t="shared" si="1"/>
        <v>2763</v>
      </c>
      <c r="F13" s="179" t="s">
        <v>36</v>
      </c>
      <c r="G13" s="180"/>
      <c r="H13" s="181">
        <f>D29</f>
        <v>205618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15</v>
      </c>
      <c r="D14" s="31">
        <f t="shared" si="1"/>
        <v>165</v>
      </c>
      <c r="F14" s="184" t="s">
        <v>39</v>
      </c>
      <c r="G14" s="185"/>
      <c r="H14" s="186">
        <f>D54</f>
        <v>27680.25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177937.75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180*6</f>
        <v>1080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79"/>
      <c r="I19" s="279"/>
      <c r="J19" s="27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>
        <v>1</v>
      </c>
      <c r="D20" s="13">
        <f t="shared" si="1"/>
        <v>1175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>
        <v>6</v>
      </c>
      <c r="D21" s="48">
        <f t="shared" si="1"/>
        <v>3900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120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177</v>
      </c>
      <c r="C25" s="10">
        <v>1</v>
      </c>
      <c r="D25" s="48">
        <f t="shared" si="1"/>
        <v>1582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10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14"/>
      <c r="G27" s="14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04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205618</v>
      </c>
      <c r="F29" s="202" t="s">
        <v>55</v>
      </c>
      <c r="G29" s="203"/>
      <c r="H29" s="206">
        <f>H15-H16-H17-H18-H19-H20-H22-H23-H24+H26+H27</f>
        <v>176857.75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37</v>
      </c>
      <c r="H34" s="234">
        <f>F34*G34</f>
        <v>37000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8</v>
      </c>
      <c r="H35" s="234">
        <f t="shared" ref="H35:H39" si="2">F35*G35</f>
        <v>4000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>
        <v>3</v>
      </c>
      <c r="H36" s="234">
        <f>F36*G36</f>
        <v>600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237</v>
      </c>
      <c r="D37" s="12">
        <f>C37*111</f>
        <v>26307</v>
      </c>
      <c r="F37" s="12">
        <v>100</v>
      </c>
      <c r="G37" s="39">
        <v>63</v>
      </c>
      <c r="H37" s="234">
        <f t="shared" si="2"/>
        <v>6300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16</v>
      </c>
      <c r="H38" s="234">
        <f t="shared" si="2"/>
        <v>800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4</v>
      </c>
      <c r="D39" s="31">
        <f>C39*4.5</f>
        <v>18</v>
      </c>
      <c r="F39" s="12">
        <v>20</v>
      </c>
      <c r="G39" s="37">
        <v>2</v>
      </c>
      <c r="H39" s="234">
        <f t="shared" si="2"/>
        <v>40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4</v>
      </c>
      <c r="D40" s="12">
        <f>C40*111</f>
        <v>444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3</v>
      </c>
      <c r="D42" s="12">
        <f>C42*2.25</f>
        <v>6.75</v>
      </c>
      <c r="F42" s="39" t="s">
        <v>79</v>
      </c>
      <c r="G42" s="234">
        <v>720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01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1</v>
      </c>
      <c r="D44" s="12">
        <f>C44*120</f>
        <v>120</v>
      </c>
      <c r="F44" s="37" t="s">
        <v>145</v>
      </c>
      <c r="G44" s="62" t="s">
        <v>179</v>
      </c>
      <c r="H44" s="218">
        <v>126833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1</v>
      </c>
      <c r="D46" s="12">
        <f>C46*1.5</f>
        <v>1.5</v>
      </c>
      <c r="F46" s="37"/>
      <c r="G46" s="10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7</v>
      </c>
      <c r="D49" s="12">
        <f>C49*42</f>
        <v>294</v>
      </c>
      <c r="F49" s="259" t="s">
        <v>86</v>
      </c>
      <c r="G49" s="206">
        <f>H34+H35+H36+H37+H38+H39+H40+H41+G42+H44+H45+H46</f>
        <v>176293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6</v>
      </c>
      <c r="D50" s="12">
        <f>C50*1.5</f>
        <v>9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155</v>
      </c>
      <c r="G51" s="273">
        <f>G49-H29</f>
        <v>-564.75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27680.25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8D229-A7B5-4355-82D2-C48C29245F1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46063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327</v>
      </c>
      <c r="D6" s="13">
        <f t="shared" ref="D6:D28" si="1">C6*L6</f>
        <v>248847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35</v>
      </c>
      <c r="D7" s="13">
        <f t="shared" si="1"/>
        <v>27335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>
        <v>10</v>
      </c>
      <c r="D8" s="13">
        <f t="shared" si="1"/>
        <v>10930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>
        <v>10</v>
      </c>
      <c r="D10" s="13">
        <f t="shared" si="1"/>
        <v>10320</v>
      </c>
      <c r="F10" s="157" t="s">
        <v>26</v>
      </c>
      <c r="G10" s="173" t="s">
        <v>127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v>5</v>
      </c>
      <c r="D12" s="48">
        <f t="shared" si="1"/>
        <v>4960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/>
      <c r="D13" s="48">
        <f t="shared" si="1"/>
        <v>0</v>
      </c>
      <c r="F13" s="179" t="s">
        <v>36</v>
      </c>
      <c r="G13" s="180"/>
      <c r="H13" s="181">
        <f>D29</f>
        <v>317068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6</v>
      </c>
      <c r="D14" s="31">
        <f t="shared" si="1"/>
        <v>66</v>
      </c>
      <c r="F14" s="184" t="s">
        <v>39</v>
      </c>
      <c r="G14" s="185"/>
      <c r="H14" s="186">
        <f>D54</f>
        <v>40029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277039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80"/>
      <c r="I19" s="280"/>
      <c r="J19" s="280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>
        <v>10</v>
      </c>
      <c r="D21" s="48">
        <f t="shared" si="1"/>
        <v>6500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7"/>
      <c r="G22" s="73"/>
      <c r="H22" s="216"/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101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112" t="s">
        <v>175</v>
      </c>
      <c r="G26" s="59">
        <v>8925</v>
      </c>
      <c r="H26" s="222">
        <v>141180</v>
      </c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>
        <v>10</v>
      </c>
      <c r="D28" s="48">
        <f t="shared" si="1"/>
        <v>8110</v>
      </c>
      <c r="F28" s="104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317068</v>
      </c>
      <c r="F29" s="202" t="s">
        <v>55</v>
      </c>
      <c r="G29" s="203"/>
      <c r="H29" s="206">
        <f>H15-H16-H17-H18-H19-H20-H22-H23-H24+H26+H27</f>
        <v>418219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13</v>
      </c>
      <c r="H34" s="234">
        <f>F34*G34</f>
        <v>13000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>
        <v>10</v>
      </c>
      <c r="D35" s="30">
        <f>C35*84</f>
        <v>840</v>
      </c>
      <c r="F35" s="58">
        <v>500</v>
      </c>
      <c r="G35" s="41">
        <v>2</v>
      </c>
      <c r="H35" s="234">
        <f>F35*G35</f>
        <v>1000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>
        <v>13</v>
      </c>
      <c r="D36" s="12">
        <f>C36*1.5</f>
        <v>19.5</v>
      </c>
      <c r="F36" s="12">
        <v>200</v>
      </c>
      <c r="G36" s="37"/>
      <c r="H36" s="234">
        <f t="shared" ref="H36:H39" si="2"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116</v>
      </c>
      <c r="D37" s="12">
        <f>C37*111</f>
        <v>12876</v>
      </c>
      <c r="F37" s="12">
        <v>100</v>
      </c>
      <c r="G37" s="39"/>
      <c r="H37" s="234">
        <f t="shared" si="2"/>
        <v>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226</v>
      </c>
      <c r="D38" s="12">
        <f>C38*84</f>
        <v>18984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5</v>
      </c>
      <c r="D40" s="12">
        <f>C40*111</f>
        <v>555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29</v>
      </c>
      <c r="D41" s="12">
        <f>C41*84</f>
        <v>2436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10</v>
      </c>
      <c r="D42" s="12">
        <f>C42*2.25</f>
        <v>22.5</v>
      </c>
      <c r="F42" s="39" t="s">
        <v>79</v>
      </c>
      <c r="G42" s="234">
        <v>40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01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2</v>
      </c>
      <c r="D44" s="12">
        <f>C44*120</f>
        <v>240</v>
      </c>
      <c r="F44" s="37" t="s">
        <v>145</v>
      </c>
      <c r="G44" s="76" t="s">
        <v>180</v>
      </c>
      <c r="H44" s="218">
        <v>264377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48</v>
      </c>
      <c r="D45" s="12">
        <f>C45*84</f>
        <v>4032</v>
      </c>
      <c r="F45" s="97" t="s">
        <v>148</v>
      </c>
      <c r="G45" s="76" t="s">
        <v>181</v>
      </c>
      <c r="H45" s="218">
        <v>139920</v>
      </c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16</v>
      </c>
      <c r="D46" s="12">
        <f>C46*1.5</f>
        <v>24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418337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138</v>
      </c>
      <c r="G51" s="263">
        <f>G49-H29</f>
        <v>118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40029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A3607-8A51-4BDE-B781-5004E482AD1F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103" t="s">
        <v>2</v>
      </c>
      <c r="Q1" s="10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104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01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41782-0EFB-460B-AA97-D7679BD2202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46064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>
        <v>815</v>
      </c>
      <c r="D6" s="13">
        <f t="shared" ref="D6:D28" si="1">C6*L6</f>
        <v>620215</v>
      </c>
      <c r="F6" s="157" t="s">
        <v>16</v>
      </c>
      <c r="G6" s="159" t="s">
        <v>111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>
        <v>48</v>
      </c>
      <c r="D7" s="13">
        <f t="shared" si="1"/>
        <v>37488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/>
      <c r="D8" s="13">
        <f t="shared" si="1"/>
        <v>0</v>
      </c>
      <c r="F8" s="165" t="s">
        <v>21</v>
      </c>
      <c r="G8" s="167" t="s">
        <v>144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>
        <v>108</v>
      </c>
      <c r="D9" s="13">
        <f t="shared" si="1"/>
        <v>79164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>
        <v>30</v>
      </c>
      <c r="D10" s="13">
        <f t="shared" si="1"/>
        <v>30960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>
        <v>10</v>
      </c>
      <c r="D11" s="13">
        <f t="shared" si="1"/>
        <v>11700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>
        <v>52</v>
      </c>
      <c r="D13" s="48">
        <f t="shared" si="1"/>
        <v>15964</v>
      </c>
      <c r="F13" s="179" t="s">
        <v>36</v>
      </c>
      <c r="G13" s="180"/>
      <c r="H13" s="181">
        <f>D29</f>
        <v>809196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>
        <v>5</v>
      </c>
      <c r="D14" s="31">
        <f t="shared" si="1"/>
        <v>55</v>
      </c>
      <c r="F14" s="184" t="s">
        <v>39</v>
      </c>
      <c r="G14" s="185"/>
      <c r="H14" s="186">
        <f>D54</f>
        <v>111525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/>
      <c r="D15" s="31">
        <f t="shared" si="1"/>
        <v>0</v>
      </c>
      <c r="F15" s="189" t="s">
        <v>40</v>
      </c>
      <c r="G15" s="180"/>
      <c r="H15" s="190">
        <f>H13-H14</f>
        <v>697671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93">
        <f>325*6+520*6+54</f>
        <v>5124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133</v>
      </c>
      <c r="C17" s="84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66"/>
      <c r="I19" s="166"/>
      <c r="J19" s="166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>
        <v>21</v>
      </c>
      <c r="D21" s="48">
        <f t="shared" si="1"/>
        <v>13650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124</v>
      </c>
      <c r="C22" s="84"/>
      <c r="D22" s="48">
        <f t="shared" si="1"/>
        <v>0</v>
      </c>
      <c r="F22" s="77" t="s">
        <v>184</v>
      </c>
      <c r="G22" s="73">
        <v>9073</v>
      </c>
      <c r="H22" s="216">
        <v>96418</v>
      </c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101</v>
      </c>
      <c r="C23" s="84"/>
      <c r="D23" s="48">
        <f t="shared" si="1"/>
        <v>0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118</v>
      </c>
      <c r="C24" s="84"/>
      <c r="D24" s="48">
        <f t="shared" si="1"/>
        <v>0</v>
      </c>
      <c r="F24" s="77"/>
      <c r="G24" s="79"/>
      <c r="H24" s="269"/>
      <c r="I24" s="270"/>
      <c r="J24" s="27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132</v>
      </c>
      <c r="C26" s="84"/>
      <c r="D26" s="48">
        <f t="shared" si="1"/>
        <v>0</v>
      </c>
      <c r="F26" s="75" t="s">
        <v>184</v>
      </c>
      <c r="G26" s="65">
        <v>8809</v>
      </c>
      <c r="H26" s="218">
        <v>108268</v>
      </c>
      <c r="I26" s="218"/>
      <c r="J26" s="218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101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/>
      <c r="D28" s="48">
        <f t="shared" si="1"/>
        <v>0</v>
      </c>
      <c r="F28" s="104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809196</v>
      </c>
      <c r="F29" s="202" t="s">
        <v>55</v>
      </c>
      <c r="G29" s="203"/>
      <c r="H29" s="206">
        <f>H15-H16-H17-H18-H19-H20-H22-H23-H24+H26+H27+H28</f>
        <v>704397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4</v>
      </c>
      <c r="D34" s="30">
        <f>C34*120</f>
        <v>480</v>
      </c>
      <c r="F34" s="12">
        <v>1000</v>
      </c>
      <c r="G34" s="40">
        <v>146</v>
      </c>
      <c r="H34" s="234">
        <f t="shared" ref="H34:H39" si="2">F34*G34</f>
        <v>146000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93</v>
      </c>
      <c r="H35" s="234">
        <f t="shared" si="2"/>
        <v>46500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>
        <v>22</v>
      </c>
      <c r="D36" s="12">
        <f>C36*1.5</f>
        <v>33</v>
      </c>
      <c r="F36" s="12">
        <v>200</v>
      </c>
      <c r="G36" s="37">
        <v>9</v>
      </c>
      <c r="H36" s="234">
        <f t="shared" si="2"/>
        <v>1800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966</v>
      </c>
      <c r="D37" s="12">
        <f>C37*111</f>
        <v>107226</v>
      </c>
      <c r="F37" s="12">
        <v>100</v>
      </c>
      <c r="G37" s="39">
        <v>374</v>
      </c>
      <c r="H37" s="234">
        <f t="shared" si="2"/>
        <v>37400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>
        <v>211</v>
      </c>
      <c r="H38" s="234">
        <f t="shared" si="2"/>
        <v>10550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15</v>
      </c>
      <c r="D40" s="12">
        <f>C40*111</f>
        <v>1665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>
        <v>100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01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5</v>
      </c>
      <c r="D44" s="12">
        <f>C44*120</f>
        <v>600</v>
      </c>
      <c r="F44" s="37" t="s">
        <v>146</v>
      </c>
      <c r="G44" s="85" t="s">
        <v>182</v>
      </c>
      <c r="H44" s="218">
        <v>108268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1</v>
      </c>
      <c r="D45" s="12">
        <f>C45*84</f>
        <v>84</v>
      </c>
      <c r="F45" s="37" t="s">
        <v>145</v>
      </c>
      <c r="G45" s="62" t="s">
        <v>183</v>
      </c>
      <c r="H45" s="218">
        <v>353553</v>
      </c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7</v>
      </c>
      <c r="D48" s="12">
        <f>C48*78</f>
        <v>546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21</v>
      </c>
      <c r="D49" s="12">
        <f>C49*42</f>
        <v>882</v>
      </c>
      <c r="F49" s="259" t="s">
        <v>86</v>
      </c>
      <c r="G49" s="206">
        <f>H34+H35+H36+H37+H38+H39+H40+H41+G42+H44+H45+H46</f>
        <v>704171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6</v>
      </c>
      <c r="D50" s="12">
        <f>C50*1.5</f>
        <v>9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-226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111525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E220F-95C3-4B00-9ED2-D9830D7B403A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46064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191</v>
      </c>
      <c r="D6" s="13">
        <f t="shared" ref="D6:D28" si="1">C6*L6</f>
        <v>145351</v>
      </c>
      <c r="F6" s="157" t="s">
        <v>16</v>
      </c>
      <c r="G6" s="159" t="s">
        <v>185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30</v>
      </c>
      <c r="D9" s="13">
        <f t="shared" si="1"/>
        <v>21990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114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8</v>
      </c>
      <c r="D13" s="48">
        <f t="shared" si="1"/>
        <v>2456</v>
      </c>
      <c r="F13" s="179" t="s">
        <v>36</v>
      </c>
      <c r="G13" s="180"/>
      <c r="H13" s="181">
        <f>D29</f>
        <v>170729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11</v>
      </c>
      <c r="D14" s="31">
        <f t="shared" si="1"/>
        <v>121</v>
      </c>
      <c r="F14" s="184" t="s">
        <v>39</v>
      </c>
      <c r="G14" s="185"/>
      <c r="H14" s="186">
        <f>D54</f>
        <v>25408.5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145320.5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103*6</f>
        <v>618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79"/>
      <c r="I19" s="279"/>
      <c r="J19" s="27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120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10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14"/>
      <c r="G27" s="14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>
        <v>1</v>
      </c>
      <c r="D28" s="48">
        <f t="shared" si="1"/>
        <v>811</v>
      </c>
      <c r="F28" s="104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170729</v>
      </c>
      <c r="F29" s="202" t="s">
        <v>55</v>
      </c>
      <c r="G29" s="203"/>
      <c r="H29" s="206">
        <f>H15-H16-H17-H18-H19-H20-H22-H23-H24+H26+H27</f>
        <v>144702.5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104</v>
      </c>
      <c r="H34" s="234">
        <f>F34*G34</f>
        <v>104000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78</v>
      </c>
      <c r="H35" s="234">
        <f t="shared" ref="H35:H39" si="2">F35*G35</f>
        <v>39000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225</v>
      </c>
      <c r="D37" s="12">
        <f>C37*111</f>
        <v>24975</v>
      </c>
      <c r="F37" s="12">
        <v>100</v>
      </c>
      <c r="G37" s="39">
        <v>12</v>
      </c>
      <c r="H37" s="234">
        <f t="shared" si="2"/>
        <v>1200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>
        <v>8</v>
      </c>
      <c r="H38" s="234">
        <f t="shared" si="2"/>
        <v>400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>
        <v>1</v>
      </c>
      <c r="H39" s="234">
        <f t="shared" si="2"/>
        <v>20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>
        <v>32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01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62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1</v>
      </c>
      <c r="D46" s="12">
        <f>C46*1.5</f>
        <v>1.5</v>
      </c>
      <c r="F46" s="37"/>
      <c r="G46" s="10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2</v>
      </c>
      <c r="D48" s="12">
        <f>C48*78</f>
        <v>156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6</v>
      </c>
      <c r="D49" s="12">
        <f>C49*42</f>
        <v>252</v>
      </c>
      <c r="F49" s="259" t="s">
        <v>86</v>
      </c>
      <c r="G49" s="206">
        <f>H34+H35+H36+H37+H38+H39+H40+H41+G42+H44+H45+H46</f>
        <v>144652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16</v>
      </c>
      <c r="D50" s="12">
        <f>C50*1.5</f>
        <v>24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155</v>
      </c>
      <c r="G51" s="273">
        <f>G49-H29</f>
        <v>-50.5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25408.5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6F15-010A-4314-AA01-AF466A85FDF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46064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331</v>
      </c>
      <c r="D6" s="13">
        <f t="shared" ref="D6:D28" si="1">C6*L6</f>
        <v>251891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10</v>
      </c>
      <c r="D7" s="13">
        <f t="shared" si="1"/>
        <v>7810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36</v>
      </c>
      <c r="D9" s="13">
        <f t="shared" si="1"/>
        <v>26388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>
        <v>3</v>
      </c>
      <c r="D10" s="13">
        <f t="shared" si="1"/>
        <v>3096</v>
      </c>
      <c r="F10" s="157" t="s">
        <v>26</v>
      </c>
      <c r="G10" s="173" t="s">
        <v>127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v>1</v>
      </c>
      <c r="D12" s="48">
        <f t="shared" si="1"/>
        <v>992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9</v>
      </c>
      <c r="D13" s="48">
        <f t="shared" si="1"/>
        <v>2763</v>
      </c>
      <c r="F13" s="179" t="s">
        <v>36</v>
      </c>
      <c r="G13" s="180"/>
      <c r="H13" s="181">
        <f>D29</f>
        <v>295569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14</v>
      </c>
      <c r="D14" s="31">
        <f t="shared" si="1"/>
        <v>154</v>
      </c>
      <c r="F14" s="184" t="s">
        <v>39</v>
      </c>
      <c r="G14" s="185"/>
      <c r="H14" s="186">
        <f>D54</f>
        <v>44308.5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251260.5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251*6+65*6+61*6</f>
        <v>2262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193">
        <v>50</v>
      </c>
      <c r="I19" s="193"/>
      <c r="J19" s="19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>
        <v>2</v>
      </c>
      <c r="D21" s="48">
        <f t="shared" si="1"/>
        <v>1300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7"/>
      <c r="G22" s="73"/>
      <c r="H22" s="216"/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18" t="s">
        <v>153</v>
      </c>
      <c r="C23" s="10">
        <f>1</f>
        <v>1</v>
      </c>
      <c r="D23" s="48">
        <f t="shared" si="1"/>
        <v>1175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101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04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295569</v>
      </c>
      <c r="F29" s="202" t="s">
        <v>55</v>
      </c>
      <c r="G29" s="203"/>
      <c r="H29" s="206">
        <f>H15-H16-H17-H18-H19-H20-H22-H23-H24+H26+H27</f>
        <v>248948.5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51</v>
      </c>
      <c r="H34" s="234">
        <f>F34*G34</f>
        <v>51000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41</v>
      </c>
      <c r="H35" s="234">
        <f>F35*G35</f>
        <v>20500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ref="H36:H39" si="2"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377</v>
      </c>
      <c r="D37" s="12">
        <f>C37*111</f>
        <v>41847</v>
      </c>
      <c r="F37" s="12">
        <v>100</v>
      </c>
      <c r="G37" s="39">
        <v>135</v>
      </c>
      <c r="H37" s="234">
        <f t="shared" si="2"/>
        <v>13500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1</v>
      </c>
      <c r="D38" s="12">
        <f>C38*84</f>
        <v>84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2</v>
      </c>
      <c r="D42" s="12">
        <f>C42*2.25</f>
        <v>4.5</v>
      </c>
      <c r="F42" s="39" t="s">
        <v>79</v>
      </c>
      <c r="G42" s="234">
        <v>366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01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1</v>
      </c>
      <c r="D44" s="12">
        <f>C44*120</f>
        <v>120</v>
      </c>
      <c r="F44" s="37" t="s">
        <v>145</v>
      </c>
      <c r="G44" s="76" t="s">
        <v>186</v>
      </c>
      <c r="H44" s="218">
        <v>163030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3</v>
      </c>
      <c r="D45" s="12">
        <f>C45*84</f>
        <v>252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22</v>
      </c>
      <c r="D48" s="12">
        <f>C48*78</f>
        <v>1716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6</v>
      </c>
      <c r="D49" s="12">
        <f>C49*42</f>
        <v>252</v>
      </c>
      <c r="F49" s="259" t="s">
        <v>86</v>
      </c>
      <c r="G49" s="206">
        <f>H34+H35+H36+H37+H38+H39+H40+H41+G42+H44+H45+H46</f>
        <v>248396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7</v>
      </c>
      <c r="D50" s="12">
        <f>C50*1.5</f>
        <v>10.5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-552.5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44308.5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EE804-9DD9-4165-89CB-7CF0A5AC6847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109" t="s">
        <v>2</v>
      </c>
      <c r="Q1" s="109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110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07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E973-EE9C-4873-949E-FE1D92105B02}">
  <dimension ref="A1:R59"/>
  <sheetViews>
    <sheetView zoomScaleNormal="100" zoomScaleSheetLayoutView="85" workbookViewId="0">
      <selection activeCell="G8" sqref="G8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46065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>
        <v>355</v>
      </c>
      <c r="D6" s="13">
        <f t="shared" ref="D6:D28" si="1">C6*L6</f>
        <v>270155</v>
      </c>
      <c r="F6" s="157" t="s">
        <v>16</v>
      </c>
      <c r="G6" s="159" t="s">
        <v>111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/>
      <c r="D8" s="13">
        <f t="shared" si="1"/>
        <v>0</v>
      </c>
      <c r="F8" s="165" t="s">
        <v>21</v>
      </c>
      <c r="G8" s="167" t="s">
        <v>144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>
        <v>10</v>
      </c>
      <c r="D9" s="13">
        <f t="shared" si="1"/>
        <v>7330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/>
      <c r="D10" s="13">
        <f t="shared" si="1"/>
        <v>0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>
        <v>10</v>
      </c>
      <c r="D13" s="48">
        <f t="shared" si="1"/>
        <v>3070</v>
      </c>
      <c r="F13" s="179" t="s">
        <v>36</v>
      </c>
      <c r="G13" s="180"/>
      <c r="H13" s="181">
        <f>D29</f>
        <v>280577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>
        <v>2</v>
      </c>
      <c r="D14" s="31">
        <f t="shared" si="1"/>
        <v>22</v>
      </c>
      <c r="F14" s="184" t="s">
        <v>39</v>
      </c>
      <c r="G14" s="185"/>
      <c r="H14" s="186">
        <f>D54</f>
        <v>40954.5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/>
      <c r="D15" s="31">
        <f t="shared" si="1"/>
        <v>0</v>
      </c>
      <c r="F15" s="189" t="s">
        <v>40</v>
      </c>
      <c r="G15" s="180"/>
      <c r="H15" s="190">
        <f>H13-H14</f>
        <v>239622.5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93">
        <f>324*6</f>
        <v>1944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133</v>
      </c>
      <c r="C17" s="84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66"/>
      <c r="I19" s="166"/>
      <c r="J19" s="166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124</v>
      </c>
      <c r="C22" s="84"/>
      <c r="D22" s="48">
        <f t="shared" si="1"/>
        <v>0</v>
      </c>
      <c r="F22" s="77"/>
      <c r="G22" s="73"/>
      <c r="H22" s="216"/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101</v>
      </c>
      <c r="C23" s="84"/>
      <c r="D23" s="48">
        <f t="shared" si="1"/>
        <v>0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118</v>
      </c>
      <c r="C24" s="84"/>
      <c r="D24" s="48">
        <f t="shared" si="1"/>
        <v>0</v>
      </c>
      <c r="F24" s="77"/>
      <c r="G24" s="79"/>
      <c r="H24" s="269"/>
      <c r="I24" s="270"/>
      <c r="J24" s="27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132</v>
      </c>
      <c r="C26" s="84"/>
      <c r="D26" s="48">
        <f t="shared" si="1"/>
        <v>0</v>
      </c>
      <c r="F26" s="75"/>
      <c r="G26" s="65"/>
      <c r="H26" s="218"/>
      <c r="I26" s="218"/>
      <c r="J26" s="218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107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/>
      <c r="D28" s="48">
        <f t="shared" si="1"/>
        <v>0</v>
      </c>
      <c r="F28" s="110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280577</v>
      </c>
      <c r="F29" s="202" t="s">
        <v>55</v>
      </c>
      <c r="G29" s="203"/>
      <c r="H29" s="206">
        <f>H15-H16-H17-H18-H19-H20-H22-H23-H24+H26+H27+H28</f>
        <v>237678.5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169</v>
      </c>
      <c r="H34" s="234">
        <f t="shared" ref="H34:H39" si="2">F34*G34</f>
        <v>169000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137</v>
      </c>
      <c r="H35" s="234">
        <f t="shared" si="2"/>
        <v>68500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si="2"/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359</v>
      </c>
      <c r="D37" s="12">
        <f>C37*111</f>
        <v>39849</v>
      </c>
      <c r="F37" s="12">
        <v>100</v>
      </c>
      <c r="G37" s="39"/>
      <c r="H37" s="234">
        <f t="shared" si="2"/>
        <v>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5</v>
      </c>
      <c r="D38" s="12">
        <f>C38*84</f>
        <v>420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>
        <v>4</v>
      </c>
      <c r="H39" s="234">
        <f t="shared" si="2"/>
        <v>80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>
        <v>22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07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85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8</v>
      </c>
      <c r="D49" s="12">
        <f>C49*42</f>
        <v>336</v>
      </c>
      <c r="F49" s="259" t="s">
        <v>86</v>
      </c>
      <c r="G49" s="206">
        <f>H34+H35+H36+H37+H38+H39+H40+H41+G42+H44+H45+H46</f>
        <v>237602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3</v>
      </c>
      <c r="D50" s="12">
        <f>C50*1.5</f>
        <v>4.5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-76.5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40954.5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C806-BC95-48E2-8F63-36E38F7C2898}">
  <dimension ref="A1:R59"/>
  <sheetViews>
    <sheetView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46065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212</v>
      </c>
      <c r="D6" s="13">
        <f t="shared" ref="D6:D28" si="1">C6*L6</f>
        <v>161332</v>
      </c>
      <c r="F6" s="157" t="s">
        <v>16</v>
      </c>
      <c r="G6" s="159" t="s">
        <v>126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>
        <v>20</v>
      </c>
      <c r="D8" s="13">
        <f t="shared" si="1"/>
        <v>21860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30</v>
      </c>
      <c r="D9" s="13">
        <f t="shared" si="1"/>
        <v>21990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>
        <v>20</v>
      </c>
      <c r="D10" s="13">
        <f t="shared" si="1"/>
        <v>20640</v>
      </c>
      <c r="F10" s="157" t="s">
        <v>26</v>
      </c>
      <c r="G10" s="173" t="s">
        <v>114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8</v>
      </c>
      <c r="D13" s="48">
        <f t="shared" si="1"/>
        <v>2456</v>
      </c>
      <c r="F13" s="179" t="s">
        <v>36</v>
      </c>
      <c r="G13" s="180"/>
      <c r="H13" s="181">
        <f>D29</f>
        <v>233825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10</v>
      </c>
      <c r="D14" s="31">
        <f t="shared" si="1"/>
        <v>110</v>
      </c>
      <c r="F14" s="184" t="s">
        <v>39</v>
      </c>
      <c r="G14" s="185"/>
      <c r="H14" s="186">
        <f>D54</f>
        <v>10731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223094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20*6+200*6</f>
        <v>1320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79"/>
      <c r="I19" s="279"/>
      <c r="J19" s="27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>
        <v>8</v>
      </c>
      <c r="D21" s="48">
        <f t="shared" si="1"/>
        <v>5200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120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167</v>
      </c>
      <c r="C26" s="10">
        <v>6</v>
      </c>
      <c r="D26" s="48">
        <f t="shared" si="1"/>
        <v>237</v>
      </c>
      <c r="F26" s="64"/>
      <c r="G26" s="10"/>
      <c r="H26" s="222"/>
      <c r="I26" s="223"/>
      <c r="J26" s="224"/>
      <c r="L26" s="7">
        <f>912/24+1.5</f>
        <v>39.5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14"/>
      <c r="G27" s="14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10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233825</v>
      </c>
      <c r="F29" s="202" t="s">
        <v>55</v>
      </c>
      <c r="G29" s="203"/>
      <c r="H29" s="206">
        <f>H15-H16-H17-H18-H19-H20-H22-H23-H24+H26+H27</f>
        <v>221774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37</v>
      </c>
      <c r="H34" s="234">
        <f>F34*G34</f>
        <v>37000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6</v>
      </c>
      <c r="H35" s="234">
        <f t="shared" ref="H35:H39" si="2">F35*G35</f>
        <v>3000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95</v>
      </c>
      <c r="D37" s="12">
        <f>C37*111</f>
        <v>10545</v>
      </c>
      <c r="F37" s="12">
        <v>100</v>
      </c>
      <c r="G37" s="39">
        <v>3</v>
      </c>
      <c r="H37" s="234">
        <f t="shared" si="2"/>
        <v>300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1</v>
      </c>
      <c r="D38" s="12">
        <f>C38*84</f>
        <v>84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>
        <v>19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07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 t="s">
        <v>145</v>
      </c>
      <c r="G44" s="62" t="s">
        <v>187</v>
      </c>
      <c r="H44" s="218">
        <v>160045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 t="s">
        <v>145</v>
      </c>
      <c r="G45" s="62" t="s">
        <v>188</v>
      </c>
      <c r="H45" s="218">
        <v>21040</v>
      </c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108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1</v>
      </c>
      <c r="D48" s="12">
        <f>C48*78</f>
        <v>78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221404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10</v>
      </c>
      <c r="D50" s="12">
        <f>C50*1.5</f>
        <v>15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155</v>
      </c>
      <c r="G51" s="273">
        <f>G49-H29</f>
        <v>-370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10731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B6855-9169-429C-8D8C-54BCAB25E7F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46065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204</v>
      </c>
      <c r="D6" s="13">
        <f t="shared" ref="D6:D28" si="1">C6*L6</f>
        <v>155244</v>
      </c>
      <c r="F6" s="157" t="s">
        <v>16</v>
      </c>
      <c r="G6" s="159" t="s">
        <v>185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12</v>
      </c>
      <c r="D7" s="13">
        <f t="shared" si="1"/>
        <v>9372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30</v>
      </c>
      <c r="D9" s="13">
        <f t="shared" si="1"/>
        <v>21990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127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5</v>
      </c>
      <c r="D13" s="48">
        <f t="shared" si="1"/>
        <v>1535</v>
      </c>
      <c r="F13" s="179" t="s">
        <v>36</v>
      </c>
      <c r="G13" s="180"/>
      <c r="H13" s="181">
        <f>D29</f>
        <v>188141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/>
      <c r="D14" s="31">
        <f t="shared" si="1"/>
        <v>0</v>
      </c>
      <c r="F14" s="184" t="s">
        <v>39</v>
      </c>
      <c r="G14" s="185"/>
      <c r="H14" s="186">
        <f>D54</f>
        <v>29342.25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158798.75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50*6+50*6</f>
        <v>600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80"/>
      <c r="I19" s="280"/>
      <c r="J19" s="280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7"/>
      <c r="G22" s="73"/>
      <c r="H22" s="216"/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101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10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188141</v>
      </c>
      <c r="F29" s="202" t="s">
        <v>55</v>
      </c>
      <c r="G29" s="203"/>
      <c r="H29" s="206">
        <f>H15-H16-H17-H18-H19-H20-H22-H23-H24+H26+H27</f>
        <v>158198.75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116</v>
      </c>
      <c r="H34" s="234">
        <f>F34*G34</f>
        <v>116000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77</v>
      </c>
      <c r="H35" s="234">
        <f>F35*G35</f>
        <v>38500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234">
        <f t="shared" ref="H36:H39" si="2">F36*G36</f>
        <v>200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242</v>
      </c>
      <c r="D37" s="12">
        <f>C37*111</f>
        <v>26862</v>
      </c>
      <c r="F37" s="12">
        <v>100</v>
      </c>
      <c r="G37" s="39">
        <v>19</v>
      </c>
      <c r="H37" s="234">
        <f t="shared" si="2"/>
        <v>1900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8</v>
      </c>
      <c r="D38" s="12">
        <f>C38*84</f>
        <v>672</v>
      </c>
      <c r="F38" s="30">
        <v>50</v>
      </c>
      <c r="G38" s="39">
        <v>20</v>
      </c>
      <c r="H38" s="234">
        <f t="shared" si="2"/>
        <v>1000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8</v>
      </c>
      <c r="D40" s="12">
        <f>C40*111</f>
        <v>888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4</v>
      </c>
      <c r="D41" s="12">
        <f>C41*84</f>
        <v>336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9</v>
      </c>
      <c r="D42" s="12">
        <f>C42*2.25</f>
        <v>20.25</v>
      </c>
      <c r="F42" s="39" t="s">
        <v>79</v>
      </c>
      <c r="G42" s="234">
        <v>1104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07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4</v>
      </c>
      <c r="D46" s="12">
        <f>C46*1.5</f>
        <v>6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7</v>
      </c>
      <c r="D48" s="12">
        <f>C48*78</f>
        <v>546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158704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2</v>
      </c>
      <c r="D50" s="12">
        <f>C50*1.5</f>
        <v>3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138</v>
      </c>
      <c r="G51" s="263">
        <f>G49-H29</f>
        <v>505.25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29342.25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F7D75-7D32-4829-9924-C070FCE9C495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109" t="s">
        <v>2</v>
      </c>
      <c r="Q1" s="109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110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07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919AD-FF90-466F-B057-11ECD605056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46066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/>
      <c r="D6" s="13">
        <f t="shared" ref="D6:D28" si="1">C6*L6</f>
        <v>0</v>
      </c>
      <c r="F6" s="157" t="s">
        <v>16</v>
      </c>
      <c r="G6" s="159" t="s">
        <v>111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/>
      <c r="D8" s="13">
        <f t="shared" si="1"/>
        <v>0</v>
      </c>
      <c r="F8" s="165" t="s">
        <v>21</v>
      </c>
      <c r="G8" s="167" t="s">
        <v>111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/>
      <c r="D10" s="13">
        <f t="shared" si="1"/>
        <v>0</v>
      </c>
      <c r="F10" s="157" t="s">
        <v>26</v>
      </c>
      <c r="G10" s="173" t="s">
        <v>114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133</v>
      </c>
      <c r="C17" s="84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66"/>
      <c r="I19" s="166"/>
      <c r="J19" s="166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124</v>
      </c>
      <c r="C22" s="84"/>
      <c r="D22" s="48">
        <f t="shared" si="1"/>
        <v>0</v>
      </c>
      <c r="F22" s="77"/>
      <c r="G22" s="73"/>
      <c r="H22" s="216"/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101</v>
      </c>
      <c r="C23" s="84"/>
      <c r="D23" s="48">
        <f t="shared" si="1"/>
        <v>0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118</v>
      </c>
      <c r="C24" s="84"/>
      <c r="D24" s="48">
        <f t="shared" si="1"/>
        <v>0</v>
      </c>
      <c r="F24" s="77"/>
      <c r="G24" s="79"/>
      <c r="H24" s="269"/>
      <c r="I24" s="270"/>
      <c r="J24" s="27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132</v>
      </c>
      <c r="C26" s="84"/>
      <c r="D26" s="48">
        <f t="shared" si="1"/>
        <v>0</v>
      </c>
      <c r="F26" s="75"/>
      <c r="G26" s="65"/>
      <c r="H26" s="218"/>
      <c r="I26" s="218"/>
      <c r="J26" s="218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107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/>
      <c r="D28" s="48">
        <f t="shared" si="1"/>
        <v>0</v>
      </c>
      <c r="F28" s="110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H15-H16-H17-H18-H19-H20-H22-H23-H24+H26+H27+H28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234">
        <f t="shared" ref="H34:H39" si="2">F34*G34</f>
        <v>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>
        <f t="shared" si="2"/>
        <v>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si="2"/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>
        <f t="shared" si="2"/>
        <v>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07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85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0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E20B-2060-482A-BB29-BFD7DE4C3DA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46066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150</v>
      </c>
      <c r="D6" s="13">
        <f t="shared" ref="D6:D28" si="1">C6*L6</f>
        <v>114150</v>
      </c>
      <c r="F6" s="157" t="s">
        <v>16</v>
      </c>
      <c r="G6" s="159" t="s">
        <v>126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>
        <v>5</v>
      </c>
      <c r="D8" s="13">
        <f t="shared" si="1"/>
        <v>5465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50</v>
      </c>
      <c r="D9" s="13">
        <f t="shared" si="1"/>
        <v>36650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>
        <v>5</v>
      </c>
      <c r="D10" s="13">
        <f t="shared" si="1"/>
        <v>5160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8</v>
      </c>
      <c r="D13" s="48">
        <f t="shared" si="1"/>
        <v>2456</v>
      </c>
      <c r="F13" s="179" t="s">
        <v>36</v>
      </c>
      <c r="G13" s="180"/>
      <c r="H13" s="181">
        <f>D29</f>
        <v>163881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/>
      <c r="D14" s="31">
        <f t="shared" si="1"/>
        <v>0</v>
      </c>
      <c r="F14" s="184" t="s">
        <v>39</v>
      </c>
      <c r="G14" s="185"/>
      <c r="H14" s="186">
        <f>D54</f>
        <v>31509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132372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210*6</f>
        <v>1260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79"/>
      <c r="I19" s="279"/>
      <c r="J19" s="27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120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10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14"/>
      <c r="G27" s="14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10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163881</v>
      </c>
      <c r="F29" s="202" t="s">
        <v>55</v>
      </c>
      <c r="G29" s="203"/>
      <c r="H29" s="206">
        <f>H15-H16-H17-H18-H19-H20-H22-H23-H24+H26+H27</f>
        <v>131112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6</v>
      </c>
      <c r="D34" s="30">
        <f>C34*120</f>
        <v>720</v>
      </c>
      <c r="F34" s="12">
        <v>1000</v>
      </c>
      <c r="G34" s="74"/>
      <c r="H34" s="234">
        <f>F34*G34</f>
        <v>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>
        <f t="shared" ref="H35:H39" si="2">F35*G35</f>
        <v>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253</v>
      </c>
      <c r="D37" s="12">
        <f>C37*111</f>
        <v>28083</v>
      </c>
      <c r="F37" s="12">
        <v>100</v>
      </c>
      <c r="G37" s="39"/>
      <c r="H37" s="234">
        <f t="shared" si="2"/>
        <v>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20</v>
      </c>
      <c r="D38" s="12">
        <f>C38*84</f>
        <v>1680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07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4</v>
      </c>
      <c r="D44" s="12">
        <f>C44*120</f>
        <v>480</v>
      </c>
      <c r="F44" s="37" t="s">
        <v>145</v>
      </c>
      <c r="G44" s="62" t="s">
        <v>189</v>
      </c>
      <c r="H44" s="218">
        <v>131112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5</v>
      </c>
      <c r="D46" s="12">
        <f>C46*1.5</f>
        <v>7.5</v>
      </c>
      <c r="F46" s="37"/>
      <c r="G46" s="108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6</v>
      </c>
      <c r="D48" s="12">
        <f>C48*78</f>
        <v>468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1</v>
      </c>
      <c r="D49" s="12">
        <f>C49*42</f>
        <v>42</v>
      </c>
      <c r="F49" s="259" t="s">
        <v>86</v>
      </c>
      <c r="G49" s="206">
        <f>H34+H35+H36+H37+H38+H39+H40+H41+G42+H44+H45+H46</f>
        <v>131112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19</v>
      </c>
      <c r="D50" s="12">
        <f>C50*1.5</f>
        <v>28.5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190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31509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8CC24-E10E-43E0-8365-664FBB40ACE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46066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237</v>
      </c>
      <c r="D6" s="13">
        <f t="shared" ref="D6:D28" si="1">C6*L6</f>
        <v>180357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5</v>
      </c>
      <c r="D7" s="13">
        <f t="shared" si="1"/>
        <v>3905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6</v>
      </c>
      <c r="D9" s="13">
        <f t="shared" si="1"/>
        <v>4398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127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v>5</v>
      </c>
      <c r="D12" s="48">
        <f t="shared" si="1"/>
        <v>4960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7</v>
      </c>
      <c r="D13" s="48">
        <f t="shared" si="1"/>
        <v>2149</v>
      </c>
      <c r="F13" s="179" t="s">
        <v>36</v>
      </c>
      <c r="G13" s="180"/>
      <c r="H13" s="181">
        <f>D29</f>
        <v>195791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2</v>
      </c>
      <c r="D14" s="31">
        <f t="shared" si="1"/>
        <v>22</v>
      </c>
      <c r="F14" s="184" t="s">
        <v>39</v>
      </c>
      <c r="G14" s="185"/>
      <c r="H14" s="186">
        <f>D54</f>
        <v>24539.25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171251.75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116*6+100*6</f>
        <v>1296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193">
        <v>50</v>
      </c>
      <c r="I19" s="193"/>
      <c r="J19" s="19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7"/>
      <c r="G22" s="73"/>
      <c r="H22" s="216"/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101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10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195791</v>
      </c>
      <c r="F29" s="202" t="s">
        <v>55</v>
      </c>
      <c r="G29" s="203"/>
      <c r="H29" s="206">
        <f>H15-H16-H17-H18-H19-H20-H22-H23-H24+H26+H27</f>
        <v>169905.75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67</v>
      </c>
      <c r="H34" s="234">
        <f>F34*G34</f>
        <v>67000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30</v>
      </c>
      <c r="H35" s="234">
        <f>F35*G35</f>
        <v>15000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ref="H36:H39" si="2"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190</v>
      </c>
      <c r="D37" s="12">
        <f>C37*111</f>
        <v>21090</v>
      </c>
      <c r="F37" s="12">
        <v>100</v>
      </c>
      <c r="G37" s="39">
        <v>64</v>
      </c>
      <c r="H37" s="234">
        <f t="shared" si="2"/>
        <v>6400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11</v>
      </c>
      <c r="D38" s="12">
        <f>C38*84</f>
        <v>924</v>
      </c>
      <c r="F38" s="30">
        <v>50</v>
      </c>
      <c r="G38" s="39">
        <v>94</v>
      </c>
      <c r="H38" s="234">
        <f t="shared" si="2"/>
        <v>4700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1</v>
      </c>
      <c r="D39" s="31">
        <f>C39*4.5</f>
        <v>4.5</v>
      </c>
      <c r="F39" s="12">
        <v>20</v>
      </c>
      <c r="G39" s="37">
        <v>1</v>
      </c>
      <c r="H39" s="234">
        <f t="shared" si="2"/>
        <v>20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14</v>
      </c>
      <c r="D40" s="12">
        <f>C40*111</f>
        <v>1554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17</v>
      </c>
      <c r="D42" s="12">
        <f>C42*2.25</f>
        <v>38.25</v>
      </c>
      <c r="F42" s="39" t="s">
        <v>79</v>
      </c>
      <c r="G42" s="234">
        <v>20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07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2</v>
      </c>
      <c r="D44" s="12">
        <f>C44*120</f>
        <v>240</v>
      </c>
      <c r="F44" s="37" t="s">
        <v>145</v>
      </c>
      <c r="G44" s="76" t="s">
        <v>191</v>
      </c>
      <c r="H44" s="218">
        <v>76694.5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1</v>
      </c>
      <c r="D46" s="12">
        <f>C46*1.5</f>
        <v>1.5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7</v>
      </c>
      <c r="D49" s="12">
        <f>C49*42</f>
        <v>294</v>
      </c>
      <c r="F49" s="259" t="s">
        <v>86</v>
      </c>
      <c r="G49" s="206">
        <f>H34+H35+H36+H37+H38+H39+H40+H41+G42+H44+H45+H46</f>
        <v>169834.5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2</v>
      </c>
      <c r="D50" s="12">
        <f>C50*1.5</f>
        <v>3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-71.25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24539.25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1863D-4E44-4ED9-A9B2-787A90D8C4A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113" t="s">
        <v>2</v>
      </c>
      <c r="Q1" s="11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114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5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17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50BE-690F-4CD6-BE8E-194C644FC3DF}">
  <dimension ref="A1:R59"/>
  <sheetViews>
    <sheetView zoomScaleNormal="100" zoomScaleSheetLayoutView="85" workbookViewId="0">
      <selection activeCell="G8" sqref="G8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13" t="s">
        <v>2</v>
      </c>
      <c r="Q1" s="11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46067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>
        <v>323</v>
      </c>
      <c r="D6" s="13">
        <f t="shared" ref="D6:D28" si="1">C6*L6</f>
        <v>245803</v>
      </c>
      <c r="F6" s="157" t="s">
        <v>16</v>
      </c>
      <c r="G6" s="159" t="s">
        <v>111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>
        <v>61</v>
      </c>
      <c r="D8" s="13">
        <f t="shared" si="1"/>
        <v>66673</v>
      </c>
      <c r="F8" s="165" t="s">
        <v>21</v>
      </c>
      <c r="G8" s="167" t="s">
        <v>144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>
        <v>40</v>
      </c>
      <c r="D9" s="13">
        <f t="shared" si="1"/>
        <v>29320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/>
      <c r="D10" s="13">
        <f t="shared" si="1"/>
        <v>0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>
        <v>3</v>
      </c>
      <c r="D11" s="13">
        <f t="shared" si="1"/>
        <v>3510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>
        <v>5</v>
      </c>
      <c r="D12" s="48">
        <f t="shared" si="1"/>
        <v>4960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>
        <v>2</v>
      </c>
      <c r="D13" s="48">
        <f t="shared" si="1"/>
        <v>614</v>
      </c>
      <c r="F13" s="179" t="s">
        <v>36</v>
      </c>
      <c r="G13" s="180"/>
      <c r="H13" s="181">
        <f>D29</f>
        <v>354408.66666666669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>
        <v>13</v>
      </c>
      <c r="D14" s="31">
        <f t="shared" si="1"/>
        <v>143</v>
      </c>
      <c r="F14" s="184" t="s">
        <v>39</v>
      </c>
      <c r="G14" s="185"/>
      <c r="H14" s="186">
        <f>D54</f>
        <v>50364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>
        <v>1</v>
      </c>
      <c r="D15" s="31">
        <f t="shared" si="1"/>
        <v>620</v>
      </c>
      <c r="F15" s="189" t="s">
        <v>40</v>
      </c>
      <c r="G15" s="180"/>
      <c r="H15" s="190">
        <f>H13-H14</f>
        <v>304044.66666666669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133</v>
      </c>
      <c r="C17" s="84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>
        <v>2</v>
      </c>
      <c r="D18" s="48">
        <f t="shared" si="1"/>
        <v>1240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93">
        <v>50</v>
      </c>
      <c r="I19" s="193"/>
      <c r="J19" s="193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>
        <v>2</v>
      </c>
      <c r="D21" s="48">
        <f t="shared" si="1"/>
        <v>1300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124</v>
      </c>
      <c r="C22" s="84"/>
      <c r="D22" s="48">
        <f t="shared" si="1"/>
        <v>0</v>
      </c>
      <c r="F22" s="77"/>
      <c r="G22" s="73"/>
      <c r="H22" s="216"/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101</v>
      </c>
      <c r="C23" s="84"/>
      <c r="D23" s="48">
        <f t="shared" si="1"/>
        <v>0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192</v>
      </c>
      <c r="C24" s="84">
        <v>2</v>
      </c>
      <c r="D24" s="48">
        <f t="shared" si="1"/>
        <v>225.66666666666666</v>
      </c>
      <c r="F24" s="77"/>
      <c r="G24" s="79"/>
      <c r="H24" s="269"/>
      <c r="I24" s="270"/>
      <c r="J24" s="270"/>
      <c r="L24" s="47">
        <f>650/6+4.5</f>
        <v>112.83333333333333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132</v>
      </c>
      <c r="C26" s="84"/>
      <c r="D26" s="48">
        <f t="shared" si="1"/>
        <v>0</v>
      </c>
      <c r="F26" s="75"/>
      <c r="G26" s="65"/>
      <c r="H26" s="218"/>
      <c r="I26" s="218"/>
      <c r="J26" s="218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117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/>
      <c r="D28" s="48">
        <f t="shared" si="1"/>
        <v>0</v>
      </c>
      <c r="F28" s="114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354408.66666666669</v>
      </c>
      <c r="F29" s="202" t="s">
        <v>55</v>
      </c>
      <c r="G29" s="203"/>
      <c r="H29" s="206">
        <f>H15-H16-H17-H18-H19-H20-H22-H23-H24+H26+H27+H28</f>
        <v>303994.66666666669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5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40">
        <v>145</v>
      </c>
      <c r="H34" s="234">
        <f t="shared" ref="H34:H39" si="2">F34*G34</f>
        <v>145000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20</v>
      </c>
      <c r="H35" s="234">
        <f t="shared" si="2"/>
        <v>10000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>
        <v>2</v>
      </c>
      <c r="D36" s="12">
        <f>C36*1.5</f>
        <v>3</v>
      </c>
      <c r="F36" s="12">
        <v>200</v>
      </c>
      <c r="G36" s="37"/>
      <c r="H36" s="234">
        <f t="shared" si="2"/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369</v>
      </c>
      <c r="D37" s="12">
        <f>C37*111</f>
        <v>40959</v>
      </c>
      <c r="F37" s="12">
        <v>100</v>
      </c>
      <c r="G37" s="39">
        <v>7</v>
      </c>
      <c r="H37" s="234">
        <f t="shared" si="2"/>
        <v>700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3</v>
      </c>
      <c r="D38" s="12">
        <f>C38*84</f>
        <v>252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2</v>
      </c>
      <c r="D40" s="12">
        <f>C40*111</f>
        <v>222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>
        <v>15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17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62</v>
      </c>
      <c r="D44" s="12">
        <f>C44*120</f>
        <v>7440</v>
      </c>
      <c r="F44" s="37" t="s">
        <v>146</v>
      </c>
      <c r="G44" s="85" t="s">
        <v>182</v>
      </c>
      <c r="H44" s="218">
        <v>76502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10</v>
      </c>
      <c r="D45" s="12">
        <f>C45*84</f>
        <v>840</v>
      </c>
      <c r="F45" s="37" t="s">
        <v>160</v>
      </c>
      <c r="G45" s="96" t="s">
        <v>193</v>
      </c>
      <c r="H45" s="218">
        <v>71750</v>
      </c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22</v>
      </c>
      <c r="D46" s="12">
        <f>C46*1.5</f>
        <v>33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303967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23</v>
      </c>
      <c r="D50" s="12">
        <f>C50*1.5</f>
        <v>34.5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-27.666666666686069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50364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917B-09A1-4587-AA32-31A51FAA31CC}">
  <dimension ref="A1:R59"/>
  <sheetViews>
    <sheetView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13" t="s">
        <v>2</v>
      </c>
      <c r="Q1" s="11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46067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309</v>
      </c>
      <c r="D6" s="13">
        <f t="shared" ref="D6:D28" si="1">C6*L6</f>
        <v>235149</v>
      </c>
      <c r="F6" s="157" t="s">
        <v>16</v>
      </c>
      <c r="G6" s="159" t="s">
        <v>126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5</v>
      </c>
      <c r="D7" s="13">
        <f t="shared" si="1"/>
        <v>3905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>
        <v>1</v>
      </c>
      <c r="D8" s="13">
        <f t="shared" si="1"/>
        <v>1093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114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6</v>
      </c>
      <c r="D13" s="48">
        <f t="shared" si="1"/>
        <v>1842</v>
      </c>
      <c r="F13" s="179" t="s">
        <v>36</v>
      </c>
      <c r="G13" s="180"/>
      <c r="H13" s="181">
        <f>D29</f>
        <v>242774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15</v>
      </c>
      <c r="D14" s="31">
        <f t="shared" si="1"/>
        <v>165</v>
      </c>
      <c r="F14" s="184" t="s">
        <v>39</v>
      </c>
      <c r="G14" s="185"/>
      <c r="H14" s="186">
        <f>D54</f>
        <v>33110.25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>
        <v>1</v>
      </c>
      <c r="D15" s="31">
        <f t="shared" si="1"/>
        <v>620</v>
      </c>
      <c r="F15" s="189" t="s">
        <v>40</v>
      </c>
      <c r="G15" s="180"/>
      <c r="H15" s="190">
        <f>H13-H14</f>
        <v>209663.75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216*6</f>
        <v>1296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79"/>
      <c r="I19" s="279"/>
      <c r="J19" s="27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120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10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14"/>
      <c r="G27" s="14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14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242774</v>
      </c>
      <c r="F29" s="202" t="s">
        <v>55</v>
      </c>
      <c r="G29" s="203"/>
      <c r="H29" s="206">
        <f>H15-H16-H17-H18-H19-H20-H22-H23-H24+H26+H27</f>
        <v>208367.75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5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50</v>
      </c>
      <c r="H34" s="234">
        <f>F34*G34</f>
        <v>50000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25</v>
      </c>
      <c r="H35" s="234">
        <f t="shared" ref="H35:H39" si="2">F35*G35</f>
        <v>12500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234">
        <f>F36*G36</f>
        <v>200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286</v>
      </c>
      <c r="D37" s="12">
        <f>C37*111</f>
        <v>31746</v>
      </c>
      <c r="F37" s="12">
        <v>100</v>
      </c>
      <c r="G37" s="39">
        <v>26</v>
      </c>
      <c r="H37" s="234">
        <f t="shared" si="2"/>
        <v>2600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8</v>
      </c>
      <c r="H38" s="234">
        <f t="shared" si="2"/>
        <v>400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6</v>
      </c>
      <c r="D40" s="12">
        <f>C40*111</f>
        <v>666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11</v>
      </c>
      <c r="D42" s="12">
        <f>C42*2.25</f>
        <v>24.75</v>
      </c>
      <c r="F42" s="39" t="s">
        <v>79</v>
      </c>
      <c r="G42" s="234">
        <v>5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17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1</v>
      </c>
      <c r="D44" s="12">
        <f>C44*120</f>
        <v>120</v>
      </c>
      <c r="F44" s="37" t="s">
        <v>145</v>
      </c>
      <c r="G44" s="62" t="s">
        <v>194</v>
      </c>
      <c r="H44" s="218">
        <v>142807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1</v>
      </c>
      <c r="D45" s="12">
        <f>C45*84</f>
        <v>84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116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1</v>
      </c>
      <c r="D49" s="12">
        <f>C49*42</f>
        <v>42</v>
      </c>
      <c r="F49" s="259" t="s">
        <v>86</v>
      </c>
      <c r="G49" s="206">
        <f>H34+H35+H36+H37+H38+H39+H40+H41+G42+H44+H45+H46</f>
        <v>208512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15</v>
      </c>
      <c r="D50" s="12">
        <f>C50*1.5</f>
        <v>22.5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135</v>
      </c>
      <c r="G51" s="263">
        <f>G49-H29</f>
        <v>144.25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33110.25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CC24-2C4D-4035-B95B-AD3D0CC178D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13" t="s">
        <v>2</v>
      </c>
      <c r="Q1" s="11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46067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328</v>
      </c>
      <c r="D6" s="13">
        <f t="shared" ref="D6:D28" si="1">C6*L6</f>
        <v>249608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8</v>
      </c>
      <c r="D7" s="13">
        <f t="shared" si="1"/>
        <v>6248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30</v>
      </c>
      <c r="D9" s="13">
        <f t="shared" si="1"/>
        <v>21990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127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v>3</v>
      </c>
      <c r="D12" s="48">
        <f t="shared" si="1"/>
        <v>2976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8</v>
      </c>
      <c r="D13" s="48">
        <f t="shared" si="1"/>
        <v>2456</v>
      </c>
      <c r="F13" s="179" t="s">
        <v>36</v>
      </c>
      <c r="G13" s="180"/>
      <c r="H13" s="181">
        <f>D29</f>
        <v>283410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12</v>
      </c>
      <c r="D14" s="31">
        <f t="shared" si="1"/>
        <v>132</v>
      </c>
      <c r="F14" s="184" t="s">
        <v>39</v>
      </c>
      <c r="G14" s="185"/>
      <c r="H14" s="186">
        <f>D54</f>
        <v>45153.75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238256.25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138*6+50*6+108*6</f>
        <v>1776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80"/>
      <c r="I19" s="280"/>
      <c r="J19" s="280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7"/>
      <c r="G22" s="73"/>
      <c r="H22" s="216"/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101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14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283410</v>
      </c>
      <c r="F29" s="202" t="s">
        <v>55</v>
      </c>
      <c r="G29" s="203"/>
      <c r="H29" s="206">
        <f>H15-H16-H17-H18-H19-H20-H22-H23-H24+H26+H27</f>
        <v>236480.25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5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109</v>
      </c>
      <c r="H34" s="234">
        <f>F34*G34</f>
        <v>109000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112</v>
      </c>
      <c r="H35" s="234">
        <f>F35*G35</f>
        <v>56000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ref="H36:H39" si="2"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387</v>
      </c>
      <c r="D37" s="12">
        <f>C37*111</f>
        <v>42957</v>
      </c>
      <c r="F37" s="12">
        <v>100</v>
      </c>
      <c r="G37" s="39"/>
      <c r="H37" s="234">
        <f t="shared" si="2"/>
        <v>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10</v>
      </c>
      <c r="D38" s="12">
        <f>C38*84</f>
        <v>840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3</v>
      </c>
      <c r="D40" s="12">
        <f>C40*111</f>
        <v>333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11</v>
      </c>
      <c r="D42" s="12">
        <f>C42*2.25</f>
        <v>24.75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17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1</v>
      </c>
      <c r="D44" s="12">
        <f>C44*120</f>
        <v>120</v>
      </c>
      <c r="F44" s="37" t="s">
        <v>146</v>
      </c>
      <c r="G44" s="76" t="s">
        <v>195</v>
      </c>
      <c r="H44" s="218">
        <v>70468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1</v>
      </c>
      <c r="D45" s="12">
        <f>C45*84</f>
        <v>84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9</v>
      </c>
      <c r="D46" s="12">
        <f>C46*1.5</f>
        <v>13.5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7</v>
      </c>
      <c r="D48" s="12">
        <f>C48*78</f>
        <v>546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3</v>
      </c>
      <c r="D49" s="12">
        <f>C49*42</f>
        <v>126</v>
      </c>
      <c r="F49" s="259" t="s">
        <v>86</v>
      </c>
      <c r="G49" s="206">
        <f>H34+H35+H36+H37+H38+H39+H40+H41+G42+H44+H45+H46</f>
        <v>235468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11</v>
      </c>
      <c r="D50" s="12">
        <f>C50*1.5</f>
        <v>16.5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-1012.25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45153.75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1D08-8380-493E-98F1-20EE02AD07D6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113" t="s">
        <v>2</v>
      </c>
      <c r="Q1" s="11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114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5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17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DBD59-7E14-457D-A573-6773418C2521}">
  <dimension ref="A1:R59"/>
  <sheetViews>
    <sheetView zoomScaleNormal="100" zoomScaleSheetLayoutView="85" workbookViewId="0">
      <selection activeCell="G8" sqref="G8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13" t="s">
        <v>2</v>
      </c>
      <c r="Q1" s="11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46069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>
        <v>287</v>
      </c>
      <c r="D6" s="13">
        <f t="shared" ref="D6:D28" si="1">C6*L6</f>
        <v>218407</v>
      </c>
      <c r="F6" s="157" t="s">
        <v>16</v>
      </c>
      <c r="G6" s="159" t="s">
        <v>111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>
        <v>2</v>
      </c>
      <c r="D7" s="13">
        <f t="shared" si="1"/>
        <v>1562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/>
      <c r="D8" s="13">
        <f t="shared" si="1"/>
        <v>0</v>
      </c>
      <c r="F8" s="165" t="s">
        <v>21</v>
      </c>
      <c r="G8" s="167" t="s">
        <v>144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>
        <v>118</v>
      </c>
      <c r="D9" s="13">
        <f t="shared" si="1"/>
        <v>86494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>
        <v>5</v>
      </c>
      <c r="D10" s="13">
        <f t="shared" si="1"/>
        <v>5160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>
        <v>9</v>
      </c>
      <c r="D12" s="48">
        <f t="shared" si="1"/>
        <v>8928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>
        <v>13</v>
      </c>
      <c r="D13" s="48">
        <f t="shared" si="1"/>
        <v>3991</v>
      </c>
      <c r="F13" s="179" t="s">
        <v>36</v>
      </c>
      <c r="G13" s="180"/>
      <c r="H13" s="181">
        <f>D29</f>
        <v>324575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>
        <v>3</v>
      </c>
      <c r="D14" s="31">
        <f t="shared" si="1"/>
        <v>33</v>
      </c>
      <c r="F14" s="184" t="s">
        <v>39</v>
      </c>
      <c r="G14" s="185"/>
      <c r="H14" s="186">
        <f>D54</f>
        <v>46686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/>
      <c r="D15" s="31">
        <f t="shared" si="1"/>
        <v>0</v>
      </c>
      <c r="F15" s="189" t="s">
        <v>40</v>
      </c>
      <c r="G15" s="180"/>
      <c r="H15" s="190">
        <f>H13-H14</f>
        <v>277889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93">
        <f>7*6+339*6</f>
        <v>2076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133</v>
      </c>
      <c r="C17" s="84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66"/>
      <c r="I19" s="166"/>
      <c r="J19" s="166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124</v>
      </c>
      <c r="C22" s="84"/>
      <c r="D22" s="48">
        <f t="shared" si="1"/>
        <v>0</v>
      </c>
      <c r="F22" s="77"/>
      <c r="G22" s="73"/>
      <c r="H22" s="216"/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101</v>
      </c>
      <c r="C23" s="84"/>
      <c r="D23" s="48">
        <f t="shared" si="1"/>
        <v>0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118</v>
      </c>
      <c r="C24" s="84"/>
      <c r="D24" s="48">
        <f t="shared" si="1"/>
        <v>0</v>
      </c>
      <c r="F24" s="77"/>
      <c r="G24" s="79"/>
      <c r="H24" s="269"/>
      <c r="I24" s="270"/>
      <c r="J24" s="27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132</v>
      </c>
      <c r="C26" s="84"/>
      <c r="D26" s="48">
        <f t="shared" si="1"/>
        <v>0</v>
      </c>
      <c r="F26" s="75"/>
      <c r="G26" s="65"/>
      <c r="H26" s="218"/>
      <c r="I26" s="218"/>
      <c r="J26" s="218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117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/>
      <c r="D28" s="48">
        <f t="shared" si="1"/>
        <v>0</v>
      </c>
      <c r="F28" s="114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324575</v>
      </c>
      <c r="F29" s="202" t="s">
        <v>55</v>
      </c>
      <c r="G29" s="203"/>
      <c r="H29" s="206">
        <f>H15-H16-H17-H18-H19-H20-H22-H23-H24+H26+H27+H28</f>
        <v>275813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5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4</v>
      </c>
      <c r="D34" s="30">
        <f>C34*120</f>
        <v>480</v>
      </c>
      <c r="F34" s="12">
        <v>1000</v>
      </c>
      <c r="G34" s="40">
        <v>42</v>
      </c>
      <c r="H34" s="234">
        <f t="shared" ref="H34:H39" si="2">F34*G34</f>
        <v>42000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23</v>
      </c>
      <c r="H35" s="234">
        <f t="shared" si="2"/>
        <v>11500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si="2"/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396</v>
      </c>
      <c r="D37" s="12">
        <f>C37*111</f>
        <v>43956</v>
      </c>
      <c r="F37" s="12">
        <v>100</v>
      </c>
      <c r="G37" s="39">
        <v>4</v>
      </c>
      <c r="H37" s="234">
        <f t="shared" si="2"/>
        <v>400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13</v>
      </c>
      <c r="D38" s="12">
        <f>C38*84</f>
        <v>1092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6</v>
      </c>
      <c r="D40" s="12">
        <f>C40*111</f>
        <v>666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2</v>
      </c>
      <c r="D42" s="12">
        <f>C42*2.25</f>
        <v>4.5</v>
      </c>
      <c r="F42" s="39" t="s">
        <v>79</v>
      </c>
      <c r="G42" s="234">
        <v>33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17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1</v>
      </c>
      <c r="D44" s="12">
        <f>C44*120</f>
        <v>120</v>
      </c>
      <c r="F44" s="37" t="s">
        <v>145</v>
      </c>
      <c r="G44" s="62" t="s">
        <v>196</v>
      </c>
      <c r="H44" s="218">
        <v>222536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1</v>
      </c>
      <c r="D45" s="12">
        <f>C45*84</f>
        <v>84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11</v>
      </c>
      <c r="D46" s="12">
        <f>C46*1.5</f>
        <v>16.5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276469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16</v>
      </c>
      <c r="D50" s="12">
        <f>C50*1.5</f>
        <v>24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138</v>
      </c>
      <c r="G51" s="263">
        <f>G49-H29</f>
        <v>656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46686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FDF5B-7085-4B1C-B7E8-53C859FB26CA}">
  <dimension ref="A1:R59"/>
  <sheetViews>
    <sheetView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13" t="s">
        <v>2</v>
      </c>
      <c r="Q1" s="11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46069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439</v>
      </c>
      <c r="D6" s="13">
        <f t="shared" ref="D6:D28" si="1">C6*L6</f>
        <v>334079</v>
      </c>
      <c r="F6" s="157" t="s">
        <v>16</v>
      </c>
      <c r="G6" s="159" t="s">
        <v>126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114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v>3</v>
      </c>
      <c r="D12" s="48">
        <f t="shared" si="1"/>
        <v>2976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15</v>
      </c>
      <c r="D13" s="48">
        <f t="shared" si="1"/>
        <v>4605</v>
      </c>
      <c r="F13" s="179" t="s">
        <v>36</v>
      </c>
      <c r="G13" s="180"/>
      <c r="H13" s="181">
        <f>D29</f>
        <v>341726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6</v>
      </c>
      <c r="D14" s="31">
        <f t="shared" si="1"/>
        <v>66</v>
      </c>
      <c r="F14" s="184" t="s">
        <v>39</v>
      </c>
      <c r="G14" s="185"/>
      <c r="H14" s="186">
        <f>D54</f>
        <v>49630.5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292095.5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435*6</f>
        <v>2610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79"/>
      <c r="I19" s="279"/>
      <c r="J19" s="27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120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10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14"/>
      <c r="G27" s="14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14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341726</v>
      </c>
      <c r="F29" s="202" t="s">
        <v>55</v>
      </c>
      <c r="G29" s="203"/>
      <c r="H29" s="206">
        <f>H15-H16-H17-H18-H19-H20-H22-H23-H24+H26+H27</f>
        <v>289485.5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5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289</v>
      </c>
      <c r="H34" s="234">
        <f>F34*G34</f>
        <v>289000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>
        <f t="shared" ref="H35:H39" si="2">F35*G35</f>
        <v>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439</v>
      </c>
      <c r="D37" s="12">
        <f>C37*111</f>
        <v>48729</v>
      </c>
      <c r="F37" s="12">
        <v>100</v>
      </c>
      <c r="G37" s="39"/>
      <c r="H37" s="234">
        <f t="shared" si="2"/>
        <v>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>
        <v>1</v>
      </c>
      <c r="H38" s="234">
        <f t="shared" si="2"/>
        <v>50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>
        <v>18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17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1</v>
      </c>
      <c r="D44" s="12">
        <f>C44*120</f>
        <v>120</v>
      </c>
      <c r="F44" s="37"/>
      <c r="G44" s="62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1</v>
      </c>
      <c r="D45" s="12">
        <f>C45*84</f>
        <v>84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10</v>
      </c>
      <c r="D46" s="12">
        <f>C46*1.5</f>
        <v>15</v>
      </c>
      <c r="F46" s="37"/>
      <c r="G46" s="116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2</v>
      </c>
      <c r="D48" s="12">
        <f>C48*78</f>
        <v>156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12</v>
      </c>
      <c r="D49" s="12">
        <f>C49*42</f>
        <v>504</v>
      </c>
      <c r="F49" s="259" t="s">
        <v>86</v>
      </c>
      <c r="G49" s="206">
        <f>H34+H35+H36+H37+H38+H39+H40+H41+G42+H44+H45+H46</f>
        <v>289068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15</v>
      </c>
      <c r="D50" s="12">
        <f>C50*1.5</f>
        <v>22.5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155</v>
      </c>
      <c r="G51" s="273">
        <f>G49-H29</f>
        <v>-417.5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49630.5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A34BA-DAD0-4841-8D3B-7E376C61518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13" t="s">
        <v>2</v>
      </c>
      <c r="Q1" s="11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46069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303</v>
      </c>
      <c r="D6" s="13">
        <f t="shared" ref="D6:D28" si="1">C6*L6</f>
        <v>230583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45</v>
      </c>
      <c r="D9" s="13">
        <f t="shared" si="1"/>
        <v>32985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127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v>1</v>
      </c>
      <c r="D12" s="48">
        <f t="shared" si="1"/>
        <v>992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10</v>
      </c>
      <c r="D13" s="48">
        <f t="shared" si="1"/>
        <v>3070</v>
      </c>
      <c r="F13" s="179" t="s">
        <v>36</v>
      </c>
      <c r="G13" s="180"/>
      <c r="H13" s="181">
        <f>D29</f>
        <v>269624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4</v>
      </c>
      <c r="D14" s="31">
        <f t="shared" si="1"/>
        <v>44</v>
      </c>
      <c r="F14" s="184" t="s">
        <v>39</v>
      </c>
      <c r="G14" s="185"/>
      <c r="H14" s="186">
        <f>D54</f>
        <v>39777.75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229846.25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160*6</f>
        <v>960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80">
        <v>50</v>
      </c>
      <c r="I19" s="280"/>
      <c r="J19" s="280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>
        <v>3</v>
      </c>
      <c r="D21" s="48">
        <f t="shared" si="1"/>
        <v>1950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7"/>
      <c r="G22" s="73"/>
      <c r="H22" s="216"/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101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14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269624</v>
      </c>
      <c r="F29" s="202" t="s">
        <v>55</v>
      </c>
      <c r="G29" s="203"/>
      <c r="H29" s="206">
        <f>H15-H16-H17-H18-H19-H20-H22-H23-H24+H26+H27</f>
        <v>228836.25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5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50</v>
      </c>
      <c r="H34" s="234">
        <f>F34*G34</f>
        <v>50000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3</v>
      </c>
      <c r="H35" s="234">
        <f>F35*G35</f>
        <v>1500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>
        <v>21</v>
      </c>
      <c r="D36" s="12">
        <f>C36*1.5</f>
        <v>31.5</v>
      </c>
      <c r="F36" s="12">
        <v>200</v>
      </c>
      <c r="G36" s="37"/>
      <c r="H36" s="234">
        <f t="shared" ref="H36:H39" si="2"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346</v>
      </c>
      <c r="D37" s="12">
        <f>C37*111</f>
        <v>38406</v>
      </c>
      <c r="F37" s="12">
        <v>100</v>
      </c>
      <c r="G37" s="39"/>
      <c r="H37" s="234">
        <f t="shared" si="2"/>
        <v>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2</v>
      </c>
      <c r="D40" s="12">
        <f>C40*111</f>
        <v>222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11</v>
      </c>
      <c r="D42" s="12">
        <f>C42*2.25</f>
        <v>24.75</v>
      </c>
      <c r="F42" s="39" t="s">
        <v>79</v>
      </c>
      <c r="G42" s="234">
        <v>30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17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1</v>
      </c>
      <c r="D44" s="12">
        <f>C44*120</f>
        <v>120</v>
      </c>
      <c r="F44" s="37" t="s">
        <v>145</v>
      </c>
      <c r="G44" s="76" t="s">
        <v>197</v>
      </c>
      <c r="H44" s="218">
        <v>105096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97" t="s">
        <v>148</v>
      </c>
      <c r="G45" s="76" t="s">
        <v>198</v>
      </c>
      <c r="H45" s="218">
        <v>72320</v>
      </c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6</v>
      </c>
      <c r="D48" s="12">
        <f>C48*78</f>
        <v>468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5</v>
      </c>
      <c r="D49" s="12">
        <f>C49*42</f>
        <v>210</v>
      </c>
      <c r="F49" s="259" t="s">
        <v>86</v>
      </c>
      <c r="G49" s="206">
        <f>H34+H35+H36+H37+H38+H39+H40+H41+G42+H44+H45+H46</f>
        <v>228946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5</v>
      </c>
      <c r="D50" s="12">
        <f>C50*1.5</f>
        <v>7.5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138</v>
      </c>
      <c r="G51" s="263">
        <f>G49-H29</f>
        <v>109.75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39777.75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588B-E0E6-47F0-B427-8EC7A13FEDBF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113" t="s">
        <v>2</v>
      </c>
      <c r="Q1" s="11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114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5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17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E10BC-5765-49AE-9347-93B02498C91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13" t="s">
        <v>2</v>
      </c>
      <c r="Q1" s="11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46070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>
        <v>303</v>
      </c>
      <c r="D6" s="13">
        <f t="shared" ref="D6:D28" si="1">C6*L6</f>
        <v>230583</v>
      </c>
      <c r="F6" s="157" t="s">
        <v>16</v>
      </c>
      <c r="G6" s="159" t="s">
        <v>111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>
        <v>6</v>
      </c>
      <c r="D7" s="13">
        <f t="shared" si="1"/>
        <v>4686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/>
      <c r="D8" s="13">
        <f t="shared" si="1"/>
        <v>0</v>
      </c>
      <c r="F8" s="165" t="s">
        <v>21</v>
      </c>
      <c r="G8" s="167" t="s">
        <v>144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>
        <v>28</v>
      </c>
      <c r="D9" s="13">
        <f t="shared" si="1"/>
        <v>20524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/>
      <c r="D10" s="13">
        <f t="shared" si="1"/>
        <v>0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>
        <v>2</v>
      </c>
      <c r="D13" s="48">
        <f t="shared" si="1"/>
        <v>614</v>
      </c>
      <c r="F13" s="179" t="s">
        <v>36</v>
      </c>
      <c r="G13" s="180"/>
      <c r="H13" s="181">
        <f>D29</f>
        <v>256495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>
        <v>8</v>
      </c>
      <c r="D14" s="31">
        <f t="shared" si="1"/>
        <v>88</v>
      </c>
      <c r="F14" s="184" t="s">
        <v>39</v>
      </c>
      <c r="G14" s="185"/>
      <c r="H14" s="186">
        <f>D54</f>
        <v>37728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/>
      <c r="D15" s="31">
        <f t="shared" si="1"/>
        <v>0</v>
      </c>
      <c r="F15" s="189" t="s">
        <v>40</v>
      </c>
      <c r="G15" s="180"/>
      <c r="H15" s="190">
        <f>H13-H14</f>
        <v>218767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133</v>
      </c>
      <c r="C17" s="84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93">
        <v>50</v>
      </c>
      <c r="I19" s="193"/>
      <c r="J19" s="193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124</v>
      </c>
      <c r="C22" s="84"/>
      <c r="D22" s="48">
        <f t="shared" si="1"/>
        <v>0</v>
      </c>
      <c r="F22" s="77"/>
      <c r="G22" s="73"/>
      <c r="H22" s="216"/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101</v>
      </c>
      <c r="C23" s="84"/>
      <c r="D23" s="48">
        <f t="shared" si="1"/>
        <v>0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118</v>
      </c>
      <c r="C24" s="84"/>
      <c r="D24" s="48">
        <f t="shared" si="1"/>
        <v>0</v>
      </c>
      <c r="F24" s="77"/>
      <c r="G24" s="79"/>
      <c r="H24" s="269"/>
      <c r="I24" s="270"/>
      <c r="J24" s="27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132</v>
      </c>
      <c r="C26" s="84"/>
      <c r="D26" s="48">
        <f t="shared" si="1"/>
        <v>0</v>
      </c>
      <c r="F26" s="75"/>
      <c r="G26" s="65"/>
      <c r="H26" s="218"/>
      <c r="I26" s="218"/>
      <c r="J26" s="218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117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/>
      <c r="D28" s="48">
        <f t="shared" si="1"/>
        <v>0</v>
      </c>
      <c r="F28" s="114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256495</v>
      </c>
      <c r="F29" s="202" t="s">
        <v>55</v>
      </c>
      <c r="G29" s="203"/>
      <c r="H29" s="206">
        <f>H15-H16-H17-H18-H19-H20-H22-H23-H24+H26+H27+H28</f>
        <v>218717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5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85</v>
      </c>
      <c r="H34" s="234">
        <f t="shared" ref="H34:H39" si="2">F34*G34</f>
        <v>85000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29</v>
      </c>
      <c r="H35" s="234">
        <f t="shared" si="2"/>
        <v>14500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234">
        <f t="shared" si="2"/>
        <v>200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330</v>
      </c>
      <c r="D37" s="12">
        <f>C37*111</f>
        <v>36630</v>
      </c>
      <c r="F37" s="12">
        <v>100</v>
      </c>
      <c r="G37" s="39">
        <v>100</v>
      </c>
      <c r="H37" s="234">
        <f t="shared" si="2"/>
        <v>10000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1</v>
      </c>
      <c r="D38" s="12">
        <f>C38*84</f>
        <v>84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7</v>
      </c>
      <c r="D40" s="12">
        <f>C40*111</f>
        <v>777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2</v>
      </c>
      <c r="D42" s="12">
        <f>C42*2.25</f>
        <v>4.5</v>
      </c>
      <c r="F42" s="39" t="s">
        <v>79</v>
      </c>
      <c r="G42" s="234">
        <v>2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17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 t="s">
        <v>160</v>
      </c>
      <c r="G44" s="96" t="s">
        <v>199</v>
      </c>
      <c r="H44" s="218">
        <v>64440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 t="s">
        <v>146</v>
      </c>
      <c r="G45" s="85" t="s">
        <v>182</v>
      </c>
      <c r="H45" s="218">
        <v>44600</v>
      </c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2</v>
      </c>
      <c r="D48" s="12">
        <f>C48*78</f>
        <v>156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1</v>
      </c>
      <c r="D49" s="12">
        <f>C49*42</f>
        <v>42</v>
      </c>
      <c r="F49" s="259" t="s">
        <v>86</v>
      </c>
      <c r="G49" s="206">
        <f>H34+H35+H36+H37+H38+H39+H40+H41+G42+H44+H45+H46</f>
        <v>218742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17</v>
      </c>
      <c r="D50" s="12">
        <f>C50*1.5</f>
        <v>25.5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138</v>
      </c>
      <c r="G51" s="263">
        <f>G49-H29</f>
        <v>25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37728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C6500-F270-49BF-BBB4-116CDFCAC504}">
  <dimension ref="A1:R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13" t="s">
        <v>2</v>
      </c>
      <c r="Q1" s="11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46070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292</v>
      </c>
      <c r="D6" s="13">
        <f t="shared" ref="D6:D28" si="1">C6*L6</f>
        <v>222212</v>
      </c>
      <c r="F6" s="157" t="s">
        <v>16</v>
      </c>
      <c r="G6" s="159" t="s">
        <v>126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2</v>
      </c>
      <c r="D7" s="13">
        <f t="shared" si="1"/>
        <v>1562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23</v>
      </c>
      <c r="D9" s="13">
        <f t="shared" si="1"/>
        <v>16859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114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f>1+1</f>
        <v>2</v>
      </c>
      <c r="D12" s="48">
        <f t="shared" si="1"/>
        <v>1984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6</v>
      </c>
      <c r="D13" s="48">
        <f t="shared" si="1"/>
        <v>1842</v>
      </c>
      <c r="F13" s="179" t="s">
        <v>36</v>
      </c>
      <c r="G13" s="180"/>
      <c r="H13" s="181">
        <f>D29</f>
        <v>245825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6</v>
      </c>
      <c r="D14" s="31">
        <f t="shared" si="1"/>
        <v>66</v>
      </c>
      <c r="F14" s="184" t="s">
        <v>39</v>
      </c>
      <c r="G14" s="185"/>
      <c r="H14" s="186">
        <f>D54</f>
        <v>35950.5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209874.5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100*6</f>
        <v>600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79"/>
      <c r="I19" s="279"/>
      <c r="J19" s="27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>
        <v>2</v>
      </c>
      <c r="D21" s="48">
        <f t="shared" si="1"/>
        <v>1300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120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10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14"/>
      <c r="G27" s="14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14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245825</v>
      </c>
      <c r="F29" s="202" t="s">
        <v>55</v>
      </c>
      <c r="G29" s="203"/>
      <c r="H29" s="206">
        <f>H15-H16-H17-H18-H19-H20-H22-H23-H24+H26+H27</f>
        <v>209274.5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5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179</v>
      </c>
      <c r="H34" s="234">
        <f>F34*G34</f>
        <v>179000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58</v>
      </c>
      <c r="H35" s="234">
        <f t="shared" ref="H35:H39" si="2">F35*G35</f>
        <v>29000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311</v>
      </c>
      <c r="D37" s="12">
        <f>C37*111</f>
        <v>34521</v>
      </c>
      <c r="F37" s="12">
        <v>100</v>
      </c>
      <c r="G37" s="39"/>
      <c r="H37" s="234">
        <f t="shared" si="2"/>
        <v>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7</v>
      </c>
      <c r="D38" s="12">
        <f>C38*84</f>
        <v>588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10</v>
      </c>
      <c r="D42" s="12">
        <f>C42*2.25</f>
        <v>22.5</v>
      </c>
      <c r="F42" s="39" t="s">
        <v>79</v>
      </c>
      <c r="G42" s="234">
        <v>353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17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1</v>
      </c>
      <c r="D44" s="12">
        <f>C44*120</f>
        <v>120</v>
      </c>
      <c r="F44" s="37"/>
      <c r="G44" s="62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1</v>
      </c>
      <c r="D45" s="12">
        <f>C45*84</f>
        <v>84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2</v>
      </c>
      <c r="D46" s="12">
        <f>C46*1.5</f>
        <v>3</v>
      </c>
      <c r="F46" s="37"/>
      <c r="G46" s="116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3</v>
      </c>
      <c r="D49" s="12">
        <f>C49*42</f>
        <v>126</v>
      </c>
      <c r="F49" s="259" t="s">
        <v>86</v>
      </c>
      <c r="G49" s="206">
        <f>H34+H35+H36+H37+H38+H39+H40+H41+G42+H44+H45+H46</f>
        <v>208353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23</v>
      </c>
      <c r="D50" s="12">
        <f>C50*1.5</f>
        <v>34.5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155</v>
      </c>
      <c r="G51" s="273">
        <f>G49-H29</f>
        <v>-921.5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35950.5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082C-333E-445A-80B9-09922C258F3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13" t="s">
        <v>2</v>
      </c>
      <c r="Q1" s="11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46070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372</v>
      </c>
      <c r="D6" s="13">
        <f t="shared" ref="D6:D28" si="1">C6*L6</f>
        <v>283092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20</v>
      </c>
      <c r="D7" s="13">
        <f t="shared" si="1"/>
        <v>15620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52</v>
      </c>
      <c r="D9" s="13">
        <f t="shared" si="1"/>
        <v>38116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127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10</v>
      </c>
      <c r="D13" s="48">
        <f t="shared" si="1"/>
        <v>3070</v>
      </c>
      <c r="F13" s="179" t="s">
        <v>36</v>
      </c>
      <c r="G13" s="180"/>
      <c r="H13" s="181">
        <f>D29</f>
        <v>339942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4</v>
      </c>
      <c r="D14" s="31">
        <f t="shared" si="1"/>
        <v>44</v>
      </c>
      <c r="F14" s="184" t="s">
        <v>39</v>
      </c>
      <c r="G14" s="185"/>
      <c r="H14" s="186">
        <f>D54</f>
        <v>63030.75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276911.25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286*6+108*6+50*6</f>
        <v>2664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80"/>
      <c r="I19" s="280"/>
      <c r="J19" s="280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7"/>
      <c r="G22" s="73"/>
      <c r="H22" s="216"/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101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14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339942</v>
      </c>
      <c r="F29" s="202" t="s">
        <v>55</v>
      </c>
      <c r="G29" s="203"/>
      <c r="H29" s="206">
        <f>H15-H16-H17-H18-H19-H20-H22-H23-H24+H26+H27</f>
        <v>274247.25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5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25</v>
      </c>
      <c r="H34" s="234">
        <f>F34*G34</f>
        <v>25000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10</v>
      </c>
      <c r="H35" s="234">
        <f>F35*G35</f>
        <v>5000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ref="H36:H39" si="2"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560</v>
      </c>
      <c r="D37" s="12">
        <f>C37*111</f>
        <v>62160</v>
      </c>
      <c r="F37" s="12">
        <v>100</v>
      </c>
      <c r="G37" s="39">
        <v>12</v>
      </c>
      <c r="H37" s="234">
        <f t="shared" si="2"/>
        <v>1200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1</v>
      </c>
      <c r="D38" s="12">
        <f>C38*84</f>
        <v>84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1</v>
      </c>
      <c r="D39" s="31">
        <f>C39*4.5</f>
        <v>4.5</v>
      </c>
      <c r="F39" s="12">
        <v>20</v>
      </c>
      <c r="G39" s="37">
        <v>2</v>
      </c>
      <c r="H39" s="234">
        <f t="shared" si="2"/>
        <v>40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1</v>
      </c>
      <c r="D42" s="12">
        <f>C42*2.25</f>
        <v>2.25</v>
      </c>
      <c r="F42" s="39" t="s">
        <v>79</v>
      </c>
      <c r="G42" s="234">
        <v>25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17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 t="s">
        <v>146</v>
      </c>
      <c r="G44" s="76" t="s">
        <v>200</v>
      </c>
      <c r="H44" s="218">
        <v>184558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 t="s">
        <v>146</v>
      </c>
      <c r="G45" s="76" t="s">
        <v>201</v>
      </c>
      <c r="H45" s="218">
        <v>58480</v>
      </c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24</v>
      </c>
      <c r="D46" s="12">
        <f>C46*1.5</f>
        <v>36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9</v>
      </c>
      <c r="D48" s="12">
        <f>C48*78</f>
        <v>702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1</v>
      </c>
      <c r="D49" s="12">
        <f>C49*42</f>
        <v>42</v>
      </c>
      <c r="F49" s="259" t="s">
        <v>86</v>
      </c>
      <c r="G49" s="206">
        <f>H34+H35+H36+H37+H38+H39+H40+H41+G42+H44+H45+H46</f>
        <v>274303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138</v>
      </c>
      <c r="G51" s="263">
        <f>G49-H29</f>
        <v>55.75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63030.75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FB04-77B0-4ABE-8DA7-1B37F31BF45C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113" t="s">
        <v>2</v>
      </c>
      <c r="Q1" s="11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114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5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17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3A4B4-A2EF-4965-8909-7A5F29F2062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21" t="s">
        <v>2</v>
      </c>
      <c r="Q1" s="12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46071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/>
      <c r="D6" s="13">
        <f t="shared" ref="D6:D28" si="1">C6*L6</f>
        <v>0</v>
      </c>
      <c r="F6" s="157" t="s">
        <v>16</v>
      </c>
      <c r="G6" s="159" t="s">
        <v>111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/>
      <c r="D8" s="13">
        <f t="shared" si="1"/>
        <v>0</v>
      </c>
      <c r="F8" s="165" t="s">
        <v>21</v>
      </c>
      <c r="G8" s="167" t="s">
        <v>144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/>
      <c r="D10" s="13">
        <f t="shared" si="1"/>
        <v>0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133</v>
      </c>
      <c r="C17" s="84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66"/>
      <c r="I19" s="166"/>
      <c r="J19" s="166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124</v>
      </c>
      <c r="C22" s="84"/>
      <c r="D22" s="48">
        <f t="shared" si="1"/>
        <v>0</v>
      </c>
      <c r="F22" s="77"/>
      <c r="G22" s="73"/>
      <c r="H22" s="216"/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101</v>
      </c>
      <c r="C23" s="84"/>
      <c r="D23" s="48">
        <f t="shared" si="1"/>
        <v>0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118</v>
      </c>
      <c r="C24" s="84"/>
      <c r="D24" s="48">
        <f t="shared" si="1"/>
        <v>0</v>
      </c>
      <c r="F24" s="77"/>
      <c r="G24" s="79"/>
      <c r="H24" s="269"/>
      <c r="I24" s="270"/>
      <c r="J24" s="27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132</v>
      </c>
      <c r="C26" s="84"/>
      <c r="D26" s="48">
        <f t="shared" si="1"/>
        <v>0</v>
      </c>
      <c r="F26" s="75"/>
      <c r="G26" s="65"/>
      <c r="H26" s="218"/>
      <c r="I26" s="218"/>
      <c r="J26" s="218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119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/>
      <c r="D28" s="48">
        <f t="shared" si="1"/>
        <v>0</v>
      </c>
      <c r="F28" s="122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H15-H16-H17-H18-H19-H20-H22-H23-H24+H26+H27+H28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234">
        <f t="shared" ref="H34:H39" si="2">F34*G34</f>
        <v>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>
        <f t="shared" si="2"/>
        <v>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si="2"/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>
        <f t="shared" si="2"/>
        <v>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19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85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0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1481-B973-4031-BD8C-D7459670BE1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21" t="s">
        <v>2</v>
      </c>
      <c r="Q1" s="12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46071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280</v>
      </c>
      <c r="D6" s="13">
        <f t="shared" ref="D6:D28" si="1">C6*L6</f>
        <v>213080</v>
      </c>
      <c r="F6" s="157" t="s">
        <v>16</v>
      </c>
      <c r="G6" s="159" t="s">
        <v>126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9</v>
      </c>
      <c r="D7" s="13">
        <f t="shared" si="1"/>
        <v>7029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18</v>
      </c>
      <c r="D9" s="13">
        <f t="shared" si="1"/>
        <v>13194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114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>
        <v>2</v>
      </c>
      <c r="D11" s="13">
        <f t="shared" si="1"/>
        <v>2340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v>3</v>
      </c>
      <c r="D12" s="48">
        <f t="shared" si="1"/>
        <v>2976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11</v>
      </c>
      <c r="D13" s="48">
        <f t="shared" si="1"/>
        <v>3377</v>
      </c>
      <c r="F13" s="179" t="s">
        <v>36</v>
      </c>
      <c r="G13" s="180"/>
      <c r="H13" s="181">
        <f>D29</f>
        <v>245809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10</v>
      </c>
      <c r="D14" s="31">
        <f t="shared" si="1"/>
        <v>110</v>
      </c>
      <c r="F14" s="184" t="s">
        <v>39</v>
      </c>
      <c r="G14" s="185"/>
      <c r="H14" s="186">
        <f>D54</f>
        <v>38345.25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207463.75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>
        <v>1</v>
      </c>
      <c r="D18" s="48">
        <f t="shared" si="1"/>
        <v>620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79"/>
      <c r="I19" s="279"/>
      <c r="J19" s="27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>
        <v>1</v>
      </c>
      <c r="D21" s="48">
        <f t="shared" si="1"/>
        <v>650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 t="s">
        <v>184</v>
      </c>
      <c r="G22" s="73">
        <v>9049</v>
      </c>
      <c r="H22" s="216">
        <v>95803</v>
      </c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120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129" t="s">
        <v>184</v>
      </c>
      <c r="G26" s="59">
        <v>9073</v>
      </c>
      <c r="H26" s="222">
        <f>96418</f>
        <v>96418</v>
      </c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14"/>
      <c r="G27" s="25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>
        <v>3</v>
      </c>
      <c r="D28" s="48">
        <f t="shared" si="1"/>
        <v>2433</v>
      </c>
      <c r="F28" s="122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245809</v>
      </c>
      <c r="F29" s="202" t="s">
        <v>55</v>
      </c>
      <c r="G29" s="203"/>
      <c r="H29" s="206">
        <f>H15-H16-H17-H18-H19-H20-H22-H23-H24+H26+H27</f>
        <v>208078.75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88</v>
      </c>
      <c r="H34" s="234">
        <f>F34*G34</f>
        <v>88000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39</v>
      </c>
      <c r="H35" s="234">
        <f t="shared" ref="H35:H39" si="2">F35*G35</f>
        <v>19500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>
        <v>27</v>
      </c>
      <c r="D36" s="12">
        <f>C36*1.5</f>
        <v>40.5</v>
      </c>
      <c r="F36" s="12">
        <v>200</v>
      </c>
      <c r="G36" s="37">
        <v>5</v>
      </c>
      <c r="H36" s="234">
        <f>F36*G36</f>
        <v>1000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279</v>
      </c>
      <c r="D37" s="12">
        <f>C37*111</f>
        <v>30969</v>
      </c>
      <c r="F37" s="12">
        <v>100</v>
      </c>
      <c r="G37" s="39">
        <v>31</v>
      </c>
      <c r="H37" s="234">
        <f t="shared" si="2"/>
        <v>3100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28</v>
      </c>
      <c r="D38" s="12">
        <f>C38*84</f>
        <v>2352</v>
      </c>
      <c r="F38" s="30">
        <v>50</v>
      </c>
      <c r="G38" s="39">
        <v>1</v>
      </c>
      <c r="H38" s="234">
        <f t="shared" si="2"/>
        <v>50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6</v>
      </c>
      <c r="D40" s="12">
        <f>C40*111</f>
        <v>666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4</v>
      </c>
      <c r="D41" s="12">
        <f>C41*84</f>
        <v>336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5</v>
      </c>
      <c r="D42" s="12">
        <f>C42*2.25</f>
        <v>11.25</v>
      </c>
      <c r="F42" s="39" t="s">
        <v>79</v>
      </c>
      <c r="G42" s="234">
        <v>132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19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12</v>
      </c>
      <c r="D44" s="12">
        <f>C44*120</f>
        <v>1440</v>
      </c>
      <c r="F44" s="37" t="s">
        <v>146</v>
      </c>
      <c r="G44" s="85" t="s">
        <v>182</v>
      </c>
      <c r="H44" s="218">
        <f>96418</f>
        <v>96418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14</v>
      </c>
      <c r="D46" s="12">
        <f>C46*1.5</f>
        <v>21</v>
      </c>
      <c r="F46" s="37"/>
      <c r="G46" s="120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32</v>
      </c>
      <c r="D48" s="12">
        <f>C48*78</f>
        <v>2496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208200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3</v>
      </c>
      <c r="D50" s="12">
        <f>C50*1.5</f>
        <v>4.5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135</v>
      </c>
      <c r="G51" s="263">
        <f>G49-H29</f>
        <v>121.25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38345.25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9E1A1-8A32-4AE2-A70A-D17A4CB1AE0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21" t="s">
        <v>2</v>
      </c>
      <c r="Q1" s="121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46071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250</v>
      </c>
      <c r="D6" s="13">
        <f t="shared" ref="D6:D28" si="1">C6*L6</f>
        <v>190250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>
        <v>2</v>
      </c>
      <c r="D8" s="13">
        <f t="shared" si="1"/>
        <v>2186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94</v>
      </c>
      <c r="D9" s="13">
        <f t="shared" si="1"/>
        <v>68902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8</v>
      </c>
      <c r="D13" s="48">
        <f t="shared" si="1"/>
        <v>2456</v>
      </c>
      <c r="F13" s="179" t="s">
        <v>36</v>
      </c>
      <c r="G13" s="180"/>
      <c r="H13" s="181">
        <f>D29</f>
        <v>263794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/>
      <c r="D14" s="31">
        <f t="shared" si="1"/>
        <v>0</v>
      </c>
      <c r="F14" s="184" t="s">
        <v>39</v>
      </c>
      <c r="G14" s="185"/>
      <c r="H14" s="186">
        <f>D54</f>
        <v>37494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226300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266*6+60*6</f>
        <v>1956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193">
        <v>50</v>
      </c>
      <c r="I19" s="193"/>
      <c r="J19" s="19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7"/>
      <c r="G22" s="73"/>
      <c r="H22" s="216"/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101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22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263794</v>
      </c>
      <c r="F29" s="202" t="s">
        <v>55</v>
      </c>
      <c r="G29" s="203"/>
      <c r="H29" s="206">
        <f>H15-H16-H17-H18-H19-H20-H22-H23-H24+H26+H27</f>
        <v>224294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48</v>
      </c>
      <c r="H34" s="234">
        <f>F34*G34</f>
        <v>48000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3</v>
      </c>
      <c r="H35" s="234">
        <f>F35*G35</f>
        <v>1500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>
        <v>10</v>
      </c>
      <c r="D36" s="12">
        <f>C36*1.5</f>
        <v>15</v>
      </c>
      <c r="F36" s="12">
        <v>200</v>
      </c>
      <c r="G36" s="37"/>
      <c r="H36" s="234">
        <f t="shared" ref="H36:H39" si="2"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328</v>
      </c>
      <c r="D37" s="12">
        <f>C37*111</f>
        <v>36408</v>
      </c>
      <c r="F37" s="12">
        <v>100</v>
      </c>
      <c r="G37" s="39">
        <v>5</v>
      </c>
      <c r="H37" s="234">
        <f t="shared" si="2"/>
        <v>500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1</v>
      </c>
      <c r="H38" s="234">
        <f t="shared" si="2"/>
        <v>50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2</v>
      </c>
      <c r="D40" s="12">
        <f>C40*111</f>
        <v>222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6</v>
      </c>
      <c r="D42" s="12">
        <f>C42*2.25</f>
        <v>13.5</v>
      </c>
      <c r="F42" s="39" t="s">
        <v>79</v>
      </c>
      <c r="G42" s="234">
        <v>10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19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1</v>
      </c>
      <c r="D44" s="12">
        <f>C44*120</f>
        <v>120</v>
      </c>
      <c r="F44" s="37" t="s">
        <v>145</v>
      </c>
      <c r="G44" s="62" t="s">
        <v>202</v>
      </c>
      <c r="H44" s="218">
        <v>174238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2</v>
      </c>
      <c r="D46" s="12">
        <f>C46*1.5</f>
        <v>3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5</v>
      </c>
      <c r="D49" s="12">
        <f>C49*42</f>
        <v>210</v>
      </c>
      <c r="F49" s="259" t="s">
        <v>86</v>
      </c>
      <c r="G49" s="206">
        <f>H34+H35+H36+H37+H38+H39+H40+H41+G42+H44+H45+H46</f>
        <v>224298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8</v>
      </c>
      <c r="D50" s="12">
        <f>C50*1.5</f>
        <v>12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138</v>
      </c>
      <c r="G51" s="263">
        <f>G49-H29</f>
        <v>4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37494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DB4C-52A4-4FEF-BF87-DB89979BE343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121" t="s">
        <v>2</v>
      </c>
      <c r="Q1" s="121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122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3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19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5844-5AF0-4993-B598-F47E5A5AE26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26" t="s">
        <v>2</v>
      </c>
      <c r="Q1" s="12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46072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>
        <v>374</v>
      </c>
      <c r="D6" s="13">
        <f t="shared" ref="D6:D28" si="1">C6*L6</f>
        <v>284614</v>
      </c>
      <c r="F6" s="157" t="s">
        <v>16</v>
      </c>
      <c r="G6" s="159" t="s">
        <v>111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/>
      <c r="D8" s="13">
        <f t="shared" si="1"/>
        <v>0</v>
      </c>
      <c r="F8" s="165" t="s">
        <v>21</v>
      </c>
      <c r="G8" s="167" t="s">
        <v>144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>
        <v>14</v>
      </c>
      <c r="D9" s="13">
        <f t="shared" si="1"/>
        <v>10262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/>
      <c r="D10" s="13">
        <f t="shared" si="1"/>
        <v>0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>
        <v>1</v>
      </c>
      <c r="D12" s="48">
        <f t="shared" si="1"/>
        <v>992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>
        <v>11</v>
      </c>
      <c r="D13" s="48">
        <f t="shared" si="1"/>
        <v>3377</v>
      </c>
      <c r="F13" s="179" t="s">
        <v>36</v>
      </c>
      <c r="G13" s="180"/>
      <c r="H13" s="181">
        <f>D29</f>
        <v>300926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>
        <v>20</v>
      </c>
      <c r="D14" s="31">
        <f t="shared" si="1"/>
        <v>220</v>
      </c>
      <c r="F14" s="184" t="s">
        <v>39</v>
      </c>
      <c r="G14" s="185"/>
      <c r="H14" s="186">
        <f>D54</f>
        <v>45597.75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/>
      <c r="D15" s="31">
        <f t="shared" si="1"/>
        <v>0</v>
      </c>
      <c r="F15" s="189" t="s">
        <v>40</v>
      </c>
      <c r="G15" s="180"/>
      <c r="H15" s="190">
        <f>H13-H14</f>
        <v>255328.25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93">
        <f>160*6+50*6</f>
        <v>1260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133</v>
      </c>
      <c r="C17" s="84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66"/>
      <c r="I19" s="166"/>
      <c r="J19" s="166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>
        <v>1</v>
      </c>
      <c r="D21" s="48">
        <f t="shared" si="1"/>
        <v>650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124</v>
      </c>
      <c r="C22" s="84"/>
      <c r="D22" s="48">
        <f t="shared" si="1"/>
        <v>0</v>
      </c>
      <c r="F22" s="77"/>
      <c r="G22" s="73"/>
      <c r="H22" s="216"/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101</v>
      </c>
      <c r="C23" s="84"/>
      <c r="D23" s="48">
        <f t="shared" si="1"/>
        <v>0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118</v>
      </c>
      <c r="C24" s="84"/>
      <c r="D24" s="48">
        <f t="shared" si="1"/>
        <v>0</v>
      </c>
      <c r="F24" s="77"/>
      <c r="G24" s="79"/>
      <c r="H24" s="269"/>
      <c r="I24" s="270"/>
      <c r="J24" s="27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132</v>
      </c>
      <c r="C26" s="84"/>
      <c r="D26" s="48">
        <f t="shared" si="1"/>
        <v>0</v>
      </c>
      <c r="F26" s="75"/>
      <c r="G26" s="65"/>
      <c r="H26" s="218"/>
      <c r="I26" s="218"/>
      <c r="J26" s="218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124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>
        <v>1</v>
      </c>
      <c r="D28" s="48">
        <f t="shared" si="1"/>
        <v>811</v>
      </c>
      <c r="F28" s="127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300926</v>
      </c>
      <c r="F29" s="202" t="s">
        <v>55</v>
      </c>
      <c r="G29" s="203"/>
      <c r="H29" s="206">
        <f>H15-H16-H17-H18-H19-H20-H22-H23-H24+H26+H27+H28</f>
        <v>254068.25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186</v>
      </c>
      <c r="H34" s="234">
        <f t="shared" ref="H34:H39" si="2">F34*G34</f>
        <v>186000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54</v>
      </c>
      <c r="H35" s="234">
        <f t="shared" si="2"/>
        <v>27000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si="2"/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391</v>
      </c>
      <c r="D37" s="12">
        <f>C37*111</f>
        <v>43401</v>
      </c>
      <c r="F37" s="12">
        <v>100</v>
      </c>
      <c r="G37" s="39">
        <v>14</v>
      </c>
      <c r="H37" s="234">
        <f t="shared" si="2"/>
        <v>1400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9</v>
      </c>
      <c r="D38" s="12">
        <f>C38*84</f>
        <v>756</v>
      </c>
      <c r="F38" s="30">
        <v>50</v>
      </c>
      <c r="G38" s="39">
        <v>9</v>
      </c>
      <c r="H38" s="234">
        <f t="shared" si="2"/>
        <v>450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1</v>
      </c>
      <c r="H39" s="234">
        <f t="shared" si="2"/>
        <v>20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5</v>
      </c>
      <c r="D42" s="12">
        <f>C42*2.25</f>
        <v>11.25</v>
      </c>
      <c r="F42" s="39" t="s">
        <v>79</v>
      </c>
      <c r="G42" s="234">
        <v>362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24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1</v>
      </c>
      <c r="D44" s="12">
        <f>C44*120</f>
        <v>120</v>
      </c>
      <c r="F44" s="37" t="s">
        <v>145</v>
      </c>
      <c r="G44" s="62" t="s">
        <v>203</v>
      </c>
      <c r="H44" s="218">
        <v>37750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11</v>
      </c>
      <c r="D48" s="12">
        <f>C48*78</f>
        <v>858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8</v>
      </c>
      <c r="D49" s="12">
        <f>C49*42</f>
        <v>336</v>
      </c>
      <c r="F49" s="259" t="s">
        <v>86</v>
      </c>
      <c r="G49" s="206">
        <f>H34+H35+H36+H37+H38+H39+H40+H41+G42+H44+H45+H46</f>
        <v>252982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12</v>
      </c>
      <c r="D50" s="12">
        <f>C50*1.5</f>
        <v>18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-1086.25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45597.75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C44E-A052-4D3D-843A-1B6DC57397C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26" t="s">
        <v>2</v>
      </c>
      <c r="Q1" s="12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46072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254</v>
      </c>
      <c r="D6" s="13">
        <f t="shared" ref="D6:D28" si="1">C6*L6</f>
        <v>193294</v>
      </c>
      <c r="F6" s="157" t="s">
        <v>16</v>
      </c>
      <c r="G6" s="159" t="s">
        <v>126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14</v>
      </c>
      <c r="D7" s="13">
        <f t="shared" si="1"/>
        <v>10934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46</v>
      </c>
      <c r="D9" s="13">
        <f t="shared" si="1"/>
        <v>33718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114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v>1</v>
      </c>
      <c r="D12" s="48">
        <f t="shared" si="1"/>
        <v>992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11</v>
      </c>
      <c r="D13" s="48">
        <f t="shared" si="1"/>
        <v>3377</v>
      </c>
      <c r="F13" s="179" t="s">
        <v>36</v>
      </c>
      <c r="G13" s="180"/>
      <c r="H13" s="181">
        <f>D29</f>
        <v>243579.66666666666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15</v>
      </c>
      <c r="D14" s="31">
        <f t="shared" si="1"/>
        <v>165</v>
      </c>
      <c r="F14" s="184" t="s">
        <v>39</v>
      </c>
      <c r="G14" s="185"/>
      <c r="H14" s="186">
        <f>D54</f>
        <v>42978.75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200600.91666666666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200*6</f>
        <v>1200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79"/>
      <c r="I19" s="279"/>
      <c r="J19" s="27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167</v>
      </c>
      <c r="C24" s="10">
        <v>12</v>
      </c>
      <c r="D24" s="48">
        <f t="shared" si="1"/>
        <v>474</v>
      </c>
      <c r="F24" s="38"/>
      <c r="G24" s="37"/>
      <c r="H24" s="217"/>
      <c r="I24" s="218"/>
      <c r="J24" s="218"/>
      <c r="L24" s="47">
        <f>912/24+1.5</f>
        <v>39.5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118</v>
      </c>
      <c r="C25" s="10">
        <v>12</v>
      </c>
      <c r="D25" s="48">
        <f t="shared" si="1"/>
        <v>504.5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973/24+1.5</f>
        <v>42.041666666666664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121</v>
      </c>
      <c r="C26" s="10">
        <v>1</v>
      </c>
      <c r="D26" s="48">
        <f t="shared" si="1"/>
        <v>121.16666666666667</v>
      </c>
      <c r="F26" s="64"/>
      <c r="G26" s="10"/>
      <c r="H26" s="222"/>
      <c r="I26" s="223"/>
      <c r="J26" s="224"/>
      <c r="L26" s="7">
        <f>700/6+4.5</f>
        <v>121.16666666666667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14"/>
      <c r="G27" s="14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27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243579.66666666666</v>
      </c>
      <c r="F29" s="202" t="s">
        <v>55</v>
      </c>
      <c r="G29" s="203"/>
      <c r="H29" s="206">
        <f>H15-H16-H17-H18-H19-H20-H22-H23-H24+H26+H27</f>
        <v>199400.91666666666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3</v>
      </c>
      <c r="D34" s="30">
        <f>C34*120</f>
        <v>360</v>
      </c>
      <c r="F34" s="12">
        <v>1000</v>
      </c>
      <c r="G34" s="74">
        <v>76</v>
      </c>
      <c r="H34" s="234">
        <f>F34*G34</f>
        <v>76000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6</v>
      </c>
      <c r="H35" s="234">
        <f t="shared" ref="H35:H39" si="2">F35*G35</f>
        <v>3000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361</v>
      </c>
      <c r="D37" s="12">
        <f>C37*111</f>
        <v>40071</v>
      </c>
      <c r="F37" s="12">
        <v>100</v>
      </c>
      <c r="G37" s="39">
        <v>4</v>
      </c>
      <c r="H37" s="234">
        <f t="shared" si="2"/>
        <v>400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6</v>
      </c>
      <c r="D38" s="12">
        <f>C38*84</f>
        <v>504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2</v>
      </c>
      <c r="D40" s="12">
        <f>C40*111</f>
        <v>222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9</v>
      </c>
      <c r="D42" s="12">
        <f>C42*2.25</f>
        <v>20.25</v>
      </c>
      <c r="F42" s="39" t="s">
        <v>79</v>
      </c>
      <c r="G42" s="234">
        <v>45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24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7</v>
      </c>
      <c r="D44" s="12">
        <f>C44*120</f>
        <v>840</v>
      </c>
      <c r="F44" s="37" t="s">
        <v>145</v>
      </c>
      <c r="G44" s="62" t="s">
        <v>204</v>
      </c>
      <c r="H44" s="218">
        <v>120172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125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6</v>
      </c>
      <c r="D48" s="12">
        <f>C48*78</f>
        <v>468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9</v>
      </c>
      <c r="D49" s="12">
        <f>C49*42</f>
        <v>378</v>
      </c>
      <c r="F49" s="259" t="s">
        <v>86</v>
      </c>
      <c r="G49" s="206">
        <f>H34+H35+H36+H37+H38+H39+H40+H41+G42+H44+H45+H46</f>
        <v>199617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18</v>
      </c>
      <c r="D50" s="12">
        <f>C50*1.5</f>
        <v>27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135</v>
      </c>
      <c r="G51" s="263">
        <f>G49-H29</f>
        <v>216.08333333334303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42978.75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4B74-76B8-453C-B326-B89B0B98653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26" t="s">
        <v>2</v>
      </c>
      <c r="Q1" s="12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46072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298</v>
      </c>
      <c r="D6" s="13">
        <f t="shared" ref="D6:D28" si="1">C6*L6</f>
        <v>226778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11</v>
      </c>
      <c r="D7" s="13">
        <f t="shared" si="1"/>
        <v>8591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30</v>
      </c>
      <c r="D9" s="13">
        <f t="shared" si="1"/>
        <v>21990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>
        <v>3</v>
      </c>
      <c r="D10" s="13">
        <f t="shared" si="1"/>
        <v>3096</v>
      </c>
      <c r="F10" s="157" t="s">
        <v>26</v>
      </c>
      <c r="G10" s="173" t="s">
        <v>127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>
        <v>2</v>
      </c>
      <c r="D11" s="13">
        <f t="shared" si="1"/>
        <v>2340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v>2</v>
      </c>
      <c r="D12" s="48">
        <f t="shared" si="1"/>
        <v>1984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9</v>
      </c>
      <c r="D13" s="48">
        <f t="shared" si="1"/>
        <v>2763</v>
      </c>
      <c r="F13" s="179" t="s">
        <v>36</v>
      </c>
      <c r="G13" s="180"/>
      <c r="H13" s="181">
        <f>D29</f>
        <v>268991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19</v>
      </c>
      <c r="D14" s="31">
        <f t="shared" si="1"/>
        <v>209</v>
      </c>
      <c r="F14" s="184" t="s">
        <v>39</v>
      </c>
      <c r="G14" s="185"/>
      <c r="H14" s="186">
        <f>D54</f>
        <v>47673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>
        <v>2</v>
      </c>
      <c r="D15" s="31">
        <f t="shared" si="1"/>
        <v>1240</v>
      </c>
      <c r="F15" s="189" t="s">
        <v>40</v>
      </c>
      <c r="G15" s="180"/>
      <c r="H15" s="190">
        <f>H13-H14</f>
        <v>221318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52*6+50*6</f>
        <v>612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80"/>
      <c r="I19" s="280"/>
      <c r="J19" s="280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7"/>
      <c r="G22" s="73"/>
      <c r="H22" s="216"/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101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27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268991</v>
      </c>
      <c r="F29" s="202" t="s">
        <v>55</v>
      </c>
      <c r="G29" s="203"/>
      <c r="H29" s="206">
        <f>H15-H16-H17-H18-H19-H20-H22-H23-H24+H26+H27</f>
        <v>220706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4">
        <v>159</v>
      </c>
      <c r="H34" s="234">
        <f>F34*G34</f>
        <v>159000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32</v>
      </c>
      <c r="H35" s="234">
        <f>F35*G35</f>
        <v>16000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>
        <v>3</v>
      </c>
      <c r="D36" s="12">
        <f>C36*1.5</f>
        <v>4.5</v>
      </c>
      <c r="F36" s="12">
        <v>200</v>
      </c>
      <c r="G36" s="37">
        <v>1</v>
      </c>
      <c r="H36" s="234">
        <f t="shared" ref="H36:H39" si="2">F36*G36</f>
        <v>200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393</v>
      </c>
      <c r="D37" s="12">
        <f>C37*111</f>
        <v>43623</v>
      </c>
      <c r="F37" s="12">
        <v>100</v>
      </c>
      <c r="G37" s="39">
        <v>129</v>
      </c>
      <c r="H37" s="234">
        <f t="shared" si="2"/>
        <v>12900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>
        <v>93</v>
      </c>
      <c r="H38" s="234">
        <f t="shared" si="2"/>
        <v>4650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12</v>
      </c>
      <c r="D40" s="12">
        <f>C40*111</f>
        <v>1332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2</v>
      </c>
      <c r="D42" s="12">
        <f>C42*2.25</f>
        <v>4.5</v>
      </c>
      <c r="F42" s="39" t="s">
        <v>79</v>
      </c>
      <c r="G42" s="234">
        <v>74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24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6</v>
      </c>
      <c r="D44" s="12">
        <f>C44*120</f>
        <v>720</v>
      </c>
      <c r="F44" s="37" t="s">
        <v>146</v>
      </c>
      <c r="G44" s="76" t="s">
        <v>205</v>
      </c>
      <c r="H44" s="218">
        <v>28728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31</v>
      </c>
      <c r="D46" s="12">
        <f>C46*1.5</f>
        <v>46.5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18</v>
      </c>
      <c r="D48" s="12">
        <f>C48*78</f>
        <v>1404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221552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72</v>
      </c>
      <c r="D50" s="12">
        <f>C50*1.5</f>
        <v>108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138</v>
      </c>
      <c r="G51" s="263">
        <f>G49-H29</f>
        <v>846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47673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CD9A1-43F5-4165-B234-83BD0DE1AA47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126" t="s">
        <v>2</v>
      </c>
      <c r="Q1" s="12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127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24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2282-5E49-465E-975C-5F5034D6A54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26" t="s">
        <v>2</v>
      </c>
      <c r="Q1" s="12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46073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>
        <v>415</v>
      </c>
      <c r="D6" s="13">
        <f t="shared" ref="D6:D28" si="1">C6*L6</f>
        <v>315815</v>
      </c>
      <c r="F6" s="157" t="s">
        <v>16</v>
      </c>
      <c r="G6" s="159" t="s">
        <v>111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>
        <v>6</v>
      </c>
      <c r="D7" s="13">
        <f t="shared" si="1"/>
        <v>4686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/>
      <c r="D8" s="13">
        <f t="shared" si="1"/>
        <v>0</v>
      </c>
      <c r="F8" s="165" t="s">
        <v>21</v>
      </c>
      <c r="G8" s="167" t="s">
        <v>144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>
        <v>16</v>
      </c>
      <c r="D9" s="13">
        <f t="shared" si="1"/>
        <v>11728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/>
      <c r="D10" s="13">
        <f t="shared" si="1"/>
        <v>0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>
        <v>2</v>
      </c>
      <c r="D11" s="13">
        <f t="shared" si="1"/>
        <v>2340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>
        <v>1</v>
      </c>
      <c r="D12" s="48">
        <f t="shared" si="1"/>
        <v>992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>
        <v>15</v>
      </c>
      <c r="D13" s="48">
        <f t="shared" si="1"/>
        <v>4605</v>
      </c>
      <c r="F13" s="179" t="s">
        <v>36</v>
      </c>
      <c r="G13" s="180"/>
      <c r="H13" s="181">
        <f>D29</f>
        <v>341516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>
        <v>10</v>
      </c>
      <c r="D14" s="31">
        <f t="shared" si="1"/>
        <v>110</v>
      </c>
      <c r="F14" s="184" t="s">
        <v>39</v>
      </c>
      <c r="G14" s="185"/>
      <c r="H14" s="186">
        <f>D54</f>
        <v>71369.25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>
        <v>1</v>
      </c>
      <c r="D15" s="31">
        <f t="shared" si="1"/>
        <v>620</v>
      </c>
      <c r="F15" s="189" t="s">
        <v>40</v>
      </c>
      <c r="G15" s="180"/>
      <c r="H15" s="190">
        <f>H13-H14</f>
        <v>270146.75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93">
        <f>324*6</f>
        <v>1944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133</v>
      </c>
      <c r="C17" s="84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>
        <v>1</v>
      </c>
      <c r="D18" s="48">
        <f t="shared" si="1"/>
        <v>620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66"/>
      <c r="I19" s="166"/>
      <c r="J19" s="166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124</v>
      </c>
      <c r="C22" s="84"/>
      <c r="D22" s="48">
        <f t="shared" si="1"/>
        <v>0</v>
      </c>
      <c r="F22" s="77"/>
      <c r="G22" s="73"/>
      <c r="H22" s="216"/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101</v>
      </c>
      <c r="C23" s="84"/>
      <c r="D23" s="48">
        <f t="shared" si="1"/>
        <v>0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118</v>
      </c>
      <c r="C24" s="84"/>
      <c r="D24" s="48">
        <f t="shared" si="1"/>
        <v>0</v>
      </c>
      <c r="F24" s="77"/>
      <c r="G24" s="79"/>
      <c r="H24" s="269"/>
      <c r="I24" s="270"/>
      <c r="J24" s="27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132</v>
      </c>
      <c r="C26" s="84"/>
      <c r="D26" s="48">
        <f t="shared" si="1"/>
        <v>0</v>
      </c>
      <c r="F26" s="75"/>
      <c r="G26" s="65"/>
      <c r="H26" s="218"/>
      <c r="I26" s="218"/>
      <c r="J26" s="218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124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/>
      <c r="D28" s="48">
        <f t="shared" si="1"/>
        <v>0</v>
      </c>
      <c r="F28" s="127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341516</v>
      </c>
      <c r="F29" s="202" t="s">
        <v>55</v>
      </c>
      <c r="G29" s="203"/>
      <c r="H29" s="206">
        <f>H15-H16-H17-H18-H19-H20-H22-H23-H24+H26+H27+H28</f>
        <v>268202.75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4</v>
      </c>
      <c r="D34" s="30">
        <f>C34*120</f>
        <v>480</v>
      </c>
      <c r="F34" s="12">
        <v>1000</v>
      </c>
      <c r="G34" s="40">
        <v>68</v>
      </c>
      <c r="H34" s="234">
        <f t="shared" ref="H34:H39" si="2">F34*G34</f>
        <v>68000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9</v>
      </c>
      <c r="H35" s="234">
        <f t="shared" si="2"/>
        <v>4500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>
        <v>1</v>
      </c>
      <c r="D36" s="12">
        <f>C36*1.5</f>
        <v>1.5</v>
      </c>
      <c r="F36" s="12">
        <v>200</v>
      </c>
      <c r="G36" s="37"/>
      <c r="H36" s="234">
        <f t="shared" si="2"/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580</v>
      </c>
      <c r="D37" s="12">
        <f>C37*111</f>
        <v>64380</v>
      </c>
      <c r="F37" s="12">
        <v>100</v>
      </c>
      <c r="G37" s="39">
        <v>15</v>
      </c>
      <c r="H37" s="234">
        <f t="shared" si="2"/>
        <v>1500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14</v>
      </c>
      <c r="D38" s="12">
        <f>C38*84</f>
        <v>1176</v>
      </c>
      <c r="F38" s="30">
        <v>50</v>
      </c>
      <c r="G38" s="39">
        <v>15</v>
      </c>
      <c r="H38" s="234">
        <f t="shared" si="2"/>
        <v>750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2</v>
      </c>
      <c r="D39" s="31">
        <f>C39*4.5</f>
        <v>9</v>
      </c>
      <c r="F39" s="12">
        <v>20</v>
      </c>
      <c r="G39" s="37">
        <v>1</v>
      </c>
      <c r="H39" s="234">
        <f t="shared" si="2"/>
        <v>20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25</v>
      </c>
      <c r="D40" s="12">
        <f>C40*111</f>
        <v>2775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9</v>
      </c>
      <c r="D41" s="12">
        <f>C41*84</f>
        <v>756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7</v>
      </c>
      <c r="D42" s="12">
        <f>C42*2.25</f>
        <v>15.75</v>
      </c>
      <c r="F42" s="39" t="s">
        <v>79</v>
      </c>
      <c r="G42" s="234">
        <v>56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24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7</v>
      </c>
      <c r="D44" s="12">
        <f>C44*120</f>
        <v>840</v>
      </c>
      <c r="F44" s="37" t="s">
        <v>145</v>
      </c>
      <c r="G44" s="62" t="s">
        <v>206</v>
      </c>
      <c r="H44" s="218">
        <v>192772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9</v>
      </c>
      <c r="D46" s="12">
        <f>C46*1.5</f>
        <v>13.5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9</v>
      </c>
      <c r="D48" s="12">
        <f>C48*78</f>
        <v>702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1</v>
      </c>
      <c r="D49" s="12">
        <f>C49*42</f>
        <v>42</v>
      </c>
      <c r="F49" s="259" t="s">
        <v>86</v>
      </c>
      <c r="G49" s="206">
        <f>H34+H35+H36+H37+H38+H39+H40+H41+G42+H44+H45+H46</f>
        <v>267598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63</v>
      </c>
      <c r="D50" s="12">
        <f>C50*1.5</f>
        <v>94.5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-604.75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71369.25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E664-3391-4EFD-BE91-475245133F2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26" t="s">
        <v>2</v>
      </c>
      <c r="Q1" s="12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46073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171</v>
      </c>
      <c r="D6" s="13">
        <f t="shared" ref="D6:D28" si="1">C6*L6</f>
        <v>130131</v>
      </c>
      <c r="F6" s="157" t="s">
        <v>16</v>
      </c>
      <c r="G6" s="159" t="s">
        <v>126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5</v>
      </c>
      <c r="D7" s="13">
        <f t="shared" si="1"/>
        <v>3905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13</v>
      </c>
      <c r="D9" s="13">
        <f t="shared" si="1"/>
        <v>9529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>
        <v>1</v>
      </c>
      <c r="D10" s="13">
        <f t="shared" si="1"/>
        <v>1032</v>
      </c>
      <c r="F10" s="157" t="s">
        <v>26</v>
      </c>
      <c r="G10" s="173" t="s">
        <v>114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6</v>
      </c>
      <c r="D13" s="48">
        <f t="shared" si="1"/>
        <v>1842</v>
      </c>
      <c r="F13" s="179" t="s">
        <v>36</v>
      </c>
      <c r="G13" s="180"/>
      <c r="H13" s="181">
        <f>D29</f>
        <v>148182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11</v>
      </c>
      <c r="D14" s="31">
        <f t="shared" si="1"/>
        <v>121</v>
      </c>
      <c r="F14" s="184" t="s">
        <v>39</v>
      </c>
      <c r="G14" s="185"/>
      <c r="H14" s="186">
        <f>D54</f>
        <v>21686.25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126495.75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79"/>
      <c r="I19" s="279"/>
      <c r="J19" s="27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120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10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14"/>
      <c r="G27" s="14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>
        <v>2</v>
      </c>
      <c r="D28" s="48">
        <f t="shared" si="1"/>
        <v>1622</v>
      </c>
      <c r="F28" s="127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148182</v>
      </c>
      <c r="F29" s="202" t="s">
        <v>55</v>
      </c>
      <c r="G29" s="203"/>
      <c r="H29" s="206">
        <f>H15-H16-H17-H18-H19-H20-H22-H23-H24+H26+H27</f>
        <v>126495.75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100</v>
      </c>
      <c r="H34" s="234">
        <f>F34*G34</f>
        <v>100000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46</v>
      </c>
      <c r="H35" s="234">
        <f t="shared" ref="H35:H39" si="2">F35*G35</f>
        <v>23000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>
        <v>22</v>
      </c>
      <c r="D36" s="12">
        <f>C36*1.5</f>
        <v>33</v>
      </c>
      <c r="F36" s="12">
        <v>200</v>
      </c>
      <c r="G36" s="37"/>
      <c r="H36" s="234">
        <f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186</v>
      </c>
      <c r="D37" s="12">
        <f>C37*111</f>
        <v>20646</v>
      </c>
      <c r="F37" s="12">
        <v>100</v>
      </c>
      <c r="G37" s="39">
        <v>33</v>
      </c>
      <c r="H37" s="234">
        <f t="shared" si="2"/>
        <v>3300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>
        <v>3</v>
      </c>
      <c r="H38" s="234">
        <f t="shared" si="2"/>
        <v>150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10</v>
      </c>
      <c r="D39" s="31">
        <f>C39*4.5</f>
        <v>45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3</v>
      </c>
      <c r="D40" s="12">
        <f>C40*111</f>
        <v>333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3</v>
      </c>
      <c r="D42" s="12">
        <f>C42*2.25</f>
        <v>6.75</v>
      </c>
      <c r="F42" s="39" t="s">
        <v>79</v>
      </c>
      <c r="G42" s="234">
        <v>68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24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62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1</v>
      </c>
      <c r="D46" s="12">
        <f>C46*1.5</f>
        <v>1.5</v>
      </c>
      <c r="F46" s="37"/>
      <c r="G46" s="125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3</v>
      </c>
      <c r="D49" s="12">
        <f>C49*42</f>
        <v>126</v>
      </c>
      <c r="F49" s="259" t="s">
        <v>86</v>
      </c>
      <c r="G49" s="206">
        <f>H34+H35+H36+H37+H38+H39+H40+H41+G42+H44+H45+H46</f>
        <v>126518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6</v>
      </c>
      <c r="D50" s="12">
        <f>C50*1.5</f>
        <v>9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135</v>
      </c>
      <c r="G51" s="263">
        <f>G49-H29</f>
        <v>22.25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21686.25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77A1-3EF0-4F15-8E73-C166C6595F3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26" t="s">
        <v>2</v>
      </c>
      <c r="Q1" s="126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46073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375</v>
      </c>
      <c r="D6" s="13">
        <f t="shared" ref="D6:D28" si="1">C6*L6</f>
        <v>285375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14</v>
      </c>
      <c r="D7" s="13">
        <f t="shared" si="1"/>
        <v>10934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91</v>
      </c>
      <c r="D9" s="13">
        <f t="shared" si="1"/>
        <v>66703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>
        <v>2</v>
      </c>
      <c r="D10" s="13">
        <f t="shared" si="1"/>
        <v>2064</v>
      </c>
      <c r="F10" s="157" t="s">
        <v>26</v>
      </c>
      <c r="G10" s="173" t="s">
        <v>127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v>5</v>
      </c>
      <c r="D12" s="48">
        <f t="shared" si="1"/>
        <v>4960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16</v>
      </c>
      <c r="D13" s="48">
        <f t="shared" si="1"/>
        <v>4912</v>
      </c>
      <c r="F13" s="179" t="s">
        <v>36</v>
      </c>
      <c r="G13" s="180"/>
      <c r="H13" s="181">
        <f>D29</f>
        <v>375047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9</v>
      </c>
      <c r="D14" s="31">
        <f t="shared" si="1"/>
        <v>99</v>
      </c>
      <c r="F14" s="184" t="s">
        <v>39</v>
      </c>
      <c r="G14" s="185"/>
      <c r="H14" s="186">
        <f>D54</f>
        <v>58607.25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316439.75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50*6+50*6+100*6+112*6</f>
        <v>1872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80"/>
      <c r="I19" s="280"/>
      <c r="J19" s="280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7"/>
      <c r="G22" s="73"/>
      <c r="H22" s="216"/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101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27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375047</v>
      </c>
      <c r="F29" s="202" t="s">
        <v>55</v>
      </c>
      <c r="G29" s="203"/>
      <c r="H29" s="206">
        <f>H15-H16-H17-H18-H19-H20-H22-H23-H24+H26+H27</f>
        <v>314567.75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8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4">
        <v>233</v>
      </c>
      <c r="H34" s="234">
        <f>F34*G34</f>
        <v>233000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145</v>
      </c>
      <c r="H35" s="234">
        <f>F35*G35</f>
        <v>72500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>
        <v>6</v>
      </c>
      <c r="D36" s="12">
        <f>C36*1.5</f>
        <v>9</v>
      </c>
      <c r="F36" s="12">
        <v>200</v>
      </c>
      <c r="G36" s="37"/>
      <c r="H36" s="234">
        <f t="shared" ref="H36:H39" si="2"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497</v>
      </c>
      <c r="D37" s="12">
        <f>C37*111</f>
        <v>55167</v>
      </c>
      <c r="F37" s="12">
        <v>100</v>
      </c>
      <c r="G37" s="39">
        <v>69</v>
      </c>
      <c r="H37" s="234">
        <f t="shared" si="2"/>
        <v>6900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6</v>
      </c>
      <c r="D38" s="12">
        <f>C38*84</f>
        <v>504</v>
      </c>
      <c r="F38" s="30">
        <v>50</v>
      </c>
      <c r="G38" s="39">
        <v>32</v>
      </c>
      <c r="H38" s="234">
        <f t="shared" si="2"/>
        <v>1600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9</v>
      </c>
      <c r="D40" s="12">
        <f>C40*111</f>
        <v>999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1</v>
      </c>
      <c r="D42" s="12">
        <f>C42*2.25</f>
        <v>2.25</v>
      </c>
      <c r="F42" s="39" t="s">
        <v>79</v>
      </c>
      <c r="G42" s="234">
        <v>753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24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3</v>
      </c>
      <c r="D44" s="12">
        <f>C44*120</f>
        <v>360</v>
      </c>
      <c r="F44" s="37"/>
      <c r="G44" s="76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1</v>
      </c>
      <c r="D45" s="12">
        <f>C45*84</f>
        <v>84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4</v>
      </c>
      <c r="D46" s="12">
        <f>C46*1.5</f>
        <v>6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13</v>
      </c>
      <c r="D48" s="12">
        <f>C48*78</f>
        <v>1014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5</v>
      </c>
      <c r="D49" s="12">
        <f>C49*42</f>
        <v>210</v>
      </c>
      <c r="F49" s="259" t="s">
        <v>86</v>
      </c>
      <c r="G49" s="206">
        <f>H34+H35+H36+H37+H38+H39+H40+H41+G42+H44+H45+H46</f>
        <v>314753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5</v>
      </c>
      <c r="D50" s="12">
        <f>C50*1.5</f>
        <v>7.5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138</v>
      </c>
      <c r="G51" s="263">
        <f>G49-H29</f>
        <v>185.25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58607.25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4662-73C4-4331-A932-B2F3DA561784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130" t="s">
        <v>2</v>
      </c>
      <c r="Q1" s="13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131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2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4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547E5-72BC-4AC4-A178-18A1F480432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30" t="s">
        <v>2</v>
      </c>
      <c r="Q1" s="13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46074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>
        <v>307</v>
      </c>
      <c r="D6" s="13">
        <f t="shared" ref="D6:D28" si="1">C6*L6</f>
        <v>233627</v>
      </c>
      <c r="F6" s="157" t="s">
        <v>16</v>
      </c>
      <c r="G6" s="159" t="s">
        <v>111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>
        <v>70</v>
      </c>
      <c r="D8" s="13">
        <f t="shared" si="1"/>
        <v>76510</v>
      </c>
      <c r="F8" s="165" t="s">
        <v>21</v>
      </c>
      <c r="G8" s="167" t="s">
        <v>144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>
        <v>6</v>
      </c>
      <c r="D9" s="13">
        <f t="shared" si="1"/>
        <v>4398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>
        <v>3</v>
      </c>
      <c r="D10" s="13">
        <f t="shared" si="1"/>
        <v>3096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>
        <v>4</v>
      </c>
      <c r="D11" s="13">
        <f t="shared" si="1"/>
        <v>4680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>
        <v>3</v>
      </c>
      <c r="D12" s="48">
        <f t="shared" si="1"/>
        <v>2976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>
        <v>9</v>
      </c>
      <c r="D13" s="48">
        <f t="shared" si="1"/>
        <v>2763</v>
      </c>
      <c r="F13" s="179" t="s">
        <v>36</v>
      </c>
      <c r="G13" s="180"/>
      <c r="H13" s="181">
        <f>D29</f>
        <v>329826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>
        <v>14</v>
      </c>
      <c r="D14" s="31">
        <f t="shared" si="1"/>
        <v>154</v>
      </c>
      <c r="F14" s="184" t="s">
        <v>39</v>
      </c>
      <c r="G14" s="185"/>
      <c r="H14" s="186">
        <f>D54</f>
        <v>53295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/>
      <c r="D15" s="31">
        <f t="shared" si="1"/>
        <v>0</v>
      </c>
      <c r="F15" s="189" t="s">
        <v>40</v>
      </c>
      <c r="G15" s="180"/>
      <c r="H15" s="190">
        <f>H13-H14</f>
        <v>276531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93">
        <f>216*6</f>
        <v>1296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133</v>
      </c>
      <c r="C17" s="84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66"/>
      <c r="I19" s="166"/>
      <c r="J19" s="166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124</v>
      </c>
      <c r="C22" s="84"/>
      <c r="D22" s="48">
        <f t="shared" si="1"/>
        <v>0</v>
      </c>
      <c r="F22" s="77"/>
      <c r="G22" s="73"/>
      <c r="H22" s="216"/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101</v>
      </c>
      <c r="C23" s="84"/>
      <c r="D23" s="48">
        <f t="shared" si="1"/>
        <v>0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207</v>
      </c>
      <c r="C24" s="84">
        <v>12</v>
      </c>
      <c r="D24" s="48">
        <f t="shared" si="1"/>
        <v>268</v>
      </c>
      <c r="F24" s="77"/>
      <c r="G24" s="79"/>
      <c r="H24" s="269"/>
      <c r="I24" s="270"/>
      <c r="J24" s="270"/>
      <c r="L24" s="47">
        <v>22.333333333333332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150</v>
      </c>
      <c r="C25" s="84">
        <v>12</v>
      </c>
      <c r="D25" s="48">
        <f t="shared" si="1"/>
        <v>543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v>45.25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132</v>
      </c>
      <c r="C26" s="84"/>
      <c r="D26" s="48">
        <f t="shared" si="1"/>
        <v>0</v>
      </c>
      <c r="F26" s="75"/>
      <c r="G26" s="65"/>
      <c r="H26" s="218"/>
      <c r="I26" s="218"/>
      <c r="J26" s="218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134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>
        <v>1</v>
      </c>
      <c r="D28" s="48">
        <f t="shared" si="1"/>
        <v>811</v>
      </c>
      <c r="F28" s="131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329826</v>
      </c>
      <c r="F29" s="202" t="s">
        <v>55</v>
      </c>
      <c r="G29" s="203"/>
      <c r="H29" s="206">
        <f>H15-H16-H17-H18-H19-H20-H22-H23-H24+H26+H27+H28</f>
        <v>275235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2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5</v>
      </c>
      <c r="D34" s="30">
        <f>C34*120</f>
        <v>600</v>
      </c>
      <c r="F34" s="12">
        <v>1000</v>
      </c>
      <c r="G34" s="40">
        <v>127</v>
      </c>
      <c r="H34" s="234">
        <f t="shared" ref="H34:H39" si="2">F34*G34</f>
        <v>127000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30</v>
      </c>
      <c r="H35" s="234">
        <f t="shared" si="2"/>
        <v>15000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>
        <v>21</v>
      </c>
      <c r="D36" s="12">
        <f>C36*1.5</f>
        <v>31.5</v>
      </c>
      <c r="F36" s="12">
        <v>200</v>
      </c>
      <c r="G36" s="37"/>
      <c r="H36" s="234">
        <f t="shared" si="2"/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367</v>
      </c>
      <c r="D37" s="12">
        <f>C37*111</f>
        <v>40737</v>
      </c>
      <c r="F37" s="12">
        <v>100</v>
      </c>
      <c r="G37" s="39">
        <v>8</v>
      </c>
      <c r="H37" s="234">
        <f t="shared" si="2"/>
        <v>800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3</v>
      </c>
      <c r="D38" s="12">
        <f>C38*84</f>
        <v>252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8</v>
      </c>
      <c r="D39" s="31">
        <f>C39*4.5</f>
        <v>36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4</v>
      </c>
      <c r="D40" s="12">
        <f>C40*111</f>
        <v>444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18</v>
      </c>
      <c r="D42" s="12">
        <f>C42*2.25</f>
        <v>40.5</v>
      </c>
      <c r="F42" s="39" t="s">
        <v>79</v>
      </c>
      <c r="G42" s="234">
        <v>12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4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85</v>
      </c>
      <c r="D44" s="12">
        <f>C44*120</f>
        <v>10200</v>
      </c>
      <c r="F44" s="37" t="s">
        <v>145</v>
      </c>
      <c r="G44" s="62" t="s">
        <v>208</v>
      </c>
      <c r="H44" s="218">
        <v>132652.25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1</v>
      </c>
      <c r="D46" s="12">
        <f>C46*1.5</f>
        <v>1.5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6</v>
      </c>
      <c r="D49" s="12">
        <f>C49*42</f>
        <v>252</v>
      </c>
      <c r="F49" s="259" t="s">
        <v>86</v>
      </c>
      <c r="G49" s="206">
        <f>H34+H35+H36+H37+H38+H39+H40+H41+G42+H44+H45+H46</f>
        <v>275464.25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39</v>
      </c>
      <c r="D50" s="12">
        <f>C50*1.5</f>
        <v>58.5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138</v>
      </c>
      <c r="G51" s="263">
        <f>G49-H29</f>
        <v>229.25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53295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8E77-6668-42EE-AAA6-692C98AB06A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30" t="s">
        <v>2</v>
      </c>
      <c r="Q1" s="13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46074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322</v>
      </c>
      <c r="D6" s="13">
        <f t="shared" ref="D6:D28" si="1">C6*L6</f>
        <v>245042</v>
      </c>
      <c r="F6" s="157" t="s">
        <v>16</v>
      </c>
      <c r="G6" s="159" t="s">
        <v>126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1</v>
      </c>
      <c r="D7" s="13">
        <f t="shared" si="1"/>
        <v>781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33</v>
      </c>
      <c r="D9" s="13">
        <f t="shared" si="1"/>
        <v>24189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114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>
        <v>1</v>
      </c>
      <c r="D11" s="13">
        <f t="shared" si="1"/>
        <v>1170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10</v>
      </c>
      <c r="D13" s="48">
        <f t="shared" si="1"/>
        <v>3070</v>
      </c>
      <c r="F13" s="179" t="s">
        <v>36</v>
      </c>
      <c r="G13" s="180"/>
      <c r="H13" s="181">
        <f>D29</f>
        <v>274902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/>
      <c r="D14" s="31">
        <f t="shared" si="1"/>
        <v>0</v>
      </c>
      <c r="F14" s="184" t="s">
        <v>39</v>
      </c>
      <c r="G14" s="185"/>
      <c r="H14" s="186">
        <f>D54</f>
        <v>37960.5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236941.5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229*6</f>
        <v>1374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79"/>
      <c r="I19" s="279"/>
      <c r="J19" s="27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>
        <v>1</v>
      </c>
      <c r="D21" s="48">
        <f t="shared" si="1"/>
        <v>650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207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f>500/24+1.5</f>
        <v>22.333333333333332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150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1050/24+1.5</f>
        <v>45.25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10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14"/>
      <c r="G27" s="14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31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274902</v>
      </c>
      <c r="F29" s="202" t="s">
        <v>55</v>
      </c>
      <c r="G29" s="203"/>
      <c r="H29" s="206">
        <f>H15-H16-H17-H18-H19-H20-H22-H23-H24+H26+H27</f>
        <v>235567.5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2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75</v>
      </c>
      <c r="H34" s="234">
        <f>F34*G34</f>
        <v>75000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17</v>
      </c>
      <c r="H35" s="234">
        <f t="shared" ref="H35:H39" si="2">F35*G35</f>
        <v>8500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310</v>
      </c>
      <c r="D37" s="12">
        <f>C37*111</f>
        <v>34410</v>
      </c>
      <c r="F37" s="12">
        <v>100</v>
      </c>
      <c r="G37" s="39">
        <v>3</v>
      </c>
      <c r="H37" s="234">
        <f t="shared" si="2"/>
        <v>300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18</v>
      </c>
      <c r="D38" s="12">
        <f>C38*84</f>
        <v>1512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14</v>
      </c>
      <c r="D42" s="12">
        <f>C42*2.25</f>
        <v>31.5</v>
      </c>
      <c r="F42" s="39" t="s">
        <v>79</v>
      </c>
      <c r="G42" s="234">
        <v>31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4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1</v>
      </c>
      <c r="D44" s="12">
        <f>C44*120</f>
        <v>120</v>
      </c>
      <c r="F44" s="37" t="s">
        <v>145</v>
      </c>
      <c r="G44" s="62" t="s">
        <v>209</v>
      </c>
      <c r="H44" s="218">
        <v>151828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1</v>
      </c>
      <c r="D45" s="12">
        <f>C45*84</f>
        <v>84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3</v>
      </c>
      <c r="D46" s="12">
        <f>C46*1.5</f>
        <v>4.5</v>
      </c>
      <c r="F46" s="37"/>
      <c r="G46" s="133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26</v>
      </c>
      <c r="D49" s="12">
        <f>C49*42</f>
        <v>1092</v>
      </c>
      <c r="F49" s="259" t="s">
        <v>86</v>
      </c>
      <c r="G49" s="206">
        <f>H34+H35+H36+H37+H38+H39+H40+H41+G42+H44+H45+H46</f>
        <v>235659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13</v>
      </c>
      <c r="D50" s="12">
        <f>C50*1.5</f>
        <v>19.5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135</v>
      </c>
      <c r="G51" s="263">
        <f>G49-H29</f>
        <v>91.5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37960.5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7B1A-17AE-4CBD-817B-0A62E02CEFE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30" t="s">
        <v>2</v>
      </c>
      <c r="Q1" s="13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46074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373</v>
      </c>
      <c r="D6" s="13">
        <f t="shared" ref="D6:D28" si="1">C6*L6</f>
        <v>283853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10</v>
      </c>
      <c r="D7" s="13">
        <f t="shared" si="1"/>
        <v>7810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21</v>
      </c>
      <c r="D9" s="13">
        <f t="shared" si="1"/>
        <v>15393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>
        <v>3</v>
      </c>
      <c r="D10" s="13">
        <f t="shared" si="1"/>
        <v>3096</v>
      </c>
      <c r="F10" s="157" t="s">
        <v>26</v>
      </c>
      <c r="G10" s="173" t="s">
        <v>127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v>5</v>
      </c>
      <c r="D12" s="48">
        <f t="shared" si="1"/>
        <v>4960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15</v>
      </c>
      <c r="D13" s="48">
        <f t="shared" si="1"/>
        <v>4605</v>
      </c>
      <c r="F13" s="179" t="s">
        <v>36</v>
      </c>
      <c r="G13" s="180"/>
      <c r="H13" s="181">
        <f>D29</f>
        <v>321122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15</v>
      </c>
      <c r="D14" s="31">
        <f t="shared" si="1"/>
        <v>165</v>
      </c>
      <c r="F14" s="184" t="s">
        <v>39</v>
      </c>
      <c r="G14" s="185"/>
      <c r="H14" s="186">
        <f>D54</f>
        <v>53124.75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267997.25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362*6</f>
        <v>2172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>
        <v>2</v>
      </c>
      <c r="D18" s="48">
        <f t="shared" si="1"/>
        <v>1240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80"/>
      <c r="I19" s="280"/>
      <c r="J19" s="280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7" t="s">
        <v>211</v>
      </c>
      <c r="G22" s="73">
        <v>9351</v>
      </c>
      <c r="H22" s="216">
        <v>540</v>
      </c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101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31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321122</v>
      </c>
      <c r="F29" s="202" t="s">
        <v>55</v>
      </c>
      <c r="G29" s="203"/>
      <c r="H29" s="206">
        <f>H15-H16-H17-H18-H19-H20-H22-H23-H24+H26+H27</f>
        <v>265285.25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2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3</v>
      </c>
      <c r="D34" s="30">
        <f>C34*120</f>
        <v>360</v>
      </c>
      <c r="F34" s="12">
        <v>1000</v>
      </c>
      <c r="G34" s="74">
        <v>22</v>
      </c>
      <c r="H34" s="234">
        <f>F34*G34</f>
        <v>22000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8</v>
      </c>
      <c r="H35" s="234">
        <f>F35*G35</f>
        <v>4000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234">
        <f t="shared" ref="H36:H39" si="2">F36*G36</f>
        <v>200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456</v>
      </c>
      <c r="D37" s="12">
        <f>C37*111</f>
        <v>50616</v>
      </c>
      <c r="F37" s="12">
        <v>100</v>
      </c>
      <c r="G37" s="39">
        <v>29</v>
      </c>
      <c r="H37" s="234">
        <f t="shared" si="2"/>
        <v>2900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4</v>
      </c>
      <c r="H38" s="234">
        <f t="shared" si="2"/>
        <v>200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3</v>
      </c>
      <c r="D42" s="12">
        <f>C42*2.25</f>
        <v>6.75</v>
      </c>
      <c r="F42" s="39" t="s">
        <v>79</v>
      </c>
      <c r="G42" s="234">
        <v>36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4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12</v>
      </c>
      <c r="D44" s="12">
        <f>C44*120</f>
        <v>1440</v>
      </c>
      <c r="F44" s="37" t="s">
        <v>146</v>
      </c>
      <c r="G44" s="76" t="s">
        <v>210</v>
      </c>
      <c r="H44" s="218">
        <v>238559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5</v>
      </c>
      <c r="D46" s="12">
        <f>C46*1.5</f>
        <v>7.5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6</v>
      </c>
      <c r="D48" s="12">
        <f>C48*78</f>
        <v>468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267895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12</v>
      </c>
      <c r="D50" s="12">
        <f>C50*1.5</f>
        <v>18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138</v>
      </c>
      <c r="G51" s="263">
        <f>G49-H29</f>
        <v>2609.75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53124.75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D2B3-49A0-4239-88D5-D34331C56E7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130" t="s">
        <v>2</v>
      </c>
      <c r="Q1" s="13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131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2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4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4E27-AEDD-4FB2-B67D-6A76106A609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30" t="s">
        <v>2</v>
      </c>
      <c r="Q1" s="13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46076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/>
      <c r="D6" s="13">
        <f t="shared" ref="D6:D28" si="1">C6*L6</f>
        <v>0</v>
      </c>
      <c r="F6" s="157" t="s">
        <v>16</v>
      </c>
      <c r="G6" s="159" t="s">
        <v>111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/>
      <c r="D8" s="13">
        <f t="shared" si="1"/>
        <v>0</v>
      </c>
      <c r="F8" s="165" t="s">
        <v>21</v>
      </c>
      <c r="G8" s="167" t="s">
        <v>144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/>
      <c r="D10" s="13">
        <f t="shared" si="1"/>
        <v>0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133</v>
      </c>
      <c r="C17" s="84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66"/>
      <c r="I19" s="166"/>
      <c r="J19" s="166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124</v>
      </c>
      <c r="C22" s="84"/>
      <c r="D22" s="48">
        <f t="shared" si="1"/>
        <v>0</v>
      </c>
      <c r="F22" s="77"/>
      <c r="G22" s="73"/>
      <c r="H22" s="216"/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101</v>
      </c>
      <c r="C23" s="84"/>
      <c r="D23" s="48">
        <f t="shared" si="1"/>
        <v>0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118</v>
      </c>
      <c r="C24" s="84"/>
      <c r="D24" s="48">
        <f t="shared" si="1"/>
        <v>0</v>
      </c>
      <c r="F24" s="77"/>
      <c r="G24" s="79"/>
      <c r="H24" s="269"/>
      <c r="I24" s="270"/>
      <c r="J24" s="27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132</v>
      </c>
      <c r="C26" s="84"/>
      <c r="D26" s="48">
        <f t="shared" si="1"/>
        <v>0</v>
      </c>
      <c r="F26" s="75"/>
      <c r="G26" s="65"/>
      <c r="H26" s="218"/>
      <c r="I26" s="218"/>
      <c r="J26" s="218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134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/>
      <c r="D28" s="48">
        <f t="shared" si="1"/>
        <v>0</v>
      </c>
      <c r="F28" s="131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H15-H16-H17-H18-H19-H20-H22-H23-H24+H26+H27+H28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2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234">
        <f t="shared" ref="H34:H39" si="2">F34*G34</f>
        <v>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>
        <f t="shared" si="2"/>
        <v>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si="2"/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>
        <f t="shared" si="2"/>
        <v>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4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85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0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2EEE-E618-4585-8393-F4AAE3CCDD0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30" t="s">
        <v>2</v>
      </c>
      <c r="Q1" s="13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46076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/>
      <c r="D6" s="13">
        <f t="shared" ref="D6:D28" si="1">C6*L6</f>
        <v>0</v>
      </c>
      <c r="F6" s="157" t="s">
        <v>16</v>
      </c>
      <c r="G6" s="159" t="s">
        <v>126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114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79"/>
      <c r="I19" s="279"/>
      <c r="J19" s="27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120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10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14"/>
      <c r="G27" s="14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31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2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>
        <f>F34*G34</f>
        <v>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>
        <f t="shared" ref="H35:H39" si="2">F35*G35</f>
        <v>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>
        <f t="shared" si="2"/>
        <v>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4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62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133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A2A3-074A-4D0C-B58C-7B3CBC5FB56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30" t="s">
        <v>2</v>
      </c>
      <c r="Q1" s="13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46076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404</v>
      </c>
      <c r="D6" s="13">
        <f t="shared" ref="D6:D28" si="1">C6*L6</f>
        <v>307444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8</v>
      </c>
      <c r="D7" s="13">
        <f t="shared" si="1"/>
        <v>6248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97</v>
      </c>
      <c r="D9" s="13">
        <f t="shared" si="1"/>
        <v>71101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113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v>3</v>
      </c>
      <c r="D12" s="48">
        <f t="shared" si="1"/>
        <v>2976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10</v>
      </c>
      <c r="D13" s="48">
        <f t="shared" si="1"/>
        <v>3070</v>
      </c>
      <c r="F13" s="179" t="s">
        <v>36</v>
      </c>
      <c r="G13" s="180"/>
      <c r="H13" s="181">
        <f>D29</f>
        <v>390982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13</v>
      </c>
      <c r="D14" s="31">
        <f t="shared" si="1"/>
        <v>143</v>
      </c>
      <c r="F14" s="184" t="s">
        <v>39</v>
      </c>
      <c r="G14" s="185"/>
      <c r="H14" s="186">
        <f>D54</f>
        <v>61594.5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329387.5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283*6</f>
        <v>1698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80">
        <v>50</v>
      </c>
      <c r="I19" s="280"/>
      <c r="J19" s="280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106" t="s">
        <v>175</v>
      </c>
      <c r="G22" s="73">
        <v>9196</v>
      </c>
      <c r="H22" s="216">
        <v>99564</v>
      </c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101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31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390982</v>
      </c>
      <c r="F29" s="202" t="s">
        <v>55</v>
      </c>
      <c r="G29" s="203"/>
      <c r="H29" s="206">
        <f>H15-H16-H17-H18-H19-H20-H22-H23-H24+H26+H27</f>
        <v>228075.5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2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35</v>
      </c>
      <c r="H34" s="234">
        <f>F34*G34</f>
        <v>35000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6</v>
      </c>
      <c r="H35" s="234">
        <f>F35*G35</f>
        <v>3000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>
        <v>19</v>
      </c>
      <c r="D36" s="12">
        <f>C36*1.5</f>
        <v>28.5</v>
      </c>
      <c r="F36" s="12">
        <v>200</v>
      </c>
      <c r="G36" s="37"/>
      <c r="H36" s="234">
        <f t="shared" ref="H36:H39" si="2"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536</v>
      </c>
      <c r="D37" s="12">
        <f>C37*111</f>
        <v>59496</v>
      </c>
      <c r="F37" s="12">
        <v>100</v>
      </c>
      <c r="G37" s="39">
        <v>76</v>
      </c>
      <c r="H37" s="234">
        <f t="shared" si="2"/>
        <v>7600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>
        <v>44</v>
      </c>
      <c r="H38" s="234">
        <f t="shared" si="2"/>
        <v>2200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7</v>
      </c>
      <c r="D40" s="12">
        <f>C40*111</f>
        <v>777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4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 t="s">
        <v>145</v>
      </c>
      <c r="G44" s="62" t="s">
        <v>212</v>
      </c>
      <c r="H44" s="218">
        <v>182197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3</v>
      </c>
      <c r="D45" s="12">
        <f>C45*84</f>
        <v>252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21</v>
      </c>
      <c r="D46" s="12">
        <f>C46*1.5</f>
        <v>31.5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10</v>
      </c>
      <c r="D48" s="12">
        <f>C48*78</f>
        <v>780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3</v>
      </c>
      <c r="D49" s="12">
        <f>C49*42</f>
        <v>126</v>
      </c>
      <c r="F49" s="259" t="s">
        <v>86</v>
      </c>
      <c r="G49" s="206">
        <f>H34+H35+H36+H37+H38+H39+H40+H41+G42+H44+H45+H46</f>
        <v>229997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13</v>
      </c>
      <c r="D50" s="12">
        <f>C50*1.5</f>
        <v>19.5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138</v>
      </c>
      <c r="G51" s="263">
        <f>G49-H29</f>
        <v>1921.5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61594.5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9EF9D-7072-46D9-A274-EC8ABB7BA856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137" t="s">
        <v>2</v>
      </c>
      <c r="Q1" s="13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138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9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5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E045E-D834-4B29-ABE3-C7964EC1114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37" t="s">
        <v>2</v>
      </c>
      <c r="Q1" s="13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46077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>
        <v>337</v>
      </c>
      <c r="D6" s="13">
        <f t="shared" ref="D6:D28" si="1">C6*L6</f>
        <v>256457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>
        <v>7</v>
      </c>
      <c r="D7" s="13">
        <f t="shared" si="1"/>
        <v>5467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/>
      <c r="D8" s="13">
        <f t="shared" si="1"/>
        <v>0</v>
      </c>
      <c r="F8" s="165" t="s">
        <v>21</v>
      </c>
      <c r="G8" s="167" t="s">
        <v>144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>
        <v>20</v>
      </c>
      <c r="D9" s="13">
        <f t="shared" si="1"/>
        <v>14660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>
        <v>2</v>
      </c>
      <c r="D10" s="13">
        <f t="shared" si="1"/>
        <v>2064</v>
      </c>
      <c r="F10" s="157" t="s">
        <v>26</v>
      </c>
      <c r="G10" s="173" t="s">
        <v>111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>
        <v>2</v>
      </c>
      <c r="D12" s="48">
        <f t="shared" si="1"/>
        <v>1984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>
        <v>6</v>
      </c>
      <c r="D13" s="48">
        <f t="shared" si="1"/>
        <v>1842</v>
      </c>
      <c r="F13" s="179" t="s">
        <v>36</v>
      </c>
      <c r="G13" s="180"/>
      <c r="H13" s="181">
        <f>D29</f>
        <v>283160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>
        <v>6</v>
      </c>
      <c r="D14" s="31">
        <f t="shared" si="1"/>
        <v>66</v>
      </c>
      <c r="F14" s="184" t="s">
        <v>39</v>
      </c>
      <c r="G14" s="185"/>
      <c r="H14" s="186">
        <f>D54</f>
        <v>40695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>
        <v>1</v>
      </c>
      <c r="D15" s="31">
        <f t="shared" si="1"/>
        <v>620</v>
      </c>
      <c r="F15" s="189" t="s">
        <v>40</v>
      </c>
      <c r="G15" s="180"/>
      <c r="H15" s="190">
        <f>H13-H14</f>
        <v>242465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133</v>
      </c>
      <c r="C17" s="84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66"/>
      <c r="I19" s="166"/>
      <c r="J19" s="166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124</v>
      </c>
      <c r="C22" s="84"/>
      <c r="D22" s="48">
        <f t="shared" si="1"/>
        <v>0</v>
      </c>
      <c r="F22" s="77"/>
      <c r="G22" s="73"/>
      <c r="H22" s="216"/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101</v>
      </c>
      <c r="C23" s="84"/>
      <c r="D23" s="48">
        <f t="shared" si="1"/>
        <v>0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118</v>
      </c>
      <c r="C24" s="84"/>
      <c r="D24" s="48">
        <f t="shared" si="1"/>
        <v>0</v>
      </c>
      <c r="F24" s="77"/>
      <c r="G24" s="79"/>
      <c r="H24" s="269"/>
      <c r="I24" s="270"/>
      <c r="J24" s="27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132</v>
      </c>
      <c r="C26" s="84"/>
      <c r="D26" s="48">
        <f t="shared" si="1"/>
        <v>0</v>
      </c>
      <c r="F26" s="75"/>
      <c r="G26" s="65"/>
      <c r="H26" s="218"/>
      <c r="I26" s="218"/>
      <c r="J26" s="218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135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/>
      <c r="D28" s="48">
        <f t="shared" si="1"/>
        <v>0</v>
      </c>
      <c r="F28" s="138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283160</v>
      </c>
      <c r="F29" s="202" t="s">
        <v>55</v>
      </c>
      <c r="G29" s="203"/>
      <c r="H29" s="206">
        <f>H15-H16-H17-H18-H19-H20-H22-H23-H24+H26+H27+H28</f>
        <v>242465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9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174</v>
      </c>
      <c r="H34" s="234">
        <f t="shared" ref="H34:H39" si="2">F34*G34</f>
        <v>174000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>
        <v>2</v>
      </c>
      <c r="D35" s="30">
        <f>C35*84</f>
        <v>168</v>
      </c>
      <c r="F35" s="58">
        <v>500</v>
      </c>
      <c r="G35" s="41">
        <v>74</v>
      </c>
      <c r="H35" s="234">
        <f t="shared" si="2"/>
        <v>37000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>
        <v>9</v>
      </c>
      <c r="D36" s="12">
        <f>C36*1.5</f>
        <v>13.5</v>
      </c>
      <c r="F36" s="12">
        <v>200</v>
      </c>
      <c r="G36" s="37">
        <v>2</v>
      </c>
      <c r="H36" s="234">
        <f t="shared" si="2"/>
        <v>400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346</v>
      </c>
      <c r="D37" s="12">
        <f>C37*111</f>
        <v>38406</v>
      </c>
      <c r="F37" s="12">
        <v>100</v>
      </c>
      <c r="G37" s="39">
        <v>72</v>
      </c>
      <c r="H37" s="234">
        <f t="shared" si="2"/>
        <v>7200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23</v>
      </c>
      <c r="H38" s="234">
        <f t="shared" si="2"/>
        <v>1150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6</v>
      </c>
      <c r="D40" s="12">
        <f>C40*111</f>
        <v>666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8</v>
      </c>
      <c r="D42" s="12">
        <f>C42*2.25</f>
        <v>18</v>
      </c>
      <c r="F42" s="39" t="s">
        <v>79</v>
      </c>
      <c r="G42" s="234">
        <v>30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1</v>
      </c>
      <c r="D44" s="12">
        <f>C44*120</f>
        <v>120</v>
      </c>
      <c r="F44" s="37" t="s">
        <v>146</v>
      </c>
      <c r="G44" s="85" t="s">
        <v>182</v>
      </c>
      <c r="H44" s="218">
        <v>6000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1</v>
      </c>
      <c r="D45" s="12">
        <f>C45*84</f>
        <v>84</v>
      </c>
      <c r="F45" s="37" t="s">
        <v>146</v>
      </c>
      <c r="G45" s="85" t="s">
        <v>182</v>
      </c>
      <c r="H45" s="218">
        <v>16210</v>
      </c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6</v>
      </c>
      <c r="D48" s="12">
        <f>C48*78</f>
        <v>468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241990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26</v>
      </c>
      <c r="D50" s="12">
        <f>C50*1.5</f>
        <v>39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-475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40695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213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9EF8-44E4-43CC-A531-8BFDD06A66C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37" t="s">
        <v>2</v>
      </c>
      <c r="Q1" s="13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46077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484</v>
      </c>
      <c r="D6" s="13">
        <f t="shared" ref="D6:D28" si="1">C6*L6</f>
        <v>368324</v>
      </c>
      <c r="F6" s="157" t="s">
        <v>16</v>
      </c>
      <c r="G6" s="159" t="s">
        <v>126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1</v>
      </c>
      <c r="D7" s="13">
        <f t="shared" si="1"/>
        <v>781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108</v>
      </c>
      <c r="D9" s="13">
        <f t="shared" si="1"/>
        <v>79164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22</v>
      </c>
      <c r="D13" s="48">
        <f t="shared" si="1"/>
        <v>6754</v>
      </c>
      <c r="F13" s="179" t="s">
        <v>36</v>
      </c>
      <c r="G13" s="180"/>
      <c r="H13" s="181">
        <f>D29</f>
        <v>455067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4</v>
      </c>
      <c r="D14" s="31">
        <f t="shared" si="1"/>
        <v>44</v>
      </c>
      <c r="F14" s="184" t="s">
        <v>39</v>
      </c>
      <c r="G14" s="185"/>
      <c r="H14" s="186">
        <f>D54</f>
        <v>67369.5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387697.5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540*6</f>
        <v>3240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79"/>
      <c r="I19" s="279"/>
      <c r="J19" s="27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120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10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14"/>
      <c r="G27" s="14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38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455067</v>
      </c>
      <c r="F29" s="202" t="s">
        <v>55</v>
      </c>
      <c r="G29" s="203"/>
      <c r="H29" s="206">
        <f>H15-H16-H17-H18-H19-H20-H22-H23-H24+H26+H27</f>
        <v>384457.5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9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146</v>
      </c>
      <c r="H34" s="234">
        <f>F34*G34</f>
        <v>146000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449</v>
      </c>
      <c r="H35" s="234">
        <f t="shared" ref="H35:H39" si="2">F35*G35</f>
        <v>224500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234">
        <f>F36*G36</f>
        <v>200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578</v>
      </c>
      <c r="D37" s="12">
        <f>C37*111</f>
        <v>64158</v>
      </c>
      <c r="F37" s="12">
        <v>100</v>
      </c>
      <c r="G37" s="39">
        <v>2</v>
      </c>
      <c r="H37" s="234">
        <f t="shared" si="2"/>
        <v>200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22</v>
      </c>
      <c r="D38" s="12">
        <f>C38*84</f>
        <v>1848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4</v>
      </c>
      <c r="D42" s="12">
        <f>C42*2.25</f>
        <v>9</v>
      </c>
      <c r="F42" s="39" t="s">
        <v>79</v>
      </c>
      <c r="G42" s="234">
        <v>32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62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136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20</v>
      </c>
      <c r="D49" s="12">
        <f>C49*42</f>
        <v>840</v>
      </c>
      <c r="F49" s="259" t="s">
        <v>86</v>
      </c>
      <c r="G49" s="206">
        <f>H34+H35+H36+H37+H38+H39+H40+H41+G42+H44+H45+H46</f>
        <v>370932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3</v>
      </c>
      <c r="D50" s="12">
        <f>C50*1.5</f>
        <v>4.5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155</v>
      </c>
      <c r="G51" s="273">
        <f>G49-H29</f>
        <v>-13525.5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67369.5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3280-F109-457E-9C2E-6658B196319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37" t="s">
        <v>2</v>
      </c>
      <c r="Q1" s="13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46077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/>
      <c r="D6" s="13">
        <f t="shared" ref="D6:D28" si="1">C6*L6</f>
        <v>0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127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80"/>
      <c r="I19" s="280"/>
      <c r="J19" s="280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7"/>
      <c r="G22" s="73"/>
      <c r="H22" s="216"/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101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38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9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>
        <f>F34*G34</f>
        <v>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>
        <f>F35*G35</f>
        <v>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ref="H36:H39" si="2"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>
        <f t="shared" si="2"/>
        <v>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138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29E2-543F-4604-9DB6-2DDF9259D924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137" t="s">
        <v>2</v>
      </c>
      <c r="Q1" s="13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138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9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5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AB78C-D542-4C1E-AB8B-C197F845543B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37" t="s">
        <v>2</v>
      </c>
      <c r="Q1" s="13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46078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>
        <v>489</v>
      </c>
      <c r="D6" s="13">
        <f t="shared" ref="D6:D28" si="1">C6*L6</f>
        <v>372129</v>
      </c>
      <c r="F6" s="157" t="s">
        <v>16</v>
      </c>
      <c r="G6" s="159" t="s">
        <v>111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>
        <v>4</v>
      </c>
      <c r="D7" s="13">
        <f t="shared" si="1"/>
        <v>3124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/>
      <c r="D8" s="13">
        <f t="shared" si="1"/>
        <v>0</v>
      </c>
      <c r="F8" s="165" t="s">
        <v>21</v>
      </c>
      <c r="G8" s="167" t="s">
        <v>144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>
        <v>8</v>
      </c>
      <c r="D9" s="13">
        <f t="shared" si="1"/>
        <v>5864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/>
      <c r="D10" s="13">
        <f t="shared" si="1"/>
        <v>0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>
        <v>1</v>
      </c>
      <c r="D11" s="13">
        <f t="shared" si="1"/>
        <v>1170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>
        <v>1</v>
      </c>
      <c r="D12" s="48">
        <f t="shared" si="1"/>
        <v>992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>
        <v>23</v>
      </c>
      <c r="D13" s="48">
        <f t="shared" si="1"/>
        <v>7061</v>
      </c>
      <c r="F13" s="179" t="s">
        <v>36</v>
      </c>
      <c r="G13" s="180"/>
      <c r="H13" s="181">
        <f>D29</f>
        <v>400621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>
        <v>2</v>
      </c>
      <c r="D14" s="31">
        <f t="shared" si="1"/>
        <v>22</v>
      </c>
      <c r="F14" s="184" t="s">
        <v>39</v>
      </c>
      <c r="G14" s="185"/>
      <c r="H14" s="186">
        <f>D54</f>
        <v>68881.5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/>
      <c r="D15" s="31">
        <f t="shared" si="1"/>
        <v>0</v>
      </c>
      <c r="F15" s="189" t="s">
        <v>40</v>
      </c>
      <c r="G15" s="180"/>
      <c r="H15" s="190">
        <f>H13-H14</f>
        <v>331739.5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93">
        <f>7*6+324*6</f>
        <v>1986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133</v>
      </c>
      <c r="C17" s="84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>
        <v>1</v>
      </c>
      <c r="D18" s="48">
        <f t="shared" si="1"/>
        <v>620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>
        <v>3</v>
      </c>
      <c r="D19" s="48">
        <f t="shared" si="1"/>
        <v>3306</v>
      </c>
      <c r="F19" s="56"/>
      <c r="G19" s="68" t="s">
        <v>50</v>
      </c>
      <c r="H19" s="166"/>
      <c r="I19" s="166"/>
      <c r="J19" s="166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>
        <f>3+3</f>
        <v>6</v>
      </c>
      <c r="D21" s="48">
        <f t="shared" si="1"/>
        <v>3900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124</v>
      </c>
      <c r="C22" s="84"/>
      <c r="D22" s="48">
        <f t="shared" si="1"/>
        <v>0</v>
      </c>
      <c r="F22" s="77" t="s">
        <v>184</v>
      </c>
      <c r="G22" s="73">
        <v>9125</v>
      </c>
      <c r="H22" s="216">
        <v>98532</v>
      </c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101</v>
      </c>
      <c r="C23" s="84"/>
      <c r="D23" s="48">
        <f t="shared" si="1"/>
        <v>0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118</v>
      </c>
      <c r="C24" s="84"/>
      <c r="D24" s="48">
        <f t="shared" si="1"/>
        <v>0</v>
      </c>
      <c r="F24" s="77"/>
      <c r="G24" s="79"/>
      <c r="H24" s="269"/>
      <c r="I24" s="270"/>
      <c r="J24" s="27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132</v>
      </c>
      <c r="C26" s="84"/>
      <c r="D26" s="48">
        <f t="shared" si="1"/>
        <v>0</v>
      </c>
      <c r="F26" s="75" t="s">
        <v>184</v>
      </c>
      <c r="G26" s="65">
        <v>9049</v>
      </c>
      <c r="H26" s="218">
        <v>95803</v>
      </c>
      <c r="I26" s="218"/>
      <c r="J26" s="218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135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>
        <v>3</v>
      </c>
      <c r="D28" s="48">
        <f t="shared" si="1"/>
        <v>2433</v>
      </c>
      <c r="F28" s="138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400621</v>
      </c>
      <c r="F29" s="202" t="s">
        <v>55</v>
      </c>
      <c r="G29" s="203"/>
      <c r="H29" s="206">
        <f>H15-H16-H17-H18-H19-H20-H22-H23-H24+H26+H27+H28</f>
        <v>327024.5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9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190</v>
      </c>
      <c r="H34" s="234">
        <f t="shared" ref="H34:H39" si="2">F34*G34</f>
        <v>190000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78</v>
      </c>
      <c r="H35" s="234">
        <f t="shared" si="2"/>
        <v>39000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si="2"/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606</v>
      </c>
      <c r="D37" s="12">
        <f>C37*111</f>
        <v>67266</v>
      </c>
      <c r="F37" s="12">
        <v>100</v>
      </c>
      <c r="G37" s="39">
        <v>10</v>
      </c>
      <c r="H37" s="234">
        <f t="shared" si="2"/>
        <v>1000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>
        <v>10</v>
      </c>
      <c r="H38" s="234">
        <f t="shared" si="2"/>
        <v>500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5</v>
      </c>
      <c r="D40" s="12">
        <f>C40*111</f>
        <v>555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10</v>
      </c>
      <c r="D42" s="12">
        <f>C42*2.25</f>
        <v>22.5</v>
      </c>
      <c r="F42" s="39" t="s">
        <v>79</v>
      </c>
      <c r="G42" s="234">
        <v>288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2</v>
      </c>
      <c r="D44" s="12">
        <f>C44*120</f>
        <v>240</v>
      </c>
      <c r="F44" s="37" t="s">
        <v>146</v>
      </c>
      <c r="G44" s="85" t="s">
        <v>182</v>
      </c>
      <c r="H44" s="218">
        <v>95803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1</v>
      </c>
      <c r="D45" s="12">
        <f>C45*84</f>
        <v>84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21</v>
      </c>
      <c r="D46" s="12">
        <f>C46*1.5</f>
        <v>31.5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14</v>
      </c>
      <c r="D49" s="12">
        <f>C49*42</f>
        <v>588</v>
      </c>
      <c r="F49" s="259" t="s">
        <v>86</v>
      </c>
      <c r="G49" s="206">
        <f>H34+H35+H36+H37+H38+H39+H40+H41+G42+H44+H45+H46</f>
        <v>326591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1</v>
      </c>
      <c r="D50" s="12">
        <f>C50*1.5</f>
        <v>1.5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-433.5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68881.5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52491-5D14-4166-9756-ACEDA8B33A2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37" t="s">
        <v>2</v>
      </c>
      <c r="Q1" s="13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46078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244</v>
      </c>
      <c r="D6" s="13">
        <f t="shared" ref="D6:D28" si="1">C6*L6</f>
        <v>185684</v>
      </c>
      <c r="F6" s="157" t="s">
        <v>16</v>
      </c>
      <c r="G6" s="159" t="s">
        <v>126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1</v>
      </c>
      <c r="D7" s="13">
        <f t="shared" si="1"/>
        <v>781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30</v>
      </c>
      <c r="D9" s="13">
        <f t="shared" si="1"/>
        <v>21990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176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5</v>
      </c>
      <c r="D13" s="48">
        <f t="shared" si="1"/>
        <v>1535</v>
      </c>
      <c r="F13" s="179" t="s">
        <v>36</v>
      </c>
      <c r="G13" s="180"/>
      <c r="H13" s="181">
        <f>D29</f>
        <v>211051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13</v>
      </c>
      <c r="D14" s="31">
        <f t="shared" si="1"/>
        <v>143</v>
      </c>
      <c r="F14" s="184" t="s">
        <v>39</v>
      </c>
      <c r="G14" s="185"/>
      <c r="H14" s="186">
        <f>D54</f>
        <v>31398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179653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120*6</f>
        <v>720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193">
        <v>50</v>
      </c>
      <c r="I19" s="193"/>
      <c r="J19" s="19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>
        <v>1</v>
      </c>
      <c r="D21" s="48">
        <f t="shared" si="1"/>
        <v>650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120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207</v>
      </c>
      <c r="C26" s="10">
        <v>12</v>
      </c>
      <c r="D26" s="48">
        <f t="shared" si="1"/>
        <v>268</v>
      </c>
      <c r="F26" s="64"/>
      <c r="G26" s="10"/>
      <c r="H26" s="222"/>
      <c r="I26" s="223"/>
      <c r="J26" s="224"/>
      <c r="L26" s="7">
        <f>500/24+1.5</f>
        <v>22.333333333333332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14"/>
      <c r="G27" s="14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38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211051</v>
      </c>
      <c r="F29" s="202" t="s">
        <v>55</v>
      </c>
      <c r="G29" s="203"/>
      <c r="H29" s="206">
        <f>H15-H16-H17-H18-H19-H20-H22-H23-H24+H26+H27</f>
        <v>178883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9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112</v>
      </c>
      <c r="H34" s="234">
        <f>F34*G34</f>
        <v>112000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112</v>
      </c>
      <c r="H35" s="234">
        <f t="shared" ref="H35:H39" si="2">F35*G35</f>
        <v>56000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>
        <v>2</v>
      </c>
      <c r="H36" s="234">
        <f>F36*G36</f>
        <v>400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273</v>
      </c>
      <c r="D37" s="12">
        <f>C37*111</f>
        <v>30303</v>
      </c>
      <c r="F37" s="12">
        <v>100</v>
      </c>
      <c r="G37" s="39">
        <v>109</v>
      </c>
      <c r="H37" s="234">
        <f t="shared" si="2"/>
        <v>10900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3</v>
      </c>
      <c r="H38" s="234">
        <f t="shared" si="2"/>
        <v>150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8</v>
      </c>
      <c r="D42" s="12">
        <f>C42*2.25</f>
        <v>18</v>
      </c>
      <c r="F42" s="39" t="s">
        <v>79</v>
      </c>
      <c r="G42" s="234">
        <v>124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62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136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1</v>
      </c>
      <c r="D49" s="12">
        <f>C49*42</f>
        <v>42</v>
      </c>
      <c r="F49" s="259" t="s">
        <v>86</v>
      </c>
      <c r="G49" s="206">
        <f>H34+H35+H36+H37+H38+H39+H40+H41+G42+H44+H45+H46</f>
        <v>179574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8</v>
      </c>
      <c r="D50" s="12">
        <f>C50*1.5</f>
        <v>12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135</v>
      </c>
      <c r="G51" s="263">
        <f>G49-H29</f>
        <v>691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31398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EAAD-39D9-4DBA-8603-55D1D650F9D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37" t="s">
        <v>2</v>
      </c>
      <c r="Q1" s="13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46078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358</v>
      </c>
      <c r="D6" s="13">
        <f t="shared" ref="D6:D28" si="1">C6*L6</f>
        <v>272438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5</v>
      </c>
      <c r="D7" s="13">
        <f t="shared" si="1"/>
        <v>3905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50</v>
      </c>
      <c r="D9" s="13">
        <f t="shared" si="1"/>
        <v>36650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>
        <v>3</v>
      </c>
      <c r="D10" s="13">
        <f t="shared" si="1"/>
        <v>3096</v>
      </c>
      <c r="F10" s="157" t="s">
        <v>26</v>
      </c>
      <c r="G10" s="173" t="s">
        <v>127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13</v>
      </c>
      <c r="D13" s="48">
        <f t="shared" si="1"/>
        <v>3991</v>
      </c>
      <c r="F13" s="179" t="s">
        <v>36</v>
      </c>
      <c r="G13" s="180"/>
      <c r="H13" s="181">
        <f>D29</f>
        <v>320829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9</v>
      </c>
      <c r="D14" s="31">
        <f t="shared" si="1"/>
        <v>99</v>
      </c>
      <c r="F14" s="184" t="s">
        <v>39</v>
      </c>
      <c r="G14" s="185"/>
      <c r="H14" s="186">
        <f>D54</f>
        <v>59170.5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261658.5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50*6+108*6+50*6</f>
        <v>1248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80">
        <v>50</v>
      </c>
      <c r="I19" s="280"/>
      <c r="J19" s="280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>
        <v>1</v>
      </c>
      <c r="D21" s="48">
        <f t="shared" si="1"/>
        <v>650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7" t="s">
        <v>216</v>
      </c>
      <c r="G22" s="73">
        <v>9197</v>
      </c>
      <c r="H22" s="216">
        <v>137168</v>
      </c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101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112" t="s">
        <v>175</v>
      </c>
      <c r="G26" s="59">
        <v>9196</v>
      </c>
      <c r="H26" s="222">
        <v>99564</v>
      </c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38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320829</v>
      </c>
      <c r="F29" s="202" t="s">
        <v>55</v>
      </c>
      <c r="G29" s="203"/>
      <c r="H29" s="206">
        <f>H15-H16-H17-H18-H19-H20-H22-H23-H24+H26+H27</f>
        <v>222756.5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9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4">
        <v>34</v>
      </c>
      <c r="H34" s="234">
        <f>F34*G34</f>
        <v>34000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58</v>
      </c>
      <c r="H35" s="234">
        <f>F35*G35</f>
        <v>29000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ref="H36:H39" si="2"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515</v>
      </c>
      <c r="D37" s="12">
        <f>C37*111</f>
        <v>57165</v>
      </c>
      <c r="F37" s="12">
        <v>100</v>
      </c>
      <c r="G37" s="39">
        <v>1</v>
      </c>
      <c r="H37" s="234">
        <f t="shared" si="2"/>
        <v>100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1</v>
      </c>
      <c r="H38" s="234">
        <f t="shared" si="2"/>
        <v>50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5</v>
      </c>
      <c r="D40" s="12">
        <f>C40*111</f>
        <v>555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>
        <v>55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2</v>
      </c>
      <c r="D44" s="12">
        <f>C44*120</f>
        <v>240</v>
      </c>
      <c r="F44" s="37" t="s">
        <v>146</v>
      </c>
      <c r="G44" s="76" t="s">
        <v>214</v>
      </c>
      <c r="H44" s="218">
        <v>58480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97" t="s">
        <v>148</v>
      </c>
      <c r="G45" s="76" t="s">
        <v>215</v>
      </c>
      <c r="H45" s="218">
        <v>99564</v>
      </c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10</v>
      </c>
      <c r="D48" s="12">
        <f>C48*78</f>
        <v>780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2</v>
      </c>
      <c r="D49" s="12">
        <f>C49*42</f>
        <v>84</v>
      </c>
      <c r="F49" s="259" t="s">
        <v>86</v>
      </c>
      <c r="G49" s="206">
        <f>H34+H35+H36+H37+H38+H39+H40+H41+G42+H44+H45+H46</f>
        <v>221249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-1507.5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59170.5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1A139-A863-44B8-AC8A-B1AC3F8CA606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137" t="s">
        <v>2</v>
      </c>
      <c r="Q1" s="13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138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9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5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9212-C6ED-4681-B9DF-29A1E3602CC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37" t="s">
        <v>2</v>
      </c>
      <c r="Q1" s="13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46079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>
        <v>321</v>
      </c>
      <c r="D6" s="13">
        <f t="shared" ref="D6:D28" si="1">C6*L6</f>
        <v>244281</v>
      </c>
      <c r="F6" s="157" t="s">
        <v>16</v>
      </c>
      <c r="G6" s="159" t="s">
        <v>111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/>
      <c r="D8" s="13">
        <f t="shared" si="1"/>
        <v>0</v>
      </c>
      <c r="F8" s="165" t="s">
        <v>21</v>
      </c>
      <c r="G8" s="167" t="s">
        <v>144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>
        <v>3</v>
      </c>
      <c r="D9" s="13">
        <f t="shared" si="1"/>
        <v>2199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/>
      <c r="D10" s="13">
        <f t="shared" si="1"/>
        <v>0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>
        <v>2</v>
      </c>
      <c r="D12" s="48">
        <f t="shared" si="1"/>
        <v>1984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>
        <v>11</v>
      </c>
      <c r="D13" s="48">
        <f t="shared" si="1"/>
        <v>3377</v>
      </c>
      <c r="F13" s="179" t="s">
        <v>36</v>
      </c>
      <c r="G13" s="180"/>
      <c r="H13" s="181">
        <f>D29</f>
        <v>251863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>
        <v>2</v>
      </c>
      <c r="D14" s="31">
        <f t="shared" si="1"/>
        <v>22</v>
      </c>
      <c r="F14" s="184" t="s">
        <v>39</v>
      </c>
      <c r="G14" s="185"/>
      <c r="H14" s="186">
        <f>D54</f>
        <v>51612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/>
      <c r="D15" s="31">
        <f t="shared" si="1"/>
        <v>0</v>
      </c>
      <c r="F15" s="189" t="s">
        <v>40</v>
      </c>
      <c r="G15" s="180"/>
      <c r="H15" s="190">
        <f>H13-H14</f>
        <v>200251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93">
        <f>302*6</f>
        <v>1812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133</v>
      </c>
      <c r="C17" s="84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66"/>
      <c r="I19" s="166"/>
      <c r="J19" s="166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124</v>
      </c>
      <c r="C22" s="84"/>
      <c r="D22" s="48">
        <f t="shared" si="1"/>
        <v>0</v>
      </c>
      <c r="F22" s="77"/>
      <c r="G22" s="73"/>
      <c r="H22" s="216"/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101</v>
      </c>
      <c r="C23" s="84"/>
      <c r="D23" s="48">
        <f t="shared" si="1"/>
        <v>0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118</v>
      </c>
      <c r="C24" s="84"/>
      <c r="D24" s="48">
        <f t="shared" si="1"/>
        <v>0</v>
      </c>
      <c r="F24" s="77"/>
      <c r="G24" s="79"/>
      <c r="H24" s="269"/>
      <c r="I24" s="270"/>
      <c r="J24" s="27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132</v>
      </c>
      <c r="C26" s="84"/>
      <c r="D26" s="48">
        <f t="shared" si="1"/>
        <v>0</v>
      </c>
      <c r="F26" s="75"/>
      <c r="G26" s="65"/>
      <c r="H26" s="218"/>
      <c r="I26" s="218"/>
      <c r="J26" s="218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135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/>
      <c r="D28" s="48">
        <f t="shared" si="1"/>
        <v>0</v>
      </c>
      <c r="F28" s="138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251863</v>
      </c>
      <c r="F29" s="202" t="s">
        <v>55</v>
      </c>
      <c r="G29" s="203"/>
      <c r="H29" s="206">
        <f>H15-H16-H17-H18-H19-H20-H22-H23-H24+H26+H27+H28</f>
        <v>198439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9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141</v>
      </c>
      <c r="H34" s="234">
        <f t="shared" ref="H34:H39" si="2">F34*G34</f>
        <v>141000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17</v>
      </c>
      <c r="H35" s="234">
        <f t="shared" si="2"/>
        <v>8500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si="2"/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456</v>
      </c>
      <c r="D37" s="12">
        <f>C37*111</f>
        <v>50616</v>
      </c>
      <c r="F37" s="12">
        <v>100</v>
      </c>
      <c r="G37" s="39">
        <v>367</v>
      </c>
      <c r="H37" s="234">
        <f t="shared" si="2"/>
        <v>36700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246</v>
      </c>
      <c r="H38" s="234">
        <f t="shared" si="2"/>
        <v>12300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4</v>
      </c>
      <c r="D42" s="12">
        <f>C42*2.25</f>
        <v>9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2</v>
      </c>
      <c r="D44" s="12">
        <f>C44*120</f>
        <v>240</v>
      </c>
      <c r="F44" s="37"/>
      <c r="G44" s="85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6</v>
      </c>
      <c r="D49" s="12">
        <f>C49*42</f>
        <v>252</v>
      </c>
      <c r="F49" s="259" t="s">
        <v>86</v>
      </c>
      <c r="G49" s="206">
        <f>H34+H35+H36+H37+H38+H39+H40+H41+G42+H44+H45+H46</f>
        <v>198500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2</v>
      </c>
      <c r="D50" s="12">
        <f>C50*1.5</f>
        <v>3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138</v>
      </c>
      <c r="G51" s="263">
        <f>G49-H29</f>
        <v>61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51612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7FA6-0975-451B-85B6-7FD52C085A5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37" t="s">
        <v>2</v>
      </c>
      <c r="Q1" s="13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46079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268</v>
      </c>
      <c r="D6" s="13">
        <f t="shared" ref="D6:D28" si="1">C6*L6</f>
        <v>203948</v>
      </c>
      <c r="F6" s="157" t="s">
        <v>16</v>
      </c>
      <c r="G6" s="159" t="s">
        <v>126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1</v>
      </c>
      <c r="D7" s="13">
        <f t="shared" si="1"/>
        <v>781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29</v>
      </c>
      <c r="D9" s="13">
        <f t="shared" si="1"/>
        <v>21257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114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v>2</v>
      </c>
      <c r="D12" s="48">
        <f t="shared" si="1"/>
        <v>1984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8</v>
      </c>
      <c r="D13" s="48">
        <f t="shared" si="1"/>
        <v>2456</v>
      </c>
      <c r="F13" s="179" t="s">
        <v>36</v>
      </c>
      <c r="G13" s="180"/>
      <c r="H13" s="181">
        <f>D29</f>
        <v>239830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20</v>
      </c>
      <c r="D14" s="31">
        <f t="shared" si="1"/>
        <v>220</v>
      </c>
      <c r="F14" s="184" t="s">
        <v>39</v>
      </c>
      <c r="G14" s="185"/>
      <c r="H14" s="186">
        <f>D54</f>
        <v>31682.25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208147.75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192*6</f>
        <v>1152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>
        <v>1</v>
      </c>
      <c r="D19" s="48">
        <f t="shared" si="1"/>
        <v>1102</v>
      </c>
      <c r="F19" s="56"/>
      <c r="G19" s="68" t="s">
        <v>50</v>
      </c>
      <c r="H19" s="279"/>
      <c r="I19" s="279"/>
      <c r="J19" s="27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>
        <f>5+5</f>
        <v>10</v>
      </c>
      <c r="D21" s="48">
        <f t="shared" si="1"/>
        <v>6500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120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10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>
        <v>1</v>
      </c>
      <c r="D27" s="44">
        <f t="shared" si="1"/>
        <v>1582</v>
      </c>
      <c r="F27" s="14"/>
      <c r="G27" s="14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38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239830</v>
      </c>
      <c r="F29" s="202" t="s">
        <v>55</v>
      </c>
      <c r="G29" s="203"/>
      <c r="H29" s="206">
        <f>H15-H16-H17-H18-H19-H20-H22-H23-H24+H26+H27</f>
        <v>206995.75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9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70</v>
      </c>
      <c r="H34" s="234">
        <f>F34*G34</f>
        <v>70000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7</v>
      </c>
      <c r="H35" s="234">
        <f t="shared" ref="H35:H39" si="2">F35*G35</f>
        <v>3500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>
        <v>22</v>
      </c>
      <c r="D36" s="12">
        <f>C36*1.5</f>
        <v>33</v>
      </c>
      <c r="F36" s="12">
        <v>200</v>
      </c>
      <c r="G36" s="37"/>
      <c r="H36" s="234">
        <f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277</v>
      </c>
      <c r="D37" s="12">
        <f>C37*111</f>
        <v>30747</v>
      </c>
      <c r="F37" s="12">
        <v>100</v>
      </c>
      <c r="G37" s="39">
        <v>26</v>
      </c>
      <c r="H37" s="234">
        <f t="shared" si="2"/>
        <v>2600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5</v>
      </c>
      <c r="H38" s="234">
        <f t="shared" si="2"/>
        <v>250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4</v>
      </c>
      <c r="D39" s="31">
        <f>C39*4.5</f>
        <v>18</v>
      </c>
      <c r="F39" s="12">
        <v>20</v>
      </c>
      <c r="G39" s="37">
        <v>1</v>
      </c>
      <c r="H39" s="234">
        <f t="shared" si="2"/>
        <v>20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1</v>
      </c>
      <c r="D42" s="12">
        <f>C42*2.25</f>
        <v>2.25</v>
      </c>
      <c r="F42" s="39" t="s">
        <v>79</v>
      </c>
      <c r="G42" s="234">
        <v>60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 t="s">
        <v>145</v>
      </c>
      <c r="G44" s="62" t="s">
        <v>217</v>
      </c>
      <c r="H44" s="218">
        <v>130355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1</v>
      </c>
      <c r="D45" s="12">
        <f>C45*84</f>
        <v>84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19</v>
      </c>
      <c r="D46" s="12">
        <f>C46*1.5</f>
        <v>28.5</v>
      </c>
      <c r="F46" s="37"/>
      <c r="G46" s="136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206785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25</v>
      </c>
      <c r="D50" s="12">
        <f>C50*1.5</f>
        <v>37.5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222</v>
      </c>
      <c r="G51" s="273">
        <f>G49-H29</f>
        <v>-210.75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31682.25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D5FF-BA16-443D-B4A0-7FC115EB2B6D}">
  <dimension ref="A1:R1048576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37" t="s">
        <v>2</v>
      </c>
      <c r="Q1" s="13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46079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290</v>
      </c>
      <c r="D6" s="13">
        <f t="shared" ref="D6:D28" si="1">C6*L6</f>
        <v>220690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7</v>
      </c>
      <c r="D7" s="13">
        <f t="shared" si="1"/>
        <v>5467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8</v>
      </c>
      <c r="D9" s="13">
        <f t="shared" si="1"/>
        <v>5864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127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>
        <v>1</v>
      </c>
      <c r="D11" s="13">
        <f t="shared" si="1"/>
        <v>1170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v>2</v>
      </c>
      <c r="D12" s="48">
        <f t="shared" si="1"/>
        <v>1984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11</v>
      </c>
      <c r="D13" s="48">
        <f t="shared" si="1"/>
        <v>3377</v>
      </c>
      <c r="F13" s="179" t="s">
        <v>36</v>
      </c>
      <c r="G13" s="180"/>
      <c r="H13" s="181">
        <f>D29</f>
        <v>239654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/>
      <c r="D14" s="31">
        <f t="shared" si="1"/>
        <v>0</v>
      </c>
      <c r="F14" s="184" t="s">
        <v>39</v>
      </c>
      <c r="G14" s="185"/>
      <c r="H14" s="186">
        <f>D54</f>
        <v>47185.5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192468.5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60*6+53*6+108*6+50*6</f>
        <v>1626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>
        <v>1</v>
      </c>
      <c r="D19" s="48">
        <f t="shared" si="1"/>
        <v>1102</v>
      </c>
      <c r="F19" s="56"/>
      <c r="G19" s="68" t="s">
        <v>50</v>
      </c>
      <c r="H19" s="280"/>
      <c r="I19" s="280"/>
      <c r="J19" s="280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7"/>
      <c r="G22" s="73"/>
      <c r="H22" s="216"/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101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 t="s">
        <v>216</v>
      </c>
      <c r="G26" s="59">
        <v>9197</v>
      </c>
      <c r="H26" s="222">
        <v>137168</v>
      </c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 t="s">
        <v>211</v>
      </c>
      <c r="G27" s="59">
        <v>9351</v>
      </c>
      <c r="H27" s="225">
        <v>540</v>
      </c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38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239654</v>
      </c>
      <c r="F29" s="202" t="s">
        <v>55</v>
      </c>
      <c r="G29" s="203"/>
      <c r="H29" s="206">
        <f>H15-H16-H17-H18-H19-H20-H22-H23-H24+H26+H27</f>
        <v>328550.5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9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44</v>
      </c>
      <c r="H34" s="234">
        <f>F34*G34</f>
        <v>44000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21</v>
      </c>
      <c r="H35" s="234">
        <f>F35*G35</f>
        <v>10500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ref="H36:H39" si="2"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379</v>
      </c>
      <c r="D37" s="12">
        <f>C37*111</f>
        <v>42069</v>
      </c>
      <c r="F37" s="12">
        <v>100</v>
      </c>
      <c r="G37" s="39">
        <v>62</v>
      </c>
      <c r="H37" s="234">
        <f t="shared" si="2"/>
        <v>6200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>
        <v>20</v>
      </c>
      <c r="H38" s="234">
        <f t="shared" si="2"/>
        <v>1000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30</v>
      </c>
      <c r="D39" s="31">
        <f>C39*4.5</f>
        <v>135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37</v>
      </c>
      <c r="D40" s="12">
        <f>C40*111</f>
        <v>4107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>
        <v>25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2</v>
      </c>
      <c r="D44" s="12">
        <f>C44*120</f>
        <v>240</v>
      </c>
      <c r="F44" s="37" t="s">
        <v>146</v>
      </c>
      <c r="G44" s="76" t="s">
        <v>218</v>
      </c>
      <c r="H44" s="218">
        <v>64537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1</v>
      </c>
      <c r="D45" s="12">
        <f>C45*84</f>
        <v>84</v>
      </c>
      <c r="F45" s="37" t="s">
        <v>146</v>
      </c>
      <c r="G45" s="76" t="s">
        <v>219</v>
      </c>
      <c r="H45" s="218">
        <v>30356</v>
      </c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16</v>
      </c>
      <c r="D46" s="12">
        <f>C46*1.5</f>
        <v>24</v>
      </c>
      <c r="F46" s="37" t="s">
        <v>146</v>
      </c>
      <c r="G46" s="96" t="s">
        <v>220</v>
      </c>
      <c r="H46" s="218">
        <v>32658</v>
      </c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37" t="s">
        <v>145</v>
      </c>
      <c r="G47" s="62" t="s">
        <v>221</v>
      </c>
      <c r="H47" s="218">
        <v>137168</v>
      </c>
      <c r="I47" s="218"/>
      <c r="J47" s="218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H34+H35+H36+H37+H38+H39+H40+H41+G42+H44+H45+H46+H47</f>
        <v>326444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11</v>
      </c>
      <c r="D50" s="12">
        <f>C50*1.5</f>
        <v>16.5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-2106.5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47185.5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  <row r="1048576" spans="8:10" ht="15.75" x14ac:dyDescent="0.25">
      <c r="H1048576" s="218"/>
      <c r="I1048576" s="218"/>
      <c r="J1048576" s="218"/>
    </row>
  </sheetData>
  <mergeCells count="69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F13:G13"/>
    <mergeCell ref="H13:J13"/>
    <mergeCell ref="F14:G14"/>
    <mergeCell ref="H14:J14"/>
    <mergeCell ref="F15:G15"/>
    <mergeCell ref="H15:J15"/>
    <mergeCell ref="H1048576:J1048576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7BE7E-B276-47AF-A191-75BC7951FEE1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137" t="s">
        <v>2</v>
      </c>
      <c r="Q1" s="13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138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9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5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B94F-CA85-4784-A656-63014C66C7CD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37" t="s">
        <v>2</v>
      </c>
      <c r="Q1" s="13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46080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>
        <v>404</v>
      </c>
      <c r="D6" s="13">
        <f t="shared" ref="D6:D28" si="1">C6*L6</f>
        <v>307444</v>
      </c>
      <c r="F6" s="157" t="s">
        <v>16</v>
      </c>
      <c r="G6" s="159" t="s">
        <v>111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>
        <v>5</v>
      </c>
      <c r="D7" s="13">
        <f t="shared" si="1"/>
        <v>3905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/>
      <c r="D8" s="13">
        <f t="shared" si="1"/>
        <v>0</v>
      </c>
      <c r="F8" s="165" t="s">
        <v>21</v>
      </c>
      <c r="G8" s="167" t="s">
        <v>144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>
        <v>7</v>
      </c>
      <c r="D9" s="13">
        <f t="shared" si="1"/>
        <v>5131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/>
      <c r="D10" s="13">
        <f t="shared" si="1"/>
        <v>0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>
        <v>13</v>
      </c>
      <c r="D13" s="48">
        <f t="shared" si="1"/>
        <v>3991</v>
      </c>
      <c r="F13" s="179" t="s">
        <v>36</v>
      </c>
      <c r="G13" s="180"/>
      <c r="H13" s="181">
        <f>D29</f>
        <v>320471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/>
      <c r="D14" s="31">
        <f t="shared" si="1"/>
        <v>0</v>
      </c>
      <c r="F14" s="184" t="s">
        <v>39</v>
      </c>
      <c r="G14" s="185"/>
      <c r="H14" s="186">
        <f>D54</f>
        <v>36544.5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/>
      <c r="D15" s="31">
        <f t="shared" si="1"/>
        <v>0</v>
      </c>
      <c r="F15" s="189" t="s">
        <v>40</v>
      </c>
      <c r="G15" s="180"/>
      <c r="H15" s="190">
        <f>H13-H14</f>
        <v>283926.5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93">
        <f>324*6</f>
        <v>1944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133</v>
      </c>
      <c r="C17" s="84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66"/>
      <c r="I19" s="166"/>
      <c r="J19" s="166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124</v>
      </c>
      <c r="C22" s="84"/>
      <c r="D22" s="48">
        <f t="shared" si="1"/>
        <v>0</v>
      </c>
      <c r="F22" s="77"/>
      <c r="G22" s="73"/>
      <c r="H22" s="216"/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101</v>
      </c>
      <c r="C23" s="84"/>
      <c r="D23" s="48">
        <f t="shared" si="1"/>
        <v>0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118</v>
      </c>
      <c r="C24" s="84"/>
      <c r="D24" s="48">
        <f t="shared" si="1"/>
        <v>0</v>
      </c>
      <c r="F24" s="77"/>
      <c r="G24" s="79"/>
      <c r="H24" s="269"/>
      <c r="I24" s="270"/>
      <c r="J24" s="27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132</v>
      </c>
      <c r="C26" s="84"/>
      <c r="D26" s="48">
        <f t="shared" si="1"/>
        <v>0</v>
      </c>
      <c r="F26" s="75"/>
      <c r="G26" s="65"/>
      <c r="H26" s="218"/>
      <c r="I26" s="218"/>
      <c r="J26" s="218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135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/>
      <c r="D28" s="48">
        <f t="shared" si="1"/>
        <v>0</v>
      </c>
      <c r="F28" s="138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320471</v>
      </c>
      <c r="F29" s="202" t="s">
        <v>55</v>
      </c>
      <c r="G29" s="203"/>
      <c r="H29" s="206">
        <f>H15-H16-H17-H18-H19-H20-H22-H23-H24+H26+H27+H28</f>
        <v>281982.5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9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40">
        <v>45</v>
      </c>
      <c r="H34" s="234">
        <f t="shared" ref="H34:H39" si="2">F34*G34</f>
        <v>45000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26</v>
      </c>
      <c r="H35" s="234">
        <f t="shared" si="2"/>
        <v>13000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>
        <v>7</v>
      </c>
      <c r="D36" s="12">
        <f>C36*1.5</f>
        <v>10.5</v>
      </c>
      <c r="F36" s="12">
        <v>200</v>
      </c>
      <c r="G36" s="37">
        <v>1</v>
      </c>
      <c r="H36" s="234">
        <f t="shared" si="2"/>
        <v>200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299</v>
      </c>
      <c r="D37" s="12">
        <f>C37*111</f>
        <v>33189</v>
      </c>
      <c r="F37" s="12">
        <v>100</v>
      </c>
      <c r="G37" s="39">
        <v>14</v>
      </c>
      <c r="H37" s="234">
        <f t="shared" si="2"/>
        <v>1400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12</v>
      </c>
      <c r="D38" s="12">
        <f>C38*84</f>
        <v>1008</v>
      </c>
      <c r="F38" s="30">
        <v>50</v>
      </c>
      <c r="G38" s="39">
        <v>5</v>
      </c>
      <c r="H38" s="234">
        <f t="shared" si="2"/>
        <v>250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11</v>
      </c>
      <c r="D40" s="12">
        <f>C40*111</f>
        <v>1221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2</v>
      </c>
      <c r="D44" s="12">
        <f>C44*120</f>
        <v>240</v>
      </c>
      <c r="F44" s="37" t="s">
        <v>145</v>
      </c>
      <c r="G44" s="62" t="s">
        <v>223</v>
      </c>
      <c r="H44" s="218">
        <v>221939.5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1</v>
      </c>
      <c r="D45" s="12">
        <f>C45*84</f>
        <v>84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17</v>
      </c>
      <c r="D46" s="12">
        <f>C46*1.5</f>
        <v>25.5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2</v>
      </c>
      <c r="D48" s="12">
        <f>C48*78</f>
        <v>156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8</v>
      </c>
      <c r="D49" s="12">
        <f>C49*42</f>
        <v>336</v>
      </c>
      <c r="F49" s="259" t="s">
        <v>86</v>
      </c>
      <c r="G49" s="206">
        <f>H34+H35+H36+H37+H38+H39+H40+H41+G42+H44+H45+H46</f>
        <v>281789.5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23</v>
      </c>
      <c r="D50" s="12">
        <f>C50*1.5</f>
        <v>34.5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-193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36544.5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C2AD-9BEF-42BA-9A6F-711F5101DC6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37" t="s">
        <v>2</v>
      </c>
      <c r="Q1" s="13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46080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156</v>
      </c>
      <c r="D6" s="13">
        <f t="shared" ref="D6:D28" si="1">C6*L6</f>
        <v>118716</v>
      </c>
      <c r="F6" s="157" t="s">
        <v>16</v>
      </c>
      <c r="G6" s="159" t="s">
        <v>126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10</v>
      </c>
      <c r="D7" s="13">
        <f t="shared" si="1"/>
        <v>7810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122</v>
      </c>
      <c r="D9" s="13">
        <f t="shared" si="1"/>
        <v>89426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114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5</v>
      </c>
      <c r="D13" s="48">
        <f t="shared" si="1"/>
        <v>1535</v>
      </c>
      <c r="F13" s="179" t="s">
        <v>36</v>
      </c>
      <c r="G13" s="180"/>
      <c r="H13" s="181">
        <f>D29</f>
        <v>217575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8</v>
      </c>
      <c r="D14" s="31">
        <f t="shared" si="1"/>
        <v>88</v>
      </c>
      <c r="F14" s="184" t="s">
        <v>39</v>
      </c>
      <c r="G14" s="185"/>
      <c r="H14" s="186">
        <f>D54</f>
        <v>32809.5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184765.5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167*6</f>
        <v>1002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79"/>
      <c r="I19" s="279"/>
      <c r="J19" s="27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120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10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14"/>
      <c r="G27" s="14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38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217575</v>
      </c>
      <c r="F29" s="202" t="s">
        <v>55</v>
      </c>
      <c r="G29" s="203"/>
      <c r="H29" s="206">
        <f>H15-H16-H17-H18-H19-H20-H22-H23-H24+H26+H27</f>
        <v>183763.5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9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59</v>
      </c>
      <c r="H34" s="234">
        <f>F34*G34</f>
        <v>59000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27</v>
      </c>
      <c r="H35" s="234">
        <f t="shared" ref="H35:H39" si="2">F35*G35</f>
        <v>13500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283</v>
      </c>
      <c r="D37" s="12">
        <f>C37*111</f>
        <v>31413</v>
      </c>
      <c r="F37" s="12">
        <v>100</v>
      </c>
      <c r="G37" s="39">
        <v>36</v>
      </c>
      <c r="H37" s="234">
        <f t="shared" si="2"/>
        <v>3600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44</v>
      </c>
      <c r="H38" s="234">
        <f t="shared" si="2"/>
        <v>2200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2</v>
      </c>
      <c r="D42" s="12">
        <f>C42*2.25</f>
        <v>4.5</v>
      </c>
      <c r="F42" s="39" t="s">
        <v>79</v>
      </c>
      <c r="G42" s="234">
        <v>175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 t="s">
        <v>145</v>
      </c>
      <c r="G44" s="62" t="s">
        <v>224</v>
      </c>
      <c r="H44" s="218">
        <v>105087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2</v>
      </c>
      <c r="D46" s="12">
        <f>C46*1.5</f>
        <v>3</v>
      </c>
      <c r="F46" s="37"/>
      <c r="G46" s="136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12</v>
      </c>
      <c r="D48" s="12">
        <f>C48*78</f>
        <v>936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3</v>
      </c>
      <c r="D49" s="12">
        <f>C49*42</f>
        <v>126</v>
      </c>
      <c r="F49" s="259" t="s">
        <v>86</v>
      </c>
      <c r="G49" s="206">
        <f>H34+H35+H36+H37+H38+H39+H40+H41+G42+H44+H45+H46</f>
        <v>183562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20</v>
      </c>
      <c r="D50" s="12">
        <f>C50*1.5</f>
        <v>30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155</v>
      </c>
      <c r="G51" s="273">
        <f>G49-H29</f>
        <v>-201.5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32809.5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245E3-C4D4-49E5-B8A7-D4DD78F3BB5C}">
  <dimension ref="A1:R59"/>
  <sheetViews>
    <sheetView tabSelected="1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37" t="s">
        <v>2</v>
      </c>
      <c r="Q1" s="13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46080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>
        <v>256</v>
      </c>
      <c r="D6" s="13">
        <f t="shared" ref="D6:D28" si="1">C6*L6</f>
        <v>194816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>
        <v>2</v>
      </c>
      <c r="D7" s="13">
        <f t="shared" si="1"/>
        <v>1562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>
        <v>38</v>
      </c>
      <c r="D9" s="13">
        <f t="shared" si="1"/>
        <v>27854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127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>
        <v>2</v>
      </c>
      <c r="D11" s="13">
        <f t="shared" si="1"/>
        <v>2340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>
        <v>3</v>
      </c>
      <c r="D12" s="48">
        <f t="shared" si="1"/>
        <v>2976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>
        <v>8</v>
      </c>
      <c r="D13" s="48">
        <f t="shared" si="1"/>
        <v>2456</v>
      </c>
      <c r="F13" s="179" t="s">
        <v>36</v>
      </c>
      <c r="G13" s="180"/>
      <c r="H13" s="181">
        <f>D29</f>
        <v>235375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>
        <v>11</v>
      </c>
      <c r="D14" s="31">
        <f t="shared" si="1"/>
        <v>121</v>
      </c>
      <c r="F14" s="184" t="s">
        <v>39</v>
      </c>
      <c r="G14" s="185"/>
      <c r="H14" s="186">
        <f>D54</f>
        <v>36033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199342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>
        <f>201*6+50*6</f>
        <v>1506</v>
      </c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193">
        <v>50</v>
      </c>
      <c r="I19" s="193"/>
      <c r="J19" s="193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>
        <f>1+4</f>
        <v>5</v>
      </c>
      <c r="D21" s="48">
        <f t="shared" si="1"/>
        <v>3250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7"/>
      <c r="G22" s="73"/>
      <c r="H22" s="216"/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101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38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235375</v>
      </c>
      <c r="F29" s="202" t="s">
        <v>55</v>
      </c>
      <c r="G29" s="203"/>
      <c r="H29" s="206">
        <f>H15-H16-H17-H18-H19-H20-H22-H23-H24+H26+H27</f>
        <v>197786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9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16</v>
      </c>
      <c r="H34" s="234">
        <f>F34*G34</f>
        <v>16000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>
        <v>36</v>
      </c>
      <c r="H35" s="234">
        <f>F35*G35</f>
        <v>18000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>
        <v>5</v>
      </c>
      <c r="D36" s="12">
        <f>C36*1.5</f>
        <v>7.5</v>
      </c>
      <c r="F36" s="12">
        <v>200</v>
      </c>
      <c r="G36" s="37"/>
      <c r="H36" s="234">
        <f t="shared" ref="H36:H39" si="2"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>
        <v>313</v>
      </c>
      <c r="D37" s="12">
        <f>C37*111</f>
        <v>34743</v>
      </c>
      <c r="F37" s="12">
        <v>100</v>
      </c>
      <c r="G37" s="39">
        <v>12</v>
      </c>
      <c r="H37" s="234">
        <f t="shared" si="2"/>
        <v>1200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>
        <v>1</v>
      </c>
      <c r="D38" s="12">
        <f>C38*84</f>
        <v>84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>
        <v>10</v>
      </c>
      <c r="D42" s="12">
        <f>C42*2.25</f>
        <v>22.5</v>
      </c>
      <c r="F42" s="39" t="s">
        <v>79</v>
      </c>
      <c r="G42" s="234">
        <v>45</v>
      </c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>
        <v>3</v>
      </c>
      <c r="D44" s="12">
        <f>C44*120</f>
        <v>360</v>
      </c>
      <c r="F44" s="37" t="s">
        <v>145</v>
      </c>
      <c r="G44" s="62" t="s">
        <v>225</v>
      </c>
      <c r="H44" s="218">
        <v>32658</v>
      </c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>
        <v>2</v>
      </c>
      <c r="D45" s="12">
        <f>C45*84</f>
        <v>168</v>
      </c>
      <c r="F45" s="37" t="s">
        <v>145</v>
      </c>
      <c r="G45" s="62" t="s">
        <v>226</v>
      </c>
      <c r="H45" s="218">
        <v>129953</v>
      </c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>
        <v>6</v>
      </c>
      <c r="D46" s="12">
        <f>C46*1.5</f>
        <v>9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>
        <v>4</v>
      </c>
      <c r="D49" s="12">
        <f>C49*42</f>
        <v>168</v>
      </c>
      <c r="F49" s="259" t="s">
        <v>86</v>
      </c>
      <c r="G49" s="206">
        <f>H34+H35+H36+H37+H38+H39+H40+H41+G42+H44+H45+H46</f>
        <v>197856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>
        <v>16</v>
      </c>
      <c r="D50" s="12">
        <f>C50*1.5</f>
        <v>24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138</v>
      </c>
      <c r="G51" s="263">
        <f>G49-H29</f>
        <v>70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36033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81DCD-284C-4C56-A785-A003AD692DF4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40" t="s">
        <v>1</v>
      </c>
      <c r="O1" s="140"/>
      <c r="P1" s="137" t="s">
        <v>2</v>
      </c>
      <c r="Q1" s="13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41" t="s">
        <v>7</v>
      </c>
      <c r="B4" s="142"/>
      <c r="C4" s="142"/>
      <c r="D4" s="143"/>
      <c r="F4" s="144" t="s">
        <v>8</v>
      </c>
      <c r="G4" s="146"/>
      <c r="H4" s="148" t="s">
        <v>9</v>
      </c>
      <c r="I4" s="150"/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5"/>
      <c r="B6" s="16"/>
      <c r="C6" s="10"/>
      <c r="D6" s="13">
        <f t="shared" ref="D6:D28" si="1">C6*L6</f>
        <v>0</v>
      </c>
      <c r="F6" s="157" t="s">
        <v>16</v>
      </c>
      <c r="G6" s="159"/>
      <c r="H6" s="160"/>
      <c r="I6" s="160"/>
      <c r="J6" s="161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5"/>
      <c r="B7" s="16"/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5"/>
      <c r="B8" s="16"/>
      <c r="C8" s="10"/>
      <c r="D8" s="13">
        <f t="shared" si="1"/>
        <v>0</v>
      </c>
      <c r="F8" s="165" t="s">
        <v>21</v>
      </c>
      <c r="G8" s="167"/>
      <c r="H8" s="168"/>
      <c r="I8" s="168"/>
      <c r="J8" s="169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5"/>
      <c r="B9" s="16"/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5"/>
      <c r="C10" s="10"/>
      <c r="D10" s="13">
        <f t="shared" si="1"/>
        <v>0</v>
      </c>
      <c r="F10" s="157" t="s">
        <v>26</v>
      </c>
      <c r="G10" s="173"/>
      <c r="H10" s="174"/>
      <c r="I10" s="174"/>
      <c r="J10" s="175"/>
      <c r="K10" s="8"/>
      <c r="L10" s="6">
        <f>R36</f>
        <v>972</v>
      </c>
      <c r="P10" s="4"/>
      <c r="Q10" s="4"/>
      <c r="R10" s="5"/>
    </row>
    <row r="11" spans="1:19" ht="15.75" x14ac:dyDescent="0.25">
      <c r="A11" s="155"/>
      <c r="B11" s="17"/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5"/>
      <c r="B12" s="17"/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5"/>
      <c r="B13" s="17"/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5"/>
      <c r="B14" s="14"/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5"/>
      <c r="B15" s="14"/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5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/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/>
      <c r="C19" s="10"/>
      <c r="D19" s="48">
        <f t="shared" si="1"/>
        <v>0</v>
      </c>
      <c r="F19" s="56"/>
      <c r="G19" s="68" t="s">
        <v>50</v>
      </c>
      <c r="H19" s="212"/>
      <c r="I19" s="212"/>
      <c r="J19" s="21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/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5"/>
      <c r="B22" s="46"/>
      <c r="C22" s="10"/>
      <c r="D22" s="48">
        <f t="shared" si="1"/>
        <v>0</v>
      </c>
      <c r="F22" s="77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/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/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/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5"/>
      <c r="B27" s="14"/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/>
      <c r="C28" s="10"/>
      <c r="D28" s="48">
        <f t="shared" si="1"/>
        <v>0</v>
      </c>
      <c r="F28" s="138"/>
      <c r="G28" s="61"/>
      <c r="H28" s="228"/>
      <c r="I28" s="229"/>
      <c r="J28" s="230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9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/>
      <c r="I34" s="235"/>
      <c r="J34" s="236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/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/>
      <c r="I36" s="235"/>
      <c r="J36" s="236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/>
      <c r="I37" s="235"/>
      <c r="J37" s="236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/>
      <c r="I38" s="235"/>
      <c r="J38" s="236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/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5" t="s">
        <v>83</v>
      </c>
      <c r="H43" s="240" t="s">
        <v>13</v>
      </c>
      <c r="I43" s="241"/>
      <c r="J43" s="242"/>
      <c r="K43" s="21"/>
      <c r="P43" s="4"/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P44" s="4"/>
      <c r="Q44" s="4"/>
      <c r="R44" s="5"/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P50" s="4"/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99A81-3077-410E-8B96-6DD1ED622B1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37" t="s">
        <v>2</v>
      </c>
      <c r="Q1" s="13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1</v>
      </c>
      <c r="H4" s="148" t="s">
        <v>9</v>
      </c>
      <c r="I4" s="150">
        <v>46081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84"/>
      <c r="D6" s="13">
        <f t="shared" ref="D6:D28" si="1">C6*L6</f>
        <v>0</v>
      </c>
      <c r="F6" s="157" t="s">
        <v>16</v>
      </c>
      <c r="G6" s="159" t="s">
        <v>111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84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84"/>
      <c r="D8" s="13">
        <f t="shared" si="1"/>
        <v>0</v>
      </c>
      <c r="F8" s="165" t="s">
        <v>21</v>
      </c>
      <c r="G8" s="167" t="s">
        <v>144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84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84"/>
      <c r="D10" s="13">
        <f t="shared" si="1"/>
        <v>0</v>
      </c>
      <c r="F10" s="157" t="s">
        <v>26</v>
      </c>
      <c r="G10" s="173" t="s">
        <v>139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84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84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84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84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84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84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133</v>
      </c>
      <c r="C17" s="84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84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129</v>
      </c>
      <c r="C19" s="84"/>
      <c r="D19" s="48">
        <f t="shared" si="1"/>
        <v>0</v>
      </c>
      <c r="F19" s="56"/>
      <c r="G19" s="68" t="s">
        <v>50</v>
      </c>
      <c r="H19" s="166"/>
      <c r="I19" s="166"/>
      <c r="J19" s="166"/>
      <c r="L19" s="6">
        <v>1102</v>
      </c>
      <c r="Q19" s="4"/>
      <c r="R19" s="5">
        <f t="shared" si="0"/>
        <v>0</v>
      </c>
    </row>
    <row r="20" spans="1:18" ht="15.75" x14ac:dyDescent="0.25">
      <c r="A20" s="155"/>
      <c r="B20" s="83" t="s">
        <v>122</v>
      </c>
      <c r="C20" s="84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84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124</v>
      </c>
      <c r="C22" s="84"/>
      <c r="D22" s="48">
        <f t="shared" si="1"/>
        <v>0</v>
      </c>
      <c r="F22" s="77"/>
      <c r="G22" s="73"/>
      <c r="H22" s="216"/>
      <c r="I22" s="216"/>
      <c r="J22" s="216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101</v>
      </c>
      <c r="C23" s="84"/>
      <c r="D23" s="48">
        <f t="shared" si="1"/>
        <v>0</v>
      </c>
      <c r="F23" s="77"/>
      <c r="G23" s="79"/>
      <c r="H23" s="269"/>
      <c r="I23" s="270"/>
      <c r="J23" s="270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118</v>
      </c>
      <c r="C24" s="84"/>
      <c r="D24" s="48">
        <f t="shared" si="1"/>
        <v>0</v>
      </c>
      <c r="F24" s="77"/>
      <c r="G24" s="79"/>
      <c r="H24" s="269"/>
      <c r="I24" s="270"/>
      <c r="J24" s="270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134</v>
      </c>
      <c r="C25" s="84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132</v>
      </c>
      <c r="C26" s="84"/>
      <c r="D26" s="48">
        <f t="shared" si="1"/>
        <v>0</v>
      </c>
      <c r="F26" s="75"/>
      <c r="G26" s="65"/>
      <c r="H26" s="218"/>
      <c r="I26" s="218"/>
      <c r="J26" s="218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110</v>
      </c>
      <c r="C27" s="84"/>
      <c r="D27" s="44">
        <f t="shared" si="1"/>
        <v>0</v>
      </c>
      <c r="F27" s="71"/>
      <c r="G27" s="135"/>
      <c r="H27" s="271"/>
      <c r="I27" s="272"/>
      <c r="J27" s="272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84"/>
      <c r="D28" s="48">
        <f t="shared" si="1"/>
        <v>0</v>
      </c>
      <c r="F28" s="138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H15-H16-H17-H18-H19-H20-H22-H23-H24+H26+H27+H28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9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234">
        <f t="shared" ref="H34:H39" si="2">F34*G34</f>
        <v>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>
        <f t="shared" si="2"/>
        <v>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si="2"/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>
        <f t="shared" si="2"/>
        <v>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85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18"/>
      <c r="I46" s="218"/>
      <c r="J46" s="218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128</v>
      </c>
      <c r="G51" s="273">
        <f>G49-H29</f>
        <v>0</v>
      </c>
      <c r="H51" s="274"/>
      <c r="I51" s="274"/>
      <c r="J51" s="27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76"/>
      <c r="H52" s="277"/>
      <c r="I52" s="277"/>
      <c r="J52" s="27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79AE-1F28-4A51-BF8D-B154E5C5A83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37" t="s">
        <v>2</v>
      </c>
      <c r="Q1" s="13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2</v>
      </c>
      <c r="H4" s="148" t="s">
        <v>9</v>
      </c>
      <c r="I4" s="150">
        <v>46081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/>
      <c r="D6" s="13">
        <f t="shared" ref="D6:D28" si="1">C6*L6</f>
        <v>0</v>
      </c>
      <c r="F6" s="157" t="s">
        <v>16</v>
      </c>
      <c r="G6" s="159" t="s">
        <v>126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113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114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93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79"/>
      <c r="I19" s="279"/>
      <c r="J19" s="279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66"/>
      <c r="I20" s="166"/>
      <c r="J20" s="16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2"/>
      <c r="G22" s="73"/>
      <c r="H22" s="216"/>
      <c r="I22" s="216"/>
      <c r="J22" s="216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25"/>
      <c r="G23" s="37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120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10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14"/>
      <c r="G27" s="14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38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9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>
        <f>F34*G34</f>
        <v>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>
        <f t="shared" ref="H35:H39" si="2">F35*G35</f>
        <v>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>
        <f t="shared" si="2"/>
        <v>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62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62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136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135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85E4-C7C3-479A-860A-42372C71205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40" t="s">
        <v>1</v>
      </c>
      <c r="O1" s="140"/>
      <c r="P1" s="137" t="s">
        <v>2</v>
      </c>
      <c r="Q1" s="13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41" t="s">
        <v>7</v>
      </c>
      <c r="B4" s="142"/>
      <c r="C4" s="142"/>
      <c r="D4" s="143"/>
      <c r="F4" s="144" t="s">
        <v>8</v>
      </c>
      <c r="G4" s="146">
        <v>3</v>
      </c>
      <c r="H4" s="148" t="s">
        <v>9</v>
      </c>
      <c r="I4" s="150">
        <v>46081</v>
      </c>
      <c r="J4" s="151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4" t="s">
        <v>7</v>
      </c>
      <c r="B5" s="15" t="s">
        <v>11</v>
      </c>
      <c r="C5" s="9" t="s">
        <v>12</v>
      </c>
      <c r="D5" s="25" t="s">
        <v>13</v>
      </c>
      <c r="F5" s="145"/>
      <c r="G5" s="147"/>
      <c r="H5" s="149"/>
      <c r="I5" s="152"/>
      <c r="J5" s="153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5"/>
      <c r="B6" s="16" t="s">
        <v>15</v>
      </c>
      <c r="C6" s="10"/>
      <c r="D6" s="13">
        <f t="shared" ref="D6:D28" si="1">C6*L6</f>
        <v>0</v>
      </c>
      <c r="F6" s="157" t="s">
        <v>16</v>
      </c>
      <c r="G6" s="159" t="s">
        <v>141</v>
      </c>
      <c r="H6" s="160"/>
      <c r="I6" s="160"/>
      <c r="J6" s="161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5"/>
      <c r="B7" s="16" t="s">
        <v>18</v>
      </c>
      <c r="C7" s="10"/>
      <c r="D7" s="13">
        <f t="shared" si="1"/>
        <v>0</v>
      </c>
      <c r="F7" s="158"/>
      <c r="G7" s="162"/>
      <c r="H7" s="163"/>
      <c r="I7" s="163"/>
      <c r="J7" s="164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5"/>
      <c r="B8" s="16" t="s">
        <v>20</v>
      </c>
      <c r="C8" s="10"/>
      <c r="D8" s="13">
        <f t="shared" si="1"/>
        <v>0</v>
      </c>
      <c r="F8" s="165" t="s">
        <v>21</v>
      </c>
      <c r="G8" s="167" t="s">
        <v>130</v>
      </c>
      <c r="H8" s="168"/>
      <c r="I8" s="168"/>
      <c r="J8" s="169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5"/>
      <c r="B9" s="16" t="s">
        <v>23</v>
      </c>
      <c r="C9" s="10"/>
      <c r="D9" s="13">
        <f t="shared" si="1"/>
        <v>0</v>
      </c>
      <c r="F9" s="158"/>
      <c r="G9" s="170"/>
      <c r="H9" s="171"/>
      <c r="I9" s="171"/>
      <c r="J9" s="172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5"/>
      <c r="B10" t="s">
        <v>25</v>
      </c>
      <c r="C10" s="10"/>
      <c r="D10" s="13">
        <f t="shared" si="1"/>
        <v>0</v>
      </c>
      <c r="F10" s="157" t="s">
        <v>26</v>
      </c>
      <c r="G10" s="173" t="s">
        <v>127</v>
      </c>
      <c r="H10" s="174"/>
      <c r="I10" s="174"/>
      <c r="J10" s="175"/>
      <c r="K10" s="8"/>
      <c r="L10" s="6">
        <f>R36</f>
        <v>1032</v>
      </c>
      <c r="P10" s="4"/>
      <c r="Q10" s="4"/>
      <c r="R10" s="5"/>
    </row>
    <row r="11" spans="1:18" ht="15.75" x14ac:dyDescent="0.25">
      <c r="A11" s="155"/>
      <c r="B11" s="17" t="s">
        <v>28</v>
      </c>
      <c r="C11" s="10"/>
      <c r="D11" s="13">
        <f t="shared" si="1"/>
        <v>0</v>
      </c>
      <c r="F11" s="158"/>
      <c r="G11" s="170"/>
      <c r="H11" s="171"/>
      <c r="I11" s="171"/>
      <c r="J11" s="172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5"/>
      <c r="B12" s="17" t="s">
        <v>30</v>
      </c>
      <c r="C12" s="10"/>
      <c r="D12" s="48">
        <f t="shared" si="1"/>
        <v>0</v>
      </c>
      <c r="F12" s="176" t="s">
        <v>33</v>
      </c>
      <c r="G12" s="177"/>
      <c r="H12" s="177"/>
      <c r="I12" s="177"/>
      <c r="J12" s="178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5"/>
      <c r="B13" s="17" t="s">
        <v>32</v>
      </c>
      <c r="C13" s="10"/>
      <c r="D13" s="48">
        <f t="shared" si="1"/>
        <v>0</v>
      </c>
      <c r="F13" s="179" t="s">
        <v>36</v>
      </c>
      <c r="G13" s="180"/>
      <c r="H13" s="181">
        <f>D29</f>
        <v>0</v>
      </c>
      <c r="I13" s="182"/>
      <c r="J13" s="183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5"/>
      <c r="B14" s="14" t="s">
        <v>35</v>
      </c>
      <c r="C14" s="10"/>
      <c r="D14" s="31">
        <f t="shared" si="1"/>
        <v>0</v>
      </c>
      <c r="F14" s="184" t="s">
        <v>39</v>
      </c>
      <c r="G14" s="185"/>
      <c r="H14" s="186">
        <f>D54</f>
        <v>0</v>
      </c>
      <c r="I14" s="187"/>
      <c r="J14" s="188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5"/>
      <c r="B15" s="14" t="s">
        <v>38</v>
      </c>
      <c r="C15" s="10"/>
      <c r="D15" s="31">
        <f t="shared" si="1"/>
        <v>0</v>
      </c>
      <c r="F15" s="189" t="s">
        <v>40</v>
      </c>
      <c r="G15" s="180"/>
      <c r="H15" s="190">
        <f>H13-H14</f>
        <v>0</v>
      </c>
      <c r="I15" s="191"/>
      <c r="J15" s="192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5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93"/>
      <c r="I16" s="193"/>
      <c r="J16" s="193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5"/>
      <c r="B17" t="s">
        <v>112</v>
      </c>
      <c r="C17" s="10"/>
      <c r="D17" s="48">
        <f t="shared" si="1"/>
        <v>0</v>
      </c>
      <c r="F17" s="56"/>
      <c r="G17" s="66" t="s">
        <v>45</v>
      </c>
      <c r="H17" s="166"/>
      <c r="I17" s="166"/>
      <c r="J17" s="16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5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66"/>
      <c r="I18" s="166"/>
      <c r="J18" s="16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5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80"/>
      <c r="I19" s="280"/>
      <c r="J19" s="280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5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93"/>
      <c r="I20" s="193"/>
      <c r="J20" s="193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5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213" t="s">
        <v>13</v>
      </c>
      <c r="I21" s="214"/>
      <c r="J21" s="215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5"/>
      <c r="B22" s="46" t="s">
        <v>104</v>
      </c>
      <c r="C22" s="10"/>
      <c r="D22" s="48">
        <f t="shared" si="1"/>
        <v>0</v>
      </c>
      <c r="F22" s="77"/>
      <c r="G22" s="73"/>
      <c r="H22" s="216"/>
      <c r="I22" s="216"/>
      <c r="J22" s="216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5"/>
      <c r="B23" s="14" t="s">
        <v>107</v>
      </c>
      <c r="C23" s="10"/>
      <c r="D23" s="48">
        <f t="shared" si="1"/>
        <v>0</v>
      </c>
      <c r="F23" s="78"/>
      <c r="G23" s="79"/>
      <c r="H23" s="217"/>
      <c r="I23" s="218"/>
      <c r="J23" s="218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5"/>
      <c r="B24" s="14" t="s">
        <v>101</v>
      </c>
      <c r="C24" s="10"/>
      <c r="D24" s="48">
        <f t="shared" si="1"/>
        <v>0</v>
      </c>
      <c r="F24" s="38"/>
      <c r="G24" s="37"/>
      <c r="H24" s="217"/>
      <c r="I24" s="218"/>
      <c r="J24" s="218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5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219" t="s">
        <v>13</v>
      </c>
      <c r="I25" s="220"/>
      <c r="J25" s="221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5"/>
      <c r="B26" s="14" t="s">
        <v>105</v>
      </c>
      <c r="C26" s="10"/>
      <c r="D26" s="48">
        <f t="shared" si="1"/>
        <v>0</v>
      </c>
      <c r="F26" s="64"/>
      <c r="G26" s="59"/>
      <c r="H26" s="222"/>
      <c r="I26" s="223"/>
      <c r="J26" s="224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5"/>
      <c r="B27" s="14" t="s">
        <v>109</v>
      </c>
      <c r="C27" s="10"/>
      <c r="D27" s="44">
        <f t="shared" si="1"/>
        <v>0</v>
      </c>
      <c r="F27" s="25"/>
      <c r="G27" s="80"/>
      <c r="H27" s="225"/>
      <c r="I27" s="226"/>
      <c r="J27" s="227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6"/>
      <c r="B28" s="46" t="s">
        <v>97</v>
      </c>
      <c r="C28" s="10"/>
      <c r="D28" s="48">
        <f t="shared" si="1"/>
        <v>0</v>
      </c>
      <c r="F28" s="138"/>
      <c r="G28" s="61"/>
      <c r="H28" s="228"/>
      <c r="I28" s="229"/>
      <c r="J28" s="230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94" t="s">
        <v>36</v>
      </c>
      <c r="B29" s="195"/>
      <c r="C29" s="196"/>
      <c r="D29" s="200">
        <f>SUM(D6:D28)</f>
        <v>0</v>
      </c>
      <c r="F29" s="202" t="s">
        <v>55</v>
      </c>
      <c r="G29" s="203"/>
      <c r="H29" s="206">
        <f>H15-H16-H17-H18-H19-H20-H22-H23-H24+H26+H27</f>
        <v>0</v>
      </c>
      <c r="I29" s="207"/>
      <c r="J29" s="208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7"/>
      <c r="B30" s="198"/>
      <c r="C30" s="199"/>
      <c r="D30" s="201"/>
      <c r="F30" s="204"/>
      <c r="G30" s="205"/>
      <c r="H30" s="209"/>
      <c r="I30" s="210"/>
      <c r="J30" s="211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41" t="s">
        <v>58</v>
      </c>
      <c r="B32" s="142"/>
      <c r="C32" s="142"/>
      <c r="D32" s="143"/>
      <c r="F32" s="231" t="s">
        <v>59</v>
      </c>
      <c r="G32" s="232"/>
      <c r="H32" s="232"/>
      <c r="I32" s="232"/>
      <c r="J32" s="233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39" t="s">
        <v>63</v>
      </c>
      <c r="H33" s="231" t="s">
        <v>13</v>
      </c>
      <c r="I33" s="232"/>
      <c r="J33" s="233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4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234">
        <f>F34*G34</f>
        <v>0</v>
      </c>
      <c r="I34" s="235"/>
      <c r="J34" s="236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5"/>
      <c r="B35" s="27" t="s">
        <v>68</v>
      </c>
      <c r="C35" s="52"/>
      <c r="D35" s="30">
        <f>C35*84</f>
        <v>0</v>
      </c>
      <c r="F35" s="58">
        <v>500</v>
      </c>
      <c r="G35" s="41"/>
      <c r="H35" s="234">
        <f>F35*G35</f>
        <v>0</v>
      </c>
      <c r="I35" s="235"/>
      <c r="J35" s="236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6"/>
      <c r="B36" s="26" t="s">
        <v>70</v>
      </c>
      <c r="C36" s="10"/>
      <c r="D36" s="12">
        <f>C36*1.5</f>
        <v>0</v>
      </c>
      <c r="F36" s="12">
        <v>200</v>
      </c>
      <c r="G36" s="37"/>
      <c r="H36" s="234">
        <f t="shared" ref="H36:H39" si="2">F36*G36</f>
        <v>0</v>
      </c>
      <c r="I36" s="235"/>
      <c r="J36" s="236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4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34">
        <f t="shared" si="2"/>
        <v>0</v>
      </c>
      <c r="I37" s="235"/>
      <c r="J37" s="236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5"/>
      <c r="B38" s="29" t="s">
        <v>68</v>
      </c>
      <c r="C38" s="54"/>
      <c r="D38" s="12">
        <f>C38*84</f>
        <v>0</v>
      </c>
      <c r="F38" s="30">
        <v>50</v>
      </c>
      <c r="G38" s="39"/>
      <c r="H38" s="234">
        <f t="shared" si="2"/>
        <v>0</v>
      </c>
      <c r="I38" s="235"/>
      <c r="J38" s="236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6"/>
      <c r="B39" s="29" t="s">
        <v>70</v>
      </c>
      <c r="C39" s="52"/>
      <c r="D39" s="31">
        <f>C39*4.5</f>
        <v>0</v>
      </c>
      <c r="F39" s="12">
        <v>20</v>
      </c>
      <c r="G39" s="37"/>
      <c r="H39" s="234">
        <f t="shared" si="2"/>
        <v>0</v>
      </c>
      <c r="I39" s="235"/>
      <c r="J39" s="236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4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234"/>
      <c r="I40" s="235"/>
      <c r="J40" s="236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5"/>
      <c r="B41" s="27" t="s">
        <v>68</v>
      </c>
      <c r="C41" s="10"/>
      <c r="D41" s="12">
        <f>C41*84</f>
        <v>0</v>
      </c>
      <c r="F41" s="12">
        <v>5</v>
      </c>
      <c r="G41" s="42"/>
      <c r="H41" s="234"/>
      <c r="I41" s="235"/>
      <c r="J41" s="236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6"/>
      <c r="B42" s="27" t="s">
        <v>70</v>
      </c>
      <c r="C42" s="11"/>
      <c r="D42" s="12">
        <f>C42*2.25</f>
        <v>0</v>
      </c>
      <c r="F42" s="39" t="s">
        <v>79</v>
      </c>
      <c r="G42" s="234"/>
      <c r="H42" s="235"/>
      <c r="I42" s="235"/>
      <c r="J42" s="236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237" t="s">
        <v>81</v>
      </c>
      <c r="C43" s="11"/>
      <c r="D43" s="12"/>
      <c r="F43" s="59" t="s">
        <v>82</v>
      </c>
      <c r="G43" s="135" t="s">
        <v>83</v>
      </c>
      <c r="H43" s="240" t="s">
        <v>13</v>
      </c>
      <c r="I43" s="241"/>
      <c r="J43" s="242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8"/>
      <c r="B44" s="27" t="s">
        <v>66</v>
      </c>
      <c r="C44" s="10"/>
      <c r="D44" s="12">
        <f>C44*120</f>
        <v>0</v>
      </c>
      <c r="F44" s="37"/>
      <c r="G44" s="76"/>
      <c r="H44" s="218"/>
      <c r="I44" s="218"/>
      <c r="J44" s="218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238"/>
      <c r="B45" s="27" t="s">
        <v>68</v>
      </c>
      <c r="C45" s="33"/>
      <c r="D45" s="12">
        <f>C45*84</f>
        <v>0</v>
      </c>
      <c r="F45" s="37"/>
      <c r="G45" s="76"/>
      <c r="H45" s="218"/>
      <c r="I45" s="218"/>
      <c r="J45" s="218"/>
      <c r="K45" s="21"/>
      <c r="P45" s="4"/>
      <c r="Q45" s="4"/>
      <c r="R45" s="5"/>
    </row>
    <row r="46" spans="1:18" ht="15.75" x14ac:dyDescent="0.25">
      <c r="A46" s="238"/>
      <c r="B46" s="49" t="s">
        <v>70</v>
      </c>
      <c r="C46" s="81"/>
      <c r="D46" s="12">
        <f>C46*1.5</f>
        <v>0</v>
      </c>
      <c r="F46" s="37"/>
      <c r="G46" s="62"/>
      <c r="H46" s="243"/>
      <c r="I46" s="243"/>
      <c r="J46" s="243"/>
      <c r="K46" s="21"/>
      <c r="P46" s="4"/>
      <c r="Q46" s="4"/>
      <c r="R46" s="5"/>
    </row>
    <row r="47" spans="1:18" ht="15.75" x14ac:dyDescent="0.25">
      <c r="A47" s="239"/>
      <c r="B47" s="27"/>
      <c r="C47" s="11"/>
      <c r="D47" s="12"/>
      <c r="F47" s="59"/>
      <c r="G47" s="59"/>
      <c r="H47" s="244"/>
      <c r="I47" s="245"/>
      <c r="J47" s="246"/>
      <c r="K47" s="21"/>
      <c r="P47" s="4"/>
      <c r="Q47" s="4"/>
      <c r="R47" s="5"/>
    </row>
    <row r="48" spans="1:18" ht="15" customHeight="1" x14ac:dyDescent="0.25">
      <c r="A48" s="237" t="s">
        <v>32</v>
      </c>
      <c r="B48" s="27" t="s">
        <v>66</v>
      </c>
      <c r="C48" s="10"/>
      <c r="D48" s="12">
        <f>C48*78</f>
        <v>0</v>
      </c>
      <c r="F48" s="59"/>
      <c r="G48" s="59"/>
      <c r="H48" s="244"/>
      <c r="I48" s="245"/>
      <c r="J48" s="246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8"/>
      <c r="B49" s="29" t="s">
        <v>68</v>
      </c>
      <c r="C49" s="33"/>
      <c r="D49" s="12">
        <f>C49*42</f>
        <v>0</v>
      </c>
      <c r="F49" s="259" t="s">
        <v>86</v>
      </c>
      <c r="G49" s="206">
        <f>H34+H35+H36+H37+H38+H39+H40+H41+G42+H44+H45+H46</f>
        <v>0</v>
      </c>
      <c r="H49" s="207"/>
      <c r="I49" s="207"/>
      <c r="J49" s="208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8"/>
      <c r="B50" s="32" t="s">
        <v>70</v>
      </c>
      <c r="C50" s="11"/>
      <c r="D50" s="12">
        <f>C50*1.5</f>
        <v>0</v>
      </c>
      <c r="F50" s="260"/>
      <c r="G50" s="209"/>
      <c r="H50" s="210"/>
      <c r="I50" s="210"/>
      <c r="J50" s="211"/>
      <c r="O50" t="s">
        <v>137</v>
      </c>
      <c r="P50" s="4">
        <v>1204</v>
      </c>
      <c r="Q50" s="4"/>
      <c r="R50" s="5"/>
    </row>
    <row r="51" spans="1:18" ht="15" customHeight="1" x14ac:dyDescent="0.25">
      <c r="A51" s="238"/>
      <c r="B51" s="27"/>
      <c r="C51" s="10"/>
      <c r="D51" s="31"/>
      <c r="F51" s="261" t="s">
        <v>138</v>
      </c>
      <c r="G51" s="263">
        <f>G49-H29</f>
        <v>0</v>
      </c>
      <c r="H51" s="264"/>
      <c r="I51" s="264"/>
      <c r="J51" s="265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238"/>
      <c r="B52" s="29"/>
      <c r="C52" s="33"/>
      <c r="D52" s="45"/>
      <c r="F52" s="262"/>
      <c r="G52" s="266"/>
      <c r="H52" s="267"/>
      <c r="I52" s="267"/>
      <c r="J52" s="268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9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202" t="s">
        <v>90</v>
      </c>
      <c r="B54" s="247"/>
      <c r="C54" s="248"/>
      <c r="D54" s="251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204"/>
      <c r="B55" s="249"/>
      <c r="C55" s="250"/>
      <c r="D55" s="252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253" t="s">
        <v>91</v>
      </c>
      <c r="B58" s="254"/>
      <c r="C58" s="254"/>
      <c r="D58" s="255"/>
      <c r="F58" s="253" t="s">
        <v>92</v>
      </c>
      <c r="G58" s="254"/>
      <c r="H58" s="254"/>
      <c r="I58" s="254"/>
      <c r="J58" s="255"/>
    </row>
    <row r="59" spans="1:18" x14ac:dyDescent="0.25">
      <c r="A59" s="256"/>
      <c r="B59" s="257"/>
      <c r="C59" s="257"/>
      <c r="D59" s="258"/>
      <c r="F59" s="256"/>
      <c r="G59" s="257"/>
      <c r="H59" s="257"/>
      <c r="I59" s="257"/>
      <c r="J59" s="258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97</vt:i4>
      </vt:variant>
      <vt:variant>
        <vt:lpstr>Named Ranges</vt:lpstr>
      </vt:variant>
      <vt:variant>
        <vt:i4>96</vt:i4>
      </vt:variant>
    </vt:vector>
  </HeadingPairs>
  <TitlesOfParts>
    <vt:vector size="193" baseType="lpstr">
      <vt:lpstr>(February 2026)</vt:lpstr>
      <vt:lpstr>(2)</vt:lpstr>
      <vt:lpstr>02,02 R1</vt:lpstr>
      <vt:lpstr>02,02 R2</vt:lpstr>
      <vt:lpstr>02,02 R3</vt:lpstr>
      <vt:lpstr>(3)</vt:lpstr>
      <vt:lpstr>02,03 R1</vt:lpstr>
      <vt:lpstr>02,03 R2</vt:lpstr>
      <vt:lpstr>02,03 R3</vt:lpstr>
      <vt:lpstr>(4)</vt:lpstr>
      <vt:lpstr>02,04 R1</vt:lpstr>
      <vt:lpstr>02,04 R2</vt:lpstr>
      <vt:lpstr>02,04 R3</vt:lpstr>
      <vt:lpstr>(5)</vt:lpstr>
      <vt:lpstr>02,05 R1</vt:lpstr>
      <vt:lpstr>02,05 R2</vt:lpstr>
      <vt:lpstr>02,05 R3</vt:lpstr>
      <vt:lpstr>(6)</vt:lpstr>
      <vt:lpstr>02,06 R1</vt:lpstr>
      <vt:lpstr>02,06 R2</vt:lpstr>
      <vt:lpstr>02,06 R3 NO TRIP</vt:lpstr>
      <vt:lpstr>(7)</vt:lpstr>
      <vt:lpstr>02,07 R1</vt:lpstr>
      <vt:lpstr>02,07 R2</vt:lpstr>
      <vt:lpstr>02,07 R3</vt:lpstr>
      <vt:lpstr>(9)</vt:lpstr>
      <vt:lpstr>02,09 R1</vt:lpstr>
      <vt:lpstr>02,09 R2</vt:lpstr>
      <vt:lpstr>02,09 R3</vt:lpstr>
      <vt:lpstr>(10)</vt:lpstr>
      <vt:lpstr>02,10 R1</vt:lpstr>
      <vt:lpstr>02,10 R2</vt:lpstr>
      <vt:lpstr>02,10 R3</vt:lpstr>
      <vt:lpstr>(11)</vt:lpstr>
      <vt:lpstr>02,11 R1</vt:lpstr>
      <vt:lpstr>02,11 R2</vt:lpstr>
      <vt:lpstr>02,11 R3</vt:lpstr>
      <vt:lpstr>(12)</vt:lpstr>
      <vt:lpstr>02,12 R1</vt:lpstr>
      <vt:lpstr>02,12 R2</vt:lpstr>
      <vt:lpstr>02,12 R3</vt:lpstr>
      <vt:lpstr>(13)</vt:lpstr>
      <vt:lpstr>02,13 R1 NO TRIP</vt:lpstr>
      <vt:lpstr>02,13 R2</vt:lpstr>
      <vt:lpstr>02,13 R3</vt:lpstr>
      <vt:lpstr>(14)</vt:lpstr>
      <vt:lpstr>02,14 R1</vt:lpstr>
      <vt:lpstr>02,14 R2</vt:lpstr>
      <vt:lpstr>02,14 R3</vt:lpstr>
      <vt:lpstr>(16)</vt:lpstr>
      <vt:lpstr>02,16 R1</vt:lpstr>
      <vt:lpstr>02,16 R2</vt:lpstr>
      <vt:lpstr>02,16 R3</vt:lpstr>
      <vt:lpstr>(17)</vt:lpstr>
      <vt:lpstr>02,17 R1</vt:lpstr>
      <vt:lpstr>02,17 R2</vt:lpstr>
      <vt:lpstr>02,17 R3</vt:lpstr>
      <vt:lpstr>(18)</vt:lpstr>
      <vt:lpstr>02,18 R1 NO TRIP</vt:lpstr>
      <vt:lpstr>02,18 R2</vt:lpstr>
      <vt:lpstr>02,18 R3</vt:lpstr>
      <vt:lpstr>(19)</vt:lpstr>
      <vt:lpstr>02,19 R1</vt:lpstr>
      <vt:lpstr>02,19 R2</vt:lpstr>
      <vt:lpstr>02,19 R3</vt:lpstr>
      <vt:lpstr>(20)</vt:lpstr>
      <vt:lpstr>02,20 R1</vt:lpstr>
      <vt:lpstr>02,20 R2</vt:lpstr>
      <vt:lpstr>02,20 R3</vt:lpstr>
      <vt:lpstr>(21)</vt:lpstr>
      <vt:lpstr>02,21 R1</vt:lpstr>
      <vt:lpstr>02,21 R2</vt:lpstr>
      <vt:lpstr>02,21 R3</vt:lpstr>
      <vt:lpstr>(23)</vt:lpstr>
      <vt:lpstr>02,23 R1 NO TRIP</vt:lpstr>
      <vt:lpstr>02,23 R2 NO TRIP</vt:lpstr>
      <vt:lpstr>02,23 R3</vt:lpstr>
      <vt:lpstr>(24)</vt:lpstr>
      <vt:lpstr>02,24 R1</vt:lpstr>
      <vt:lpstr>02,24 R2</vt:lpstr>
      <vt:lpstr>02,24 R3 NO TRIP</vt:lpstr>
      <vt:lpstr>(25)</vt:lpstr>
      <vt:lpstr>02,25 R1</vt:lpstr>
      <vt:lpstr>02,25 R2</vt:lpstr>
      <vt:lpstr>02,25 R3</vt:lpstr>
      <vt:lpstr>(26)</vt:lpstr>
      <vt:lpstr>02,26 R1</vt:lpstr>
      <vt:lpstr>02,26 R2</vt:lpstr>
      <vt:lpstr>02,26 R3</vt:lpstr>
      <vt:lpstr>(27)</vt:lpstr>
      <vt:lpstr>02,27 R1</vt:lpstr>
      <vt:lpstr>02,27 R2</vt:lpstr>
      <vt:lpstr>02,27 R3</vt:lpstr>
      <vt:lpstr>(28)</vt:lpstr>
      <vt:lpstr>02,28 R1</vt:lpstr>
      <vt:lpstr>02,28 R2</vt:lpstr>
      <vt:lpstr>02,28 R3</vt:lpstr>
      <vt:lpstr>'(10)'!Print_Area</vt:lpstr>
      <vt:lpstr>'(11)'!Print_Area</vt:lpstr>
      <vt:lpstr>'(12)'!Print_Area</vt:lpstr>
      <vt:lpstr>'(13)'!Print_Area</vt:lpstr>
      <vt:lpstr>'(14)'!Print_Area</vt:lpstr>
      <vt:lpstr>'(16)'!Print_Area</vt:lpstr>
      <vt:lpstr>'(17)'!Print_Area</vt:lpstr>
      <vt:lpstr>'(18)'!Print_Area</vt:lpstr>
      <vt:lpstr>'(19)'!Print_Area</vt:lpstr>
      <vt:lpstr>'(2)'!Print_Area</vt:lpstr>
      <vt:lpstr>'(20)'!Print_Area</vt:lpstr>
      <vt:lpstr>'(21)'!Print_Area</vt:lpstr>
      <vt:lpstr>'(23)'!Print_Area</vt:lpstr>
      <vt:lpstr>'(24)'!Print_Area</vt:lpstr>
      <vt:lpstr>'(25)'!Print_Area</vt:lpstr>
      <vt:lpstr>'(26)'!Print_Area</vt:lpstr>
      <vt:lpstr>'(27)'!Print_Area</vt:lpstr>
      <vt:lpstr>'(28)'!Print_Area</vt:lpstr>
      <vt:lpstr>'(3)'!Print_Area</vt:lpstr>
      <vt:lpstr>'(4)'!Print_Area</vt:lpstr>
      <vt:lpstr>'(5)'!Print_Area</vt:lpstr>
      <vt:lpstr>'(6)'!Print_Area</vt:lpstr>
      <vt:lpstr>'(7)'!Print_Area</vt:lpstr>
      <vt:lpstr>'(9)'!Print_Area</vt:lpstr>
      <vt:lpstr>'02,02 R1'!Print_Area</vt:lpstr>
      <vt:lpstr>'02,02 R2'!Print_Area</vt:lpstr>
      <vt:lpstr>'02,02 R3'!Print_Area</vt:lpstr>
      <vt:lpstr>'02,03 R1'!Print_Area</vt:lpstr>
      <vt:lpstr>'02,03 R2'!Print_Area</vt:lpstr>
      <vt:lpstr>'02,03 R3'!Print_Area</vt:lpstr>
      <vt:lpstr>'02,04 R1'!Print_Area</vt:lpstr>
      <vt:lpstr>'02,04 R2'!Print_Area</vt:lpstr>
      <vt:lpstr>'02,04 R3'!Print_Area</vt:lpstr>
      <vt:lpstr>'02,05 R1'!Print_Area</vt:lpstr>
      <vt:lpstr>'02,05 R2'!Print_Area</vt:lpstr>
      <vt:lpstr>'02,05 R3'!Print_Area</vt:lpstr>
      <vt:lpstr>'02,06 R1'!Print_Area</vt:lpstr>
      <vt:lpstr>'02,06 R2'!Print_Area</vt:lpstr>
      <vt:lpstr>'02,06 R3 NO TRIP'!Print_Area</vt:lpstr>
      <vt:lpstr>'02,07 R1'!Print_Area</vt:lpstr>
      <vt:lpstr>'02,07 R2'!Print_Area</vt:lpstr>
      <vt:lpstr>'02,07 R3'!Print_Area</vt:lpstr>
      <vt:lpstr>'02,09 R1'!Print_Area</vt:lpstr>
      <vt:lpstr>'02,09 R2'!Print_Area</vt:lpstr>
      <vt:lpstr>'02,09 R3'!Print_Area</vt:lpstr>
      <vt:lpstr>'02,10 R1'!Print_Area</vt:lpstr>
      <vt:lpstr>'02,10 R2'!Print_Area</vt:lpstr>
      <vt:lpstr>'02,10 R3'!Print_Area</vt:lpstr>
      <vt:lpstr>'02,11 R1'!Print_Area</vt:lpstr>
      <vt:lpstr>'02,11 R2'!Print_Area</vt:lpstr>
      <vt:lpstr>'02,11 R3'!Print_Area</vt:lpstr>
      <vt:lpstr>'02,12 R1'!Print_Area</vt:lpstr>
      <vt:lpstr>'02,12 R2'!Print_Area</vt:lpstr>
      <vt:lpstr>'02,12 R3'!Print_Area</vt:lpstr>
      <vt:lpstr>'02,13 R1 NO TRIP'!Print_Area</vt:lpstr>
      <vt:lpstr>'02,13 R2'!Print_Area</vt:lpstr>
      <vt:lpstr>'02,13 R3'!Print_Area</vt:lpstr>
      <vt:lpstr>'02,14 R1'!Print_Area</vt:lpstr>
      <vt:lpstr>'02,14 R2'!Print_Area</vt:lpstr>
      <vt:lpstr>'02,14 R3'!Print_Area</vt:lpstr>
      <vt:lpstr>'02,16 R1'!Print_Area</vt:lpstr>
      <vt:lpstr>'02,16 R2'!Print_Area</vt:lpstr>
      <vt:lpstr>'02,16 R3'!Print_Area</vt:lpstr>
      <vt:lpstr>'02,17 R1'!Print_Area</vt:lpstr>
      <vt:lpstr>'02,17 R2'!Print_Area</vt:lpstr>
      <vt:lpstr>'02,17 R3'!Print_Area</vt:lpstr>
      <vt:lpstr>'02,18 R1 NO TRIP'!Print_Area</vt:lpstr>
      <vt:lpstr>'02,18 R2'!Print_Area</vt:lpstr>
      <vt:lpstr>'02,18 R3'!Print_Area</vt:lpstr>
      <vt:lpstr>'02,19 R1'!Print_Area</vt:lpstr>
      <vt:lpstr>'02,19 R2'!Print_Area</vt:lpstr>
      <vt:lpstr>'02,19 R3'!Print_Area</vt:lpstr>
      <vt:lpstr>'02,20 R1'!Print_Area</vt:lpstr>
      <vt:lpstr>'02,20 R2'!Print_Area</vt:lpstr>
      <vt:lpstr>'02,20 R3'!Print_Area</vt:lpstr>
      <vt:lpstr>'02,21 R1'!Print_Area</vt:lpstr>
      <vt:lpstr>'02,21 R2'!Print_Area</vt:lpstr>
      <vt:lpstr>'02,21 R3'!Print_Area</vt:lpstr>
      <vt:lpstr>'02,23 R1 NO TRIP'!Print_Area</vt:lpstr>
      <vt:lpstr>'02,23 R2 NO TRIP'!Print_Area</vt:lpstr>
      <vt:lpstr>'02,23 R3'!Print_Area</vt:lpstr>
      <vt:lpstr>'02,24 R1'!Print_Area</vt:lpstr>
      <vt:lpstr>'02,24 R2'!Print_Area</vt:lpstr>
      <vt:lpstr>'02,24 R3 NO TRIP'!Print_Area</vt:lpstr>
      <vt:lpstr>'02,25 R1'!Print_Area</vt:lpstr>
      <vt:lpstr>'02,25 R2'!Print_Area</vt:lpstr>
      <vt:lpstr>'02,25 R3'!Print_Area</vt:lpstr>
      <vt:lpstr>'02,26 R1'!Print_Area</vt:lpstr>
      <vt:lpstr>'02,26 R2'!Print_Area</vt:lpstr>
      <vt:lpstr>'02,26 R3'!Print_Area</vt:lpstr>
      <vt:lpstr>'02,27 R1'!Print_Area</vt:lpstr>
      <vt:lpstr>'02,27 R2'!Print_Area</vt:lpstr>
      <vt:lpstr>'02,27 R3'!Print_Area</vt:lpstr>
      <vt:lpstr>'02,28 R1'!Print_Area</vt:lpstr>
      <vt:lpstr>'02,28 R2'!Print_Area</vt:lpstr>
      <vt:lpstr>'02,28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2026-02-28T00:39:33Z</cp:lastPrinted>
  <dcterms:created xsi:type="dcterms:W3CDTF">2024-09-01T23:36:50Z</dcterms:created>
  <dcterms:modified xsi:type="dcterms:W3CDTF">2026-02-28T00:40:47Z</dcterms:modified>
</cp:coreProperties>
</file>