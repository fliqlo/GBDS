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F86745B4-70E6-4831-87C9-61A14599D634}" xr6:coauthVersionLast="45" xr6:coauthVersionMax="47" xr10:uidLastSave="{00000000-0000-0000-0000-000000000000}"/>
  <bookViews>
    <workbookView xWindow="-120" yWindow="-120" windowWidth="29040" windowHeight="15840" firstSheet="70" activeTab="72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  <sheet name="(21)" sheetId="1814" r:id="rId70"/>
    <sheet name="02,21 R1" sheetId="1815" r:id="rId71"/>
    <sheet name="02,21 R2" sheetId="1816" r:id="rId72"/>
    <sheet name="02,21 R3" sheetId="1817" r:id="rId73"/>
    <sheet name="(23)" sheetId="1818" r:id="rId74"/>
    <sheet name="02,23 R1" sheetId="1819" r:id="rId75"/>
    <sheet name="02,23 R2" sheetId="1820" r:id="rId76"/>
    <sheet name="02,23 R3" sheetId="1821" r:id="rId77"/>
    <sheet name="(24)" sheetId="1822" r:id="rId78"/>
    <sheet name="02,24 R1" sheetId="1823" r:id="rId79"/>
    <sheet name="02,24 R2" sheetId="1824" r:id="rId80"/>
    <sheet name="02,24 R3" sheetId="1825" r:id="rId81"/>
    <sheet name="(25)" sheetId="1826" r:id="rId82"/>
    <sheet name="02,25 R1" sheetId="1827" r:id="rId83"/>
    <sheet name="02,25 R2" sheetId="1828" r:id="rId84"/>
    <sheet name="02,25 R3" sheetId="1829" r:id="rId85"/>
    <sheet name="(26)" sheetId="1830" r:id="rId86"/>
    <sheet name="02,26 R1" sheetId="1831" r:id="rId87"/>
    <sheet name="02,26 R2" sheetId="1832" r:id="rId88"/>
    <sheet name="02,26 R3" sheetId="1833" r:id="rId89"/>
    <sheet name="(27)" sheetId="1834" r:id="rId90"/>
    <sheet name="02,27 R1" sheetId="1835" r:id="rId91"/>
    <sheet name="02,27 R2" sheetId="1836" r:id="rId92"/>
    <sheet name="02,27 R3" sheetId="1837" r:id="rId93"/>
    <sheet name="(28)" sheetId="1838" r:id="rId94"/>
    <sheet name="02,28 R1" sheetId="1839" r:id="rId95"/>
    <sheet name="02,28 R2" sheetId="1840" r:id="rId96"/>
    <sheet name="02,28 R3" sheetId="1841" r:id="rId9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  <definedName name="_xlnm.Print_Area" localSheetId="70">'02,21 R1'!$A$1:$J$60</definedName>
    <definedName name="_xlnm.Print_Area" localSheetId="71">'02,21 R2'!$A$1:$J$60</definedName>
    <definedName name="_xlnm.Print_Area" localSheetId="72">'02,21 R3'!$A$1:$J$60</definedName>
    <definedName name="_xlnm.Print_Area" localSheetId="74">'02,23 R1'!$A$1:$J$60</definedName>
    <definedName name="_xlnm.Print_Area" localSheetId="75">'02,23 R2'!$A$1:$J$60</definedName>
    <definedName name="_xlnm.Print_Area" localSheetId="76">'02,23 R3'!$A$1:$J$60</definedName>
    <definedName name="_xlnm.Print_Area" localSheetId="78">'02,24 R1'!$A$1:$J$60</definedName>
    <definedName name="_xlnm.Print_Area" localSheetId="79">'02,24 R2'!$A$1:$J$60</definedName>
    <definedName name="_xlnm.Print_Area" localSheetId="80">'02,24 R3'!$A$1:$J$60</definedName>
    <definedName name="_xlnm.Print_Area" localSheetId="82">'02,25 R1'!$A$1:$J$60</definedName>
    <definedName name="_xlnm.Print_Area" localSheetId="83">'02,25 R2'!$A$1:$J$60</definedName>
    <definedName name="_xlnm.Print_Area" localSheetId="84">'02,25 R3'!$A$1:$J$60</definedName>
    <definedName name="_xlnm.Print_Area" localSheetId="86">'02,26 R1'!$A$1:$J$60</definedName>
    <definedName name="_xlnm.Print_Area" localSheetId="87">'02,26 R2'!$A$1:$J$60</definedName>
    <definedName name="_xlnm.Print_Area" localSheetId="88">'02,26 R3'!$A$1:$J$60</definedName>
    <definedName name="_xlnm.Print_Area" localSheetId="90">'02,27 R1'!$A$1:$J$60</definedName>
    <definedName name="_xlnm.Print_Area" localSheetId="91">'02,27 R2'!$A$1:$J$60</definedName>
    <definedName name="_xlnm.Print_Area" localSheetId="92">'02,27 R3'!$A$1:$J$60</definedName>
    <definedName name="_xlnm.Print_Area" localSheetId="94">'02,28 R1'!$A$1:$J$60</definedName>
    <definedName name="_xlnm.Print_Area" localSheetId="95">'02,28 R2'!$A$1:$J$60</definedName>
    <definedName name="_xlnm.Print_Area" localSheetId="96">'02,28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17" l="1"/>
  <c r="R52" i="1841" l="1"/>
  <c r="R51" i="1841"/>
  <c r="D50" i="1841"/>
  <c r="R49" i="1841"/>
  <c r="D49" i="1841"/>
  <c r="R48" i="1841"/>
  <c r="D48" i="1841"/>
  <c r="D46" i="1841"/>
  <c r="D45" i="1841"/>
  <c r="R44" i="1841"/>
  <c r="L28" i="1841" s="1"/>
  <c r="D28" i="1841" s="1"/>
  <c r="D44" i="1841"/>
  <c r="R42" i="1841"/>
  <c r="L6" i="1841" s="1"/>
  <c r="D6" i="1841" s="1"/>
  <c r="D42" i="1841"/>
  <c r="R41" i="1841"/>
  <c r="D41" i="1841"/>
  <c r="R40" i="1841"/>
  <c r="D40" i="1841"/>
  <c r="R39" i="1841"/>
  <c r="H39" i="1841"/>
  <c r="D39" i="1841"/>
  <c r="R38" i="1841"/>
  <c r="L9" i="1841" s="1"/>
  <c r="D9" i="1841" s="1"/>
  <c r="H38" i="1841"/>
  <c r="D38" i="1841"/>
  <c r="R37" i="1841"/>
  <c r="H37" i="1841"/>
  <c r="D37" i="1841"/>
  <c r="R36" i="1841"/>
  <c r="L10" i="1841" s="1"/>
  <c r="D10" i="1841" s="1"/>
  <c r="H36" i="1841"/>
  <c r="D36" i="1841"/>
  <c r="R35" i="1841"/>
  <c r="H35" i="1841"/>
  <c r="D35" i="1841"/>
  <c r="R34" i="1841"/>
  <c r="L12" i="1841" s="1"/>
  <c r="D12" i="1841" s="1"/>
  <c r="H34" i="1841"/>
  <c r="G49" i="1841" s="1"/>
  <c r="D34" i="1841"/>
  <c r="D54" i="1841" s="1"/>
  <c r="H14" i="1841" s="1"/>
  <c r="R33" i="1841"/>
  <c r="L23" i="1841" s="1"/>
  <c r="D23" i="1841" s="1"/>
  <c r="R32" i="1841"/>
  <c r="R31" i="1841"/>
  <c r="R30" i="1841"/>
  <c r="R29" i="1841"/>
  <c r="R28" i="1841"/>
  <c r="R27" i="1841"/>
  <c r="D27" i="1841"/>
  <c r="R26" i="1841"/>
  <c r="L26" i="1841"/>
  <c r="D26" i="1841" s="1"/>
  <c r="R25" i="1841"/>
  <c r="L25" i="1841"/>
  <c r="D25" i="1841" s="1"/>
  <c r="R24" i="1841"/>
  <c r="D24" i="1841"/>
  <c r="R23" i="1841"/>
  <c r="R22" i="1841"/>
  <c r="L22" i="1841"/>
  <c r="D22" i="1841"/>
  <c r="R21" i="1841"/>
  <c r="D21" i="1841"/>
  <c r="R20" i="1841"/>
  <c r="L20" i="1841"/>
  <c r="D20" i="1841" s="1"/>
  <c r="R19" i="1841"/>
  <c r="L19" i="1841"/>
  <c r="D19" i="1841" s="1"/>
  <c r="R18" i="1841"/>
  <c r="D18" i="1841"/>
  <c r="R17" i="1841"/>
  <c r="D17" i="1841"/>
  <c r="R16" i="1841"/>
  <c r="L16" i="1841"/>
  <c r="D16" i="1841" s="1"/>
  <c r="R15" i="1841"/>
  <c r="D15" i="1841"/>
  <c r="R14" i="1841"/>
  <c r="D14" i="1841"/>
  <c r="R13" i="1841"/>
  <c r="D13" i="1841"/>
  <c r="R12" i="1841"/>
  <c r="R11" i="1841"/>
  <c r="L11" i="1841"/>
  <c r="D11" i="1841"/>
  <c r="L8" i="1841"/>
  <c r="D8" i="1841"/>
  <c r="L7" i="1841"/>
  <c r="D7" i="1841"/>
  <c r="R6" i="1841"/>
  <c r="R5" i="1841"/>
  <c r="R4" i="1841"/>
  <c r="R52" i="1840"/>
  <c r="R51" i="1840"/>
  <c r="D50" i="1840"/>
  <c r="R49" i="1840"/>
  <c r="D49" i="1840"/>
  <c r="R48" i="1840"/>
  <c r="D48" i="1840"/>
  <c r="D46" i="1840"/>
  <c r="D45" i="1840"/>
  <c r="R44" i="1840"/>
  <c r="D44" i="1840"/>
  <c r="R42" i="1840"/>
  <c r="D42" i="1840"/>
  <c r="R41" i="1840"/>
  <c r="D41" i="1840"/>
  <c r="R40" i="1840"/>
  <c r="L8" i="1840" s="1"/>
  <c r="D8" i="1840" s="1"/>
  <c r="D40" i="1840"/>
  <c r="R39" i="1840"/>
  <c r="H39" i="1840"/>
  <c r="D39" i="1840"/>
  <c r="R38" i="1840"/>
  <c r="H38" i="1840"/>
  <c r="D38" i="1840"/>
  <c r="R37" i="1840"/>
  <c r="H37" i="1840"/>
  <c r="D37" i="1840"/>
  <c r="R36" i="1840"/>
  <c r="H36" i="1840"/>
  <c r="D36" i="1840"/>
  <c r="R35" i="1840"/>
  <c r="L19" i="1840" s="1"/>
  <c r="D19" i="1840" s="1"/>
  <c r="H35" i="1840"/>
  <c r="G49" i="1840" s="1"/>
  <c r="D35" i="1840"/>
  <c r="D54" i="1840" s="1"/>
  <c r="H14" i="1840" s="1"/>
  <c r="R34" i="1840"/>
  <c r="H34" i="1840"/>
  <c r="D34" i="1840"/>
  <c r="R33" i="1840"/>
  <c r="L23" i="1840" s="1"/>
  <c r="D23" i="1840" s="1"/>
  <c r="R32" i="1840"/>
  <c r="L11" i="1840" s="1"/>
  <c r="D11" i="1840" s="1"/>
  <c r="R31" i="1840"/>
  <c r="R30" i="1840"/>
  <c r="R29" i="1840"/>
  <c r="R28" i="1840"/>
  <c r="L28" i="1840"/>
  <c r="D28" i="1840"/>
  <c r="R27" i="1840"/>
  <c r="D27" i="1840"/>
  <c r="R26" i="1840"/>
  <c r="L26" i="1840"/>
  <c r="D26" i="1840" s="1"/>
  <c r="R25" i="1840"/>
  <c r="L25" i="1840"/>
  <c r="D25" i="1840" s="1"/>
  <c r="R24" i="1840"/>
  <c r="L24" i="1840"/>
  <c r="D24" i="1840"/>
  <c r="R23" i="1840"/>
  <c r="R22" i="1840"/>
  <c r="L22" i="1840"/>
  <c r="D22" i="1840"/>
  <c r="R21" i="1840"/>
  <c r="L17" i="1840" s="1"/>
  <c r="D17" i="1840" s="1"/>
  <c r="D21" i="1840"/>
  <c r="R20" i="1840"/>
  <c r="L20" i="1840"/>
  <c r="D20" i="1840"/>
  <c r="R19" i="1840"/>
  <c r="R18" i="1840"/>
  <c r="D18" i="1840"/>
  <c r="R17" i="1840"/>
  <c r="R16" i="1840"/>
  <c r="L16" i="1840"/>
  <c r="D16" i="1840"/>
  <c r="R15" i="1840"/>
  <c r="D15" i="1840"/>
  <c r="R14" i="1840"/>
  <c r="D14" i="1840"/>
  <c r="R13" i="1840"/>
  <c r="D13" i="1840"/>
  <c r="R12" i="1840"/>
  <c r="L12" i="1840"/>
  <c r="D12" i="1840" s="1"/>
  <c r="R11" i="1840"/>
  <c r="L10" i="1840"/>
  <c r="D10" i="1840"/>
  <c r="L9" i="1840"/>
  <c r="D9" i="1840" s="1"/>
  <c r="L7" i="1840"/>
  <c r="D7" i="1840" s="1"/>
  <c r="R6" i="1840"/>
  <c r="L6" i="1840"/>
  <c r="D6" i="1840"/>
  <c r="R5" i="1840"/>
  <c r="R4" i="1840"/>
  <c r="R52" i="1839"/>
  <c r="R51" i="1839"/>
  <c r="D50" i="1839"/>
  <c r="R49" i="1839"/>
  <c r="D49" i="1839"/>
  <c r="R48" i="1839"/>
  <c r="D48" i="1839"/>
  <c r="D46" i="1839"/>
  <c r="D45" i="1839"/>
  <c r="R44" i="1839"/>
  <c r="L28" i="1839" s="1"/>
  <c r="D28" i="1839" s="1"/>
  <c r="D44" i="1839"/>
  <c r="R42" i="1839"/>
  <c r="L6" i="1839" s="1"/>
  <c r="D6" i="1839" s="1"/>
  <c r="D42" i="1839"/>
  <c r="R41" i="1839"/>
  <c r="L7" i="1839" s="1"/>
  <c r="D7" i="1839" s="1"/>
  <c r="D41" i="1839"/>
  <c r="R40" i="1839"/>
  <c r="L8" i="1839" s="1"/>
  <c r="D8" i="1839" s="1"/>
  <c r="D40" i="1839"/>
  <c r="R39" i="1839"/>
  <c r="L20" i="1839" s="1"/>
  <c r="D20" i="1839" s="1"/>
  <c r="H39" i="1839"/>
  <c r="D39" i="1839"/>
  <c r="R38" i="1839"/>
  <c r="H38" i="1839"/>
  <c r="D38" i="1839"/>
  <c r="R37" i="1839"/>
  <c r="H37" i="1839"/>
  <c r="D37" i="1839"/>
  <c r="R36" i="1839"/>
  <c r="H36" i="1839"/>
  <c r="D36" i="1839"/>
  <c r="R35" i="1839"/>
  <c r="H35" i="1839"/>
  <c r="D35" i="1839"/>
  <c r="R34" i="1839"/>
  <c r="H34" i="1839"/>
  <c r="G49" i="1839" s="1"/>
  <c r="D34" i="1839"/>
  <c r="D54" i="1839" s="1"/>
  <c r="H14" i="1839" s="1"/>
  <c r="R33" i="1839"/>
  <c r="R32" i="1839"/>
  <c r="L11" i="1839" s="1"/>
  <c r="D11" i="1839" s="1"/>
  <c r="R31" i="1839"/>
  <c r="R30" i="1839"/>
  <c r="R29" i="1839"/>
  <c r="R28" i="1839"/>
  <c r="L16" i="1839" s="1"/>
  <c r="D16" i="1839" s="1"/>
  <c r="R27" i="1839"/>
  <c r="D27" i="1839"/>
  <c r="R26" i="1839"/>
  <c r="L26" i="1839"/>
  <c r="D26" i="1839"/>
  <c r="R25" i="1839"/>
  <c r="L25" i="1839"/>
  <c r="D25" i="1839"/>
  <c r="R24" i="1839"/>
  <c r="L24" i="1839"/>
  <c r="D24" i="1839"/>
  <c r="R23" i="1839"/>
  <c r="D23" i="1839"/>
  <c r="R22" i="1839"/>
  <c r="D22" i="1839"/>
  <c r="R21" i="1839"/>
  <c r="D21" i="1839"/>
  <c r="R20" i="1839"/>
  <c r="R19" i="1839"/>
  <c r="D19" i="1839"/>
  <c r="R18" i="1839"/>
  <c r="D18" i="1839"/>
  <c r="R17" i="1839"/>
  <c r="L17" i="1839"/>
  <c r="D17" i="1839"/>
  <c r="R16" i="1839"/>
  <c r="R15" i="1839"/>
  <c r="D15" i="1839"/>
  <c r="R14" i="1839"/>
  <c r="D14" i="1839"/>
  <c r="R13" i="1839"/>
  <c r="D13" i="1839"/>
  <c r="R12" i="1839"/>
  <c r="L12" i="1839"/>
  <c r="D12" i="1839" s="1"/>
  <c r="R11" i="1839"/>
  <c r="L10" i="1839"/>
  <c r="D10" i="1839" s="1"/>
  <c r="L9" i="1839"/>
  <c r="D9" i="1839"/>
  <c r="R6" i="1839"/>
  <c r="R5" i="1839"/>
  <c r="R4" i="1839"/>
  <c r="R52" i="1838"/>
  <c r="R51" i="1838"/>
  <c r="D50" i="1838"/>
  <c r="R49" i="1838"/>
  <c r="G49" i="1838"/>
  <c r="D49" i="1838"/>
  <c r="R48" i="1838"/>
  <c r="D48" i="1838"/>
  <c r="D46" i="1838"/>
  <c r="D45" i="1838"/>
  <c r="D44" i="1838"/>
  <c r="R42" i="1838"/>
  <c r="L6" i="1838" s="1"/>
  <c r="D6" i="1838" s="1"/>
  <c r="D42" i="1838"/>
  <c r="R41" i="1838"/>
  <c r="L7" i="1838" s="1"/>
  <c r="D7" i="1838" s="1"/>
  <c r="D41" i="1838"/>
  <c r="R40" i="1838"/>
  <c r="D40" i="1838"/>
  <c r="R39" i="1838"/>
  <c r="D39" i="1838"/>
  <c r="R38" i="1838"/>
  <c r="L9" i="1838" s="1"/>
  <c r="D9" i="1838" s="1"/>
  <c r="D38" i="1838"/>
  <c r="R37" i="1838"/>
  <c r="D37" i="1838"/>
  <c r="R36" i="1838"/>
  <c r="L10" i="1838" s="1"/>
  <c r="D10" i="1838" s="1"/>
  <c r="D36" i="1838"/>
  <c r="R35" i="1838"/>
  <c r="D35" i="1838"/>
  <c r="R34" i="1838"/>
  <c r="L12" i="1838" s="1"/>
  <c r="D12" i="1838" s="1"/>
  <c r="D34" i="1838"/>
  <c r="D54" i="1838" s="1"/>
  <c r="H14" i="1838" s="1"/>
  <c r="R33" i="1838"/>
  <c r="L23" i="1838" s="1"/>
  <c r="D23" i="1838" s="1"/>
  <c r="R32" i="1838"/>
  <c r="R31" i="1838"/>
  <c r="R30" i="1838"/>
  <c r="R29" i="1838"/>
  <c r="R28" i="1838"/>
  <c r="D28" i="1838"/>
  <c r="R27" i="1838"/>
  <c r="D27" i="1838"/>
  <c r="R26" i="1838"/>
  <c r="L26" i="1838"/>
  <c r="D26" i="1838"/>
  <c r="R25" i="1838"/>
  <c r="L25" i="1838"/>
  <c r="D25" i="1838"/>
  <c r="R24" i="1838"/>
  <c r="D24" i="1838"/>
  <c r="R23" i="1838"/>
  <c r="R22" i="1838"/>
  <c r="L22" i="1838"/>
  <c r="D22" i="1838"/>
  <c r="R21" i="1838"/>
  <c r="D21" i="1838"/>
  <c r="R20" i="1838"/>
  <c r="L20" i="1838"/>
  <c r="D20" i="1838"/>
  <c r="R19" i="1838"/>
  <c r="L19" i="1838"/>
  <c r="D19" i="1838"/>
  <c r="R18" i="1838"/>
  <c r="D18" i="1838"/>
  <c r="R17" i="1838"/>
  <c r="D17" i="1838"/>
  <c r="R16" i="1838"/>
  <c r="L16" i="1838"/>
  <c r="D16" i="1838" s="1"/>
  <c r="S15" i="1838"/>
  <c r="R15" i="1838"/>
  <c r="D15" i="1838"/>
  <c r="S14" i="1838"/>
  <c r="R14" i="1838"/>
  <c r="D14" i="1838"/>
  <c r="R13" i="1838"/>
  <c r="D13" i="1838"/>
  <c r="R12" i="1838"/>
  <c r="R11" i="1838"/>
  <c r="L11" i="1838"/>
  <c r="D11" i="1838"/>
  <c r="L8" i="1838"/>
  <c r="D8" i="1838"/>
  <c r="R6" i="1838"/>
  <c r="R5" i="1838"/>
  <c r="R4" i="1838"/>
  <c r="R52" i="1837"/>
  <c r="L22" i="1837" s="1"/>
  <c r="D22" i="1837" s="1"/>
  <c r="R51" i="1837"/>
  <c r="D50" i="1837"/>
  <c r="R49" i="1837"/>
  <c r="D49" i="1837"/>
  <c r="R48" i="1837"/>
  <c r="D48" i="1837"/>
  <c r="D46" i="1837"/>
  <c r="D45" i="1837"/>
  <c r="R44" i="1837"/>
  <c r="L28" i="1837" s="1"/>
  <c r="D28" i="1837" s="1"/>
  <c r="D44" i="1837"/>
  <c r="R42" i="1837"/>
  <c r="D42" i="1837"/>
  <c r="R41" i="1837"/>
  <c r="L7" i="1837" s="1"/>
  <c r="D7" i="1837" s="1"/>
  <c r="D41" i="1837"/>
  <c r="R40" i="1837"/>
  <c r="D40" i="1837"/>
  <c r="R39" i="1837"/>
  <c r="H39" i="1837"/>
  <c r="D39" i="1837"/>
  <c r="R38" i="1837"/>
  <c r="H38" i="1837"/>
  <c r="D38" i="1837"/>
  <c r="D54" i="1837" s="1"/>
  <c r="H14" i="1837" s="1"/>
  <c r="R37" i="1837"/>
  <c r="H37" i="1837"/>
  <c r="D37" i="1837"/>
  <c r="R36" i="1837"/>
  <c r="L10" i="1837" s="1"/>
  <c r="D10" i="1837" s="1"/>
  <c r="H36" i="1837"/>
  <c r="D36" i="1837"/>
  <c r="R35" i="1837"/>
  <c r="L19" i="1837" s="1"/>
  <c r="D19" i="1837" s="1"/>
  <c r="H35" i="1837"/>
  <c r="D35" i="1837"/>
  <c r="R34" i="1837"/>
  <c r="H34" i="1837"/>
  <c r="G49" i="1837" s="1"/>
  <c r="D34" i="1837"/>
  <c r="R33" i="1837"/>
  <c r="L23" i="1837" s="1"/>
  <c r="D23" i="1837" s="1"/>
  <c r="R32" i="1837"/>
  <c r="R31" i="1837"/>
  <c r="R30" i="1837"/>
  <c r="R29" i="1837"/>
  <c r="R28" i="1837"/>
  <c r="R27" i="1837"/>
  <c r="D27" i="1837"/>
  <c r="R26" i="1837"/>
  <c r="L26" i="1837"/>
  <c r="D26" i="1837"/>
  <c r="R25" i="1837"/>
  <c r="L25" i="1837"/>
  <c r="D25" i="1837" s="1"/>
  <c r="R24" i="1837"/>
  <c r="D24" i="1837"/>
  <c r="R23" i="1837"/>
  <c r="R22" i="1837"/>
  <c r="R21" i="1837"/>
  <c r="D21" i="1837"/>
  <c r="R20" i="1837"/>
  <c r="L20" i="1837"/>
  <c r="D20" i="1837"/>
  <c r="R19" i="1837"/>
  <c r="R18" i="1837"/>
  <c r="D18" i="1837"/>
  <c r="R17" i="1837"/>
  <c r="D17" i="1837"/>
  <c r="R16" i="1837"/>
  <c r="L16" i="1837"/>
  <c r="D16" i="1837" s="1"/>
  <c r="R15" i="1837"/>
  <c r="D15" i="1837"/>
  <c r="R14" i="1837"/>
  <c r="D14" i="1837"/>
  <c r="R13" i="1837"/>
  <c r="D13" i="1837"/>
  <c r="R12" i="1837"/>
  <c r="L12" i="1837"/>
  <c r="D12" i="1837"/>
  <c r="R11" i="1837"/>
  <c r="L11" i="1837"/>
  <c r="D11" i="1837" s="1"/>
  <c r="L9" i="1837"/>
  <c r="D9" i="1837"/>
  <c r="L8" i="1837"/>
  <c r="D8" i="1837" s="1"/>
  <c r="R6" i="1837"/>
  <c r="L6" i="1837"/>
  <c r="D6" i="1837"/>
  <c r="R5" i="1837"/>
  <c r="R4" i="1837"/>
  <c r="R52" i="1836"/>
  <c r="R51" i="1836"/>
  <c r="D50" i="1836"/>
  <c r="R49" i="1836"/>
  <c r="D49" i="1836"/>
  <c r="R48" i="1836"/>
  <c r="D48" i="1836"/>
  <c r="D46" i="1836"/>
  <c r="D45" i="1836"/>
  <c r="R44" i="1836"/>
  <c r="L28" i="1836" s="1"/>
  <c r="D28" i="1836" s="1"/>
  <c r="D44" i="1836"/>
  <c r="R42" i="1836"/>
  <c r="D42" i="1836"/>
  <c r="R41" i="1836"/>
  <c r="D41" i="1836"/>
  <c r="R40" i="1836"/>
  <c r="D40" i="1836"/>
  <c r="R39" i="1836"/>
  <c r="H39" i="1836"/>
  <c r="D39" i="1836"/>
  <c r="R38" i="1836"/>
  <c r="H38" i="1836"/>
  <c r="D38" i="1836"/>
  <c r="R37" i="1836"/>
  <c r="H37" i="1836"/>
  <c r="D37" i="1836"/>
  <c r="R36" i="1836"/>
  <c r="H36" i="1836"/>
  <c r="D36" i="1836"/>
  <c r="R35" i="1836"/>
  <c r="L19" i="1836" s="1"/>
  <c r="D19" i="1836" s="1"/>
  <c r="H35" i="1836"/>
  <c r="D35" i="1836"/>
  <c r="R34" i="1836"/>
  <c r="L12" i="1836" s="1"/>
  <c r="D12" i="1836" s="1"/>
  <c r="H34" i="1836"/>
  <c r="G49" i="1836" s="1"/>
  <c r="D34" i="1836"/>
  <c r="D54" i="1836" s="1"/>
  <c r="H14" i="1836" s="1"/>
  <c r="R33" i="1836"/>
  <c r="R32" i="1836"/>
  <c r="R31" i="1836"/>
  <c r="R30" i="1836"/>
  <c r="R29" i="1836"/>
  <c r="R28" i="1836"/>
  <c r="R27" i="1836"/>
  <c r="D27" i="1836"/>
  <c r="R26" i="1836"/>
  <c r="L26" i="1836"/>
  <c r="D26" i="1836" s="1"/>
  <c r="R25" i="1836"/>
  <c r="L25" i="1836"/>
  <c r="D25" i="1836" s="1"/>
  <c r="R24" i="1836"/>
  <c r="L24" i="1836"/>
  <c r="D24" i="1836" s="1"/>
  <c r="R23" i="1836"/>
  <c r="L23" i="1836"/>
  <c r="D23" i="1836" s="1"/>
  <c r="R22" i="1836"/>
  <c r="L22" i="1836"/>
  <c r="D22" i="1836" s="1"/>
  <c r="R21" i="1836"/>
  <c r="D21" i="1836"/>
  <c r="R20" i="1836"/>
  <c r="L20" i="1836"/>
  <c r="D20" i="1836" s="1"/>
  <c r="R19" i="1836"/>
  <c r="R18" i="1836"/>
  <c r="D18" i="1836"/>
  <c r="R17" i="1836"/>
  <c r="L17" i="1836"/>
  <c r="D17" i="1836" s="1"/>
  <c r="R16" i="1836"/>
  <c r="L16" i="1836"/>
  <c r="D16" i="1836" s="1"/>
  <c r="R15" i="1836"/>
  <c r="D15" i="1836"/>
  <c r="R14" i="1836"/>
  <c r="D14" i="1836"/>
  <c r="R13" i="1836"/>
  <c r="D13" i="1836"/>
  <c r="R12" i="1836"/>
  <c r="R11" i="1836"/>
  <c r="L11" i="1836"/>
  <c r="D11" i="1836"/>
  <c r="L10" i="1836"/>
  <c r="D10" i="1836" s="1"/>
  <c r="L9" i="1836"/>
  <c r="D9" i="1836"/>
  <c r="L8" i="1836"/>
  <c r="D8" i="1836" s="1"/>
  <c r="L7" i="1836"/>
  <c r="D7" i="1836" s="1"/>
  <c r="R6" i="1836"/>
  <c r="L6" i="1836"/>
  <c r="D6" i="1836" s="1"/>
  <c r="R5" i="1836"/>
  <c r="R4" i="1836"/>
  <c r="R52" i="1835"/>
  <c r="R51" i="1835"/>
  <c r="D50" i="1835"/>
  <c r="R49" i="1835"/>
  <c r="D49" i="1835"/>
  <c r="R48" i="1835"/>
  <c r="D48" i="1835"/>
  <c r="D46" i="1835"/>
  <c r="D45" i="1835"/>
  <c r="R44" i="1835"/>
  <c r="D44" i="1835"/>
  <c r="R42" i="1835"/>
  <c r="D42" i="1835"/>
  <c r="R41" i="1835"/>
  <c r="D41" i="1835"/>
  <c r="R40" i="1835"/>
  <c r="D40" i="1835"/>
  <c r="R39" i="1835"/>
  <c r="H39" i="1835"/>
  <c r="D39" i="1835"/>
  <c r="R38" i="1835"/>
  <c r="H38" i="1835"/>
  <c r="D38" i="1835"/>
  <c r="R37" i="1835"/>
  <c r="H37" i="1835"/>
  <c r="D37" i="1835"/>
  <c r="R36" i="1835"/>
  <c r="H36" i="1835"/>
  <c r="D36" i="1835"/>
  <c r="R35" i="1835"/>
  <c r="H35" i="1835"/>
  <c r="D35" i="1835"/>
  <c r="R34" i="1835"/>
  <c r="L12" i="1835" s="1"/>
  <c r="D12" i="1835" s="1"/>
  <c r="H34" i="1835"/>
  <c r="G49" i="1835" s="1"/>
  <c r="D34" i="1835"/>
  <c r="D54" i="1835" s="1"/>
  <c r="H14" i="1835" s="1"/>
  <c r="R33" i="1835"/>
  <c r="R32" i="1835"/>
  <c r="R31" i="1835"/>
  <c r="R30" i="1835"/>
  <c r="R29" i="1835"/>
  <c r="R28" i="1835"/>
  <c r="L16" i="1835" s="1"/>
  <c r="D16" i="1835" s="1"/>
  <c r="L28" i="1835"/>
  <c r="D28" i="1835"/>
  <c r="R27" i="1835"/>
  <c r="D27" i="1835"/>
  <c r="R26" i="1835"/>
  <c r="L26" i="1835"/>
  <c r="D26" i="1835"/>
  <c r="R25" i="1835"/>
  <c r="L25" i="1835"/>
  <c r="D25" i="1835" s="1"/>
  <c r="R24" i="1835"/>
  <c r="L24" i="1835"/>
  <c r="D24" i="1835"/>
  <c r="R23" i="1835"/>
  <c r="D23" i="1835"/>
  <c r="R22" i="1835"/>
  <c r="D22" i="1835"/>
  <c r="R21" i="1835"/>
  <c r="D21" i="1835"/>
  <c r="R20" i="1835"/>
  <c r="L20" i="1835"/>
  <c r="D20" i="1835" s="1"/>
  <c r="R19" i="1835"/>
  <c r="D19" i="1835"/>
  <c r="R18" i="1835"/>
  <c r="D18" i="1835"/>
  <c r="R17" i="1835"/>
  <c r="L17" i="1835"/>
  <c r="D17" i="1835"/>
  <c r="R16" i="1835"/>
  <c r="R15" i="1835"/>
  <c r="D15" i="1835"/>
  <c r="R14" i="1835"/>
  <c r="D14" i="1835"/>
  <c r="R13" i="1835"/>
  <c r="D13" i="1835"/>
  <c r="R12" i="1835"/>
  <c r="R11" i="1835"/>
  <c r="L11" i="1835"/>
  <c r="D11" i="1835" s="1"/>
  <c r="L10" i="1835"/>
  <c r="D10" i="1835" s="1"/>
  <c r="L9" i="1835"/>
  <c r="D9" i="1835"/>
  <c r="L8" i="1835"/>
  <c r="D8" i="1835"/>
  <c r="L7" i="1835"/>
  <c r="D7" i="1835"/>
  <c r="R6" i="1835"/>
  <c r="L6" i="1835"/>
  <c r="D6" i="1835" s="1"/>
  <c r="D29" i="1835" s="1"/>
  <c r="H13" i="1835" s="1"/>
  <c r="H15" i="1835" s="1"/>
  <c r="H29" i="1835" s="1"/>
  <c r="R5" i="1835"/>
  <c r="R4" i="1835"/>
  <c r="R52" i="1834"/>
  <c r="R51" i="1834"/>
  <c r="D50" i="1834"/>
  <c r="R49" i="1834"/>
  <c r="G49" i="1834"/>
  <c r="D49" i="1834"/>
  <c r="R48" i="1834"/>
  <c r="D48" i="1834"/>
  <c r="D46" i="1834"/>
  <c r="D45" i="1834"/>
  <c r="D44" i="1834"/>
  <c r="R42" i="1834"/>
  <c r="L6" i="1834" s="1"/>
  <c r="D6" i="1834" s="1"/>
  <c r="D42" i="1834"/>
  <c r="R41" i="1834"/>
  <c r="L7" i="1834" s="1"/>
  <c r="D7" i="1834" s="1"/>
  <c r="D41" i="1834"/>
  <c r="R40" i="1834"/>
  <c r="D40" i="1834"/>
  <c r="R39" i="1834"/>
  <c r="D39" i="1834"/>
  <c r="R38" i="1834"/>
  <c r="D38" i="1834"/>
  <c r="R37" i="1834"/>
  <c r="D37" i="1834"/>
  <c r="R36" i="1834"/>
  <c r="L10" i="1834" s="1"/>
  <c r="D10" i="1834" s="1"/>
  <c r="D36" i="1834"/>
  <c r="R35" i="1834"/>
  <c r="D35" i="1834"/>
  <c r="R34" i="1834"/>
  <c r="L12" i="1834" s="1"/>
  <c r="D12" i="1834" s="1"/>
  <c r="D34" i="1834"/>
  <c r="D54" i="1834" s="1"/>
  <c r="H14" i="1834" s="1"/>
  <c r="R33" i="1834"/>
  <c r="L23" i="1834" s="1"/>
  <c r="D23" i="1834" s="1"/>
  <c r="R32" i="1834"/>
  <c r="R31" i="1834"/>
  <c r="R30" i="1834"/>
  <c r="R29" i="1834"/>
  <c r="R28" i="1834"/>
  <c r="D28" i="1834"/>
  <c r="R27" i="1834"/>
  <c r="D27" i="1834"/>
  <c r="R26" i="1834"/>
  <c r="L26" i="1834"/>
  <c r="D26" i="1834"/>
  <c r="R25" i="1834"/>
  <c r="L25" i="1834"/>
  <c r="D25" i="1834"/>
  <c r="R24" i="1834"/>
  <c r="D24" i="1834"/>
  <c r="R23" i="1834"/>
  <c r="R22" i="1834"/>
  <c r="L22" i="1834"/>
  <c r="D22" i="1834"/>
  <c r="R21" i="1834"/>
  <c r="D21" i="1834"/>
  <c r="R20" i="1834"/>
  <c r="L20" i="1834"/>
  <c r="D20" i="1834"/>
  <c r="R19" i="1834"/>
  <c r="L19" i="1834"/>
  <c r="D19" i="1834"/>
  <c r="R18" i="1834"/>
  <c r="D18" i="1834"/>
  <c r="R17" i="1834"/>
  <c r="D17" i="1834"/>
  <c r="R16" i="1834"/>
  <c r="L16" i="1834"/>
  <c r="D16" i="1834" s="1"/>
  <c r="S15" i="1834"/>
  <c r="R15" i="1834"/>
  <c r="D15" i="1834"/>
  <c r="S14" i="1834"/>
  <c r="R14" i="1834"/>
  <c r="D14" i="1834"/>
  <c r="R13" i="1834"/>
  <c r="D13" i="1834"/>
  <c r="R12" i="1834"/>
  <c r="R11" i="1834"/>
  <c r="L11" i="1834"/>
  <c r="D11" i="1834"/>
  <c r="L9" i="1834"/>
  <c r="D9" i="1834" s="1"/>
  <c r="L8" i="1834"/>
  <c r="D8" i="1834"/>
  <c r="R6" i="1834"/>
  <c r="R5" i="1834"/>
  <c r="R4" i="1834"/>
  <c r="R52" i="1833"/>
  <c r="R51" i="1833"/>
  <c r="D50" i="1833"/>
  <c r="R49" i="1833"/>
  <c r="D49" i="1833"/>
  <c r="R48" i="1833"/>
  <c r="D48" i="1833"/>
  <c r="D46" i="1833"/>
  <c r="D45" i="1833"/>
  <c r="R44" i="1833"/>
  <c r="L28" i="1833" s="1"/>
  <c r="D28" i="1833" s="1"/>
  <c r="D44" i="1833"/>
  <c r="R42" i="1833"/>
  <c r="L6" i="1833" s="1"/>
  <c r="D6" i="1833" s="1"/>
  <c r="D42" i="1833"/>
  <c r="R41" i="1833"/>
  <c r="D41" i="1833"/>
  <c r="R40" i="1833"/>
  <c r="D40" i="1833"/>
  <c r="R39" i="1833"/>
  <c r="H39" i="1833"/>
  <c r="D39" i="1833"/>
  <c r="R38" i="1833"/>
  <c r="H38" i="1833"/>
  <c r="D38" i="1833"/>
  <c r="R37" i="1833"/>
  <c r="H37" i="1833"/>
  <c r="D37" i="1833"/>
  <c r="R36" i="1833"/>
  <c r="L10" i="1833" s="1"/>
  <c r="D10" i="1833" s="1"/>
  <c r="H36" i="1833"/>
  <c r="D36" i="1833"/>
  <c r="R35" i="1833"/>
  <c r="H35" i="1833"/>
  <c r="D35" i="1833"/>
  <c r="R34" i="1833"/>
  <c r="L12" i="1833" s="1"/>
  <c r="D12" i="1833" s="1"/>
  <c r="H34" i="1833"/>
  <c r="G49" i="1833" s="1"/>
  <c r="D34" i="1833"/>
  <c r="D54" i="1833" s="1"/>
  <c r="H14" i="1833" s="1"/>
  <c r="R33" i="1833"/>
  <c r="L23" i="1833" s="1"/>
  <c r="D23" i="1833" s="1"/>
  <c r="R32" i="1833"/>
  <c r="R31" i="1833"/>
  <c r="R30" i="1833"/>
  <c r="R29" i="1833"/>
  <c r="R28" i="1833"/>
  <c r="L16" i="1833" s="1"/>
  <c r="D16" i="1833" s="1"/>
  <c r="R27" i="1833"/>
  <c r="D27" i="1833"/>
  <c r="R26" i="1833"/>
  <c r="L26" i="1833"/>
  <c r="D26" i="1833"/>
  <c r="R25" i="1833"/>
  <c r="L25" i="1833"/>
  <c r="D25" i="1833" s="1"/>
  <c r="R24" i="1833"/>
  <c r="D24" i="1833"/>
  <c r="R23" i="1833"/>
  <c r="R22" i="1833"/>
  <c r="L22" i="1833"/>
  <c r="D22" i="1833"/>
  <c r="R21" i="1833"/>
  <c r="D21" i="1833"/>
  <c r="R20" i="1833"/>
  <c r="L20" i="1833"/>
  <c r="D20" i="1833"/>
  <c r="R19" i="1833"/>
  <c r="L19" i="1833"/>
  <c r="D19" i="1833" s="1"/>
  <c r="R18" i="1833"/>
  <c r="D18" i="1833"/>
  <c r="R17" i="1833"/>
  <c r="D17" i="1833"/>
  <c r="R16" i="1833"/>
  <c r="R15" i="1833"/>
  <c r="D15" i="1833"/>
  <c r="R14" i="1833"/>
  <c r="D14" i="1833"/>
  <c r="R13" i="1833"/>
  <c r="D13" i="1833"/>
  <c r="R12" i="1833"/>
  <c r="R11" i="1833"/>
  <c r="L11" i="1833"/>
  <c r="D11" i="1833"/>
  <c r="L9" i="1833"/>
  <c r="D9" i="1833" s="1"/>
  <c r="L8" i="1833"/>
  <c r="D8" i="1833"/>
  <c r="L7" i="1833"/>
  <c r="D7" i="1833"/>
  <c r="R6" i="1833"/>
  <c r="R5" i="1833"/>
  <c r="R4" i="1833"/>
  <c r="D54" i="1832"/>
  <c r="H14" i="1832" s="1"/>
  <c r="R52" i="1832"/>
  <c r="R51" i="1832"/>
  <c r="D50" i="1832"/>
  <c r="R49" i="1832"/>
  <c r="D49" i="1832"/>
  <c r="R48" i="1832"/>
  <c r="D48" i="1832"/>
  <c r="D46" i="1832"/>
  <c r="D45" i="1832"/>
  <c r="R44" i="1832"/>
  <c r="D44" i="1832"/>
  <c r="R42" i="1832"/>
  <c r="L6" i="1832" s="1"/>
  <c r="D6" i="1832" s="1"/>
  <c r="D42" i="1832"/>
  <c r="R41" i="1832"/>
  <c r="L7" i="1832" s="1"/>
  <c r="D7" i="1832" s="1"/>
  <c r="D41" i="1832"/>
  <c r="R40" i="1832"/>
  <c r="D40" i="1832"/>
  <c r="R39" i="1832"/>
  <c r="H39" i="1832"/>
  <c r="D39" i="1832"/>
  <c r="R38" i="1832"/>
  <c r="L9" i="1832" s="1"/>
  <c r="D9" i="1832" s="1"/>
  <c r="H38" i="1832"/>
  <c r="D38" i="1832"/>
  <c r="R37" i="1832"/>
  <c r="H37" i="1832"/>
  <c r="D37" i="1832"/>
  <c r="R36" i="1832"/>
  <c r="H36" i="1832"/>
  <c r="G49" i="1832" s="1"/>
  <c r="D36" i="1832"/>
  <c r="R35" i="1832"/>
  <c r="L19" i="1832" s="1"/>
  <c r="D19" i="1832" s="1"/>
  <c r="H35" i="1832"/>
  <c r="D35" i="1832"/>
  <c r="R34" i="1832"/>
  <c r="H34" i="1832"/>
  <c r="D34" i="1832"/>
  <c r="R33" i="1832"/>
  <c r="L23" i="1832" s="1"/>
  <c r="D23" i="1832" s="1"/>
  <c r="R32" i="1832"/>
  <c r="R31" i="1832"/>
  <c r="R30" i="1832"/>
  <c r="R29" i="1832"/>
  <c r="R28" i="1832"/>
  <c r="L28" i="1832"/>
  <c r="D28" i="1832"/>
  <c r="R27" i="1832"/>
  <c r="D27" i="1832"/>
  <c r="R26" i="1832"/>
  <c r="L26" i="1832"/>
  <c r="D26" i="1832"/>
  <c r="R25" i="1832"/>
  <c r="L25" i="1832"/>
  <c r="D25" i="1832" s="1"/>
  <c r="R24" i="1832"/>
  <c r="L24" i="1832"/>
  <c r="D24" i="1832" s="1"/>
  <c r="R23" i="1832"/>
  <c r="R22" i="1832"/>
  <c r="L22" i="1832"/>
  <c r="D22" i="1832"/>
  <c r="R21" i="1832"/>
  <c r="D21" i="1832"/>
  <c r="R20" i="1832"/>
  <c r="L20" i="1832"/>
  <c r="D20" i="1832"/>
  <c r="R19" i="1832"/>
  <c r="R18" i="1832"/>
  <c r="D18" i="1832"/>
  <c r="R17" i="1832"/>
  <c r="L17" i="1832"/>
  <c r="D17" i="1832"/>
  <c r="R16" i="1832"/>
  <c r="L16" i="1832"/>
  <c r="D16" i="1832"/>
  <c r="R15" i="1832"/>
  <c r="D15" i="1832"/>
  <c r="R14" i="1832"/>
  <c r="D14" i="1832"/>
  <c r="R13" i="1832"/>
  <c r="D13" i="1832"/>
  <c r="R12" i="1832"/>
  <c r="L12" i="1832"/>
  <c r="D12" i="1832" s="1"/>
  <c r="R11" i="1832"/>
  <c r="L11" i="1832"/>
  <c r="D11" i="1832"/>
  <c r="L10" i="1832"/>
  <c r="D10" i="1832" s="1"/>
  <c r="L8" i="1832"/>
  <c r="D8" i="1832"/>
  <c r="R6" i="1832"/>
  <c r="R5" i="1832"/>
  <c r="R4" i="1832"/>
  <c r="D54" i="1831"/>
  <c r="H14" i="1831" s="1"/>
  <c r="R52" i="1831"/>
  <c r="R51" i="1831"/>
  <c r="D50" i="1831"/>
  <c r="R49" i="1831"/>
  <c r="D49" i="1831"/>
  <c r="R48" i="1831"/>
  <c r="D48" i="1831"/>
  <c r="D46" i="1831"/>
  <c r="D45" i="1831"/>
  <c r="R44" i="1831"/>
  <c r="D44" i="1831"/>
  <c r="R42" i="1831"/>
  <c r="L6" i="1831" s="1"/>
  <c r="D6" i="1831" s="1"/>
  <c r="D42" i="1831"/>
  <c r="R41" i="1831"/>
  <c r="L7" i="1831" s="1"/>
  <c r="D7" i="1831" s="1"/>
  <c r="D41" i="1831"/>
  <c r="R40" i="1831"/>
  <c r="L8" i="1831" s="1"/>
  <c r="D8" i="1831" s="1"/>
  <c r="D40" i="1831"/>
  <c r="R39" i="1831"/>
  <c r="L20" i="1831" s="1"/>
  <c r="D20" i="1831" s="1"/>
  <c r="H39" i="1831"/>
  <c r="D39" i="1831"/>
  <c r="R38" i="1831"/>
  <c r="H38" i="1831"/>
  <c r="D38" i="1831"/>
  <c r="R37" i="1831"/>
  <c r="H37" i="1831"/>
  <c r="D37" i="1831"/>
  <c r="R36" i="1831"/>
  <c r="H36" i="1831"/>
  <c r="D36" i="1831"/>
  <c r="R35" i="1831"/>
  <c r="H35" i="1831"/>
  <c r="D35" i="1831"/>
  <c r="R34" i="1831"/>
  <c r="H34" i="1831"/>
  <c r="G49" i="1831" s="1"/>
  <c r="D34" i="1831"/>
  <c r="R33" i="1831"/>
  <c r="R32" i="1831"/>
  <c r="R31" i="1831"/>
  <c r="R30" i="1831"/>
  <c r="R29" i="1831"/>
  <c r="R28" i="1831"/>
  <c r="L16" i="1831" s="1"/>
  <c r="D16" i="1831" s="1"/>
  <c r="L28" i="1831"/>
  <c r="D28" i="1831"/>
  <c r="R27" i="1831"/>
  <c r="D27" i="1831"/>
  <c r="R26" i="1831"/>
  <c r="L26" i="1831"/>
  <c r="D26" i="1831"/>
  <c r="R25" i="1831"/>
  <c r="L25" i="1831"/>
  <c r="D25" i="1831"/>
  <c r="R24" i="1831"/>
  <c r="L24" i="1831"/>
  <c r="D24" i="1831"/>
  <c r="R23" i="1831"/>
  <c r="D23" i="1831"/>
  <c r="R22" i="1831"/>
  <c r="D22" i="1831"/>
  <c r="R21" i="1831"/>
  <c r="D21" i="1831"/>
  <c r="R20" i="1831"/>
  <c r="R19" i="1831"/>
  <c r="D19" i="1831"/>
  <c r="R18" i="1831"/>
  <c r="D18" i="1831"/>
  <c r="R17" i="1831"/>
  <c r="L17" i="1831"/>
  <c r="D17" i="1831"/>
  <c r="R16" i="1831"/>
  <c r="R15" i="1831"/>
  <c r="D15" i="1831"/>
  <c r="R14" i="1831"/>
  <c r="D14" i="1831"/>
  <c r="R13" i="1831"/>
  <c r="D13" i="1831"/>
  <c r="R12" i="1831"/>
  <c r="L12" i="1831"/>
  <c r="D12" i="1831" s="1"/>
  <c r="R11" i="1831"/>
  <c r="L11" i="1831"/>
  <c r="D11" i="1831" s="1"/>
  <c r="L10" i="1831"/>
  <c r="D10" i="1831"/>
  <c r="L9" i="1831"/>
  <c r="D9" i="1831"/>
  <c r="R6" i="1831"/>
  <c r="R5" i="1831"/>
  <c r="R4" i="1831"/>
  <c r="R52" i="1830"/>
  <c r="R51" i="1830"/>
  <c r="D50" i="1830"/>
  <c r="R49" i="1830"/>
  <c r="G49" i="1830"/>
  <c r="D49" i="1830"/>
  <c r="R48" i="1830"/>
  <c r="D48" i="1830"/>
  <c r="D46" i="1830"/>
  <c r="D45" i="1830"/>
  <c r="D44" i="1830"/>
  <c r="R42" i="1830"/>
  <c r="L6" i="1830" s="1"/>
  <c r="D6" i="1830" s="1"/>
  <c r="D42" i="1830"/>
  <c r="R41" i="1830"/>
  <c r="L7" i="1830" s="1"/>
  <c r="D7" i="1830" s="1"/>
  <c r="D41" i="1830"/>
  <c r="R40" i="1830"/>
  <c r="D40" i="1830"/>
  <c r="R39" i="1830"/>
  <c r="D39" i="1830"/>
  <c r="R38" i="1830"/>
  <c r="L9" i="1830" s="1"/>
  <c r="D9" i="1830" s="1"/>
  <c r="D38" i="1830"/>
  <c r="R37" i="1830"/>
  <c r="D37" i="1830"/>
  <c r="R36" i="1830"/>
  <c r="D36" i="1830"/>
  <c r="R35" i="1830"/>
  <c r="D35" i="1830"/>
  <c r="R34" i="1830"/>
  <c r="L12" i="1830" s="1"/>
  <c r="D12" i="1830" s="1"/>
  <c r="D34" i="1830"/>
  <c r="D54" i="1830" s="1"/>
  <c r="H14" i="1830" s="1"/>
  <c r="R33" i="1830"/>
  <c r="L23" i="1830" s="1"/>
  <c r="D23" i="1830" s="1"/>
  <c r="R32" i="1830"/>
  <c r="R31" i="1830"/>
  <c r="R30" i="1830"/>
  <c r="R29" i="1830"/>
  <c r="R28" i="1830"/>
  <c r="D28" i="1830"/>
  <c r="R27" i="1830"/>
  <c r="D27" i="1830"/>
  <c r="R26" i="1830"/>
  <c r="L26" i="1830"/>
  <c r="D26" i="1830"/>
  <c r="R25" i="1830"/>
  <c r="L25" i="1830"/>
  <c r="D25" i="1830"/>
  <c r="R24" i="1830"/>
  <c r="D24" i="1830"/>
  <c r="R23" i="1830"/>
  <c r="R22" i="1830"/>
  <c r="L22" i="1830"/>
  <c r="D22" i="1830" s="1"/>
  <c r="R21" i="1830"/>
  <c r="D21" i="1830"/>
  <c r="R20" i="1830"/>
  <c r="L20" i="1830"/>
  <c r="D20" i="1830"/>
  <c r="R19" i="1830"/>
  <c r="L19" i="1830"/>
  <c r="D19" i="1830"/>
  <c r="R18" i="1830"/>
  <c r="D18" i="1830"/>
  <c r="R17" i="1830"/>
  <c r="D17" i="1830"/>
  <c r="R16" i="1830"/>
  <c r="L16" i="1830"/>
  <c r="D16" i="1830" s="1"/>
  <c r="S15" i="1830"/>
  <c r="R15" i="1830"/>
  <c r="D15" i="1830"/>
  <c r="S14" i="1830"/>
  <c r="R14" i="1830"/>
  <c r="D14" i="1830"/>
  <c r="R13" i="1830"/>
  <c r="D13" i="1830"/>
  <c r="R12" i="1830"/>
  <c r="R11" i="1830"/>
  <c r="L11" i="1830"/>
  <c r="D11" i="1830" s="1"/>
  <c r="L10" i="1830"/>
  <c r="D10" i="1830" s="1"/>
  <c r="L8" i="1830"/>
  <c r="D8" i="1830"/>
  <c r="R6" i="1830"/>
  <c r="R5" i="1830"/>
  <c r="R4" i="1830"/>
  <c r="R52" i="1829"/>
  <c r="L22" i="1829" s="1"/>
  <c r="D22" i="1829" s="1"/>
  <c r="R51" i="1829"/>
  <c r="D50" i="1829"/>
  <c r="R49" i="1829"/>
  <c r="D49" i="1829"/>
  <c r="R48" i="1829"/>
  <c r="D48" i="1829"/>
  <c r="D46" i="1829"/>
  <c r="D45" i="1829"/>
  <c r="R44" i="1829"/>
  <c r="L28" i="1829" s="1"/>
  <c r="D28" i="1829" s="1"/>
  <c r="D44" i="1829"/>
  <c r="R42" i="1829"/>
  <c r="D42" i="1829"/>
  <c r="R41" i="1829"/>
  <c r="L7" i="1829" s="1"/>
  <c r="D7" i="1829" s="1"/>
  <c r="D29" i="1829" s="1"/>
  <c r="H13" i="1829" s="1"/>
  <c r="H15" i="1829" s="1"/>
  <c r="H29" i="1829" s="1"/>
  <c r="D41" i="1829"/>
  <c r="R40" i="1829"/>
  <c r="D40" i="1829"/>
  <c r="R39" i="1829"/>
  <c r="H39" i="1829"/>
  <c r="D39" i="1829"/>
  <c r="R38" i="1829"/>
  <c r="H38" i="1829"/>
  <c r="D38" i="1829"/>
  <c r="R37" i="1829"/>
  <c r="H37" i="1829"/>
  <c r="D37" i="1829"/>
  <c r="R36" i="1829"/>
  <c r="H36" i="1829"/>
  <c r="D36" i="1829"/>
  <c r="R35" i="1829"/>
  <c r="L19" i="1829" s="1"/>
  <c r="D19" i="1829" s="1"/>
  <c r="H35" i="1829"/>
  <c r="D35" i="1829"/>
  <c r="D54" i="1829" s="1"/>
  <c r="H14" i="1829" s="1"/>
  <c r="R34" i="1829"/>
  <c r="L12" i="1829" s="1"/>
  <c r="D12" i="1829" s="1"/>
  <c r="H34" i="1829"/>
  <c r="G49" i="1829" s="1"/>
  <c r="G51" i="1829" s="1"/>
  <c r="D34" i="1829"/>
  <c r="R33" i="1829"/>
  <c r="R32" i="1829"/>
  <c r="R31" i="1829"/>
  <c r="R30" i="1829"/>
  <c r="R29" i="1829"/>
  <c r="R28" i="1829"/>
  <c r="R27" i="1829"/>
  <c r="D27" i="1829"/>
  <c r="R26" i="1829"/>
  <c r="L26" i="1829"/>
  <c r="D26" i="1829" s="1"/>
  <c r="R25" i="1829"/>
  <c r="L25" i="1829"/>
  <c r="D25" i="1829"/>
  <c r="R24" i="1829"/>
  <c r="D24" i="1829"/>
  <c r="R23" i="1829"/>
  <c r="L23" i="1829"/>
  <c r="D23" i="1829"/>
  <c r="R22" i="1829"/>
  <c r="R21" i="1829"/>
  <c r="D21" i="1829"/>
  <c r="R20" i="1829"/>
  <c r="L20" i="1829"/>
  <c r="D20" i="1829" s="1"/>
  <c r="R19" i="1829"/>
  <c r="R18" i="1829"/>
  <c r="D18" i="1829"/>
  <c r="R17" i="1829"/>
  <c r="D17" i="1829"/>
  <c r="R16" i="1829"/>
  <c r="L16" i="1829"/>
  <c r="D16" i="1829"/>
  <c r="R15" i="1829"/>
  <c r="D15" i="1829"/>
  <c r="R14" i="1829"/>
  <c r="D14" i="1829"/>
  <c r="R13" i="1829"/>
  <c r="D13" i="1829"/>
  <c r="R12" i="1829"/>
  <c r="R11" i="1829"/>
  <c r="L11" i="1829"/>
  <c r="D11" i="1829" s="1"/>
  <c r="L10" i="1829"/>
  <c r="D10" i="1829"/>
  <c r="L9" i="1829"/>
  <c r="D9" i="1829"/>
  <c r="L8" i="1829"/>
  <c r="D8" i="1829"/>
  <c r="R6" i="1829"/>
  <c r="L6" i="1829"/>
  <c r="D6" i="1829"/>
  <c r="R5" i="1829"/>
  <c r="R4" i="1829"/>
  <c r="R52" i="1828"/>
  <c r="R51" i="1828"/>
  <c r="D50" i="1828"/>
  <c r="R49" i="1828"/>
  <c r="D49" i="1828"/>
  <c r="R48" i="1828"/>
  <c r="D48" i="1828"/>
  <c r="D46" i="1828"/>
  <c r="D45" i="1828"/>
  <c r="R44" i="1828"/>
  <c r="L28" i="1828" s="1"/>
  <c r="D28" i="1828" s="1"/>
  <c r="D44" i="1828"/>
  <c r="R42" i="1828"/>
  <c r="L6" i="1828" s="1"/>
  <c r="D6" i="1828" s="1"/>
  <c r="D42" i="1828"/>
  <c r="R41" i="1828"/>
  <c r="D41" i="1828"/>
  <c r="R40" i="1828"/>
  <c r="L8" i="1828" s="1"/>
  <c r="D8" i="1828" s="1"/>
  <c r="D40" i="1828"/>
  <c r="R39" i="1828"/>
  <c r="H39" i="1828"/>
  <c r="D39" i="1828"/>
  <c r="R38" i="1828"/>
  <c r="L9" i="1828" s="1"/>
  <c r="D9" i="1828" s="1"/>
  <c r="H38" i="1828"/>
  <c r="D38" i="1828"/>
  <c r="R37" i="1828"/>
  <c r="H37" i="1828"/>
  <c r="D37" i="1828"/>
  <c r="R36" i="1828"/>
  <c r="L10" i="1828" s="1"/>
  <c r="D10" i="1828" s="1"/>
  <c r="H36" i="1828"/>
  <c r="D36" i="1828"/>
  <c r="R35" i="1828"/>
  <c r="H35" i="1828"/>
  <c r="G49" i="1828" s="1"/>
  <c r="D35" i="1828"/>
  <c r="R34" i="1828"/>
  <c r="H34" i="1828"/>
  <c r="D34" i="1828"/>
  <c r="D54" i="1828" s="1"/>
  <c r="H14" i="1828" s="1"/>
  <c r="R33" i="1828"/>
  <c r="L23" i="1828" s="1"/>
  <c r="D23" i="1828" s="1"/>
  <c r="R32" i="1828"/>
  <c r="L11" i="1828" s="1"/>
  <c r="D11" i="1828" s="1"/>
  <c r="R31" i="1828"/>
  <c r="R30" i="1828"/>
  <c r="R29" i="1828"/>
  <c r="R28" i="1828"/>
  <c r="L16" i="1828" s="1"/>
  <c r="D16" i="1828" s="1"/>
  <c r="R27" i="1828"/>
  <c r="D27" i="1828"/>
  <c r="R26" i="1828"/>
  <c r="L26" i="1828"/>
  <c r="D26" i="1828"/>
  <c r="R25" i="1828"/>
  <c r="L25" i="1828"/>
  <c r="D25" i="1828"/>
  <c r="R24" i="1828"/>
  <c r="L24" i="1828"/>
  <c r="D24" i="1828"/>
  <c r="R23" i="1828"/>
  <c r="R22" i="1828"/>
  <c r="L22" i="1828"/>
  <c r="D22" i="1828"/>
  <c r="R21" i="1828"/>
  <c r="L17" i="1828" s="1"/>
  <c r="D17" i="1828" s="1"/>
  <c r="D21" i="1828"/>
  <c r="R20" i="1828"/>
  <c r="L20" i="1828"/>
  <c r="D20" i="1828"/>
  <c r="R19" i="1828"/>
  <c r="L19" i="1828"/>
  <c r="D19" i="1828" s="1"/>
  <c r="R18" i="1828"/>
  <c r="D18" i="1828"/>
  <c r="R17" i="1828"/>
  <c r="R16" i="1828"/>
  <c r="R15" i="1828"/>
  <c r="D15" i="1828"/>
  <c r="R14" i="1828"/>
  <c r="D14" i="1828"/>
  <c r="R13" i="1828"/>
  <c r="D13" i="1828"/>
  <c r="R12" i="1828"/>
  <c r="L12" i="1828"/>
  <c r="D12" i="1828"/>
  <c r="R11" i="1828"/>
  <c r="L7" i="1828"/>
  <c r="D7" i="1828"/>
  <c r="R6" i="1828"/>
  <c r="R5" i="1828"/>
  <c r="R4" i="1828"/>
  <c r="R52" i="1827"/>
  <c r="R51" i="1827"/>
  <c r="D50" i="1827"/>
  <c r="R49" i="1827"/>
  <c r="G49" i="1827"/>
  <c r="D49" i="1827"/>
  <c r="R48" i="1827"/>
  <c r="D48" i="1827"/>
  <c r="D46" i="1827"/>
  <c r="D45" i="1827"/>
  <c r="R44" i="1827"/>
  <c r="L28" i="1827" s="1"/>
  <c r="D28" i="1827" s="1"/>
  <c r="D44" i="1827"/>
  <c r="R42" i="1827"/>
  <c r="D42" i="1827"/>
  <c r="R41" i="1827"/>
  <c r="D41" i="1827"/>
  <c r="R40" i="1827"/>
  <c r="L8" i="1827" s="1"/>
  <c r="D8" i="1827" s="1"/>
  <c r="D40" i="1827"/>
  <c r="R39" i="1827"/>
  <c r="L20" i="1827" s="1"/>
  <c r="D20" i="1827" s="1"/>
  <c r="H39" i="1827"/>
  <c r="D39" i="1827"/>
  <c r="R38" i="1827"/>
  <c r="H38" i="1827"/>
  <c r="D38" i="1827"/>
  <c r="R37" i="1827"/>
  <c r="H37" i="1827"/>
  <c r="D37" i="1827"/>
  <c r="R36" i="1827"/>
  <c r="H36" i="1827"/>
  <c r="D36" i="1827"/>
  <c r="R35" i="1827"/>
  <c r="H35" i="1827"/>
  <c r="D35" i="1827"/>
  <c r="R34" i="1827"/>
  <c r="L12" i="1827" s="1"/>
  <c r="D12" i="1827" s="1"/>
  <c r="H34" i="1827"/>
  <c r="D34" i="1827"/>
  <c r="D54" i="1827" s="1"/>
  <c r="H14" i="1827" s="1"/>
  <c r="R33" i="1827"/>
  <c r="R32" i="1827"/>
  <c r="R31" i="1827"/>
  <c r="R30" i="1827"/>
  <c r="R29" i="1827"/>
  <c r="R28" i="1827"/>
  <c r="R27" i="1827"/>
  <c r="D27" i="1827"/>
  <c r="R26" i="1827"/>
  <c r="L26" i="1827"/>
  <c r="D26" i="1827"/>
  <c r="R25" i="1827"/>
  <c r="L25" i="1827"/>
  <c r="D25" i="1827" s="1"/>
  <c r="R24" i="1827"/>
  <c r="L24" i="1827"/>
  <c r="D24" i="1827"/>
  <c r="R23" i="1827"/>
  <c r="D23" i="1827"/>
  <c r="R22" i="1827"/>
  <c r="D22" i="1827"/>
  <c r="R21" i="1827"/>
  <c r="D21" i="1827"/>
  <c r="R20" i="1827"/>
  <c r="R19" i="1827"/>
  <c r="D19" i="1827"/>
  <c r="R18" i="1827"/>
  <c r="D18" i="1827"/>
  <c r="R17" i="1827"/>
  <c r="L17" i="1827"/>
  <c r="D17" i="1827"/>
  <c r="R16" i="1827"/>
  <c r="L16" i="1827"/>
  <c r="D16" i="1827" s="1"/>
  <c r="R15" i="1827"/>
  <c r="D15" i="1827"/>
  <c r="R14" i="1827"/>
  <c r="D14" i="1827"/>
  <c r="R13" i="1827"/>
  <c r="D13" i="1827"/>
  <c r="R12" i="1827"/>
  <c r="R11" i="1827"/>
  <c r="L11" i="1827"/>
  <c r="D11" i="1827"/>
  <c r="L10" i="1827"/>
  <c r="D10" i="1827" s="1"/>
  <c r="L9" i="1827"/>
  <c r="D9" i="1827"/>
  <c r="L7" i="1827"/>
  <c r="D7" i="1827"/>
  <c r="R6" i="1827"/>
  <c r="L6" i="1827"/>
  <c r="D6" i="1827" s="1"/>
  <c r="R5" i="1827"/>
  <c r="R4" i="1827"/>
  <c r="R52" i="1826"/>
  <c r="R51" i="1826"/>
  <c r="D50" i="1826"/>
  <c r="R49" i="1826"/>
  <c r="G49" i="1826"/>
  <c r="D49" i="1826"/>
  <c r="R48" i="1826"/>
  <c r="D48" i="1826"/>
  <c r="D46" i="1826"/>
  <c r="D45" i="1826"/>
  <c r="D44" i="1826"/>
  <c r="R42" i="1826"/>
  <c r="D42" i="1826"/>
  <c r="R41" i="1826"/>
  <c r="L7" i="1826" s="1"/>
  <c r="D7" i="1826" s="1"/>
  <c r="D41" i="1826"/>
  <c r="R40" i="1826"/>
  <c r="L8" i="1826" s="1"/>
  <c r="D8" i="1826" s="1"/>
  <c r="D40" i="1826"/>
  <c r="R39" i="1826"/>
  <c r="D39" i="1826"/>
  <c r="R38" i="1826"/>
  <c r="D38" i="1826"/>
  <c r="R37" i="1826"/>
  <c r="D37" i="1826"/>
  <c r="R36" i="1826"/>
  <c r="L10" i="1826" s="1"/>
  <c r="D10" i="1826" s="1"/>
  <c r="D36" i="1826"/>
  <c r="R35" i="1826"/>
  <c r="D35" i="1826"/>
  <c r="R34" i="1826"/>
  <c r="L12" i="1826" s="1"/>
  <c r="D12" i="1826" s="1"/>
  <c r="D34" i="1826"/>
  <c r="D54" i="1826" s="1"/>
  <c r="H14" i="1826" s="1"/>
  <c r="R33" i="1826"/>
  <c r="L23" i="1826" s="1"/>
  <c r="D23" i="1826" s="1"/>
  <c r="R32" i="1826"/>
  <c r="L11" i="1826" s="1"/>
  <c r="D11" i="1826" s="1"/>
  <c r="R31" i="1826"/>
  <c r="R30" i="1826"/>
  <c r="R29" i="1826"/>
  <c r="R28" i="1826"/>
  <c r="D28" i="1826"/>
  <c r="R27" i="1826"/>
  <c r="D27" i="1826"/>
  <c r="R26" i="1826"/>
  <c r="L26" i="1826"/>
  <c r="D26" i="1826"/>
  <c r="R25" i="1826"/>
  <c r="L25" i="1826"/>
  <c r="D25" i="1826"/>
  <c r="R24" i="1826"/>
  <c r="D24" i="1826"/>
  <c r="R23" i="1826"/>
  <c r="R22" i="1826"/>
  <c r="L22" i="1826"/>
  <c r="D22" i="1826" s="1"/>
  <c r="R21" i="1826"/>
  <c r="D21" i="1826"/>
  <c r="R20" i="1826"/>
  <c r="L20" i="1826"/>
  <c r="D20" i="1826"/>
  <c r="R19" i="1826"/>
  <c r="L19" i="1826"/>
  <c r="D19" i="1826"/>
  <c r="R18" i="1826"/>
  <c r="D18" i="1826"/>
  <c r="R17" i="1826"/>
  <c r="D17" i="1826"/>
  <c r="R16" i="1826"/>
  <c r="L16" i="1826"/>
  <c r="D16" i="1826" s="1"/>
  <c r="S15" i="1826"/>
  <c r="R15" i="1826"/>
  <c r="D15" i="1826"/>
  <c r="S14" i="1826"/>
  <c r="R14" i="1826"/>
  <c r="D14" i="1826"/>
  <c r="R13" i="1826"/>
  <c r="D13" i="1826"/>
  <c r="R12" i="1826"/>
  <c r="R11" i="1826"/>
  <c r="L9" i="1826"/>
  <c r="D9" i="1826" s="1"/>
  <c r="R6" i="1826"/>
  <c r="L6" i="1826"/>
  <c r="D6" i="1826"/>
  <c r="R5" i="1826"/>
  <c r="R4" i="1826"/>
  <c r="R52" i="1825"/>
  <c r="R51" i="1825"/>
  <c r="D50" i="1825"/>
  <c r="R49" i="1825"/>
  <c r="G49" i="1825"/>
  <c r="D49" i="1825"/>
  <c r="R48" i="1825"/>
  <c r="D48" i="1825"/>
  <c r="D46" i="1825"/>
  <c r="D45" i="1825"/>
  <c r="R44" i="1825"/>
  <c r="L28" i="1825" s="1"/>
  <c r="D28" i="1825" s="1"/>
  <c r="D44" i="1825"/>
  <c r="R42" i="1825"/>
  <c r="D42" i="1825"/>
  <c r="R41" i="1825"/>
  <c r="D41" i="1825"/>
  <c r="R40" i="1825"/>
  <c r="D40" i="1825"/>
  <c r="R39" i="1825"/>
  <c r="H39" i="1825"/>
  <c r="D39" i="1825"/>
  <c r="R38" i="1825"/>
  <c r="L9" i="1825" s="1"/>
  <c r="D9" i="1825" s="1"/>
  <c r="H38" i="1825"/>
  <c r="D38" i="1825"/>
  <c r="R37" i="1825"/>
  <c r="H37" i="1825"/>
  <c r="D37" i="1825"/>
  <c r="R36" i="1825"/>
  <c r="L10" i="1825" s="1"/>
  <c r="D10" i="1825" s="1"/>
  <c r="H36" i="1825"/>
  <c r="D36" i="1825"/>
  <c r="R35" i="1825"/>
  <c r="H35" i="1825"/>
  <c r="D35" i="1825"/>
  <c r="R34" i="1825"/>
  <c r="L12" i="1825" s="1"/>
  <c r="D12" i="1825" s="1"/>
  <c r="H34" i="1825"/>
  <c r="D34" i="1825"/>
  <c r="D54" i="1825" s="1"/>
  <c r="H14" i="1825" s="1"/>
  <c r="R33" i="1825"/>
  <c r="L23" i="1825" s="1"/>
  <c r="D23" i="1825" s="1"/>
  <c r="R32" i="1825"/>
  <c r="L11" i="1825" s="1"/>
  <c r="D11" i="1825" s="1"/>
  <c r="R31" i="1825"/>
  <c r="R30" i="1825"/>
  <c r="R29" i="1825"/>
  <c r="R28" i="1825"/>
  <c r="R27" i="1825"/>
  <c r="D27" i="1825"/>
  <c r="R26" i="1825"/>
  <c r="L26" i="1825"/>
  <c r="D26" i="1825"/>
  <c r="R25" i="1825"/>
  <c r="L25" i="1825"/>
  <c r="D25" i="1825"/>
  <c r="R24" i="1825"/>
  <c r="D24" i="1825"/>
  <c r="R23" i="1825"/>
  <c r="R22" i="1825"/>
  <c r="L22" i="1825"/>
  <c r="D22" i="1825"/>
  <c r="R21" i="1825"/>
  <c r="D21" i="1825"/>
  <c r="R20" i="1825"/>
  <c r="L20" i="1825"/>
  <c r="D20" i="1825"/>
  <c r="R19" i="1825"/>
  <c r="L19" i="1825"/>
  <c r="D19" i="1825"/>
  <c r="R18" i="1825"/>
  <c r="D18" i="1825"/>
  <c r="R17" i="1825"/>
  <c r="D17" i="1825"/>
  <c r="R16" i="1825"/>
  <c r="L16" i="1825"/>
  <c r="D16" i="1825" s="1"/>
  <c r="R15" i="1825"/>
  <c r="D15" i="1825"/>
  <c r="R14" i="1825"/>
  <c r="D14" i="1825"/>
  <c r="R13" i="1825"/>
  <c r="D13" i="1825"/>
  <c r="R12" i="1825"/>
  <c r="R11" i="1825"/>
  <c r="L8" i="1825"/>
  <c r="D8" i="1825"/>
  <c r="L7" i="1825"/>
  <c r="D7" i="1825"/>
  <c r="R6" i="1825"/>
  <c r="L6" i="1825"/>
  <c r="D6" i="1825" s="1"/>
  <c r="R5" i="1825"/>
  <c r="R4" i="1825"/>
  <c r="D54" i="1824"/>
  <c r="H14" i="1824" s="1"/>
  <c r="R52" i="1824"/>
  <c r="R51" i="1824"/>
  <c r="D50" i="1824"/>
  <c r="R49" i="1824"/>
  <c r="D49" i="1824"/>
  <c r="R48" i="1824"/>
  <c r="D48" i="1824"/>
  <c r="D46" i="1824"/>
  <c r="D45" i="1824"/>
  <c r="R44" i="1824"/>
  <c r="D44" i="1824"/>
  <c r="R42" i="1824"/>
  <c r="L6" i="1824" s="1"/>
  <c r="D6" i="1824" s="1"/>
  <c r="D42" i="1824"/>
  <c r="R41" i="1824"/>
  <c r="L7" i="1824" s="1"/>
  <c r="D7" i="1824" s="1"/>
  <c r="D41" i="1824"/>
  <c r="R40" i="1824"/>
  <c r="D40" i="1824"/>
  <c r="R39" i="1824"/>
  <c r="H39" i="1824"/>
  <c r="D39" i="1824"/>
  <c r="R38" i="1824"/>
  <c r="H38" i="1824"/>
  <c r="D38" i="1824"/>
  <c r="R37" i="1824"/>
  <c r="H37" i="1824"/>
  <c r="D37" i="1824"/>
  <c r="R36" i="1824"/>
  <c r="H36" i="1824"/>
  <c r="G49" i="1824" s="1"/>
  <c r="D36" i="1824"/>
  <c r="R35" i="1824"/>
  <c r="L19" i="1824" s="1"/>
  <c r="D19" i="1824" s="1"/>
  <c r="H35" i="1824"/>
  <c r="D35" i="1824"/>
  <c r="R34" i="1824"/>
  <c r="H34" i="1824"/>
  <c r="D34" i="1824"/>
  <c r="R33" i="1824"/>
  <c r="R32" i="1824"/>
  <c r="R31" i="1824"/>
  <c r="R30" i="1824"/>
  <c r="R29" i="1824"/>
  <c r="R28" i="1824"/>
  <c r="L16" i="1824" s="1"/>
  <c r="D16" i="1824" s="1"/>
  <c r="L28" i="1824"/>
  <c r="D28" i="1824"/>
  <c r="R27" i="1824"/>
  <c r="D27" i="1824"/>
  <c r="R26" i="1824"/>
  <c r="L26" i="1824"/>
  <c r="D26" i="1824"/>
  <c r="R25" i="1824"/>
  <c r="L25" i="1824"/>
  <c r="D25" i="1824" s="1"/>
  <c r="R24" i="1824"/>
  <c r="L24" i="1824"/>
  <c r="D24" i="1824"/>
  <c r="R23" i="1824"/>
  <c r="L23" i="1824"/>
  <c r="D23" i="1824"/>
  <c r="R22" i="1824"/>
  <c r="L22" i="1824"/>
  <c r="D22" i="1824"/>
  <c r="R21" i="1824"/>
  <c r="D21" i="1824"/>
  <c r="R20" i="1824"/>
  <c r="L20" i="1824"/>
  <c r="D20" i="1824"/>
  <c r="R19" i="1824"/>
  <c r="R18" i="1824"/>
  <c r="D18" i="1824"/>
  <c r="R17" i="1824"/>
  <c r="L17" i="1824"/>
  <c r="D17" i="1824"/>
  <c r="R16" i="1824"/>
  <c r="R15" i="1824"/>
  <c r="D15" i="1824"/>
  <c r="R14" i="1824"/>
  <c r="D14" i="1824"/>
  <c r="R13" i="1824"/>
  <c r="D13" i="1824"/>
  <c r="R12" i="1824"/>
  <c r="L12" i="1824"/>
  <c r="D12" i="1824"/>
  <c r="R11" i="1824"/>
  <c r="L11" i="1824"/>
  <c r="D11" i="1824"/>
  <c r="L10" i="1824"/>
  <c r="D10" i="1824" s="1"/>
  <c r="L9" i="1824"/>
  <c r="D9" i="1824" s="1"/>
  <c r="L8" i="1824"/>
  <c r="D8" i="1824"/>
  <c r="R6" i="1824"/>
  <c r="R5" i="1824"/>
  <c r="R4" i="1824"/>
  <c r="R52" i="1823"/>
  <c r="R51" i="1823"/>
  <c r="D50" i="1823"/>
  <c r="R49" i="1823"/>
  <c r="G49" i="1823"/>
  <c r="D49" i="1823"/>
  <c r="R48" i="1823"/>
  <c r="D48" i="1823"/>
  <c r="D46" i="1823"/>
  <c r="D45" i="1823"/>
  <c r="R44" i="1823"/>
  <c r="D44" i="1823"/>
  <c r="R42" i="1823"/>
  <c r="D42" i="1823"/>
  <c r="R41" i="1823"/>
  <c r="D41" i="1823"/>
  <c r="R40" i="1823"/>
  <c r="L8" i="1823" s="1"/>
  <c r="D8" i="1823" s="1"/>
  <c r="D40" i="1823"/>
  <c r="R39" i="1823"/>
  <c r="L20" i="1823" s="1"/>
  <c r="D20" i="1823" s="1"/>
  <c r="H39" i="1823"/>
  <c r="D39" i="1823"/>
  <c r="R38" i="1823"/>
  <c r="H38" i="1823"/>
  <c r="D38" i="1823"/>
  <c r="R37" i="1823"/>
  <c r="H37" i="1823"/>
  <c r="D37" i="1823"/>
  <c r="R36" i="1823"/>
  <c r="H36" i="1823"/>
  <c r="D36" i="1823"/>
  <c r="R35" i="1823"/>
  <c r="H35" i="1823"/>
  <c r="D35" i="1823"/>
  <c r="R34" i="1823"/>
  <c r="L12" i="1823" s="1"/>
  <c r="D12" i="1823" s="1"/>
  <c r="H34" i="1823"/>
  <c r="D34" i="1823"/>
  <c r="D54" i="1823" s="1"/>
  <c r="H14" i="1823" s="1"/>
  <c r="R33" i="1823"/>
  <c r="R32" i="1823"/>
  <c r="R31" i="1823"/>
  <c r="R30" i="1823"/>
  <c r="R29" i="1823"/>
  <c r="R28" i="1823"/>
  <c r="L16" i="1823" s="1"/>
  <c r="D16" i="1823" s="1"/>
  <c r="L28" i="1823"/>
  <c r="D28" i="1823"/>
  <c r="R27" i="1823"/>
  <c r="D27" i="1823"/>
  <c r="R26" i="1823"/>
  <c r="L26" i="1823"/>
  <c r="D26" i="1823"/>
  <c r="R25" i="1823"/>
  <c r="L25" i="1823"/>
  <c r="D25" i="1823" s="1"/>
  <c r="R24" i="1823"/>
  <c r="L24" i="1823"/>
  <c r="D24" i="1823"/>
  <c r="R23" i="1823"/>
  <c r="D23" i="1823"/>
  <c r="R22" i="1823"/>
  <c r="D22" i="1823"/>
  <c r="R21" i="1823"/>
  <c r="D21" i="1823"/>
  <c r="R20" i="1823"/>
  <c r="R19" i="1823"/>
  <c r="D19" i="1823"/>
  <c r="R18" i="1823"/>
  <c r="D18" i="1823"/>
  <c r="R17" i="1823"/>
  <c r="L17" i="1823"/>
  <c r="D17" i="1823"/>
  <c r="R16" i="1823"/>
  <c r="R15" i="1823"/>
  <c r="D15" i="1823"/>
  <c r="R14" i="1823"/>
  <c r="D14" i="1823"/>
  <c r="R13" i="1823"/>
  <c r="D13" i="1823"/>
  <c r="R12" i="1823"/>
  <c r="R11" i="1823"/>
  <c r="L11" i="1823"/>
  <c r="D11" i="1823"/>
  <c r="L10" i="1823"/>
  <c r="D10" i="1823" s="1"/>
  <c r="L9" i="1823"/>
  <c r="D9" i="1823"/>
  <c r="L7" i="1823"/>
  <c r="D7" i="1823"/>
  <c r="R6" i="1823"/>
  <c r="L6" i="1823"/>
  <c r="D6" i="1823" s="1"/>
  <c r="R5" i="1823"/>
  <c r="R4" i="1823"/>
  <c r="R52" i="1822"/>
  <c r="R51" i="1822"/>
  <c r="D50" i="1822"/>
  <c r="R49" i="1822"/>
  <c r="G49" i="1822"/>
  <c r="D49" i="1822"/>
  <c r="R48" i="1822"/>
  <c r="D48" i="1822"/>
  <c r="D46" i="1822"/>
  <c r="D45" i="1822"/>
  <c r="D44" i="1822"/>
  <c r="R42" i="1822"/>
  <c r="L6" i="1822" s="1"/>
  <c r="D6" i="1822" s="1"/>
  <c r="D29" i="1822" s="1"/>
  <c r="H13" i="1822" s="1"/>
  <c r="H15" i="1822" s="1"/>
  <c r="H29" i="1822" s="1"/>
  <c r="D42" i="1822"/>
  <c r="R41" i="1822"/>
  <c r="L7" i="1822" s="1"/>
  <c r="D7" i="1822" s="1"/>
  <c r="D41" i="1822"/>
  <c r="R40" i="1822"/>
  <c r="D40" i="1822"/>
  <c r="R39" i="1822"/>
  <c r="D39" i="1822"/>
  <c r="R38" i="1822"/>
  <c r="D38" i="1822"/>
  <c r="R37" i="1822"/>
  <c r="D37" i="1822"/>
  <c r="R36" i="1822"/>
  <c r="L10" i="1822" s="1"/>
  <c r="D10" i="1822" s="1"/>
  <c r="D36" i="1822"/>
  <c r="R35" i="1822"/>
  <c r="D35" i="1822"/>
  <c r="R34" i="1822"/>
  <c r="L12" i="1822" s="1"/>
  <c r="D12" i="1822" s="1"/>
  <c r="D34" i="1822"/>
  <c r="D54" i="1822" s="1"/>
  <c r="H14" i="1822" s="1"/>
  <c r="R33" i="1822"/>
  <c r="L23" i="1822" s="1"/>
  <c r="D23" i="1822" s="1"/>
  <c r="R32" i="1822"/>
  <c r="R31" i="1822"/>
  <c r="R30" i="1822"/>
  <c r="R29" i="1822"/>
  <c r="R28" i="1822"/>
  <c r="L16" i="1822" s="1"/>
  <c r="D16" i="1822" s="1"/>
  <c r="D28" i="1822"/>
  <c r="R27" i="1822"/>
  <c r="D27" i="1822"/>
  <c r="R26" i="1822"/>
  <c r="L26" i="1822"/>
  <c r="D26" i="1822"/>
  <c r="R25" i="1822"/>
  <c r="L25" i="1822"/>
  <c r="D25" i="1822"/>
  <c r="R24" i="1822"/>
  <c r="D24" i="1822"/>
  <c r="R23" i="1822"/>
  <c r="R22" i="1822"/>
  <c r="L22" i="1822"/>
  <c r="D22" i="1822" s="1"/>
  <c r="R21" i="1822"/>
  <c r="D21" i="1822"/>
  <c r="R20" i="1822"/>
  <c r="L20" i="1822"/>
  <c r="D20" i="1822"/>
  <c r="R19" i="1822"/>
  <c r="L19" i="1822"/>
  <c r="D19" i="1822"/>
  <c r="R18" i="1822"/>
  <c r="D18" i="1822"/>
  <c r="R17" i="1822"/>
  <c r="D17" i="1822"/>
  <c r="R16" i="1822"/>
  <c r="S15" i="1822"/>
  <c r="R15" i="1822"/>
  <c r="D15" i="1822"/>
  <c r="S14" i="1822"/>
  <c r="R14" i="1822"/>
  <c r="D14" i="1822"/>
  <c r="R13" i="1822"/>
  <c r="D13" i="1822"/>
  <c r="R12" i="1822"/>
  <c r="R11" i="1822"/>
  <c r="L11" i="1822"/>
  <c r="D11" i="1822" s="1"/>
  <c r="L9" i="1822"/>
  <c r="D9" i="1822"/>
  <c r="L8" i="1822"/>
  <c r="D8" i="1822"/>
  <c r="R6" i="1822"/>
  <c r="R5" i="1822"/>
  <c r="R4" i="1822"/>
  <c r="D29" i="1841" l="1"/>
  <c r="H13" i="1841" s="1"/>
  <c r="H15" i="1841" s="1"/>
  <c r="H29" i="1841" s="1"/>
  <c r="G51" i="1841" s="1"/>
  <c r="D29" i="1840"/>
  <c r="H13" i="1840" s="1"/>
  <c r="H15" i="1840" s="1"/>
  <c r="H29" i="1840" s="1"/>
  <c r="G51" i="1840" s="1"/>
  <c r="D29" i="1839"/>
  <c r="H13" i="1839" s="1"/>
  <c r="H15" i="1839" s="1"/>
  <c r="H29" i="1839" s="1"/>
  <c r="G51" i="1839" s="1"/>
  <c r="D29" i="1838"/>
  <c r="H13" i="1838" s="1"/>
  <c r="H15" i="1838" s="1"/>
  <c r="H29" i="1838" s="1"/>
  <c r="G51" i="1838" s="1"/>
  <c r="D29" i="1837"/>
  <c r="H13" i="1837" s="1"/>
  <c r="H15" i="1837" s="1"/>
  <c r="H29" i="1837" s="1"/>
  <c r="G51" i="1837"/>
  <c r="D29" i="1836"/>
  <c r="H13" i="1836" s="1"/>
  <c r="H15" i="1836" s="1"/>
  <c r="H29" i="1836" s="1"/>
  <c r="G51" i="1836" s="1"/>
  <c r="G51" i="1835"/>
  <c r="D29" i="1834"/>
  <c r="H13" i="1834" s="1"/>
  <c r="H15" i="1834" s="1"/>
  <c r="H29" i="1834" s="1"/>
  <c r="G51" i="1834" s="1"/>
  <c r="D29" i="1833"/>
  <c r="H13" i="1833" s="1"/>
  <c r="H15" i="1833" s="1"/>
  <c r="H29" i="1833" s="1"/>
  <c r="G51" i="1833"/>
  <c r="D29" i="1832"/>
  <c r="H13" i="1832" s="1"/>
  <c r="H15" i="1832" s="1"/>
  <c r="H29" i="1832" s="1"/>
  <c r="G51" i="1832" s="1"/>
  <c r="D29" i="1831"/>
  <c r="H13" i="1831" s="1"/>
  <c r="H15" i="1831" s="1"/>
  <c r="H29" i="1831" s="1"/>
  <c r="G51" i="1831"/>
  <c r="D29" i="1830"/>
  <c r="H13" i="1830" s="1"/>
  <c r="H15" i="1830" s="1"/>
  <c r="H29" i="1830" s="1"/>
  <c r="G51" i="1830" s="1"/>
  <c r="D29" i="1828"/>
  <c r="H13" i="1828" s="1"/>
  <c r="H15" i="1828" s="1"/>
  <c r="H29" i="1828" s="1"/>
  <c r="G51" i="1828" s="1"/>
  <c r="D29" i="1827"/>
  <c r="H13" i="1827" s="1"/>
  <c r="H15" i="1827" s="1"/>
  <c r="H29" i="1827" s="1"/>
  <c r="G51" i="1827" s="1"/>
  <c r="D29" i="1826"/>
  <c r="H13" i="1826" s="1"/>
  <c r="H15" i="1826" s="1"/>
  <c r="H29" i="1826" s="1"/>
  <c r="G51" i="1826" s="1"/>
  <c r="D29" i="1825"/>
  <c r="H13" i="1825" s="1"/>
  <c r="H15" i="1825" s="1"/>
  <c r="H29" i="1825" s="1"/>
  <c r="G51" i="1825" s="1"/>
  <c r="D29" i="1824"/>
  <c r="H13" i="1824" s="1"/>
  <c r="H15" i="1824" s="1"/>
  <c r="H29" i="1824" s="1"/>
  <c r="G51" i="1824" s="1"/>
  <c r="D29" i="1823"/>
  <c r="H13" i="1823" s="1"/>
  <c r="H15" i="1823" s="1"/>
  <c r="H29" i="1823" s="1"/>
  <c r="G51" i="1823"/>
  <c r="G51" i="1822"/>
  <c r="H16" i="1816"/>
  <c r="H16" i="1815"/>
  <c r="L25" i="1816"/>
  <c r="L24" i="1816"/>
  <c r="H16" i="1813" l="1"/>
  <c r="H16" i="1811"/>
  <c r="R52" i="1821" l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G49" i="1821" s="1"/>
  <c r="D34" i="1821"/>
  <c r="D54" i="1821" s="1"/>
  <c r="H14" i="1821" s="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G49" i="1819" s="1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R52" i="1817"/>
  <c r="R51" i="1817"/>
  <c r="D50" i="1817"/>
  <c r="R49" i="1817"/>
  <c r="D49" i="1817"/>
  <c r="R48" i="1817"/>
  <c r="D48" i="1817"/>
  <c r="D46" i="1817"/>
  <c r="D45" i="1817"/>
  <c r="R44" i="1817"/>
  <c r="D44" i="1817"/>
  <c r="R42" i="1817"/>
  <c r="L6" i="1817" s="1"/>
  <c r="D6" i="1817" s="1"/>
  <c r="D42" i="1817"/>
  <c r="R41" i="1817"/>
  <c r="L7" i="1817" s="1"/>
  <c r="D7" i="1817" s="1"/>
  <c r="D41" i="1817"/>
  <c r="R40" i="1817"/>
  <c r="D40" i="1817"/>
  <c r="R39" i="1817"/>
  <c r="H39" i="1817"/>
  <c r="D39" i="1817"/>
  <c r="R38" i="1817"/>
  <c r="H38" i="1817"/>
  <c r="D38" i="1817"/>
  <c r="R37" i="1817"/>
  <c r="H37" i="1817"/>
  <c r="D37" i="1817"/>
  <c r="R36" i="1817"/>
  <c r="H36" i="1817"/>
  <c r="D36" i="1817"/>
  <c r="R35" i="1817"/>
  <c r="L19" i="1817" s="1"/>
  <c r="D19" i="1817" s="1"/>
  <c r="H35" i="1817"/>
  <c r="D35" i="1817"/>
  <c r="R34" i="1817"/>
  <c r="H34" i="1817"/>
  <c r="D34" i="1817"/>
  <c r="R33" i="1817"/>
  <c r="R32" i="1817"/>
  <c r="R31" i="1817"/>
  <c r="R30" i="1817"/>
  <c r="R29" i="1817"/>
  <c r="R28" i="1817"/>
  <c r="L28" i="1817"/>
  <c r="D28" i="1817"/>
  <c r="R27" i="1817"/>
  <c r="D27" i="1817"/>
  <c r="R26" i="1817"/>
  <c r="L26" i="1817"/>
  <c r="D26" i="1817"/>
  <c r="R25" i="1817"/>
  <c r="L25" i="1817"/>
  <c r="D25" i="1817"/>
  <c r="R24" i="1817"/>
  <c r="D24" i="1817"/>
  <c r="R23" i="1817"/>
  <c r="L23" i="1817"/>
  <c r="D23" i="1817" s="1"/>
  <c r="R22" i="1817"/>
  <c r="L22" i="1817"/>
  <c r="D22" i="1817"/>
  <c r="R21" i="1817"/>
  <c r="D21" i="1817"/>
  <c r="R20" i="1817"/>
  <c r="L20" i="1817"/>
  <c r="D20" i="1817"/>
  <c r="R19" i="1817"/>
  <c r="R18" i="1817"/>
  <c r="D18" i="1817"/>
  <c r="R17" i="1817"/>
  <c r="D17" i="1817"/>
  <c r="R16" i="1817"/>
  <c r="L16" i="1817"/>
  <c r="D16" i="1817"/>
  <c r="R15" i="1817"/>
  <c r="D15" i="1817"/>
  <c r="R14" i="1817"/>
  <c r="D14" i="1817"/>
  <c r="R13" i="1817"/>
  <c r="D13" i="1817"/>
  <c r="R12" i="1817"/>
  <c r="L12" i="1817"/>
  <c r="D12" i="1817" s="1"/>
  <c r="R11" i="1817"/>
  <c r="L11" i="1817"/>
  <c r="D11" i="1817"/>
  <c r="L10" i="1817"/>
  <c r="D10" i="1817"/>
  <c r="L9" i="1817"/>
  <c r="D9" i="1817" s="1"/>
  <c r="L8" i="1817"/>
  <c r="D8" i="1817" s="1"/>
  <c r="R6" i="1817"/>
  <c r="R5" i="1817"/>
  <c r="R4" i="1817"/>
  <c r="R52" i="1816"/>
  <c r="R51" i="1816"/>
  <c r="D50" i="1816"/>
  <c r="R49" i="1816"/>
  <c r="D49" i="1816"/>
  <c r="R48" i="1816"/>
  <c r="D48" i="1816"/>
  <c r="D46" i="1816"/>
  <c r="D45" i="1816"/>
  <c r="R44" i="1816"/>
  <c r="D44" i="1816"/>
  <c r="R42" i="1816"/>
  <c r="L6" i="1816" s="1"/>
  <c r="D6" i="1816" s="1"/>
  <c r="D42" i="1816"/>
  <c r="R41" i="1816"/>
  <c r="D41" i="1816"/>
  <c r="R40" i="1816"/>
  <c r="D40" i="1816"/>
  <c r="R39" i="1816"/>
  <c r="H39" i="1816"/>
  <c r="D39" i="1816"/>
  <c r="R38" i="1816"/>
  <c r="L9" i="1816" s="1"/>
  <c r="D9" i="1816" s="1"/>
  <c r="H38" i="1816"/>
  <c r="D38" i="1816"/>
  <c r="R37" i="1816"/>
  <c r="H37" i="1816"/>
  <c r="D37" i="1816"/>
  <c r="R36" i="1816"/>
  <c r="L10" i="1816" s="1"/>
  <c r="D10" i="1816" s="1"/>
  <c r="H36" i="1816"/>
  <c r="D36" i="1816"/>
  <c r="R35" i="1816"/>
  <c r="H35" i="1816"/>
  <c r="D35" i="1816"/>
  <c r="R34" i="1816"/>
  <c r="H34" i="1816"/>
  <c r="D34" i="1816"/>
  <c r="R33" i="1816"/>
  <c r="R32" i="1816"/>
  <c r="R31" i="1816"/>
  <c r="R30" i="1816"/>
  <c r="R29" i="1816"/>
  <c r="R28" i="1816"/>
  <c r="L28" i="1816"/>
  <c r="D28" i="1816"/>
  <c r="R27" i="1816"/>
  <c r="D27" i="1816"/>
  <c r="R26" i="1816"/>
  <c r="L26" i="1816"/>
  <c r="D26" i="1816"/>
  <c r="R25" i="1816"/>
  <c r="D25" i="1816"/>
  <c r="R24" i="1816"/>
  <c r="D24" i="1816"/>
  <c r="R23" i="1816"/>
  <c r="L23" i="1816"/>
  <c r="D23" i="1816"/>
  <c r="R22" i="1816"/>
  <c r="L22" i="1816"/>
  <c r="D22" i="1816" s="1"/>
  <c r="R21" i="1816"/>
  <c r="D21" i="1816"/>
  <c r="R20" i="1816"/>
  <c r="L20" i="1816"/>
  <c r="D20" i="1816" s="1"/>
  <c r="R19" i="1816"/>
  <c r="L19" i="1816"/>
  <c r="D19" i="1816"/>
  <c r="R18" i="1816"/>
  <c r="D18" i="1816"/>
  <c r="R17" i="1816"/>
  <c r="L17" i="1816"/>
  <c r="D17" i="1816"/>
  <c r="R16" i="1816"/>
  <c r="L16" i="1816"/>
  <c r="D16" i="1816" s="1"/>
  <c r="R15" i="1816"/>
  <c r="D15" i="1816"/>
  <c r="R14" i="1816"/>
  <c r="D14" i="1816"/>
  <c r="R13" i="1816"/>
  <c r="D13" i="1816"/>
  <c r="R12" i="1816"/>
  <c r="L12" i="1816"/>
  <c r="D12" i="1816" s="1"/>
  <c r="R11" i="1816"/>
  <c r="L11" i="1816"/>
  <c r="D11" i="1816"/>
  <c r="L8" i="1816"/>
  <c r="D8" i="1816" s="1"/>
  <c r="L7" i="1816"/>
  <c r="D7" i="1816"/>
  <c r="R6" i="1816"/>
  <c r="R5" i="1816"/>
  <c r="R4" i="1816"/>
  <c r="R52" i="1815"/>
  <c r="R51" i="1815"/>
  <c r="D50" i="1815"/>
  <c r="R49" i="1815"/>
  <c r="D49" i="1815"/>
  <c r="R48" i="1815"/>
  <c r="D48" i="1815"/>
  <c r="D46" i="1815"/>
  <c r="D45" i="1815"/>
  <c r="R44" i="1815"/>
  <c r="D44" i="1815"/>
  <c r="R42" i="1815"/>
  <c r="L6" i="1815" s="1"/>
  <c r="D6" i="1815" s="1"/>
  <c r="D42" i="1815"/>
  <c r="R41" i="1815"/>
  <c r="D41" i="1815"/>
  <c r="R40" i="1815"/>
  <c r="L8" i="1815" s="1"/>
  <c r="D8" i="1815" s="1"/>
  <c r="D40" i="1815"/>
  <c r="R39" i="1815"/>
  <c r="L20" i="1815" s="1"/>
  <c r="D20" i="1815" s="1"/>
  <c r="H39" i="1815"/>
  <c r="D39" i="1815"/>
  <c r="R38" i="1815"/>
  <c r="H38" i="1815"/>
  <c r="D38" i="1815"/>
  <c r="R37" i="1815"/>
  <c r="H37" i="1815"/>
  <c r="D37" i="1815"/>
  <c r="R36" i="1815"/>
  <c r="H36" i="1815"/>
  <c r="D36" i="1815"/>
  <c r="R35" i="1815"/>
  <c r="H35" i="1815"/>
  <c r="D35" i="1815"/>
  <c r="R34" i="1815"/>
  <c r="H34" i="1815"/>
  <c r="D34" i="1815"/>
  <c r="R33" i="1815"/>
  <c r="R32" i="1815"/>
  <c r="R31" i="1815"/>
  <c r="R30" i="1815"/>
  <c r="R29" i="1815"/>
  <c r="R28" i="1815"/>
  <c r="L16" i="1815" s="1"/>
  <c r="D16" i="1815" s="1"/>
  <c r="L28" i="1815"/>
  <c r="D28" i="1815"/>
  <c r="R27" i="1815"/>
  <c r="D27" i="1815"/>
  <c r="R26" i="1815"/>
  <c r="L26" i="1815"/>
  <c r="D26" i="1815"/>
  <c r="R25" i="1815"/>
  <c r="D25" i="1815"/>
  <c r="R24" i="1815"/>
  <c r="D24" i="1815"/>
  <c r="R23" i="1815"/>
  <c r="D23" i="1815"/>
  <c r="R22" i="1815"/>
  <c r="D22" i="1815"/>
  <c r="R21" i="1815"/>
  <c r="D21" i="1815"/>
  <c r="R20" i="1815"/>
  <c r="R19" i="1815"/>
  <c r="D19" i="1815"/>
  <c r="R18" i="1815"/>
  <c r="D18" i="1815"/>
  <c r="R17" i="1815"/>
  <c r="L17" i="1815"/>
  <c r="D17" i="1815"/>
  <c r="R16" i="1815"/>
  <c r="R15" i="1815"/>
  <c r="D15" i="1815"/>
  <c r="R14" i="1815"/>
  <c r="D14" i="1815"/>
  <c r="R13" i="1815"/>
  <c r="D13" i="1815"/>
  <c r="R12" i="1815"/>
  <c r="L12" i="1815"/>
  <c r="D12" i="1815"/>
  <c r="R11" i="1815"/>
  <c r="L11" i="1815"/>
  <c r="D11" i="1815"/>
  <c r="L10" i="1815"/>
  <c r="D10" i="1815"/>
  <c r="L9" i="1815"/>
  <c r="D9" i="1815" s="1"/>
  <c r="L7" i="1815"/>
  <c r="D7" i="1815"/>
  <c r="R6" i="1815"/>
  <c r="R5" i="1815"/>
  <c r="R4" i="1815"/>
  <c r="D54" i="1814"/>
  <c r="H14" i="1814" s="1"/>
  <c r="R52" i="1814"/>
  <c r="R51" i="1814"/>
  <c r="D50" i="1814"/>
  <c r="R49" i="1814"/>
  <c r="G49" i="1814"/>
  <c r="D49" i="1814"/>
  <c r="R48" i="1814"/>
  <c r="D48" i="1814"/>
  <c r="D46" i="1814"/>
  <c r="D45" i="1814"/>
  <c r="D44" i="1814"/>
  <c r="R42" i="1814"/>
  <c r="L6" i="1814" s="1"/>
  <c r="D6" i="1814" s="1"/>
  <c r="D42" i="1814"/>
  <c r="R41" i="1814"/>
  <c r="L7" i="1814" s="1"/>
  <c r="D7" i="1814" s="1"/>
  <c r="D41" i="1814"/>
  <c r="R40" i="1814"/>
  <c r="D40" i="1814"/>
  <c r="R39" i="1814"/>
  <c r="D39" i="1814"/>
  <c r="R38" i="1814"/>
  <c r="D38" i="1814"/>
  <c r="R37" i="1814"/>
  <c r="D37" i="1814"/>
  <c r="R36" i="1814"/>
  <c r="L10" i="1814" s="1"/>
  <c r="D10" i="1814" s="1"/>
  <c r="D36" i="1814"/>
  <c r="R35" i="1814"/>
  <c r="D35" i="1814"/>
  <c r="R34" i="1814"/>
  <c r="L12" i="1814" s="1"/>
  <c r="D12" i="1814" s="1"/>
  <c r="D34" i="1814"/>
  <c r="R33" i="1814"/>
  <c r="L23" i="1814" s="1"/>
  <c r="D23" i="1814" s="1"/>
  <c r="R32" i="1814"/>
  <c r="L11" i="1814" s="1"/>
  <c r="D11" i="1814" s="1"/>
  <c r="R31" i="1814"/>
  <c r="R30" i="1814"/>
  <c r="R29" i="1814"/>
  <c r="R28" i="1814"/>
  <c r="D28" i="1814"/>
  <c r="R27" i="1814"/>
  <c r="D27" i="1814"/>
  <c r="R26" i="1814"/>
  <c r="L26" i="1814"/>
  <c r="D26" i="1814" s="1"/>
  <c r="R25" i="1814"/>
  <c r="L25" i="1814"/>
  <c r="D25" i="1814"/>
  <c r="R24" i="1814"/>
  <c r="D24" i="1814"/>
  <c r="R23" i="1814"/>
  <c r="R22" i="1814"/>
  <c r="L22" i="1814"/>
  <c r="D22" i="1814"/>
  <c r="R21" i="1814"/>
  <c r="D21" i="1814"/>
  <c r="R20" i="1814"/>
  <c r="L20" i="1814"/>
  <c r="D20" i="1814" s="1"/>
  <c r="R19" i="1814"/>
  <c r="L19" i="1814"/>
  <c r="D19" i="1814"/>
  <c r="R18" i="1814"/>
  <c r="D18" i="1814"/>
  <c r="R17" i="1814"/>
  <c r="D17" i="1814"/>
  <c r="R16" i="1814"/>
  <c r="L16" i="1814"/>
  <c r="D16" i="1814" s="1"/>
  <c r="S15" i="1814"/>
  <c r="R15" i="1814"/>
  <c r="D15" i="1814"/>
  <c r="S14" i="1814"/>
  <c r="R14" i="1814"/>
  <c r="D14" i="1814"/>
  <c r="R13" i="1814"/>
  <c r="D13" i="1814"/>
  <c r="R12" i="1814"/>
  <c r="R11" i="1814"/>
  <c r="L9" i="1814"/>
  <c r="D9" i="1814"/>
  <c r="L8" i="1814"/>
  <c r="D8" i="1814"/>
  <c r="R6" i="1814"/>
  <c r="R5" i="1814"/>
  <c r="R4" i="1814"/>
  <c r="G49" i="1817" l="1"/>
  <c r="G49" i="1816"/>
  <c r="G49" i="1815"/>
  <c r="D54" i="1817"/>
  <c r="H14" i="1817" s="1"/>
  <c r="D54" i="1815"/>
  <c r="H14" i="1815" s="1"/>
  <c r="D54" i="1816"/>
  <c r="H14" i="1816" s="1"/>
  <c r="D29" i="1821"/>
  <c r="H13" i="1821" s="1"/>
  <c r="H15" i="1821" s="1"/>
  <c r="H29" i="1821" s="1"/>
  <c r="G51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G51" i="1819" s="1"/>
  <c r="D29" i="1818"/>
  <c r="H13" i="1818" s="1"/>
  <c r="H15" i="1818" s="1"/>
  <c r="H29" i="1818" s="1"/>
  <c r="G51" i="1818" s="1"/>
  <c r="D29" i="1817"/>
  <c r="H13" i="1817" s="1"/>
  <c r="D29" i="1816"/>
  <c r="H13" i="1816" s="1"/>
  <c r="D29" i="1815"/>
  <c r="H13" i="1815" s="1"/>
  <c r="H15" i="1815" s="1"/>
  <c r="H29" i="1815" s="1"/>
  <c r="D29" i="1814"/>
  <c r="H13" i="1814" s="1"/>
  <c r="H15" i="1814" s="1"/>
  <c r="H29" i="1814" s="1"/>
  <c r="G51" i="1814" s="1"/>
  <c r="H16" i="1809"/>
  <c r="H16" i="1808"/>
  <c r="H16" i="1807"/>
  <c r="G51" i="1815" l="1"/>
  <c r="H15" i="1817"/>
  <c r="H29" i="1817" s="1"/>
  <c r="G51" i="1817" s="1"/>
  <c r="H15" i="1816"/>
  <c r="H29" i="1816" s="1"/>
  <c r="G51" i="1816" s="1"/>
  <c r="L26" i="1808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R34" i="1813"/>
  <c r="H34" i="1813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D34" i="1812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13" l="1"/>
  <c r="G49" i="1812"/>
  <c r="G49" i="1811"/>
  <c r="D54" i="1813"/>
  <c r="H14" i="1813" s="1"/>
  <c r="D54" i="1812"/>
  <c r="H14" i="1812" s="1"/>
  <c r="D54" i="1811"/>
  <c r="H14" i="1811" s="1"/>
  <c r="G49" i="1809"/>
  <c r="G49" i="1808"/>
  <c r="G49" i="1807"/>
  <c r="D54" i="1809"/>
  <c r="H14" i="1809" s="1"/>
  <c r="D54" i="1808"/>
  <c r="H14" i="1808" s="1"/>
  <c r="D54" i="1807"/>
  <c r="H14" i="1807" s="1"/>
  <c r="D29" i="1813"/>
  <c r="H13" i="1813" s="1"/>
  <c r="D29" i="1812"/>
  <c r="H13" i="1812" s="1"/>
  <c r="D29" i="1811"/>
  <c r="H13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13" l="1"/>
  <c r="H29" i="1813" s="1"/>
  <c r="G51" i="1813" s="1"/>
  <c r="H15" i="1812"/>
  <c r="H29" i="1812" s="1"/>
  <c r="G51" i="1812" s="1"/>
  <c r="H15" i="1811"/>
  <c r="H29" i="1811" s="1"/>
  <c r="G51" i="1811" s="1"/>
  <c r="H15" i="1809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<sst xmlns="http://schemas.openxmlformats.org/spreadsheetml/2006/main" count="12960" uniqueCount="212">
  <si>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</si>
  <si>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</si>
  <si>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</si>
  <si>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</si>
  <si>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</si>
  <si>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</si>
  <si>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</si>
  <si>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</si>
  <si>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</si>
  <si>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</si>
  <si>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</si>
  <si>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</si>
  <si>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</si>
  <si>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</si>
  <si>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</si>
  <si>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</si>
  <si>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</si>
  <si>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</si>
  <si>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</si>
  <si>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</si>
  <si>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</si>
  <si>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</si>
  <si>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</si>
  <si>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</si>
  <si>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</si>
  <si>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</si>
  <si>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</si>
  <si>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</si>
  <si>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</si>
  <si>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</si>
  <si>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</si>
  <si>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</si>
  <si>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</si>
  <si>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</si>
  <si>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</si>
  <si>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</si>
  <si>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</si>
  <si>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</si>
  <si>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</si>
  <si>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</si>
  <si>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</si>
  <si>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</si>
  <si>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</si>
  <si>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</si>
  <si>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</si>
  <si>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</si>
  <si>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</si>
  <si>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</si>
  <si>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</si>
  <si>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</si>
  <si>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</si>
  <si>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</si>
  <si>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</si>
  <si>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</si>
  <si>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</si>
  <si>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</si>
  <si>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</si>
  <si>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</si>
  <si>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</si>
  <si>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</si>
  <si>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</si>
  <si>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</si>
  <si>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</si>
  <si>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</si>
  <si>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</si>
  <si>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</si>
  <si>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</si>
  <si>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</si>
  <si>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</si>
  <si>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</si>
  <si>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</si>
  <si>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</si>
  <si>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</si>
  <si>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</si>
  <si>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</si>
  <si>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</si>
  <si>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</si>
  <si>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</si>
  <si>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</si>
  <si>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</si>
  <si>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</si>
  <si>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</si>
  <si>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</si>
  <si>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</si>
  <si>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</si>
  <si>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</si>
  <si>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</si>
  <si>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</si>
  <si>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</si>
  <si>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</si>
  <si>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</si>
  <si>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</si>
  <si>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</si>
  <si>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</si>
  <si>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</si>
  <si>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</si>
  <si>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</si>
  <si>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</si>
  <si>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</si>
  <si>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</si>
  <si>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</si>
  <si>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</si>
  <si>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</si>
  <si>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</si>
  <si>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</si>
  <si>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</si>
  <si>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</si>
  <si>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</si>
  <si>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</si>
  <si>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</si>
  <si>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</si>
  <si>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</si>
  <si>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</si>
  <si>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</si>
  <si>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</si>
  <si>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</si>
  <si>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</si>
  <si>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</si>
  <si>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</si>
  <si>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</si>
  <si>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</si>
  <si>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</si>
  <si>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</si>
  <si>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</si>
  <si>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</si>
  <si>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</si>
  <si>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</si>
  <si>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</si>
  <si>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</si>
  <si>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</si>
  <si>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</si>
  <si>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</si>
  <si>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</si>
  <si>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</si>
  <si>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</si>
  <si>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</si>
  <si>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</si>
  <si>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</si>
  <si>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</si>
  <si>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</si>
  <si>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</si>
  <si>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</si>
  <si>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</si>
  <si>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</si>
  <si>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</si>
  <si>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</si>
  <si>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</si>
  <si>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</si>
  <si>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</si>
  <si>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</si>
  <si>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</si>
  <si>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</si>
  <si>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</si>
  <si>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</si>
  <si>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</si>
  <si>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</si>
  <si>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</si>
  <si>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</si>
  <si>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</si>
  <si>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</si>
  <si>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</si>
  <si>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</si>
  <si>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</si>
  <si>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</si>
  <si>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</si>
  <si>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</si>
  <si>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</si>
  <si>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</si>
  <si>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</si>
  <si>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</si>
  <si>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</si>
  <si>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</si>
  <si>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</si>
  <si>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</si>
  <si>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</si>
  <si>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</si>
  <si>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</si>
  <si>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</si>
  <si>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</si>
  <si>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</si>
  <si>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</si>
  <si>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</si>
  <si>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</si>
  <si>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</si>
  <si>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</si>
  <si>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</si>
  <si>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</si>
  <si>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</si>
  <si>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</si>
  <si>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</si>
  <si>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</si>
  <si>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</si>
  <si>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</si>
  <si>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</si>
  <si>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</si>
  <si>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</si>
  <si>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</si>
  <si>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</si>
  <si>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</si>
  <si>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</si>
  <si>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</si>
  <si>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</si>
  <si>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</si>
  <si>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</si>
  <si>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</si>
  <si>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</si>
  <si>
    <t>146612</t>
  </si>
  <si>
    <t>CALI BOTT.</t>
  </si>
  <si>
    <t>147258</t>
  </si>
  <si>
    <t>143460</t>
  </si>
  <si>
    <t>2000002916</t>
  </si>
  <si>
    <t>PLAZA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</si>
</sst>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622AC-094C-45EA-B407-D574C0FF8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12422B-E74A-4015-904B-8C0F916C4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F4B6C1-9554-465C-88F1-80589C635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A735D-471D-4285-9948-DCE74EB76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71D67-8678-4B0F-A05E-B52E7A6CE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26DC0-07C0-482C-BBA6-A06A633C31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39790F-CC66-46A9-9E65-7EABDD82E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2CF06D-C99C-4965-85CA-939AAA43E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199B4-91E6-4AED-B1BA-9F794173B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0904AC-0FAA-4041-80FB-42D7C78B5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6782F-3E33-4B4E-844F-8F55E507D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A2B126-B684-4ED9-BF10-219DC0890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7C17FF-C815-4779-87A0-614EA15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7720E-10BF-4917-AAD8-D7BC02FC9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F061A-A766-422F-98B6-AC56182790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B5D4F7-AF3F-4838-85B6-28A61BD65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49814E-DFA5-41F9-8513-CC99FC2E5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AECC63-1A7B-4992-B85F-B23A4C5DF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EABD66-4DBD-44F4-8D33-B88C305AF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69E67-770F-4E3D-ABDB-287854A76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0E78A-C39A-4AF1-96ED-A29F71C6F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8268D-B25E-4D20-A518-2601FB577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EC21A5-7F52-44B6-BBE4-899D3436D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957DF-5CDD-4C2C-990F-905BCC3D51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87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283</v>
      </c>
      <c r="D6" s="13">
        <f t="shared" ref="D6:D28" si="1">C6*L6</f>
        <v>215363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118</v>
      </c>
      <c r="D9" s="13">
        <f t="shared" si="1"/>
        <v>86494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14</v>
      </c>
      <c r="D13" s="48">
        <f t="shared" si="1"/>
        <v>4298</v>
      </c>
      <c r="F13" s="268" t="s">
        <v>36</v>
      </c>
      <c r="G13" s="232"/>
      <c r="H13" s="223">
        <f>D29</f>
        <v>314042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7</v>
      </c>
      <c r="D14" s="31">
        <f t="shared" si="1"/>
        <v>77</v>
      </c>
      <c r="F14" s="226" t="s">
        <v>39</v>
      </c>
      <c r="G14" s="227"/>
      <c r="H14" s="228">
        <f>D54</f>
        <v>21381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292661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0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8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314042</v>
      </c>
      <c r="F29" s="140" t="s">
        <v>55</v>
      </c>
      <c r="G29" s="202"/>
      <c r="H29" s="162">
        <f>H15-H16-H17-H18-H19-H20-H22-H23-H24+H26+H27+H28</f>
        <v>290717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84">
        <f t="shared" ref="H34:H39" si="2">F34*G34</f>
        <v>35000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84">
        <f t="shared" si="2"/>
        <v>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84">
        <f t="shared" si="2"/>
        <v>5800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84">
        <f t="shared" si="2"/>
        <v>700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101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79">
        <v>233510.5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146</v>
      </c>
      <c r="G45" s="62"/>
      <c r="H45" s="179">
        <v>5935.5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290547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34</v>
      </c>
      <c r="D50" s="12">
        <f>C50*1.5</f>
        <v>51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-170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458</v>
      </c>
      <c r="D6" s="13">
        <f t="shared" ref="D6:D28" si="1">C6*L6</f>
        <v>348538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53</v>
      </c>
      <c r="D9" s="13">
        <f t="shared" si="1"/>
        <v>38849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20</v>
      </c>
      <c r="D13" s="48">
        <f t="shared" si="1"/>
        <v>6140</v>
      </c>
      <c r="F13" s="268" t="s">
        <v>36</v>
      </c>
      <c r="G13" s="232"/>
      <c r="H13" s="223">
        <f>D29</f>
        <v>403660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22</v>
      </c>
      <c r="D14" s="31">
        <f t="shared" si="1"/>
        <v>242</v>
      </c>
      <c r="F14" s="226" t="s">
        <v>39</v>
      </c>
      <c r="G14" s="227"/>
      <c r="H14" s="228">
        <f>D54</f>
        <v>63054.75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340605.25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492*6</f>
        <v>2952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8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403660</v>
      </c>
      <c r="F29" s="140" t="s">
        <v>55</v>
      </c>
      <c r="G29" s="202"/>
      <c r="H29" s="162">
        <f>H15-H16-H17-H18-H19-H20-H22-H23-H24+H26+H27</f>
        <v>337653.25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84">
        <f>F34*G34</f>
        <v>154000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84">
        <f t="shared" ref="H35:H39" si="2">F35*G35</f>
        <v>154500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4">
        <f>F36*G36</f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84">
        <f t="shared" si="2"/>
        <v>18700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84">
        <f t="shared" si="2"/>
        <v>10100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>
        <v>66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89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21</v>
      </c>
      <c r="D49" s="12">
        <f>C49*42</f>
        <v>882</v>
      </c>
      <c r="F49" s="160" t="s">
        <v>86</v>
      </c>
      <c r="G49" s="162">
        <f>H34+H35+H36+H37+H38+H39+H40+H41+G42+H44+H45+H46</f>
        <v>337766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18</v>
      </c>
      <c r="D50" s="12">
        <f>C50*1.5</f>
        <v>27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112.75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330</v>
      </c>
      <c r="D6" s="13">
        <f t="shared" ref="D6:D28" si="1">C6*L6</f>
        <v>251130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40</v>
      </c>
      <c r="D9" s="13">
        <f t="shared" si="1"/>
        <v>29320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293070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43414.5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249655.5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v>648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8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293070</v>
      </c>
      <c r="F29" s="140" t="s">
        <v>55</v>
      </c>
      <c r="G29" s="202"/>
      <c r="H29" s="162">
        <f>H15-H16-H17-H18-H19-H20-H22-H23-H24+H26+H27</f>
        <v>249007.5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84">
        <f>F34*G34</f>
        <v>144000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84">
        <f>F35*G35</f>
        <v>28500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84">
        <f t="shared" si="2"/>
        <v>9200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84">
        <f t="shared" si="2"/>
        <v>350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119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0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79">
        <v>67807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</v>
      </c>
      <c r="D49" s="12">
        <f>C49*42</f>
        <v>84</v>
      </c>
      <c r="F49" s="160" t="s">
        <v>86</v>
      </c>
      <c r="G49" s="162">
        <f>H34+H35+H36+H37+H38+H39+H40+H41+G42+H44+H45+H46</f>
        <v>250016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7</v>
      </c>
      <c r="D50" s="12">
        <f>C50*1.5</f>
        <v>10.5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1008.5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307</v>
      </c>
      <c r="D6" s="13">
        <f t="shared" ref="D6:D28" si="1">C6*L6</f>
        <v>233627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8</v>
      </c>
      <c r="D7" s="13">
        <f t="shared" si="1"/>
        <v>6248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20</v>
      </c>
      <c r="D9" s="13">
        <f t="shared" si="1"/>
        <v>14660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263815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</v>
      </c>
      <c r="D14" s="31">
        <f t="shared" si="1"/>
        <v>22</v>
      </c>
      <c r="F14" s="226" t="s">
        <v>39</v>
      </c>
      <c r="G14" s="227"/>
      <c r="H14" s="228">
        <f>D54</f>
        <v>36288.75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227526.25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6*6</f>
        <v>36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151</v>
      </c>
      <c r="C26" s="84">
        <v>12</v>
      </c>
      <c r="D26" s="48">
        <f t="shared" si="1"/>
        <v>454</v>
      </c>
      <c r="F26" s="75"/>
      <c r="G26" s="65"/>
      <c r="H26" s="179"/>
      <c r="I26" s="179"/>
      <c r="J26" s="179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5</v>
      </c>
      <c r="D28" s="48">
        <f t="shared" si="1"/>
        <v>4055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263815</v>
      </c>
      <c r="F29" s="140" t="s">
        <v>55</v>
      </c>
      <c r="G29" s="202"/>
      <c r="H29" s="162">
        <f>H15-H16-H17-H18-H19-H20-H22-H23-H24+H26+H27+H28</f>
        <v>227440.25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84">
        <f t="shared" ref="H34:H39" si="2">F34*G34</f>
        <v>191000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84">
        <f t="shared" si="2"/>
        <v>33500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84">
        <f t="shared" si="2"/>
        <v>2600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84">
        <f t="shared" si="2"/>
        <v>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2</v>
      </c>
      <c r="D45" s="12">
        <f>C45*84</f>
        <v>168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20</v>
      </c>
      <c r="D46" s="12">
        <f>C46*1.5</f>
        <v>30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227219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10</v>
      </c>
      <c r="D50" s="12">
        <f>C50*1.5</f>
        <v>15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-221.25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242</v>
      </c>
      <c r="D6" s="13">
        <f t="shared" ref="D6:D28" si="1">C6*L6</f>
        <v>184162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33</v>
      </c>
      <c r="D9" s="13">
        <f t="shared" si="1"/>
        <v>24189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4</v>
      </c>
      <c r="D13" s="48">
        <f t="shared" si="1"/>
        <v>1228</v>
      </c>
      <c r="F13" s="268" t="s">
        <v>36</v>
      </c>
      <c r="G13" s="232"/>
      <c r="H13" s="223">
        <f>D29</f>
        <v>216897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35701.5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181195.5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140*6</f>
        <v>840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216897</v>
      </c>
      <c r="F29" s="140" t="s">
        <v>55</v>
      </c>
      <c r="G29" s="202"/>
      <c r="H29" s="162">
        <f>H15-H16-H17-H18-H19-H20-H22-H23-H24+H26+H27</f>
        <v>180355.5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84">
        <f>F34*G34</f>
        <v>154000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84">
        <f t="shared" ref="H35:H39" si="2">F35*G35</f>
        <v>25500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84">
        <f t="shared" si="2"/>
        <v>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12</v>
      </c>
      <c r="D42" s="12">
        <f>C42*2.25</f>
        <v>27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</v>
      </c>
      <c r="D49" s="12">
        <f>C49*42</f>
        <v>84</v>
      </c>
      <c r="F49" s="160" t="s">
        <v>86</v>
      </c>
      <c r="G49" s="162">
        <f>H34+H35+H36+H37+H38+H39+H40+H41+G42+H44+H45+H46</f>
        <v>180250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4</v>
      </c>
      <c r="D50" s="12">
        <f>C50*1.5</f>
        <v>6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-105.5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414</v>
      </c>
      <c r="D6" s="13">
        <f t="shared" ref="D6:D28" si="1">C6*L6</f>
        <v>315054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35</v>
      </c>
      <c r="D9" s="13">
        <f t="shared" si="1"/>
        <v>25655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154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12</v>
      </c>
      <c r="D13" s="48">
        <f t="shared" si="1"/>
        <v>3684</v>
      </c>
      <c r="F13" s="268" t="s">
        <v>36</v>
      </c>
      <c r="G13" s="232"/>
      <c r="H13" s="223">
        <f>D29</f>
        <v>355427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51192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304235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329*6+50*6</f>
        <v>2274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355427</v>
      </c>
      <c r="F29" s="140" t="s">
        <v>55</v>
      </c>
      <c r="G29" s="202"/>
      <c r="H29" s="162">
        <f>H15-H16-H17-H18-H19-H20-H22-H23-H24+H26+H27</f>
        <v>301961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84">
        <f>F34*G34</f>
        <v>54000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84">
        <f>F35*G35</f>
        <v>21000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 t="shared" ref="H36:H39" si="2"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84">
        <f t="shared" si="2"/>
        <v>8300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84">
        <f t="shared" si="2"/>
        <v>550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6</v>
      </c>
      <c r="D42" s="12">
        <f>C42*2.25</f>
        <v>13.5</v>
      </c>
      <c r="F42" s="39" t="s">
        <v>79</v>
      </c>
      <c r="G42" s="184">
        <v>480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79">
        <v>216552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23</v>
      </c>
      <c r="D46" s="12">
        <f>C46*1.5</f>
        <v>34.5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301482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20</v>
      </c>
      <c r="D50" s="12">
        <f>C50*1.5</f>
        <v>30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-479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235</v>
      </c>
      <c r="D6" s="13">
        <f t="shared" ref="D6:D28" si="1">C6*L6</f>
        <v>178835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22</v>
      </c>
      <c r="D9" s="13">
        <f t="shared" si="1"/>
        <v>16126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5</v>
      </c>
      <c r="D13" s="48">
        <f t="shared" si="1"/>
        <v>1535</v>
      </c>
      <c r="F13" s="268" t="s">
        <v>36</v>
      </c>
      <c r="G13" s="232"/>
      <c r="H13" s="223">
        <f>D29</f>
        <v>198091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3</v>
      </c>
      <c r="D14" s="31">
        <f t="shared" si="1"/>
        <v>33</v>
      </c>
      <c r="F14" s="226" t="s">
        <v>39</v>
      </c>
      <c r="G14" s="227"/>
      <c r="H14" s="228">
        <f>D54</f>
        <v>31146.75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166944.25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198091</v>
      </c>
      <c r="F29" s="140" t="s">
        <v>55</v>
      </c>
      <c r="G29" s="202"/>
      <c r="H29" s="162">
        <f>H15-H16-H17-H18-H19-H20-H22-H23-H24+H26+H27+H28</f>
        <v>166944.25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84">
        <f t="shared" ref="H34:H39" si="2">F34*G34</f>
        <v>120000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84">
        <f t="shared" si="2"/>
        <v>16000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si="2"/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84">
        <f t="shared" si="2"/>
        <v>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25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157</v>
      </c>
      <c r="G44" s="85"/>
      <c r="H44" s="179">
        <v>30000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166925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43</v>
      </c>
      <c r="D50" s="12">
        <f>C50*1.5</f>
        <v>64.5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-19.25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203</v>
      </c>
      <c r="D6" s="13">
        <f t="shared" ref="D6:D28" si="1">C6*L6</f>
        <v>154483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18</v>
      </c>
      <c r="D9" s="13">
        <f t="shared" si="1"/>
        <v>13194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176482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</v>
      </c>
      <c r="D14" s="31">
        <f t="shared" si="1"/>
        <v>11</v>
      </c>
      <c r="F14" s="226" t="s">
        <v>39</v>
      </c>
      <c r="G14" s="227"/>
      <c r="H14" s="228">
        <f>D54</f>
        <v>26237.25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150244.75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3</v>
      </c>
      <c r="D28" s="48">
        <f t="shared" si="1"/>
        <v>2433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176482</v>
      </c>
      <c r="F29" s="140" t="s">
        <v>55</v>
      </c>
      <c r="G29" s="202"/>
      <c r="H29" s="162">
        <f>H15-H16-H17-H18-H19-H20-H22-H23-H24+H26+H27</f>
        <v>150244.75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84">
        <f>F34*G34</f>
        <v>129000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84">
        <f t="shared" ref="H35:H39" si="2">F35*G35</f>
        <v>12000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4">
        <f>F36*G36</f>
        <v>400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84">
        <f t="shared" si="2"/>
        <v>7100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84">
        <f t="shared" si="2"/>
        <v>1850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110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150460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215.25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474</v>
      </c>
      <c r="D6" s="13">
        <f t="shared" ref="D6:D28" si="1">C6*L6</f>
        <v>360714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20</v>
      </c>
      <c r="D7" s="13">
        <f t="shared" si="1"/>
        <v>15620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2</v>
      </c>
      <c r="D8" s="13">
        <f t="shared" si="1"/>
        <v>2186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143</v>
      </c>
      <c r="D9" s="13">
        <f t="shared" si="1"/>
        <v>104819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13</v>
      </c>
      <c r="D13" s="48">
        <f t="shared" si="1"/>
        <v>3991</v>
      </c>
      <c r="F13" s="268" t="s">
        <v>36</v>
      </c>
      <c r="G13" s="232"/>
      <c r="H13" s="223">
        <f>D29</f>
        <v>505520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73287.75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432232.25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144*6+329*6+121*6</f>
        <v>3564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4</v>
      </c>
      <c r="D28" s="48">
        <f t="shared" si="1"/>
        <v>3244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505520</v>
      </c>
      <c r="F29" s="140" t="s">
        <v>55</v>
      </c>
      <c r="G29" s="202"/>
      <c r="H29" s="162">
        <f>H15-H16-H17-H18-H19-H20-H22-H23-H24+H26+H27</f>
        <v>428618.25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84">
        <f>F34*G34</f>
        <v>184000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84">
        <f>F35*G35</f>
        <v>30000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84">
        <f t="shared" si="2"/>
        <v>3600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84">
        <f t="shared" si="2"/>
        <v>1050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106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79">
        <v>209026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6</v>
      </c>
      <c r="D45" s="12">
        <f>C45*84</f>
        <v>504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22</v>
      </c>
      <c r="D46" s="12">
        <f>C46*1.5</f>
        <v>33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427982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159</v>
      </c>
      <c r="G51" s="269">
        <f>G49-H29</f>
        <v>-636.25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207</v>
      </c>
      <c r="D6" s="13">
        <f t="shared" ref="D6:D28" si="1">C6*L6</f>
        <v>157527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1</v>
      </c>
      <c r="D7" s="13">
        <f t="shared" si="1"/>
        <v>781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33</v>
      </c>
      <c r="D9" s="13">
        <f t="shared" si="1"/>
        <v>24189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4</v>
      </c>
      <c r="D13" s="48">
        <f t="shared" si="1"/>
        <v>1228</v>
      </c>
      <c r="F13" s="268" t="s">
        <v>36</v>
      </c>
      <c r="G13" s="232"/>
      <c r="H13" s="223">
        <f>D29</f>
        <v>194843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6</v>
      </c>
      <c r="D14" s="31">
        <f t="shared" si="1"/>
        <v>66</v>
      </c>
      <c r="F14" s="226" t="s">
        <v>39</v>
      </c>
      <c r="G14" s="227"/>
      <c r="H14" s="228">
        <f>D54</f>
        <v>28632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166211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83" t="s">
        <v>165</v>
      </c>
      <c r="C22" s="84">
        <v>3</v>
      </c>
      <c r="D22" s="48">
        <f t="shared" si="1"/>
        <v>4746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194843</v>
      </c>
      <c r="F29" s="140" t="s">
        <v>55</v>
      </c>
      <c r="G29" s="202"/>
      <c r="H29" s="162">
        <f>H15-H16-H17-H18-H19-H20-H22-H23-H24+H26+H27+H28</f>
        <v>166211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84">
        <f t="shared" ref="H34:H39" si="2">F34*G34</f>
        <v>66000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84">
        <f t="shared" si="2"/>
        <v>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84">
        <f t="shared" si="2"/>
        <v>3100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84">
        <f t="shared" si="2"/>
        <v>1500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49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79">
        <v>85702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7</v>
      </c>
      <c r="D46" s="12">
        <f>C46*1.5</f>
        <v>10.5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165891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-320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205</v>
      </c>
      <c r="D6" s="13">
        <f t="shared" ref="D6:D28" si="1">C6*L6</f>
        <v>156005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29</v>
      </c>
      <c r="D9" s="13">
        <f t="shared" si="1"/>
        <v>21257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</v>
      </c>
      <c r="D10" s="13">
        <f t="shared" si="1"/>
        <v>2064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187600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</v>
      </c>
      <c r="D14" s="31">
        <f t="shared" si="1"/>
        <v>22</v>
      </c>
      <c r="F14" s="226" t="s">
        <v>39</v>
      </c>
      <c r="G14" s="227"/>
      <c r="H14" s="228">
        <f>D54</f>
        <v>23733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163867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192*6</f>
        <v>1152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187600</v>
      </c>
      <c r="F29" s="140" t="s">
        <v>55</v>
      </c>
      <c r="G29" s="202"/>
      <c r="H29" s="162">
        <f>H15-H16-H17-H18-H19-H20-H22-H23-H24+H26+H27</f>
        <v>162715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84">
        <f>F34*G34</f>
        <v>28000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4">
        <f t="shared" ref="H35:H39" si="2">F35*G35</f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84">
        <f t="shared" si="2"/>
        <v>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150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79">
        <v>134176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9</v>
      </c>
      <c r="D49" s="12">
        <f>C49*42</f>
        <v>378</v>
      </c>
      <c r="F49" s="160" t="s">
        <v>86</v>
      </c>
      <c r="G49" s="162">
        <f>H34+H35+H36+H37+H38+H39+H40+H41+G42+H44+H45+H46</f>
        <v>163026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4</v>
      </c>
      <c r="D50" s="12">
        <f>C50*1.5</f>
        <v>6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311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248</v>
      </c>
      <c r="D6" s="13">
        <f t="shared" ref="D6:D28" si="1">C6*L6</f>
        <v>188728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6</v>
      </c>
      <c r="D9" s="13">
        <f t="shared" si="1"/>
        <v>4398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4</v>
      </c>
      <c r="D11" s="13">
        <f t="shared" si="1"/>
        <v>4680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206767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50062.5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1</v>
      </c>
      <c r="D15" s="31">
        <f t="shared" si="1"/>
        <v>620</v>
      </c>
      <c r="F15" s="231" t="s">
        <v>40</v>
      </c>
      <c r="G15" s="232"/>
      <c r="H15" s="233">
        <f>H13-H14</f>
        <v>156704.5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103*6+108*6</f>
        <v>1266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206767</v>
      </c>
      <c r="F29" s="140" t="s">
        <v>55</v>
      </c>
      <c r="G29" s="202"/>
      <c r="H29" s="162">
        <f>H15-H16-H17-H18-H19-H20-H22-H23-H24+H26+H27</f>
        <v>155438.5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84">
        <f>F34*G34</f>
        <v>36000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4">
        <f>F35*G35</f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79">
        <f>56380</f>
        <v>56380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79">
        <v>62596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23</v>
      </c>
      <c r="D46" s="12">
        <f>C46*1.5</f>
        <v>34.5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155476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37.5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46059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57</v>
      </c>
      <c r="D6" s="13">
        <f t="shared" ref="D6:D28" si="1">C6*L6</f>
        <v>43377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25</v>
      </c>
      <c r="D7" s="13">
        <f t="shared" si="1"/>
        <v>19525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10</v>
      </c>
      <c r="D8" s="13">
        <f t="shared" si="1"/>
        <v>10930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7</v>
      </c>
      <c r="D9" s="13">
        <f t="shared" si="1"/>
        <v>5131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f>50+5</f>
        <v>55</v>
      </c>
      <c r="D12" s="48">
        <f t="shared" si="1"/>
        <v>54560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175949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11</v>
      </c>
      <c r="D14" s="31">
        <f t="shared" si="1"/>
        <v>121</v>
      </c>
      <c r="F14" s="226" t="s">
        <v>39</v>
      </c>
      <c r="G14" s="227"/>
      <c r="H14" s="228">
        <f>D54</f>
        <v>27286.5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5</v>
      </c>
      <c r="D15" s="31">
        <f t="shared" si="1"/>
        <v>3100</v>
      </c>
      <c r="F15" s="231" t="s">
        <v>40</v>
      </c>
      <c r="G15" s="232"/>
      <c r="H15" s="233">
        <f>H13-H14</f>
        <v>148662.5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10</v>
      </c>
      <c r="D28" s="48">
        <f t="shared" si="1"/>
        <v>8110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175949</v>
      </c>
      <c r="F29" s="140" t="s">
        <v>55</v>
      </c>
      <c r="G29" s="202"/>
      <c r="H29" s="162">
        <f>H15-H16-H17-H18-H19-H20-H22-H23-H24+H26+H27+H28</f>
        <v>148662.5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84">
        <f t="shared" ref="H34:H39" si="2">F34*G34</f>
        <v>40000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84">
        <f t="shared" si="2"/>
        <v>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84">
        <f t="shared" si="2"/>
        <v>100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128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9">
        <v>107519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46</v>
      </c>
      <c r="D45" s="12">
        <f>C45*84</f>
        <v>3864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148547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8</v>
      </c>
      <c r="D50" s="12">
        <f>C50*1.5</f>
        <v>12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-115.5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46059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180</v>
      </c>
      <c r="D6" s="13">
        <f t="shared" ref="D6:D28" si="1">C6*L6</f>
        <v>136980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7</v>
      </c>
      <c r="D7" s="13">
        <f t="shared" si="1"/>
        <v>5467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54</v>
      </c>
      <c r="D9" s="13">
        <f t="shared" si="1"/>
        <v>39582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1</v>
      </c>
      <c r="D10" s="13">
        <f t="shared" si="1"/>
        <v>1032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191902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10</v>
      </c>
      <c r="D14" s="31">
        <f t="shared" si="1"/>
        <v>110</v>
      </c>
      <c r="F14" s="226" t="s">
        <v>39</v>
      </c>
      <c r="G14" s="227"/>
      <c r="H14" s="228">
        <f>D54</f>
        <v>27573.75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164328.25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20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2</v>
      </c>
      <c r="D28" s="48">
        <f t="shared" si="1"/>
        <v>1622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191902</v>
      </c>
      <c r="F29" s="140" t="s">
        <v>55</v>
      </c>
      <c r="G29" s="202"/>
      <c r="H29" s="162">
        <f>H15-H16-H17-H18-H19-H20-H22-H23-H24+H26+H27</f>
        <v>164308.25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84">
        <f>F34*G34</f>
        <v>146000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84">
        <f t="shared" ref="H35:H39" si="2">F35*G35</f>
        <v>17000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84">
        <f t="shared" si="2"/>
        <v>1000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109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164309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</v>
      </c>
      <c r="D50" s="12">
        <f>C50*1.5</f>
        <v>1.5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46059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159</v>
      </c>
      <c r="D6" s="13">
        <f t="shared" ref="D6:D28" si="1">C6*L6</f>
        <v>120999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15</v>
      </c>
      <c r="D8" s="13">
        <f t="shared" si="1"/>
        <v>16395</v>
      </c>
      <c r="F8" s="255" t="s">
        <v>21</v>
      </c>
      <c r="G8" s="256" t="s">
        <v>126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22</v>
      </c>
      <c r="D9" s="13">
        <f t="shared" si="1"/>
        <v>16126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4</v>
      </c>
      <c r="D10" s="13">
        <f t="shared" si="1"/>
        <v>4128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f>1+2</f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</v>
      </c>
      <c r="D13" s="48">
        <f t="shared" si="1"/>
        <v>307</v>
      </c>
      <c r="F13" s="268" t="s">
        <v>36</v>
      </c>
      <c r="G13" s="232"/>
      <c r="H13" s="223">
        <f>D29</f>
        <v>173376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14</v>
      </c>
      <c r="D14" s="31">
        <f t="shared" si="1"/>
        <v>154</v>
      </c>
      <c r="F14" s="226" t="s">
        <v>39</v>
      </c>
      <c r="G14" s="227"/>
      <c r="H14" s="228">
        <f>D54</f>
        <v>23477.25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149898.75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173376</v>
      </c>
      <c r="F29" s="140" t="s">
        <v>55</v>
      </c>
      <c r="G29" s="202"/>
      <c r="H29" s="162">
        <f>H15-H16-H17-H18-H19-H20-H22-H23-H24+H26+H27+H28</f>
        <v>149848.75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84">
        <f t="shared" ref="H34:H39" si="2">F34*G34</f>
        <v>120000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84">
        <f t="shared" si="2"/>
        <v>15000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84">
        <f t="shared" si="2"/>
        <v>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84">
        <f t="shared" si="2"/>
        <v>60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84">
        <v>13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79">
        <v>14000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4</v>
      </c>
      <c r="D45" s="12">
        <f>C45*84</f>
        <v>336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149823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-25.75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333</v>
      </c>
      <c r="D6" s="13">
        <f t="shared" ref="D6:D28" si="1">C6*L6</f>
        <v>253413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</v>
      </c>
      <c r="D9" s="13">
        <f t="shared" si="1"/>
        <v>2199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267745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57427.5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210317.5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241*6</f>
        <v>1446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267745</v>
      </c>
      <c r="F29" s="140" t="s">
        <v>55</v>
      </c>
      <c r="G29" s="202"/>
      <c r="H29" s="162">
        <f>H15-H16-H17-H18-H19-H20-H22-H23-H24+H26+H27</f>
        <v>208871.5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84">
        <f>F34*G34</f>
        <v>41000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84">
        <f t="shared" ref="H35:H39" si="2">F35*G35</f>
        <v>20500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84">
        <f t="shared" si="2"/>
        <v>7500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84">
        <f t="shared" si="2"/>
        <v>450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79">
        <v>138760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10</v>
      </c>
      <c r="D49" s="12">
        <f>C49*42</f>
        <v>420</v>
      </c>
      <c r="F49" s="160" t="s">
        <v>86</v>
      </c>
      <c r="G49" s="162">
        <f>H34+H35+H36+H37+H38+H39+H40+H41+G42+H44+H45+H46</f>
        <v>208840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14</v>
      </c>
      <c r="D50" s="12">
        <f>C50*1.5</f>
        <v>21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-31.5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358</v>
      </c>
      <c r="D6" s="13">
        <f t="shared" ref="D6:D28" si="1">C6*L6</f>
        <v>272438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16</v>
      </c>
      <c r="D9" s="13">
        <f t="shared" si="1"/>
        <v>11728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3</v>
      </c>
      <c r="D13" s="48">
        <f t="shared" si="1"/>
        <v>921</v>
      </c>
      <c r="F13" s="268" t="s">
        <v>36</v>
      </c>
      <c r="G13" s="232"/>
      <c r="H13" s="223">
        <f>D29</f>
        <v>294192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5</v>
      </c>
      <c r="D14" s="31">
        <f t="shared" si="1"/>
        <v>55</v>
      </c>
      <c r="F14" s="226" t="s">
        <v>39</v>
      </c>
      <c r="G14" s="227"/>
      <c r="H14" s="228">
        <f>D54</f>
        <v>44824.5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2</v>
      </c>
      <c r="D15" s="31">
        <f t="shared" si="1"/>
        <v>1240</v>
      </c>
      <c r="F15" s="231" t="s">
        <v>40</v>
      </c>
      <c r="G15" s="232"/>
      <c r="H15" s="233">
        <f>H13-H14</f>
        <v>249367.5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50*6+184*6</f>
        <v>1404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294192</v>
      </c>
      <c r="F29" s="140" t="s">
        <v>55</v>
      </c>
      <c r="G29" s="202"/>
      <c r="H29" s="162">
        <f>H15-H16-H17-H18-H19-H20-H22-H23-H24+H26+H27</f>
        <v>247963.5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84">
        <f>F34*G34</f>
        <v>84000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84">
        <f>F35*G35</f>
        <v>39000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84">
        <f t="shared" si="2"/>
        <v>1900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84">
        <f t="shared" si="2"/>
        <v>1050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4</v>
      </c>
      <c r="D42" s="12">
        <f>C42*2.25</f>
        <v>9</v>
      </c>
      <c r="F42" s="39" t="s">
        <v>79</v>
      </c>
      <c r="G42" s="184">
        <v>56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79">
        <v>121864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8</v>
      </c>
      <c r="D46" s="12">
        <f>C46*1.5</f>
        <v>12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247890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-73.5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9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350</v>
      </c>
      <c r="D6" s="13">
        <f t="shared" ref="D6:D28" si="1">C6*L6</f>
        <v>266350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14</v>
      </c>
      <c r="D9" s="13">
        <f t="shared" si="1"/>
        <v>10262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10</v>
      </c>
      <c r="D10" s="13">
        <f t="shared" si="1"/>
        <v>10320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5</v>
      </c>
      <c r="D11" s="13">
        <f t="shared" si="1"/>
        <v>5850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10</v>
      </c>
      <c r="D13" s="48">
        <f t="shared" si="1"/>
        <v>3070</v>
      </c>
      <c r="F13" s="268" t="s">
        <v>36</v>
      </c>
      <c r="G13" s="232"/>
      <c r="H13" s="223">
        <f>D29</f>
        <v>305952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19</v>
      </c>
      <c r="D14" s="31">
        <f t="shared" si="1"/>
        <v>209</v>
      </c>
      <c r="F14" s="226" t="s">
        <v>39</v>
      </c>
      <c r="G14" s="227"/>
      <c r="H14" s="228">
        <f>D54</f>
        <v>50665.5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255286.5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231*6</f>
        <v>1386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9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305952</v>
      </c>
      <c r="F29" s="140" t="s">
        <v>55</v>
      </c>
      <c r="G29" s="202"/>
      <c r="H29" s="162">
        <f>H15-H16-H17-H18-H19-H20-H22-H23-H24+H26+H27+H28</f>
        <v>253900.5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84">
        <f t="shared" ref="H34:H39" si="2">F34*G34</f>
        <v>74000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84">
        <f t="shared" si="2"/>
        <v>25000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84">
        <f t="shared" si="2"/>
        <v>1200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84">
        <f t="shared" si="2"/>
        <v>2900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7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79">
        <v>150599.5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10</v>
      </c>
      <c r="D46" s="12">
        <f>C46*1.5</f>
        <v>15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9</v>
      </c>
      <c r="D49" s="12">
        <f>C49*42</f>
        <v>378</v>
      </c>
      <c r="F49" s="160" t="s">
        <v>86</v>
      </c>
      <c r="G49" s="162">
        <f>H34+H35+H36+H37+H38+H39+H40+H41+G42+H44+H45+H46</f>
        <v>253906.5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14</v>
      </c>
      <c r="D50" s="12">
        <f>C50*1.5</f>
        <v>21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6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328</v>
      </c>
      <c r="D6" s="13">
        <f t="shared" ref="D6:D28" si="1">C6*L6</f>
        <v>249608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106</v>
      </c>
      <c r="D9" s="13">
        <f t="shared" si="1"/>
        <v>77698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176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f>1+1</f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21</v>
      </c>
      <c r="D13" s="48">
        <f t="shared" si="1"/>
        <v>6447</v>
      </c>
      <c r="F13" s="268" t="s">
        <v>36</v>
      </c>
      <c r="G13" s="232"/>
      <c r="H13" s="223">
        <f>D29</f>
        <v>336387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52480.5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283906.5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434*6</f>
        <v>2604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336387</v>
      </c>
      <c r="F29" s="140" t="s">
        <v>55</v>
      </c>
      <c r="G29" s="202"/>
      <c r="H29" s="162">
        <f>H15-H16-H17-H18-H19-H20-H22-H23-H24+H26+H27</f>
        <v>281302.5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84">
        <f>F34*G34</f>
        <v>31000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84">
        <f t="shared" ref="H35:H39" si="2">F35*G35</f>
        <v>251000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84">
        <f t="shared" si="2"/>
        <v>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41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94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16</v>
      </c>
      <c r="D49" s="12">
        <f>C49*42</f>
        <v>672</v>
      </c>
      <c r="F49" s="160" t="s">
        <v>86</v>
      </c>
      <c r="G49" s="162">
        <f>H34+H35+H36+H37+H38+H39+H40+H41+G42+H44+H45+H46</f>
        <v>282141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838.5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305</v>
      </c>
      <c r="D6" s="13">
        <f t="shared" ref="D6:D28" si="1">C6*L6</f>
        <v>232105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1</v>
      </c>
      <c r="D8" s="13">
        <f t="shared" si="1"/>
        <v>1093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85</v>
      </c>
      <c r="D9" s="13">
        <f t="shared" si="1"/>
        <v>62305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</v>
      </c>
      <c r="D10" s="13">
        <f t="shared" si="1"/>
        <v>2064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13</v>
      </c>
      <c r="D13" s="48">
        <f t="shared" si="1"/>
        <v>3991</v>
      </c>
      <c r="F13" s="268" t="s">
        <v>36</v>
      </c>
      <c r="G13" s="232"/>
      <c r="H13" s="223">
        <f>D29</f>
        <v>309916.5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42118.5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267798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09">
        <v>141180</v>
      </c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10"/>
      <c r="I24" s="179"/>
      <c r="J24" s="179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9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309916.5</v>
      </c>
      <c r="F29" s="140" t="s">
        <v>55</v>
      </c>
      <c r="G29" s="202"/>
      <c r="H29" s="162">
        <f>H15-H16-H17-H18-H19-H20-H22-H23-H24+H26+H27</f>
        <v>126618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84">
        <f>F34*G34</f>
        <v>69000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84">
        <f>F35*G35</f>
        <v>45000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84">
        <f t="shared" si="2"/>
        <v>12400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84">
        <f t="shared" si="2"/>
        <v>250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18</v>
      </c>
      <c r="D42" s="12">
        <f>C42*2.25</f>
        <v>40.5</v>
      </c>
      <c r="F42" s="39" t="s">
        <v>79</v>
      </c>
      <c r="G42" s="184">
        <v>69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9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5</v>
      </c>
      <c r="D44" s="12">
        <f>C44*120</f>
        <v>600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17</v>
      </c>
      <c r="D46" s="12">
        <f>C46*1.5</f>
        <v>25.5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11</v>
      </c>
      <c r="D49" s="12">
        <f>C49*42</f>
        <v>462</v>
      </c>
      <c r="F49" s="160" t="s">
        <v>86</v>
      </c>
      <c r="G49" s="162">
        <f>H34+H35+H36+H37+H38+H39+H40+H41+G42+H44+H45+H46</f>
        <v>126719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101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0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229</v>
      </c>
      <c r="D6" s="13">
        <f t="shared" ref="D6:D28" si="1">C6*L6</f>
        <v>174269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25</v>
      </c>
      <c r="D9" s="13">
        <f t="shared" si="1"/>
        <v>18325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197103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11</v>
      </c>
      <c r="D14" s="31">
        <f t="shared" si="1"/>
        <v>121</v>
      </c>
      <c r="F14" s="226" t="s">
        <v>39</v>
      </c>
      <c r="G14" s="227"/>
      <c r="H14" s="228">
        <f>D54</f>
        <v>29223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167880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214.28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1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197103</v>
      </c>
      <c r="F29" s="140" t="s">
        <v>55</v>
      </c>
      <c r="G29" s="202"/>
      <c r="H29" s="162">
        <f>H15-H16-H17-H18-H19-H20-H22-H23-H24+H26+H27+H28</f>
        <v>167665.72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84">
        <f t="shared" ref="H34:H39" si="2">F34*G34</f>
        <v>83000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84">
        <f t="shared" si="2"/>
        <v>11500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84">
        <f t="shared" si="2"/>
        <v>2700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84">
        <f t="shared" si="2"/>
        <v>300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76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79">
        <f>69966</f>
        <v>69966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35</v>
      </c>
      <c r="D46" s="12">
        <f>C46*1.5</f>
        <v>52.5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167542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13</v>
      </c>
      <c r="D50" s="12">
        <f>C50*1.5</f>
        <v>19.5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-123.72000000000116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231</v>
      </c>
      <c r="D6" s="13">
        <f t="shared" ref="D6:D28" si="1">C6*L6</f>
        <v>175791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4</v>
      </c>
      <c r="D7" s="13">
        <f t="shared" si="1"/>
        <v>3124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22</v>
      </c>
      <c r="D9" s="13">
        <f t="shared" si="1"/>
        <v>16126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176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9</v>
      </c>
      <c r="D13" s="48">
        <f t="shared" si="1"/>
        <v>2763</v>
      </c>
      <c r="F13" s="268" t="s">
        <v>36</v>
      </c>
      <c r="G13" s="232"/>
      <c r="H13" s="223">
        <f>D29</f>
        <v>205618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27680.25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177937.75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180*6</f>
        <v>1080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205618</v>
      </c>
      <c r="F29" s="140" t="s">
        <v>55</v>
      </c>
      <c r="G29" s="202"/>
      <c r="H29" s="162">
        <f>H15-H16-H17-H18-H19-H20-H22-H23-H24+H26+H27</f>
        <v>176857.75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84">
        <f>F34*G34</f>
        <v>37000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84">
        <f t="shared" ref="H35:H39" si="2">F35*G35</f>
        <v>4000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4">
        <f>F36*G36</f>
        <v>600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84">
        <f t="shared" si="2"/>
        <v>6300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84">
        <f t="shared" si="2"/>
        <v>800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720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79">
        <v>126833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10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176293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</v>
      </c>
      <c r="D50" s="12">
        <f>C50*1.5</f>
        <v>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-564.75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327</v>
      </c>
      <c r="D6" s="13">
        <f t="shared" ref="D6:D28" si="1">C6*L6</f>
        <v>248847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35</v>
      </c>
      <c r="D7" s="13">
        <f t="shared" si="1"/>
        <v>27335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10</v>
      </c>
      <c r="D8" s="13">
        <f t="shared" si="1"/>
        <v>10930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10</v>
      </c>
      <c r="D10" s="13">
        <f t="shared" si="1"/>
        <v>10320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317068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6</v>
      </c>
      <c r="D14" s="31">
        <f t="shared" si="1"/>
        <v>66</v>
      </c>
      <c r="F14" s="226" t="s">
        <v>39</v>
      </c>
      <c r="G14" s="227"/>
      <c r="H14" s="228">
        <f>D54</f>
        <v>40029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277039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14">
        <v>141180</v>
      </c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10</v>
      </c>
      <c r="D28" s="48">
        <f t="shared" si="1"/>
        <v>8110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317068</v>
      </c>
      <c r="F29" s="140" t="s">
        <v>55</v>
      </c>
      <c r="G29" s="202"/>
      <c r="H29" s="162">
        <f>H15-H16-H17-H18-H19-H20-H22-H23-H24+H26+H27</f>
        <v>418219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84">
        <f>F34*G34</f>
        <v>13000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84">
        <f>F35*G35</f>
        <v>1000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40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79">
        <v>264377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79">
        <v>139920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16</v>
      </c>
      <c r="D46" s="12">
        <f>C46*1.5</f>
        <v>24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418337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118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0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815</v>
      </c>
      <c r="D6" s="13">
        <f t="shared" ref="D6:D28" si="1">C6*L6</f>
        <v>620215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48</v>
      </c>
      <c r="D7" s="13">
        <f t="shared" si="1"/>
        <v>37488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108</v>
      </c>
      <c r="D9" s="13">
        <f t="shared" si="1"/>
        <v>79164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30</v>
      </c>
      <c r="D10" s="13">
        <f t="shared" si="1"/>
        <v>30960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10</v>
      </c>
      <c r="D11" s="13">
        <f t="shared" si="1"/>
        <v>11700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52</v>
      </c>
      <c r="D13" s="48">
        <f t="shared" si="1"/>
        <v>15964</v>
      </c>
      <c r="F13" s="268" t="s">
        <v>36</v>
      </c>
      <c r="G13" s="232"/>
      <c r="H13" s="223">
        <f>D29</f>
        <v>809196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5</v>
      </c>
      <c r="D14" s="31">
        <f t="shared" si="1"/>
        <v>55</v>
      </c>
      <c r="F14" s="226" t="s">
        <v>39</v>
      </c>
      <c r="G14" s="227"/>
      <c r="H14" s="228">
        <f>D54</f>
        <v>111525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697671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325*6+520*6+54</f>
        <v>5124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09">
        <v>96418</v>
      </c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79">
        <v>108268</v>
      </c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1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809196</v>
      </c>
      <c r="F29" s="140" t="s">
        <v>55</v>
      </c>
      <c r="G29" s="202"/>
      <c r="H29" s="162">
        <f>H15-H16-H17-H18-H19-H20-H22-H23-H24+H26+H27+H28</f>
        <v>704397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84">
        <f t="shared" ref="H34:H39" si="2">F34*G34</f>
        <v>146000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84">
        <f t="shared" si="2"/>
        <v>46500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84">
        <f t="shared" si="2"/>
        <v>1800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84">
        <f t="shared" si="2"/>
        <v>37400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84">
        <f t="shared" si="2"/>
        <v>10550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100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79">
        <v>108268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79">
        <v>353553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21</v>
      </c>
      <c r="D49" s="12">
        <f>C49*42</f>
        <v>882</v>
      </c>
      <c r="F49" s="160" t="s">
        <v>86</v>
      </c>
      <c r="G49" s="162">
        <f>H34+H35+H36+H37+H38+H39+H40+H41+G42+H44+H45+H46</f>
        <v>704171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</v>
      </c>
      <c r="D50" s="12">
        <f>C50*1.5</f>
        <v>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-226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191</v>
      </c>
      <c r="D6" s="13">
        <f t="shared" ref="D6:D28" si="1">C6*L6</f>
        <v>145351</v>
      </c>
      <c r="F6" s="247" t="s">
        <v>16</v>
      </c>
      <c r="G6" s="249" t="s">
        <v>185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170729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11</v>
      </c>
      <c r="D14" s="31">
        <f t="shared" si="1"/>
        <v>121</v>
      </c>
      <c r="F14" s="226" t="s">
        <v>39</v>
      </c>
      <c r="G14" s="227"/>
      <c r="H14" s="228">
        <f>D54</f>
        <v>25408.5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145320.5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</f>
        <v>618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1</v>
      </c>
      <c r="D28" s="48">
        <f t="shared" si="1"/>
        <v>811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170729</v>
      </c>
      <c r="F29" s="140" t="s">
        <v>55</v>
      </c>
      <c r="G29" s="202"/>
      <c r="H29" s="162">
        <f>H15-H16-H17-H18-H19-H20-H22-H23-H24+H26+H27</f>
        <v>144702.5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84">
        <f>F34*G34</f>
        <v>104000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84">
        <f t="shared" ref="H35:H39" si="2">F35*G35</f>
        <v>39000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84">
        <f t="shared" si="2"/>
        <v>1200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84">
        <f t="shared" si="2"/>
        <v>400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32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10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144652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16</v>
      </c>
      <c r="D50" s="12">
        <f>C50*1.5</f>
        <v>24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-50.5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331</v>
      </c>
      <c r="D6" s="13">
        <f t="shared" ref="D6:D28" si="1">C6*L6</f>
        <v>251891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36</v>
      </c>
      <c r="D9" s="13">
        <f t="shared" si="1"/>
        <v>26388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9</v>
      </c>
      <c r="D13" s="48">
        <f t="shared" si="1"/>
        <v>2763</v>
      </c>
      <c r="F13" s="268" t="s">
        <v>36</v>
      </c>
      <c r="G13" s="232"/>
      <c r="H13" s="223">
        <f>D29</f>
        <v>295569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14</v>
      </c>
      <c r="D14" s="31">
        <f t="shared" si="1"/>
        <v>154</v>
      </c>
      <c r="F14" s="226" t="s">
        <v>39</v>
      </c>
      <c r="G14" s="227"/>
      <c r="H14" s="228">
        <f>D54</f>
        <v>44308.5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251260.5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251*6+65*6+61*6</f>
        <v>2262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0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295569</v>
      </c>
      <c r="F29" s="140" t="s">
        <v>55</v>
      </c>
      <c r="G29" s="202"/>
      <c r="H29" s="162">
        <f>H15-H16-H17-H18-H19-H20-H22-H23-H24+H26+H27</f>
        <v>248948.5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84">
        <f>F34*G34</f>
        <v>51000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84">
        <f>F35*G35</f>
        <v>20500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84">
        <f t="shared" si="2"/>
        <v>13500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366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1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79">
        <v>163030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3</v>
      </c>
      <c r="D45" s="12">
        <f>C45*84</f>
        <v>252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248396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7</v>
      </c>
      <c r="D50" s="12">
        <f>C50*1.5</f>
        <v>10.5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-552.5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0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355</v>
      </c>
      <c r="D6" s="13">
        <f t="shared" ref="D6:D28" si="1">C6*L6</f>
        <v>270155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10</v>
      </c>
      <c r="D9" s="13">
        <f t="shared" si="1"/>
        <v>7330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10</v>
      </c>
      <c r="D13" s="48">
        <f t="shared" si="1"/>
        <v>3070</v>
      </c>
      <c r="F13" s="268" t="s">
        <v>36</v>
      </c>
      <c r="G13" s="232"/>
      <c r="H13" s="223">
        <f>D29</f>
        <v>280577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</v>
      </c>
      <c r="D14" s="31">
        <f t="shared" si="1"/>
        <v>22</v>
      </c>
      <c r="F14" s="226" t="s">
        <v>39</v>
      </c>
      <c r="G14" s="227"/>
      <c r="H14" s="228">
        <f>D54</f>
        <v>40954.5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239622.5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280577</v>
      </c>
      <c r="F29" s="140" t="s">
        <v>55</v>
      </c>
      <c r="G29" s="202"/>
      <c r="H29" s="162">
        <f>H15-H16-H17-H18-H19-H20-H22-H23-H24+H26+H27+H28</f>
        <v>237678.5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84">
        <f t="shared" ref="H34:H39" si="2">F34*G34</f>
        <v>169000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84">
        <f t="shared" si="2"/>
        <v>68500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84">
        <f t="shared" si="2"/>
        <v>80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22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8</v>
      </c>
      <c r="D49" s="12">
        <f>C49*42</f>
        <v>336</v>
      </c>
      <c r="F49" s="160" t="s">
        <v>86</v>
      </c>
      <c r="G49" s="162">
        <f>H34+H35+H36+H37+H38+H39+H40+H41+G42+H44+H45+H46</f>
        <v>237602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-76.5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212</v>
      </c>
      <c r="D6" s="13">
        <f t="shared" ref="D6:D28" si="1">C6*L6</f>
        <v>161332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20</v>
      </c>
      <c r="D8" s="13">
        <f t="shared" si="1"/>
        <v>21860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20</v>
      </c>
      <c r="D10" s="13">
        <f t="shared" si="1"/>
        <v>20640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233825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10</v>
      </c>
      <c r="D14" s="31">
        <f t="shared" si="1"/>
        <v>110</v>
      </c>
      <c r="F14" s="226" t="s">
        <v>39</v>
      </c>
      <c r="G14" s="227"/>
      <c r="H14" s="228">
        <f>D54</f>
        <v>10731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223094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20*6+200*6</f>
        <v>1320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167</v>
      </c>
      <c r="C26" s="10">
        <v>6</v>
      </c>
      <c r="D26" s="48">
        <f t="shared" si="1"/>
        <v>237</v>
      </c>
      <c r="F26" s="64"/>
      <c r="G26" s="10"/>
      <c r="H26" s="214"/>
      <c r="I26" s="215"/>
      <c r="J26" s="216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233825</v>
      </c>
      <c r="F29" s="140" t="s">
        <v>55</v>
      </c>
      <c r="G29" s="202"/>
      <c r="H29" s="162">
        <f>H15-H16-H17-H18-H19-H20-H22-H23-H24+H26+H27</f>
        <v>221774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84">
        <f>F34*G34</f>
        <v>37000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84">
        <f t="shared" ref="H35:H39" si="2">F35*G35</f>
        <v>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19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79">
        <v>160045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79">
        <v>21040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08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221404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10</v>
      </c>
      <c r="D50" s="12">
        <f>C50*1.5</f>
        <v>15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-370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46065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204</v>
      </c>
      <c r="D6" s="13">
        <f t="shared" ref="D6:D28" si="1">C6*L6</f>
        <v>155244</v>
      </c>
      <c r="F6" s="247" t="s">
        <v>16</v>
      </c>
      <c r="G6" s="249" t="s">
        <v>185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12</v>
      </c>
      <c r="D7" s="13">
        <f t="shared" si="1"/>
        <v>9372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5</v>
      </c>
      <c r="D13" s="48">
        <f t="shared" si="1"/>
        <v>1535</v>
      </c>
      <c r="F13" s="268" t="s">
        <v>36</v>
      </c>
      <c r="G13" s="232"/>
      <c r="H13" s="223">
        <f>D29</f>
        <v>188141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29342.25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158798.75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188141</v>
      </c>
      <c r="F29" s="140" t="s">
        <v>55</v>
      </c>
      <c r="G29" s="202"/>
      <c r="H29" s="162">
        <f>H15-H16-H17-H18-H19-H20-H22-H23-H24+H26+H27</f>
        <v>158198.75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84">
        <f>F34*G34</f>
        <v>116000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84">
        <f>F35*G35</f>
        <v>38500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84">
        <f t="shared" si="2"/>
        <v>1900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84">
        <f t="shared" si="2"/>
        <v>1000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1104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4</v>
      </c>
      <c r="D46" s="12">
        <f>C46*1.5</f>
        <v>6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158704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505.25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0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111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0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150</v>
      </c>
      <c r="D6" s="13">
        <f t="shared" ref="D6:D28" si="1">C6*L6</f>
        <v>114150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5</v>
      </c>
      <c r="D8" s="13">
        <f t="shared" si="1"/>
        <v>5465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50</v>
      </c>
      <c r="D9" s="13">
        <f t="shared" si="1"/>
        <v>36650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5</v>
      </c>
      <c r="D10" s="13">
        <f t="shared" si="1"/>
        <v>5160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163881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31509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132372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163881</v>
      </c>
      <c r="F29" s="140" t="s">
        <v>55</v>
      </c>
      <c r="G29" s="202"/>
      <c r="H29" s="162">
        <f>H15-H16-H17-H18-H19-H20-H22-H23-H24+H26+H27</f>
        <v>131112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179">
        <v>131112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5</v>
      </c>
      <c r="D46" s="12">
        <f>C46*1.5</f>
        <v>7.5</v>
      </c>
      <c r="F46" s="37"/>
      <c r="G46" s="108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131112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19</v>
      </c>
      <c r="D50" s="12">
        <f>C50*1.5</f>
        <v>28.5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190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237</v>
      </c>
      <c r="D6" s="13">
        <f t="shared" ref="D6:D28" si="1">C6*L6</f>
        <v>180357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6</v>
      </c>
      <c r="D9" s="13">
        <f t="shared" si="1"/>
        <v>4398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7</v>
      </c>
      <c r="D13" s="48">
        <f t="shared" si="1"/>
        <v>2149</v>
      </c>
      <c r="F13" s="268" t="s">
        <v>36</v>
      </c>
      <c r="G13" s="232"/>
      <c r="H13" s="223">
        <f>D29</f>
        <v>195791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2</v>
      </c>
      <c r="D14" s="31">
        <f t="shared" si="1"/>
        <v>22</v>
      </c>
      <c r="F14" s="226" t="s">
        <v>39</v>
      </c>
      <c r="G14" s="227"/>
      <c r="H14" s="228">
        <f>D54</f>
        <v>24539.25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171251.75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116*6+100*6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0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195791</v>
      </c>
      <c r="F29" s="140" t="s">
        <v>55</v>
      </c>
      <c r="G29" s="202"/>
      <c r="H29" s="162">
        <f>H15-H16-H17-H18-H19-H20-H22-H23-H24+H26+H27</f>
        <v>169905.75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184">
        <f>F34*G34</f>
        <v>67000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84">
        <f>F35*G35</f>
        <v>15000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184">
        <f t="shared" si="2"/>
        <v>6400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184">
        <f t="shared" si="2"/>
        <v>4700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84">
        <v>20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0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179">
        <v>76694.5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7</v>
      </c>
      <c r="D49" s="12">
        <f>C49*42</f>
        <v>294</v>
      </c>
      <c r="F49" s="160" t="s">
        <v>86</v>
      </c>
      <c r="G49" s="162">
        <f>H34+H35+H36+H37+H38+H39+H40+H41+G42+H44+H45+H46</f>
        <v>169834.5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</v>
      </c>
      <c r="D50" s="12">
        <f>C50*1.5</f>
        <v>3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-71.25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323</v>
      </c>
      <c r="D6" s="13">
        <f t="shared" ref="D6:D28" si="1">C6*L6</f>
        <v>245803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61</v>
      </c>
      <c r="D8" s="13">
        <f t="shared" si="1"/>
        <v>66673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40</v>
      </c>
      <c r="D9" s="13">
        <f t="shared" si="1"/>
        <v>29320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3</v>
      </c>
      <c r="D11" s="13">
        <f t="shared" si="1"/>
        <v>3510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354408.66666666669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13</v>
      </c>
      <c r="D14" s="31">
        <f t="shared" si="1"/>
        <v>143</v>
      </c>
      <c r="F14" s="226" t="s">
        <v>39</v>
      </c>
      <c r="G14" s="227"/>
      <c r="H14" s="228">
        <f>D54</f>
        <v>50364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304044.66666666669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75"/>
      <c r="I24" s="276"/>
      <c r="J24" s="276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354408.66666666669</v>
      </c>
      <c r="F29" s="140" t="s">
        <v>55</v>
      </c>
      <c r="G29" s="202"/>
      <c r="H29" s="162">
        <f>H15-H16-H17-H18-H19-H20-H22-H23-H24+H26+H27+H28</f>
        <v>303994.66666666669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184">
        <f t="shared" ref="H34:H39" si="2">F34*G34</f>
        <v>145000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184">
        <f t="shared" si="2"/>
        <v>10000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184">
        <f t="shared" si="2"/>
        <v>700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179">
        <v>76502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179">
        <v>71750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22</v>
      </c>
      <c r="D46" s="12">
        <f>C46*1.5</f>
        <v>33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303967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-27.666666666686069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309</v>
      </c>
      <c r="D6" s="13">
        <f t="shared" ref="D6:D28" si="1">C6*L6</f>
        <v>235149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1</v>
      </c>
      <c r="D8" s="13">
        <f t="shared" si="1"/>
        <v>1093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6</v>
      </c>
      <c r="D13" s="48">
        <f t="shared" si="1"/>
        <v>1842</v>
      </c>
      <c r="F13" s="268" t="s">
        <v>36</v>
      </c>
      <c r="G13" s="232"/>
      <c r="H13" s="223">
        <f>D29</f>
        <v>242774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33110.25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1</v>
      </c>
      <c r="D15" s="31">
        <f t="shared" si="1"/>
        <v>620</v>
      </c>
      <c r="F15" s="231" t="s">
        <v>40</v>
      </c>
      <c r="G15" s="232"/>
      <c r="H15" s="233">
        <f>H13-H14</f>
        <v>209663.75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242774</v>
      </c>
      <c r="F29" s="140" t="s">
        <v>55</v>
      </c>
      <c r="G29" s="202"/>
      <c r="H29" s="162">
        <f>H15-H16-H17-H18-H19-H20-H22-H23-H24+H26+H27</f>
        <v>208367.75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184">
        <f>F34*G34</f>
        <v>50000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84">
        <f t="shared" ref="H35:H39" si="2">F35*G35</f>
        <v>12500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184">
        <f t="shared" si="2"/>
        <v>2600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84">
        <f t="shared" si="2"/>
        <v>400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>
        <v>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179">
        <v>142807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1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208512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15</v>
      </c>
      <c r="D50" s="12">
        <f>C50*1.5</f>
        <v>22.5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144.25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328</v>
      </c>
      <c r="D6" s="13">
        <f t="shared" ref="D6:D28" si="1">C6*L6</f>
        <v>249608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8</v>
      </c>
      <c r="D7" s="13">
        <f t="shared" si="1"/>
        <v>6248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283410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12</v>
      </c>
      <c r="D14" s="31">
        <f t="shared" si="1"/>
        <v>132</v>
      </c>
      <c r="F14" s="226" t="s">
        <v>39</v>
      </c>
      <c r="G14" s="227"/>
      <c r="H14" s="228">
        <f>D54</f>
        <v>45153.75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238256.25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138*6+50*6+108*6</f>
        <v>1776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283410</v>
      </c>
      <c r="F29" s="140" t="s">
        <v>55</v>
      </c>
      <c r="G29" s="202"/>
      <c r="H29" s="162">
        <f>H15-H16-H17-H18-H19-H20-H22-H23-H24+H26+H27</f>
        <v>236480.25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184">
        <f>F34*G34</f>
        <v>109000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84">
        <f>F35*G35</f>
        <v>56000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179">
        <v>70468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9</v>
      </c>
      <c r="D46" s="12">
        <f>C46*1.5</f>
        <v>13.5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235468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11</v>
      </c>
      <c r="D50" s="12">
        <f>C50*1.5</f>
        <v>16.5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-1012.25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46069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287</v>
      </c>
      <c r="D6" s="13">
        <f t="shared" ref="D6:D28" si="1">C6*L6</f>
        <v>218407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118</v>
      </c>
      <c r="D9" s="13">
        <f t="shared" si="1"/>
        <v>86494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5</v>
      </c>
      <c r="D10" s="13">
        <f t="shared" si="1"/>
        <v>5160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9</v>
      </c>
      <c r="D12" s="48">
        <f t="shared" si="1"/>
        <v>8928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13</v>
      </c>
      <c r="D13" s="48">
        <f t="shared" si="1"/>
        <v>3991</v>
      </c>
      <c r="F13" s="268" t="s">
        <v>36</v>
      </c>
      <c r="G13" s="232"/>
      <c r="H13" s="223">
        <f>D29</f>
        <v>324575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3</v>
      </c>
      <c r="D14" s="31">
        <f t="shared" si="1"/>
        <v>33</v>
      </c>
      <c r="F14" s="226" t="s">
        <v>39</v>
      </c>
      <c r="G14" s="227"/>
      <c r="H14" s="228">
        <f>D54</f>
        <v>46686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277889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7*6+339*6</f>
        <v>2076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324575</v>
      </c>
      <c r="F29" s="140" t="s">
        <v>55</v>
      </c>
      <c r="G29" s="202"/>
      <c r="H29" s="162">
        <f>H15-H16-H17-H18-H19-H20-H22-H23-H24+H26+H27+H28</f>
        <v>275813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184">
        <f t="shared" ref="H34:H39" si="2">F34*G34</f>
        <v>42000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84">
        <f t="shared" si="2"/>
        <v>11500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33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179">
        <v>222536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11</v>
      </c>
      <c r="D46" s="12">
        <f>C46*1.5</f>
        <v>16.5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276469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16</v>
      </c>
      <c r="D50" s="12">
        <f>C50*1.5</f>
        <v>24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656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46069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439</v>
      </c>
      <c r="D6" s="13">
        <f t="shared" ref="D6:D28" si="1">C6*L6</f>
        <v>334079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15</v>
      </c>
      <c r="D13" s="48">
        <f t="shared" si="1"/>
        <v>4605</v>
      </c>
      <c r="F13" s="268" t="s">
        <v>36</v>
      </c>
      <c r="G13" s="232"/>
      <c r="H13" s="223">
        <f>D29</f>
        <v>341726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6</v>
      </c>
      <c r="D14" s="31">
        <f t="shared" si="1"/>
        <v>66</v>
      </c>
      <c r="F14" s="226" t="s">
        <v>39</v>
      </c>
      <c r="G14" s="227"/>
      <c r="H14" s="228">
        <f>D54</f>
        <v>49630.5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292095.5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435*6</f>
        <v>2610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341726</v>
      </c>
      <c r="F29" s="140" t="s">
        <v>55</v>
      </c>
      <c r="G29" s="202"/>
      <c r="H29" s="162">
        <f>H15-H16-H17-H18-H19-H20-H22-H23-H24+H26+H27</f>
        <v>289485.5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184">
        <f>F34*G34</f>
        <v>289000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>
        <v>18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10</v>
      </c>
      <c r="D46" s="12">
        <f>C46*1.5</f>
        <v>15</v>
      </c>
      <c r="F46" s="37"/>
      <c r="G46" s="11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12</v>
      </c>
      <c r="D49" s="12">
        <f>C49*42</f>
        <v>504</v>
      </c>
      <c r="F49" s="160" t="s">
        <v>86</v>
      </c>
      <c r="G49" s="162">
        <f>H34+H35+H36+H37+H38+H39+H40+H41+G42+H44+H45+H46</f>
        <v>289068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15</v>
      </c>
      <c r="D50" s="12">
        <f>C50*1.5</f>
        <v>22.5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-417.5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46069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303</v>
      </c>
      <c r="D6" s="13">
        <f t="shared" ref="D6:D28" si="1">C6*L6</f>
        <v>230583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45</v>
      </c>
      <c r="D9" s="13">
        <f t="shared" si="1"/>
        <v>32985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269624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39777.75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229846.25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160*6</f>
        <v>960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269624</v>
      </c>
      <c r="F29" s="140" t="s">
        <v>55</v>
      </c>
      <c r="G29" s="202"/>
      <c r="H29" s="162">
        <f>H15-H16-H17-H18-H19-H20-H22-H23-H24+H26+H27</f>
        <v>228836.25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184">
        <f>F34*G34</f>
        <v>50000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84">
        <f>F35*G35</f>
        <v>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84">
        <v>30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179">
        <v>105096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179">
        <v>72320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228946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109.75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303</v>
      </c>
      <c r="D6" s="13">
        <f t="shared" ref="D6:D28" si="1">C6*L6</f>
        <v>230583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6</v>
      </c>
      <c r="D7" s="13">
        <f t="shared" si="1"/>
        <v>4686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28</v>
      </c>
      <c r="D9" s="13">
        <f t="shared" si="1"/>
        <v>20524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2</v>
      </c>
      <c r="D13" s="48">
        <f t="shared" si="1"/>
        <v>614</v>
      </c>
      <c r="F13" s="268" t="s">
        <v>36</v>
      </c>
      <c r="G13" s="232"/>
      <c r="H13" s="223">
        <f>D29</f>
        <v>256495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8</v>
      </c>
      <c r="D14" s="31">
        <f t="shared" si="1"/>
        <v>88</v>
      </c>
      <c r="F14" s="226" t="s">
        <v>39</v>
      </c>
      <c r="G14" s="227"/>
      <c r="H14" s="228">
        <f>D54</f>
        <v>37728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218767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7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256495</v>
      </c>
      <c r="F29" s="140" t="s">
        <v>55</v>
      </c>
      <c r="G29" s="202"/>
      <c r="H29" s="162">
        <f>H15-H16-H17-H18-H19-H20-H22-H23-H24+H26+H27+H28</f>
        <v>218717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84">
        <f t="shared" ref="H34:H39" si="2">F34*G34</f>
        <v>85000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84">
        <f t="shared" si="2"/>
        <v>14500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si="2"/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184">
        <f t="shared" si="2"/>
        <v>10000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179">
        <v>64440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179">
        <v>44600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218742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17</v>
      </c>
      <c r="D50" s="12">
        <f>C50*1.5</f>
        <v>25.5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292</v>
      </c>
      <c r="D6" s="13">
        <f t="shared" ref="D6:D28" si="1">C6*L6</f>
        <v>222212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</v>
      </c>
      <c r="D7" s="13">
        <f t="shared" si="1"/>
        <v>1562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23</v>
      </c>
      <c r="D9" s="13">
        <f t="shared" si="1"/>
        <v>16859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f>1+1</f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6</v>
      </c>
      <c r="D13" s="48">
        <f t="shared" si="1"/>
        <v>1842</v>
      </c>
      <c r="F13" s="268" t="s">
        <v>36</v>
      </c>
      <c r="G13" s="232"/>
      <c r="H13" s="223">
        <f>D29</f>
        <v>245825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6</v>
      </c>
      <c r="D14" s="31">
        <f t="shared" si="1"/>
        <v>66</v>
      </c>
      <c r="F14" s="226" t="s">
        <v>39</v>
      </c>
      <c r="G14" s="227"/>
      <c r="H14" s="228">
        <f>D54</f>
        <v>35950.5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209874.5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245825</v>
      </c>
      <c r="F29" s="140" t="s">
        <v>55</v>
      </c>
      <c r="G29" s="202"/>
      <c r="H29" s="162">
        <f>H15-H16-H17-H18-H19-H20-H22-H23-H24+H26+H27</f>
        <v>209274.5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184">
        <f>F34*G34</f>
        <v>179000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84">
        <f t="shared" ref="H35:H39" si="2">F35*G35</f>
        <v>29000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4">
        <v>353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11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208353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23</v>
      </c>
      <c r="D50" s="12">
        <f>C50*1.5</f>
        <v>34.5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155</v>
      </c>
      <c r="G51" s="269">
        <f>G49-H29</f>
        <v>-921.5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372</v>
      </c>
      <c r="D6" s="13">
        <f t="shared" ref="D6:D28" si="1">C6*L6</f>
        <v>283092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20</v>
      </c>
      <c r="D7" s="13">
        <f t="shared" si="1"/>
        <v>15620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52</v>
      </c>
      <c r="D9" s="13">
        <f t="shared" si="1"/>
        <v>38116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339942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4</v>
      </c>
      <c r="D14" s="31">
        <f t="shared" si="1"/>
        <v>44</v>
      </c>
      <c r="F14" s="226" t="s">
        <v>39</v>
      </c>
      <c r="G14" s="227"/>
      <c r="H14" s="228">
        <f>D54</f>
        <v>63030.75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276911.25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286*6+108*6+50*6</f>
        <v>2664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14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339942</v>
      </c>
      <c r="F29" s="140" t="s">
        <v>55</v>
      </c>
      <c r="G29" s="202"/>
      <c r="H29" s="162">
        <f>H15-H16-H17-H18-H19-H20-H22-H23-H24+H26+H27</f>
        <v>274247.25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84">
        <f>F34*G34</f>
        <v>25000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84">
        <f>F35*G35</f>
        <v>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184">
        <f t="shared" si="2"/>
        <v>1200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84">
        <f t="shared" si="2"/>
        <v>40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</v>
      </c>
      <c r="D42" s="12">
        <f>C42*2.25</f>
        <v>2.25</v>
      </c>
      <c r="F42" s="39" t="s">
        <v>79</v>
      </c>
      <c r="G42" s="184">
        <v>25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179">
        <v>184558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179">
        <v>58480</v>
      </c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24</v>
      </c>
      <c r="D46" s="12">
        <f>C46*1.5</f>
        <v>36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274303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55.75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14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7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19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280</v>
      </c>
      <c r="D6" s="13">
        <f t="shared" ref="D6:D28" si="1">C6*L6</f>
        <v>213080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9</v>
      </c>
      <c r="D7" s="13">
        <f t="shared" si="1"/>
        <v>7029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18</v>
      </c>
      <c r="D9" s="13">
        <f t="shared" si="1"/>
        <v>13194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245809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10</v>
      </c>
      <c r="D14" s="31">
        <f t="shared" si="1"/>
        <v>110</v>
      </c>
      <c r="F14" s="226" t="s">
        <v>39</v>
      </c>
      <c r="G14" s="227"/>
      <c r="H14" s="228">
        <f>D54</f>
        <v>38345.25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207463.75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09">
        <v>95803</v>
      </c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14">
        <f>96418</f>
        <v>96418</v>
      </c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25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3</v>
      </c>
      <c r="D28" s="48">
        <f t="shared" si="1"/>
        <v>2433</v>
      </c>
      <c r="F28" s="12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245809</v>
      </c>
      <c r="F29" s="140" t="s">
        <v>55</v>
      </c>
      <c r="G29" s="202"/>
      <c r="H29" s="162">
        <f>H15-H16-H17-H18-H19-H20-H22-H23-H24+H26+H27</f>
        <v>208078.75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184">
        <f>F34*G34</f>
        <v>88000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84">
        <f t="shared" ref="H35:H39" si="2">F35*G35</f>
        <v>19500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184">
        <f>F36*G36</f>
        <v>1000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184">
        <f t="shared" si="2"/>
        <v>3100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132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179">
        <f>96418</f>
        <v>96418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14</v>
      </c>
      <c r="D46" s="12">
        <f>C46*1.5</f>
        <v>21</v>
      </c>
      <c r="F46" s="37"/>
      <c r="G46" s="120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208200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</v>
      </c>
      <c r="D50" s="12">
        <f>C50*1.5</f>
        <v>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121.25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250</v>
      </c>
      <c r="D6" s="13">
        <f t="shared" ref="D6:D28" si="1">C6*L6</f>
        <v>190250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>
        <v>2</v>
      </c>
      <c r="D8" s="13">
        <f t="shared" si="1"/>
        <v>2186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94</v>
      </c>
      <c r="D9" s="13">
        <f t="shared" si="1"/>
        <v>68902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8</v>
      </c>
      <c r="D13" s="48">
        <f t="shared" si="1"/>
        <v>2456</v>
      </c>
      <c r="F13" s="268" t="s">
        <v>36</v>
      </c>
      <c r="G13" s="232"/>
      <c r="H13" s="223">
        <f>D29</f>
        <v>263794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37494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226300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266*6+60*6</f>
        <v>1956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263794</v>
      </c>
      <c r="F29" s="140" t="s">
        <v>55</v>
      </c>
      <c r="G29" s="202"/>
      <c r="H29" s="162">
        <f>H15-H16-H17-H18-H19-H20-H22-H23-H24+H26+H27</f>
        <v>224294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184">
        <f>F34*G34</f>
        <v>48000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84">
        <f>F35*G35</f>
        <v>1500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184">
        <f t="shared" si="2"/>
        <v>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4">
        <f t="shared" si="2"/>
        <v>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6</v>
      </c>
      <c r="D42" s="12">
        <f>C42*2.25</f>
        <v>13.5</v>
      </c>
      <c r="F42" s="39" t="s">
        <v>79</v>
      </c>
      <c r="G42" s="184">
        <v>10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179">
        <v>174238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2</v>
      </c>
      <c r="D46" s="12">
        <f>C46*1.5</f>
        <v>3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224298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8</v>
      </c>
      <c r="D50" s="12">
        <f>C50*1.5</f>
        <v>12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4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19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374</v>
      </c>
      <c r="D6" s="13">
        <f t="shared" ref="D6:D28" si="1">C6*L6</f>
        <v>284614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14</v>
      </c>
      <c r="D9" s="13">
        <f t="shared" si="1"/>
        <v>10262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11</v>
      </c>
      <c r="D13" s="48">
        <f t="shared" si="1"/>
        <v>3377</v>
      </c>
      <c r="F13" s="268" t="s">
        <v>36</v>
      </c>
      <c r="G13" s="232"/>
      <c r="H13" s="223">
        <f>D29</f>
        <v>300926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20</v>
      </c>
      <c r="D14" s="31">
        <f t="shared" si="1"/>
        <v>220</v>
      </c>
      <c r="F14" s="226" t="s">
        <v>39</v>
      </c>
      <c r="G14" s="227"/>
      <c r="H14" s="228">
        <f>D54</f>
        <v>45597.75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255328.25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160*6+50*6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2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1</v>
      </c>
      <c r="D28" s="48">
        <f t="shared" si="1"/>
        <v>811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300926</v>
      </c>
      <c r="F29" s="140" t="s">
        <v>55</v>
      </c>
      <c r="G29" s="202"/>
      <c r="H29" s="162">
        <f>H15-H16-H17-H18-H19-H20-H22-H23-H24+H26+H27+H28</f>
        <v>254068.25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184">
        <f t="shared" ref="H34:H39" si="2">F34*G34</f>
        <v>186000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84">
        <f t="shared" si="2"/>
        <v>27000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184">
        <f t="shared" si="2"/>
        <v>1400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184">
        <f t="shared" si="2"/>
        <v>450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4">
        <v>362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179">
        <v>37750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8</v>
      </c>
      <c r="D49" s="12">
        <f>C49*42</f>
        <v>336</v>
      </c>
      <c r="F49" s="160" t="s">
        <v>86</v>
      </c>
      <c r="G49" s="162">
        <f>H34+H35+H36+H37+H38+H39+H40+H41+G42+H44+H45+H46</f>
        <v>252982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12</v>
      </c>
      <c r="D50" s="12">
        <f>C50*1.5</f>
        <v>18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-1086.25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254</v>
      </c>
      <c r="D6" s="13">
        <f t="shared" ref="D6:D28" si="1">C6*L6</f>
        <v>193294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14</v>
      </c>
      <c r="D7" s="13">
        <f t="shared" si="1"/>
        <v>10934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46</v>
      </c>
      <c r="D9" s="13">
        <f t="shared" si="1"/>
        <v>33718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11</v>
      </c>
      <c r="D13" s="48">
        <f t="shared" si="1"/>
        <v>3377</v>
      </c>
      <c r="F13" s="268" t="s">
        <v>36</v>
      </c>
      <c r="G13" s="232"/>
      <c r="H13" s="223">
        <f>D29</f>
        <v>243579.66666666666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42978.75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200600.91666666666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200*6</f>
        <v>1200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167</v>
      </c>
      <c r="C24" s="10">
        <v>12</v>
      </c>
      <c r="D24" s="48">
        <f t="shared" si="1"/>
        <v>474</v>
      </c>
      <c r="F24" s="38"/>
      <c r="G24" s="37"/>
      <c r="H24" s="210"/>
      <c r="I24" s="179"/>
      <c r="J24" s="17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14"/>
      <c r="I26" s="215"/>
      <c r="J26" s="216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243579.66666666666</v>
      </c>
      <c r="F29" s="140" t="s">
        <v>55</v>
      </c>
      <c r="G29" s="202"/>
      <c r="H29" s="162">
        <f>H15-H16-H17-H18-H19-H20-H22-H23-H24+H26+H27</f>
        <v>199400.91666666666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184">
        <f>F34*G34</f>
        <v>76000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84">
        <f t="shared" ref="H35:H39" si="2">F35*G35</f>
        <v>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184">
        <f t="shared" si="2"/>
        <v>400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4">
        <v>45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179">
        <v>120172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25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9</v>
      </c>
      <c r="D49" s="12">
        <f>C49*42</f>
        <v>378</v>
      </c>
      <c r="F49" s="160" t="s">
        <v>86</v>
      </c>
      <c r="G49" s="162">
        <f>H34+H35+H36+H37+H38+H39+H40+H41+G42+H44+H45+H46</f>
        <v>199617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18</v>
      </c>
      <c r="D50" s="12">
        <f>C50*1.5</f>
        <v>27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216.08333333334303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46072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298</v>
      </c>
      <c r="D6" s="13">
        <f t="shared" ref="D6:D28" si="1">C6*L6</f>
        <v>226778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11</v>
      </c>
      <c r="D7" s="13">
        <f t="shared" si="1"/>
        <v>8591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30</v>
      </c>
      <c r="D9" s="13">
        <f t="shared" si="1"/>
        <v>21990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2</v>
      </c>
      <c r="D12" s="48">
        <f t="shared" si="1"/>
        <v>1984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9</v>
      </c>
      <c r="D13" s="48">
        <f t="shared" si="1"/>
        <v>2763</v>
      </c>
      <c r="F13" s="268" t="s">
        <v>36</v>
      </c>
      <c r="G13" s="232"/>
      <c r="H13" s="223">
        <f>D29</f>
        <v>268991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19</v>
      </c>
      <c r="D14" s="31">
        <f t="shared" si="1"/>
        <v>209</v>
      </c>
      <c r="F14" s="226" t="s">
        <v>39</v>
      </c>
      <c r="G14" s="227"/>
      <c r="H14" s="228">
        <f>D54</f>
        <v>47673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>
        <v>2</v>
      </c>
      <c r="D15" s="31">
        <f t="shared" si="1"/>
        <v>1240</v>
      </c>
      <c r="F15" s="231" t="s">
        <v>40</v>
      </c>
      <c r="G15" s="232"/>
      <c r="H15" s="233">
        <f>H13-H14</f>
        <v>221318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52*6+50*6</f>
        <v>612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268991</v>
      </c>
      <c r="F29" s="140" t="s">
        <v>55</v>
      </c>
      <c r="G29" s="202"/>
      <c r="H29" s="162">
        <f>H15-H16-H17-H18-H19-H20-H22-H23-H24+H26+H27</f>
        <v>220706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184">
        <f>F34*G34</f>
        <v>159000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184">
        <f>F35*G35</f>
        <v>16000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184">
        <f t="shared" si="2"/>
        <v>12900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184">
        <f t="shared" si="2"/>
        <v>4650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2</v>
      </c>
      <c r="D42" s="12">
        <f>C42*2.25</f>
        <v>4.5</v>
      </c>
      <c r="F42" s="39" t="s">
        <v>79</v>
      </c>
      <c r="G42" s="184">
        <v>74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179">
        <v>28728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31</v>
      </c>
      <c r="D46" s="12">
        <f>C46*1.5</f>
        <v>46.5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221552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72</v>
      </c>
      <c r="D50" s="12">
        <f>C50*1.5</f>
        <v>108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846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27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415</v>
      </c>
      <c r="D6" s="13">
        <f t="shared" ref="D6:D28" si="1">C6*L6</f>
        <v>315815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>
        <v>6</v>
      </c>
      <c r="D7" s="13">
        <f t="shared" si="1"/>
        <v>4686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16</v>
      </c>
      <c r="D9" s="13">
        <f t="shared" si="1"/>
        <v>11728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2</v>
      </c>
      <c r="D11" s="13">
        <f t="shared" si="1"/>
        <v>2340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1</v>
      </c>
      <c r="D12" s="48">
        <f t="shared" si="1"/>
        <v>992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15</v>
      </c>
      <c r="D13" s="48">
        <f t="shared" si="1"/>
        <v>4605</v>
      </c>
      <c r="F13" s="268" t="s">
        <v>36</v>
      </c>
      <c r="G13" s="232"/>
      <c r="H13" s="223">
        <f>D29</f>
        <v>341516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10</v>
      </c>
      <c r="D14" s="31">
        <f t="shared" si="1"/>
        <v>110</v>
      </c>
      <c r="F14" s="226" t="s">
        <v>39</v>
      </c>
      <c r="G14" s="227"/>
      <c r="H14" s="228">
        <f>D54</f>
        <v>71369.25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>
        <v>1</v>
      </c>
      <c r="D15" s="31">
        <f t="shared" si="1"/>
        <v>620</v>
      </c>
      <c r="F15" s="231" t="s">
        <v>40</v>
      </c>
      <c r="G15" s="232"/>
      <c r="H15" s="233">
        <f>H13-H14</f>
        <v>270146.75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2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341516</v>
      </c>
      <c r="F29" s="140" t="s">
        <v>55</v>
      </c>
      <c r="G29" s="202"/>
      <c r="H29" s="162">
        <f>H15-H16-H17-H18-H19-H20-H22-H23-H24+H26+H27+H28</f>
        <v>268202.75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68</v>
      </c>
      <c r="H34" s="184">
        <f t="shared" ref="H34:H39" si="2">F34*G34</f>
        <v>68000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</v>
      </c>
      <c r="H35" s="184">
        <f t="shared" si="2"/>
        <v>4500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580</v>
      </c>
      <c r="D37" s="12">
        <f>C37*111</f>
        <v>64380</v>
      </c>
      <c r="F37" s="12">
        <v>100</v>
      </c>
      <c r="G37" s="39">
        <v>15</v>
      </c>
      <c r="H37" s="184">
        <f t="shared" si="2"/>
        <v>1500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15</v>
      </c>
      <c r="H38" s="184">
        <f t="shared" si="2"/>
        <v>750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84">
        <f t="shared" si="2"/>
        <v>20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9</v>
      </c>
      <c r="D41" s="12">
        <f>C41*84</f>
        <v>756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4">
        <v>56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79">
        <v>192772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9</v>
      </c>
      <c r="D46" s="12">
        <f>C46*1.5</f>
        <v>13.5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1</v>
      </c>
      <c r="D49" s="12">
        <f>C49*42</f>
        <v>42</v>
      </c>
      <c r="F49" s="160" t="s">
        <v>86</v>
      </c>
      <c r="G49" s="162">
        <f>H34+H35+H36+H37+H38+H39+H40+H41+G42+H44+H45+H46</f>
        <v>267598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63</v>
      </c>
      <c r="D50" s="12">
        <f>C50*1.5</f>
        <v>94.5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-604.75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71369.25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171</v>
      </c>
      <c r="D6" s="13">
        <f t="shared" ref="D6:D28" si="1">C6*L6</f>
        <v>130131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5</v>
      </c>
      <c r="D7" s="13">
        <f t="shared" si="1"/>
        <v>3905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13</v>
      </c>
      <c r="D9" s="13">
        <f t="shared" si="1"/>
        <v>9529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1</v>
      </c>
      <c r="D10" s="13">
        <f t="shared" si="1"/>
        <v>1032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6</v>
      </c>
      <c r="D13" s="48">
        <f t="shared" si="1"/>
        <v>1842</v>
      </c>
      <c r="F13" s="268" t="s">
        <v>36</v>
      </c>
      <c r="G13" s="232"/>
      <c r="H13" s="223">
        <f>D29</f>
        <v>148182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11</v>
      </c>
      <c r="D14" s="31">
        <f t="shared" si="1"/>
        <v>121</v>
      </c>
      <c r="F14" s="226" t="s">
        <v>39</v>
      </c>
      <c r="G14" s="227"/>
      <c r="H14" s="228">
        <f>D54</f>
        <v>21686.25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126495.75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>
        <v>2</v>
      </c>
      <c r="D28" s="48">
        <f t="shared" si="1"/>
        <v>1622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148182</v>
      </c>
      <c r="F29" s="140" t="s">
        <v>55</v>
      </c>
      <c r="G29" s="202"/>
      <c r="H29" s="162">
        <f>H15-H16-H17-H18-H19-H20-H22-H23-H24+H26+H27</f>
        <v>126495.75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84">
        <f>F34*G34</f>
        <v>100000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46</v>
      </c>
      <c r="H35" s="184">
        <f t="shared" ref="H35:H39" si="2">F35*G35</f>
        <v>23000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33</v>
      </c>
      <c r="H37" s="184">
        <f t="shared" si="2"/>
        <v>3300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84">
        <f t="shared" si="2"/>
        <v>150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68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125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3</v>
      </c>
      <c r="D49" s="12">
        <f>C49*42</f>
        <v>126</v>
      </c>
      <c r="F49" s="160" t="s">
        <v>86</v>
      </c>
      <c r="G49" s="162">
        <f>H34+H35+H36+H37+H38+H39+H40+H41+G42+H44+H45+H46</f>
        <v>126518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6</v>
      </c>
      <c r="D50" s="12">
        <f>C50*1.5</f>
        <v>9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22.25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21686.25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46073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375</v>
      </c>
      <c r="D6" s="13">
        <f t="shared" ref="D6:D28" si="1">C6*L6</f>
        <v>285375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14</v>
      </c>
      <c r="D7" s="13">
        <f t="shared" si="1"/>
        <v>10934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91</v>
      </c>
      <c r="D9" s="13">
        <f t="shared" si="1"/>
        <v>66703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2</v>
      </c>
      <c r="D10" s="13">
        <f t="shared" si="1"/>
        <v>2064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16</v>
      </c>
      <c r="D13" s="48">
        <f t="shared" si="1"/>
        <v>4912</v>
      </c>
      <c r="F13" s="268" t="s">
        <v>36</v>
      </c>
      <c r="G13" s="232"/>
      <c r="H13" s="223">
        <f>D29</f>
        <v>375047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9</v>
      </c>
      <c r="D14" s="31">
        <f t="shared" si="1"/>
        <v>99</v>
      </c>
      <c r="F14" s="226" t="s">
        <v>39</v>
      </c>
      <c r="G14" s="227"/>
      <c r="H14" s="228">
        <f>D54</f>
        <v>58607.25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316439.75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50*6+50*6+100*6+112*6</f>
        <v>1872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27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375047</v>
      </c>
      <c r="F29" s="140" t="s">
        <v>55</v>
      </c>
      <c r="G29" s="202"/>
      <c r="H29" s="162">
        <f>H15-H16-H17-H18-H19-H20-H22-H23-H24+H26+H27</f>
        <v>314567.75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233</v>
      </c>
      <c r="H34" s="184">
        <f>F34*G34</f>
        <v>233000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145</v>
      </c>
      <c r="H35" s="184">
        <f>F35*G35</f>
        <v>72500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6</v>
      </c>
      <c r="D36" s="12">
        <f>C36*1.5</f>
        <v>9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497</v>
      </c>
      <c r="D37" s="12">
        <f>C37*111</f>
        <v>55167</v>
      </c>
      <c r="F37" s="12">
        <v>100</v>
      </c>
      <c r="G37" s="39">
        <v>69</v>
      </c>
      <c r="H37" s="184">
        <f t="shared" si="2"/>
        <v>6900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32</v>
      </c>
      <c r="H38" s="184">
        <f t="shared" si="2"/>
        <v>1600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</v>
      </c>
      <c r="D42" s="12">
        <f>C42*2.25</f>
        <v>2.25</v>
      </c>
      <c r="F42" s="39" t="s">
        <v>79</v>
      </c>
      <c r="G42" s="184">
        <v>753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2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3</v>
      </c>
      <c r="D44" s="12">
        <f>C44*120</f>
        <v>360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4</v>
      </c>
      <c r="D46" s="12">
        <f>C46*1.5</f>
        <v>6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5</v>
      </c>
      <c r="D49" s="12">
        <f>C49*42</f>
        <v>210</v>
      </c>
      <c r="F49" s="160" t="s">
        <v>86</v>
      </c>
      <c r="G49" s="162">
        <f>H34+H35+H36+H37+H38+H39+H40+H41+G42+H44+H45+H46</f>
        <v>314753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5</v>
      </c>
      <c r="D50" s="12">
        <f>C50*1.5</f>
        <v>7.5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185.25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58607.25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24662-73C4-4331-A932-B2F3DA5617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1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E5-72BC-4AC4-A178-18A1F48043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>
        <v>307</v>
      </c>
      <c r="D6" s="13">
        <f t="shared" ref="D6:D28" si="1">C6*L6</f>
        <v>233627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>
        <v>70</v>
      </c>
      <c r="D8" s="13">
        <f t="shared" si="1"/>
        <v>76510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>
        <v>6</v>
      </c>
      <c r="D9" s="13">
        <f t="shared" si="1"/>
        <v>4398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>
        <v>3</v>
      </c>
      <c r="D10" s="13">
        <f t="shared" si="1"/>
        <v>3096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>
        <v>4</v>
      </c>
      <c r="D11" s="13">
        <f t="shared" si="1"/>
        <v>4680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>
        <v>3</v>
      </c>
      <c r="D12" s="48">
        <f t="shared" si="1"/>
        <v>2976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>
        <v>9</v>
      </c>
      <c r="D13" s="48">
        <f t="shared" si="1"/>
        <v>2763</v>
      </c>
      <c r="F13" s="268" t="s">
        <v>36</v>
      </c>
      <c r="G13" s="232"/>
      <c r="H13" s="223">
        <f>D29</f>
        <v>329826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>
        <v>14</v>
      </c>
      <c r="D14" s="31">
        <f t="shared" si="1"/>
        <v>154</v>
      </c>
      <c r="F14" s="226" t="s">
        <v>39</v>
      </c>
      <c r="G14" s="227"/>
      <c r="H14" s="228">
        <f>D54</f>
        <v>53295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276531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207</v>
      </c>
      <c r="C24" s="84">
        <v>12</v>
      </c>
      <c r="D24" s="48">
        <f t="shared" si="1"/>
        <v>268</v>
      </c>
      <c r="F24" s="77"/>
      <c r="G24" s="79"/>
      <c r="H24" s="275"/>
      <c r="I24" s="276"/>
      <c r="J24" s="276"/>
      <c r="L24" s="47"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>
        <v>1</v>
      </c>
      <c r="D28" s="48">
        <f t="shared" si="1"/>
        <v>811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329826</v>
      </c>
      <c r="F29" s="140" t="s">
        <v>55</v>
      </c>
      <c r="G29" s="202"/>
      <c r="H29" s="162">
        <f>H15-H16-H17-H18-H19-H20-H22-H23-H24+H26+H27+H28</f>
        <v>275235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127</v>
      </c>
      <c r="H34" s="184">
        <f t="shared" ref="H34:H39" si="2">F34*G34</f>
        <v>127000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84">
        <f t="shared" si="2"/>
        <v>15000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84">
        <f t="shared" si="2"/>
        <v>800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18</v>
      </c>
      <c r="D42" s="12">
        <f>C42*2.25</f>
        <v>40.5</v>
      </c>
      <c r="F42" s="39" t="s">
        <v>79</v>
      </c>
      <c r="G42" s="184">
        <v>12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85</v>
      </c>
      <c r="D44" s="12">
        <f>C44*120</f>
        <v>10200</v>
      </c>
      <c r="F44" s="37" t="s">
        <v>145</v>
      </c>
      <c r="G44" s="62" t="s">
        <v>208</v>
      </c>
      <c r="H44" s="179">
        <v>132652.25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1</v>
      </c>
      <c r="D46" s="12">
        <f>C46*1.5</f>
        <v>1.5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6</v>
      </c>
      <c r="D49" s="12">
        <f>C49*42</f>
        <v>252</v>
      </c>
      <c r="F49" s="160" t="s">
        <v>86</v>
      </c>
      <c r="G49" s="162">
        <f>H34+H35+H36+H37+H38+H39+H40+H41+G42+H44+H45+H46</f>
        <v>275464.25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39</v>
      </c>
      <c r="D50" s="12">
        <f>C50*1.5</f>
        <v>58.5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229.25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53295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8E77-6668-42EE-AAA6-692C98AB06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322</v>
      </c>
      <c r="D6" s="13">
        <f t="shared" ref="D6:D28" si="1">C6*L6</f>
        <v>245042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</v>
      </c>
      <c r="D7" s="13">
        <f t="shared" si="1"/>
        <v>781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33</v>
      </c>
      <c r="D9" s="13">
        <f t="shared" si="1"/>
        <v>24189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>
        <v>1</v>
      </c>
      <c r="D11" s="13">
        <f t="shared" si="1"/>
        <v>1170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10</v>
      </c>
      <c r="D13" s="48">
        <f t="shared" si="1"/>
        <v>3070</v>
      </c>
      <c r="F13" s="268" t="s">
        <v>36</v>
      </c>
      <c r="G13" s="232"/>
      <c r="H13" s="223">
        <f>D29</f>
        <v>274902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37960.5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236941.5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229*6</f>
        <v>1374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207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500/24+1.5</f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150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274902</v>
      </c>
      <c r="F29" s="140" t="s">
        <v>55</v>
      </c>
      <c r="G29" s="202"/>
      <c r="H29" s="162">
        <f>H15-H16-H17-H18-H19-H20-H22-H23-H24+H26+H27</f>
        <v>235567.5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75</v>
      </c>
      <c r="H34" s="184">
        <f>F34*G34</f>
        <v>75000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84">
        <f t="shared" ref="H35:H39" si="2">F35*G35</f>
        <v>8500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310</v>
      </c>
      <c r="D37" s="12">
        <f>C37*111</f>
        <v>34410</v>
      </c>
      <c r="F37" s="12">
        <v>100</v>
      </c>
      <c r="G37" s="39">
        <v>3</v>
      </c>
      <c r="H37" s="184">
        <f t="shared" si="2"/>
        <v>300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18</v>
      </c>
      <c r="D38" s="12">
        <f>C38*84</f>
        <v>1512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14</v>
      </c>
      <c r="D42" s="12">
        <f>C42*2.25</f>
        <v>31.5</v>
      </c>
      <c r="F42" s="39" t="s">
        <v>79</v>
      </c>
      <c r="G42" s="184">
        <v>31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209</v>
      </c>
      <c r="H44" s="179">
        <v>151828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>
        <v>1</v>
      </c>
      <c r="D45" s="12">
        <f>C45*84</f>
        <v>84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3</v>
      </c>
      <c r="D46" s="12">
        <f>C46*1.5</f>
        <v>4.5</v>
      </c>
      <c r="F46" s="37"/>
      <c r="G46" s="133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>
        <v>26</v>
      </c>
      <c r="D49" s="12">
        <f>C49*42</f>
        <v>1092</v>
      </c>
      <c r="F49" s="160" t="s">
        <v>86</v>
      </c>
      <c r="G49" s="162">
        <f>H34+H35+H36+H37+H38+H39+H40+H41+G42+H44+H45+H46</f>
        <v>235659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13</v>
      </c>
      <c r="D50" s="12">
        <f>C50*1.5</f>
        <v>19.5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91.5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37960.5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57B1A-17AE-4CBD-817B-0A62E02CEFE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46074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>
        <v>373</v>
      </c>
      <c r="D6" s="13">
        <f t="shared" ref="D6:D28" si="1">C6*L6</f>
        <v>283853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>
        <v>10</v>
      </c>
      <c r="D7" s="13">
        <f t="shared" si="1"/>
        <v>7810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>
        <v>21</v>
      </c>
      <c r="D9" s="13">
        <f t="shared" si="1"/>
        <v>15393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>
        <v>3</v>
      </c>
      <c r="D10" s="13">
        <f t="shared" si="1"/>
        <v>3096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>
        <v>5</v>
      </c>
      <c r="D12" s="48">
        <f t="shared" si="1"/>
        <v>4960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>
        <v>15</v>
      </c>
      <c r="D13" s="48">
        <f t="shared" si="1"/>
        <v>4605</v>
      </c>
      <c r="F13" s="268" t="s">
        <v>36</v>
      </c>
      <c r="G13" s="232"/>
      <c r="H13" s="223">
        <f>D29</f>
        <v>321122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>
        <v>15</v>
      </c>
      <c r="D14" s="31">
        <f t="shared" si="1"/>
        <v>165</v>
      </c>
      <c r="F14" s="226" t="s">
        <v>39</v>
      </c>
      <c r="G14" s="227"/>
      <c r="H14" s="228">
        <f>D54</f>
        <v>53124.75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267997.25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362*6</f>
        <v>2172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 t="s">
        <v>211</v>
      </c>
      <c r="G22" s="73">
        <v>9351</v>
      </c>
      <c r="H22" s="209">
        <v>540</v>
      </c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321122</v>
      </c>
      <c r="F29" s="140" t="s">
        <v>55</v>
      </c>
      <c r="G29" s="202"/>
      <c r="H29" s="162">
        <f>H15-H16-H17-H18-H19-H20-H22-H23-H24+H26+H27</f>
        <v>265285.25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22</v>
      </c>
      <c r="H34" s="184">
        <f>F34*G34</f>
        <v>22000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84">
        <f>F35*G35</f>
        <v>4000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84">
        <f t="shared" ref="H36:H39" si="2">F36*G36</f>
        <v>200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29</v>
      </c>
      <c r="H37" s="184">
        <f t="shared" si="2"/>
        <v>2900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84">
        <f t="shared" si="2"/>
        <v>200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>
        <v>3</v>
      </c>
      <c r="D42" s="12">
        <f>C42*2.25</f>
        <v>6.75</v>
      </c>
      <c r="F42" s="39" t="s">
        <v>79</v>
      </c>
      <c r="G42" s="184">
        <v>36</v>
      </c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>
        <v>12</v>
      </c>
      <c r="D44" s="12">
        <f>C44*120</f>
        <v>1440</v>
      </c>
      <c r="F44" s="37" t="s">
        <v>146</v>
      </c>
      <c r="G44" s="76" t="s">
        <v>210</v>
      </c>
      <c r="H44" s="179">
        <v>238559</v>
      </c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>
        <v>5</v>
      </c>
      <c r="D46" s="12">
        <f>C46*1.5</f>
        <v>7.5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267895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>
        <v>12</v>
      </c>
      <c r="D50" s="12">
        <f>C50*1.5</f>
        <v>18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2609.75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53124.75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1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4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3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46076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1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4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EF9D-7072-46D9-A274-EC8ABB7BA8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E045E-D834-4B29-ABE3-C7964EC11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9EF8-44E4-43CC-A531-8BFDD06A66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3280-F109-457E-9C2E-6658B19631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46077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29E2-543F-4604-9DB6-2DDF9259D92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78C-D542-4C1E-AB8B-C197F84554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52491-5D14-4166-9756-ACEDA8B33A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EAAD-39D9-4DBA-8603-55D1D650F9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46078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A139-A863-44B8-AC8A-B1AC3F8CA60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99212-C6ED-4681-B9DF-29A1E3602C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46079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7FA6-0975-451B-85B6-7FD52C085A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46079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D5FF-BA16-443D-B4A0-7FC115EB2B6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46079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BE7E-B276-47AF-A191-75BC7951FE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B94F-CA85-4784-A656-63014C66C7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46080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C2AD-9BEF-42BA-9A6F-711F5101DC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46080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245E3-C4D4-49E5-B8A7-D4DD78F3BB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46080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1DCD-284C-4C56-A785-A003AD692D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7" t="s">
        <v>7</v>
      </c>
      <c r="B4" s="188"/>
      <c r="C4" s="188"/>
      <c r="D4" s="189"/>
      <c r="F4" s="237" t="s">
        <v>8</v>
      </c>
      <c r="G4" s="239"/>
      <c r="H4" s="241" t="s">
        <v>9</v>
      </c>
      <c r="I4" s="243"/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2"/>
      <c r="B6" s="16"/>
      <c r="C6" s="10"/>
      <c r="D6" s="13">
        <f t="shared" ref="D6:D28" si="1">C6*L6</f>
        <v>0</v>
      </c>
      <c r="F6" s="247" t="s">
        <v>16</v>
      </c>
      <c r="G6" s="249"/>
      <c r="H6" s="250"/>
      <c r="I6" s="250"/>
      <c r="J6" s="2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2"/>
      <c r="B7" s="16"/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2"/>
      <c r="B8" s="16"/>
      <c r="C8" s="10"/>
      <c r="D8" s="13">
        <f t="shared" si="1"/>
        <v>0</v>
      </c>
      <c r="F8" s="255" t="s">
        <v>21</v>
      </c>
      <c r="G8" s="256"/>
      <c r="H8" s="257"/>
      <c r="I8" s="257"/>
      <c r="J8" s="2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2"/>
      <c r="B9" s="16"/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2"/>
      <c r="C10" s="10"/>
      <c r="D10" s="13">
        <f t="shared" si="1"/>
        <v>0</v>
      </c>
      <c r="F10" s="247" t="s">
        <v>26</v>
      </c>
      <c r="G10" s="262"/>
      <c r="H10" s="263"/>
      <c r="I10" s="263"/>
      <c r="J10" s="264"/>
      <c r="K10" s="8"/>
      <c r="L10" s="6">
        <f>R36</f>
        <v>972</v>
      </c>
      <c r="P10" s="4"/>
      <c r="Q10" s="4"/>
      <c r="R10" s="5"/>
    </row>
    <row r="11" spans="1:19" ht="15.75" x14ac:dyDescent="0.25">
      <c r="A11" s="182"/>
      <c r="B11" s="17"/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2"/>
      <c r="B12" s="17"/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2"/>
      <c r="B13" s="17"/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2"/>
      <c r="B14" s="14"/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2"/>
      <c r="B15" s="14"/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/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/>
      <c r="C19" s="10"/>
      <c r="D19" s="48">
        <f t="shared" si="1"/>
        <v>0</v>
      </c>
      <c r="F19" s="56"/>
      <c r="G19" s="68" t="s">
        <v>50</v>
      </c>
      <c r="H19" s="205"/>
      <c r="I19" s="205"/>
      <c r="J19" s="20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2"/>
      <c r="B22" s="46"/>
      <c r="C22" s="10"/>
      <c r="D22" s="48">
        <f t="shared" si="1"/>
        <v>0</v>
      </c>
      <c r="F22" s="77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/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/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2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/>
      <c r="C28" s="10"/>
      <c r="D28" s="48">
        <f t="shared" si="1"/>
        <v>0</v>
      </c>
      <c r="F28" s="138"/>
      <c r="G28" s="61"/>
      <c r="H28" s="220"/>
      <c r="I28" s="221"/>
      <c r="J28" s="22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/>
      <c r="I34" s="185"/>
      <c r="J34" s="18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/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/>
      <c r="I36" s="185"/>
      <c r="J36" s="18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/>
      <c r="I37" s="185"/>
      <c r="J37" s="18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/>
      <c r="I38" s="185"/>
      <c r="J38" s="18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/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P43" s="4"/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P44" s="4"/>
      <c r="Q44" s="4"/>
      <c r="R44" s="5"/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A81-3077-410E-8B96-6DD1ED622B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1</v>
      </c>
      <c r="H4" s="241" t="s">
        <v>9</v>
      </c>
      <c r="I4" s="243">
        <v>46081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84"/>
      <c r="D6" s="13">
        <f t="shared" ref="D6:D28" si="1">C6*L6</f>
        <v>0</v>
      </c>
      <c r="F6" s="247" t="s">
        <v>16</v>
      </c>
      <c r="G6" s="249" t="s">
        <v>111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84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84"/>
      <c r="D8" s="13">
        <f t="shared" si="1"/>
        <v>0</v>
      </c>
      <c r="F8" s="255" t="s">
        <v>21</v>
      </c>
      <c r="G8" s="256" t="s">
        <v>144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84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84"/>
      <c r="D10" s="13">
        <f t="shared" si="1"/>
        <v>0</v>
      </c>
      <c r="F10" s="247" t="s">
        <v>26</v>
      </c>
      <c r="G10" s="262" t="s">
        <v>139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84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84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84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84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84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133</v>
      </c>
      <c r="C17" s="84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204"/>
      <c r="I19" s="204"/>
      <c r="J19" s="204"/>
      <c r="L19" s="6">
        <v>1102</v>
      </c>
      <c r="Q19" s="4"/>
      <c r="R19" s="5">
        <f t="shared" si="0"/>
        <v>0</v>
      </c>
    </row>
    <row r="20" spans="1:18" ht="15.75" x14ac:dyDescent="0.25">
      <c r="A20" s="18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124</v>
      </c>
      <c r="C22" s="84"/>
      <c r="D22" s="48">
        <f t="shared" si="1"/>
        <v>0</v>
      </c>
      <c r="F22" s="77"/>
      <c r="G22" s="73"/>
      <c r="H22" s="209"/>
      <c r="I22" s="209"/>
      <c r="J22" s="20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101</v>
      </c>
      <c r="C23" s="84"/>
      <c r="D23" s="48">
        <f t="shared" si="1"/>
        <v>0</v>
      </c>
      <c r="F23" s="77"/>
      <c r="G23" s="79"/>
      <c r="H23" s="275"/>
      <c r="I23" s="276"/>
      <c r="J23" s="27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118</v>
      </c>
      <c r="C24" s="84"/>
      <c r="D24" s="48">
        <f t="shared" si="1"/>
        <v>0</v>
      </c>
      <c r="F24" s="77"/>
      <c r="G24" s="79"/>
      <c r="H24" s="275"/>
      <c r="I24" s="276"/>
      <c r="J24" s="27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132</v>
      </c>
      <c r="C26" s="84"/>
      <c r="D26" s="48">
        <f t="shared" si="1"/>
        <v>0</v>
      </c>
      <c r="F26" s="75"/>
      <c r="G26" s="65"/>
      <c r="H26" s="179"/>
      <c r="I26" s="179"/>
      <c r="J26" s="17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110</v>
      </c>
      <c r="C27" s="84"/>
      <c r="D27" s="44">
        <f t="shared" si="1"/>
        <v>0</v>
      </c>
      <c r="F27" s="71"/>
      <c r="G27" s="135"/>
      <c r="H27" s="277"/>
      <c r="I27" s="278"/>
      <c r="J27" s="27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84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4">
        <f t="shared" ref="H34:H39" si="2"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si="2"/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si="2"/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85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128</v>
      </c>
      <c r="G51" s="269">
        <f>G49-H29</f>
        <v>0</v>
      </c>
      <c r="H51" s="270"/>
      <c r="I51" s="270"/>
      <c r="J51" s="27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272"/>
      <c r="H52" s="273"/>
      <c r="I52" s="273"/>
      <c r="J52" s="27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179AE-1F28-4A51-BF8D-B154E5C5A8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2</v>
      </c>
      <c r="H4" s="241" t="s">
        <v>9</v>
      </c>
      <c r="I4" s="243">
        <v>46081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126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113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114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93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204"/>
      <c r="I20" s="204"/>
      <c r="J20" s="20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2"/>
      <c r="G22" s="73"/>
      <c r="H22" s="209"/>
      <c r="I22" s="209"/>
      <c r="J22" s="20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25"/>
      <c r="G23" s="37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120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 t="shared" ref="H35:H39" si="2"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62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62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136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135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085E4-C7C3-479A-860A-42372C7120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6" t="s">
        <v>1</v>
      </c>
      <c r="O1" s="236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7" t="s">
        <v>7</v>
      </c>
      <c r="B4" s="188"/>
      <c r="C4" s="188"/>
      <c r="D4" s="189"/>
      <c r="F4" s="237" t="s">
        <v>8</v>
      </c>
      <c r="G4" s="239">
        <v>3</v>
      </c>
      <c r="H4" s="241" t="s">
        <v>9</v>
      </c>
      <c r="I4" s="243">
        <v>46081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1" t="s">
        <v>7</v>
      </c>
      <c r="B5" s="15" t="s">
        <v>11</v>
      </c>
      <c r="C5" s="9" t="s">
        <v>12</v>
      </c>
      <c r="D5" s="25" t="s">
        <v>13</v>
      </c>
      <c r="F5" s="238"/>
      <c r="G5" s="240"/>
      <c r="H5" s="242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2"/>
      <c r="B6" s="16" t="s">
        <v>15</v>
      </c>
      <c r="C6" s="10"/>
      <c r="D6" s="13">
        <f t="shared" ref="D6:D28" si="1">C6*L6</f>
        <v>0</v>
      </c>
      <c r="F6" s="247" t="s">
        <v>16</v>
      </c>
      <c r="G6" s="249" t="s">
        <v>141</v>
      </c>
      <c r="H6" s="250"/>
      <c r="I6" s="250"/>
      <c r="J6" s="2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2"/>
      <c r="B7" s="16" t="s">
        <v>18</v>
      </c>
      <c r="C7" s="10"/>
      <c r="D7" s="13">
        <f t="shared" si="1"/>
        <v>0</v>
      </c>
      <c r="F7" s="248"/>
      <c r="G7" s="252"/>
      <c r="H7" s="253"/>
      <c r="I7" s="253"/>
      <c r="J7" s="2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2"/>
      <c r="B8" s="16" t="s">
        <v>20</v>
      </c>
      <c r="C8" s="10"/>
      <c r="D8" s="13">
        <f t="shared" si="1"/>
        <v>0</v>
      </c>
      <c r="F8" s="255" t="s">
        <v>21</v>
      </c>
      <c r="G8" s="256" t="s">
        <v>130</v>
      </c>
      <c r="H8" s="257"/>
      <c r="I8" s="257"/>
      <c r="J8" s="25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2"/>
      <c r="B9" s="16" t="s">
        <v>23</v>
      </c>
      <c r="C9" s="10"/>
      <c r="D9" s="13">
        <f t="shared" si="1"/>
        <v>0</v>
      </c>
      <c r="F9" s="248"/>
      <c r="G9" s="259"/>
      <c r="H9" s="260"/>
      <c r="I9" s="260"/>
      <c r="J9" s="26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2"/>
      <c r="B10" t="s">
        <v>25</v>
      </c>
      <c r="C10" s="10"/>
      <c r="D10" s="13">
        <f t="shared" si="1"/>
        <v>0</v>
      </c>
      <c r="F10" s="247" t="s">
        <v>26</v>
      </c>
      <c r="G10" s="262" t="s">
        <v>127</v>
      </c>
      <c r="H10" s="263"/>
      <c r="I10" s="263"/>
      <c r="J10" s="264"/>
      <c r="K10" s="8"/>
      <c r="L10" s="6">
        <f>R36</f>
        <v>1032</v>
      </c>
      <c r="P10" s="4"/>
      <c r="Q10" s="4"/>
      <c r="R10" s="5"/>
    </row>
    <row r="11" spans="1:18" ht="15.75" x14ac:dyDescent="0.25">
      <c r="A11" s="182"/>
      <c r="B11" s="17" t="s">
        <v>28</v>
      </c>
      <c r="C11" s="10"/>
      <c r="D11" s="13">
        <f t="shared" si="1"/>
        <v>0</v>
      </c>
      <c r="F11" s="248"/>
      <c r="G11" s="259"/>
      <c r="H11" s="260"/>
      <c r="I11" s="260"/>
      <c r="J11" s="26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2"/>
      <c r="B12" s="17" t="s">
        <v>30</v>
      </c>
      <c r="C12" s="10"/>
      <c r="D12" s="48">
        <f t="shared" si="1"/>
        <v>0</v>
      </c>
      <c r="F12" s="265" t="s">
        <v>33</v>
      </c>
      <c r="G12" s="266"/>
      <c r="H12" s="266"/>
      <c r="I12" s="266"/>
      <c r="J12" s="26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2"/>
      <c r="B13" s="17" t="s">
        <v>32</v>
      </c>
      <c r="C13" s="10"/>
      <c r="D13" s="48">
        <f t="shared" si="1"/>
        <v>0</v>
      </c>
      <c r="F13" s="268" t="s">
        <v>36</v>
      </c>
      <c r="G13" s="232"/>
      <c r="H13" s="223">
        <f>D29</f>
        <v>0</v>
      </c>
      <c r="I13" s="224"/>
      <c r="J13" s="22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2"/>
      <c r="B14" s="14" t="s">
        <v>35</v>
      </c>
      <c r="C14" s="10"/>
      <c r="D14" s="31">
        <f t="shared" si="1"/>
        <v>0</v>
      </c>
      <c r="F14" s="226" t="s">
        <v>39</v>
      </c>
      <c r="G14" s="227"/>
      <c r="H14" s="228">
        <f>D54</f>
        <v>0</v>
      </c>
      <c r="I14" s="229"/>
      <c r="J14" s="23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2"/>
      <c r="B15" s="14" t="s">
        <v>38</v>
      </c>
      <c r="C15" s="10"/>
      <c r="D15" s="31">
        <f t="shared" si="1"/>
        <v>0</v>
      </c>
      <c r="F15" s="231" t="s">
        <v>40</v>
      </c>
      <c r="G15" s="232"/>
      <c r="H15" s="233">
        <f>H13-H14</f>
        <v>0</v>
      </c>
      <c r="I15" s="234"/>
      <c r="J15" s="23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2"/>
      <c r="B17" t="s">
        <v>112</v>
      </c>
      <c r="C17" s="10"/>
      <c r="D17" s="48">
        <f t="shared" si="1"/>
        <v>0</v>
      </c>
      <c r="F17" s="56"/>
      <c r="G17" s="66" t="s">
        <v>45</v>
      </c>
      <c r="H17" s="204"/>
      <c r="I17" s="204"/>
      <c r="J17" s="20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204"/>
      <c r="I18" s="204"/>
      <c r="J18" s="20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8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6" t="s">
        <v>13</v>
      </c>
      <c r="I21" s="207"/>
      <c r="J21" s="20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2"/>
      <c r="B22" s="46" t="s">
        <v>104</v>
      </c>
      <c r="C22" s="10"/>
      <c r="D22" s="48">
        <f t="shared" si="1"/>
        <v>0</v>
      </c>
      <c r="F22" s="77"/>
      <c r="G22" s="73"/>
      <c r="H22" s="209"/>
      <c r="I22" s="209"/>
      <c r="J22" s="20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82"/>
      <c r="B23" s="14" t="s">
        <v>107</v>
      </c>
      <c r="C23" s="10"/>
      <c r="D23" s="48">
        <f t="shared" si="1"/>
        <v>0</v>
      </c>
      <c r="F23" s="78"/>
      <c r="G23" s="79"/>
      <c r="H23" s="210"/>
      <c r="I23" s="179"/>
      <c r="J23" s="17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82"/>
      <c r="B24" s="14" t="s">
        <v>101</v>
      </c>
      <c r="C24" s="10"/>
      <c r="D24" s="48">
        <f t="shared" si="1"/>
        <v>0</v>
      </c>
      <c r="F24" s="38"/>
      <c r="G24" s="37"/>
      <c r="H24" s="210"/>
      <c r="I24" s="179"/>
      <c r="J24" s="17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8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1" t="s">
        <v>13</v>
      </c>
      <c r="I25" s="212"/>
      <c r="J25" s="21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82"/>
      <c r="B26" s="14" t="s">
        <v>105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2"/>
      <c r="B27" s="14" t="s">
        <v>109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83"/>
      <c r="B28" s="46" t="s">
        <v>97</v>
      </c>
      <c r="C28" s="10"/>
      <c r="D28" s="48">
        <f t="shared" si="1"/>
        <v>0</v>
      </c>
      <c r="F28" s="138"/>
      <c r="G28" s="61"/>
      <c r="H28" s="220"/>
      <c r="I28" s="221"/>
      <c r="J28" s="22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140" t="s">
        <v>55</v>
      </c>
      <c r="G29" s="202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143"/>
      <c r="G30" s="203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7" t="s">
        <v>58</v>
      </c>
      <c r="B32" s="188"/>
      <c r="C32" s="188"/>
      <c r="D32" s="189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4">
        <f>F34*G34</f>
        <v>0</v>
      </c>
      <c r="I34" s="185"/>
      <c r="J34" s="18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2"/>
      <c r="B35" s="27" t="s">
        <v>68</v>
      </c>
      <c r="C35" s="52"/>
      <c r="D35" s="30">
        <f>C35*84</f>
        <v>0</v>
      </c>
      <c r="F35" s="58">
        <v>500</v>
      </c>
      <c r="G35" s="41"/>
      <c r="H35" s="184">
        <f>F35*G35</f>
        <v>0</v>
      </c>
      <c r="I35" s="185"/>
      <c r="J35" s="18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83"/>
      <c r="B36" s="26" t="s">
        <v>70</v>
      </c>
      <c r="C36" s="10"/>
      <c r="D36" s="12">
        <f>C36*1.5</f>
        <v>0</v>
      </c>
      <c r="F36" s="12">
        <v>200</v>
      </c>
      <c r="G36" s="37"/>
      <c r="H36" s="184">
        <f t="shared" ref="H36:H39" si="2">F36*G36</f>
        <v>0</v>
      </c>
      <c r="I36" s="185"/>
      <c r="J36" s="18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4">
        <f t="shared" si="2"/>
        <v>0</v>
      </c>
      <c r="I37" s="185"/>
      <c r="J37" s="18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2"/>
      <c r="B38" s="29" t="s">
        <v>68</v>
      </c>
      <c r="C38" s="54"/>
      <c r="D38" s="12">
        <f>C38*84</f>
        <v>0</v>
      </c>
      <c r="F38" s="30">
        <v>50</v>
      </c>
      <c r="G38" s="39"/>
      <c r="H38" s="184">
        <f t="shared" si="2"/>
        <v>0</v>
      </c>
      <c r="I38" s="185"/>
      <c r="J38" s="18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3"/>
      <c r="B39" s="29" t="s">
        <v>70</v>
      </c>
      <c r="C39" s="52"/>
      <c r="D39" s="31">
        <f>C39*4.5</f>
        <v>0</v>
      </c>
      <c r="F39" s="12">
        <v>20</v>
      </c>
      <c r="G39" s="37"/>
      <c r="H39" s="184">
        <f t="shared" si="2"/>
        <v>0</v>
      </c>
      <c r="I39" s="185"/>
      <c r="J39" s="18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8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4"/>
      <c r="I40" s="185"/>
      <c r="J40" s="18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2"/>
      <c r="B41" s="27" t="s">
        <v>68</v>
      </c>
      <c r="C41" s="10"/>
      <c r="D41" s="12">
        <f>C41*84</f>
        <v>0</v>
      </c>
      <c r="F41" s="12">
        <v>5</v>
      </c>
      <c r="G41" s="42"/>
      <c r="H41" s="184"/>
      <c r="I41" s="185"/>
      <c r="J41" s="18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3"/>
      <c r="B42" s="27" t="s">
        <v>70</v>
      </c>
      <c r="C42" s="11"/>
      <c r="D42" s="12">
        <f>C42*2.25</f>
        <v>0</v>
      </c>
      <c r="F42" s="39" t="s">
        <v>79</v>
      </c>
      <c r="G42" s="184"/>
      <c r="H42" s="185"/>
      <c r="I42" s="185"/>
      <c r="J42" s="18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4" t="s">
        <v>81</v>
      </c>
      <c r="C43" s="11"/>
      <c r="D43" s="12"/>
      <c r="F43" s="59" t="s">
        <v>82</v>
      </c>
      <c r="G43" s="135" t="s">
        <v>83</v>
      </c>
      <c r="H43" s="176" t="s">
        <v>13</v>
      </c>
      <c r="I43" s="177"/>
      <c r="J43" s="17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5"/>
      <c r="B44" s="27" t="s">
        <v>66</v>
      </c>
      <c r="C44" s="10"/>
      <c r="D44" s="12">
        <f>C44*120</f>
        <v>0</v>
      </c>
      <c r="F44" s="37"/>
      <c r="G44" s="76"/>
      <c r="H44" s="179"/>
      <c r="I44" s="179"/>
      <c r="J44" s="17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5"/>
      <c r="B45" s="27" t="s">
        <v>68</v>
      </c>
      <c r="C45" s="33"/>
      <c r="D45" s="12">
        <f>C45*84</f>
        <v>0</v>
      </c>
      <c r="F45" s="37"/>
      <c r="G45" s="76"/>
      <c r="H45" s="179"/>
      <c r="I45" s="179"/>
      <c r="J45" s="179"/>
      <c r="K45" s="21"/>
      <c r="P45" s="4"/>
      <c r="Q45" s="4"/>
      <c r="R45" s="5"/>
    </row>
    <row r="46" spans="1:18" ht="15.75" x14ac:dyDescent="0.25">
      <c r="A46" s="155"/>
      <c r="B46" s="49" t="s">
        <v>70</v>
      </c>
      <c r="C46" s="81"/>
      <c r="D46" s="12">
        <f>C46*1.5</f>
        <v>0</v>
      </c>
      <c r="F46" s="37"/>
      <c r="G46" s="62"/>
      <c r="H46" s="180"/>
      <c r="I46" s="180"/>
      <c r="J46" s="180"/>
      <c r="K46" s="21"/>
      <c r="P46" s="4"/>
      <c r="Q46" s="4"/>
      <c r="R46" s="5"/>
    </row>
    <row r="47" spans="1:18" ht="15.75" x14ac:dyDescent="0.25">
      <c r="A47" s="156"/>
      <c r="B47" s="27"/>
      <c r="C47" s="11"/>
      <c r="D47" s="12"/>
      <c r="F47" s="59"/>
      <c r="G47" s="59"/>
      <c r="H47" s="157"/>
      <c r="I47" s="158"/>
      <c r="J47" s="159"/>
      <c r="K47" s="21"/>
      <c r="P47" s="4"/>
      <c r="Q47" s="4"/>
      <c r="R47" s="5"/>
    </row>
    <row r="48" spans="1:18" ht="15" customHeight="1" x14ac:dyDescent="0.25">
      <c r="A48" s="154" t="s">
        <v>32</v>
      </c>
      <c r="B48" s="27" t="s">
        <v>66</v>
      </c>
      <c r="C48" s="10"/>
      <c r="D48" s="12">
        <f>C48*78</f>
        <v>0</v>
      </c>
      <c r="F48" s="59"/>
      <c r="G48" s="59"/>
      <c r="H48" s="157"/>
      <c r="I48" s="158"/>
      <c r="J48" s="15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5"/>
      <c r="B49" s="29" t="s">
        <v>68</v>
      </c>
      <c r="C49" s="33"/>
      <c r="D49" s="12">
        <f>C49*42</f>
        <v>0</v>
      </c>
      <c r="F49" s="160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5"/>
      <c r="B50" s="32" t="s">
        <v>70</v>
      </c>
      <c r="C50" s="11"/>
      <c r="D50" s="12">
        <f>C50*1.5</f>
        <v>0</v>
      </c>
      <c r="F50" s="161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55"/>
      <c r="B51" s="27"/>
      <c r="C51" s="10"/>
      <c r="D51" s="31"/>
      <c r="F51" s="168" t="s">
        <v>138</v>
      </c>
      <c r="G51" s="170">
        <f>G49-H29</f>
        <v>0</v>
      </c>
      <c r="H51" s="171"/>
      <c r="I51" s="171"/>
      <c r="J51" s="17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5"/>
      <c r="B52" s="29"/>
      <c r="C52" s="33"/>
      <c r="D52" s="45"/>
      <c r="F52" s="169"/>
      <c r="G52" s="173"/>
      <c r="H52" s="174"/>
      <c r="I52" s="174"/>
      <c r="J52" s="17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40" t="s">
        <v>90</v>
      </c>
      <c r="B54" s="141"/>
      <c r="C54" s="142"/>
      <c r="D54" s="1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43"/>
      <c r="B55" s="144"/>
      <c r="C55" s="145"/>
      <c r="D55" s="1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8" t="s">
        <v>91</v>
      </c>
      <c r="B58" s="149"/>
      <c r="C58" s="149"/>
      <c r="D58" s="150"/>
      <c r="F58" s="148" t="s">
        <v>92</v>
      </c>
      <c r="G58" s="149"/>
      <c r="H58" s="149"/>
      <c r="I58" s="149"/>
      <c r="J58" s="150"/>
    </row>
    <row r="59" spans="1:18" x14ac:dyDescent="0.25">
      <c r="A59" s="151"/>
      <c r="B59" s="152"/>
      <c r="C59" s="152"/>
      <c r="D59" s="153"/>
      <c r="F59" s="151"/>
      <c r="G59" s="152"/>
      <c r="H59" s="152"/>
      <c r="I59" s="152"/>
      <c r="J59" s="1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(21)</vt:lpstr>
      <vt:lpstr>02,21 R1</vt:lpstr>
      <vt:lpstr>02,21 R2</vt:lpstr>
      <vt:lpstr>02,21 R3</vt:lpstr>
      <vt:lpstr>(23)</vt:lpstr>
      <vt:lpstr>02,23 R1</vt:lpstr>
      <vt:lpstr>02,23 R2</vt:lpstr>
      <vt:lpstr>02,23 R3</vt:lpstr>
      <vt:lpstr>(24)</vt:lpstr>
      <vt:lpstr>02,24 R1</vt:lpstr>
      <vt:lpstr>02,24 R2</vt:lpstr>
      <vt:lpstr>02,24 R3</vt:lpstr>
      <vt:lpstr>(25)</vt:lpstr>
      <vt:lpstr>02,25 R1</vt:lpstr>
      <vt:lpstr>02,25 R2</vt:lpstr>
      <vt:lpstr>02,25 R3</vt:lpstr>
      <vt:lpstr>(26)</vt:lpstr>
      <vt:lpstr>02,26 R1</vt:lpstr>
      <vt:lpstr>02,26 R2</vt:lpstr>
      <vt:lpstr>02,26 R3</vt:lpstr>
      <vt:lpstr>(27)</vt:lpstr>
      <vt:lpstr>02,27 R1</vt:lpstr>
      <vt:lpstr>02,27 R2</vt:lpstr>
      <vt:lpstr>02,27 R3</vt:lpstr>
      <vt:lpstr>(28)</vt:lpstr>
      <vt:lpstr>02,28 R1</vt:lpstr>
      <vt:lpstr>02,28 R2</vt:lpstr>
      <vt:lpstr>02,28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  <vt:lpstr>'02,21 R1'!Print_Area</vt:lpstr>
      <vt:lpstr>'02,21 R2'!Print_Area</vt:lpstr>
      <vt:lpstr>'02,21 R3'!Print_Area</vt:lpstr>
      <vt:lpstr>'02,23 R1'!Print_Area</vt:lpstr>
      <vt:lpstr>'02,23 R2'!Print_Area</vt:lpstr>
      <vt:lpstr>'02,23 R3'!Print_Area</vt:lpstr>
      <vt:lpstr>'02,24 R1'!Print_Area</vt:lpstr>
      <vt:lpstr>'02,24 R2'!Print_Area</vt:lpstr>
      <vt:lpstr>'02,24 R3'!Print_Area</vt:lpstr>
      <vt:lpstr>'02,25 R1'!Print_Area</vt:lpstr>
      <vt:lpstr>'02,25 R2'!Print_Area</vt:lpstr>
      <vt:lpstr>'02,25 R3'!Print_Area</vt:lpstr>
      <vt:lpstr>'02,26 R1'!Print_Area</vt:lpstr>
      <vt:lpstr>'02,26 R2'!Print_Area</vt:lpstr>
      <vt:lpstr>'02,26 R3'!Print_Area</vt:lpstr>
      <vt:lpstr>'02,27 R1'!Print_Area</vt:lpstr>
      <vt:lpstr>'02,27 R2'!Print_Area</vt:lpstr>
      <vt:lpstr>'02,27 R3'!Print_Area</vt:lpstr>
      <vt:lpstr>'02,28 R1'!Print_Area</vt:lpstr>
      <vt:lpstr>'02,28 R2'!Print_Area</vt:lpstr>
      <vt:lpstr>'02,28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2026-02-23T01:25:52Z</cp:lastPrinted>
  <dcterms:created xsi:type="dcterms:W3CDTF">2024-09-01T23:36:50Z</dcterms:created>
  <dcterms:modified xsi:type="dcterms:W3CDTF">2026-02-23T01:26:10Z</dcterms:modified>
</cp:coreProperties>
</file>