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C6F4BAE1-3C3C-4D22-8B2D-97C5BF45B7C1}" xr6:coauthVersionLast="45" xr6:coauthVersionMax="47" xr10:uidLastSave="{00000000-0000-0000-0000-000000000000}"/>
  <bookViews>
    <workbookView xWindow="-120" yWindow="-120" windowWidth="29040" windowHeight="15840" activeTab="10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</sheets>
  <definedNames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757" l="1"/>
  <c r="H16" i="1753" l="1"/>
  <c r="H16" i="1752"/>
  <c r="H16" i="1751"/>
  <c r="C23" i="1753"/>
  <c r="C21" i="1752"/>
  <c r="L26" i="1751"/>
  <c r="L25" i="1751"/>
  <c r="C21" i="1751"/>
  <c r="H16" i="1737" l="1"/>
  <c r="H16" i="1736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G49" i="1773" s="1"/>
  <c r="D36" i="1773"/>
  <c r="R35" i="1773"/>
  <c r="H35" i="1773"/>
  <c r="D35" i="1773"/>
  <c r="D54" i="1773" s="1"/>
  <c r="H14" i="1773" s="1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G49" i="1772" s="1"/>
  <c r="D34" i="1772"/>
  <c r="D54" i="1772" s="1"/>
  <c r="H14" i="1772" s="1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G49" i="1771" s="1"/>
  <c r="D34" i="1771"/>
  <c r="D54" i="1771" s="1"/>
  <c r="H14" i="1771" s="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D54" i="1769" s="1"/>
  <c r="H14" i="1769" s="1"/>
  <c r="R34" i="1769"/>
  <c r="H34" i="1769"/>
  <c r="G49" i="1769" s="1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G49" i="1768" s="1"/>
  <c r="D34" i="1768"/>
  <c r="D54" i="1768" s="1"/>
  <c r="H14" i="1768" s="1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D54" i="1767"/>
  <c r="H14" i="1767" s="1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G49" i="1767" s="1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D54" i="1764"/>
  <c r="H14" i="1764" s="1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G49" i="1764" s="1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G49" i="1763" s="1"/>
  <c r="D34" i="1763"/>
  <c r="D54" i="1763" s="1"/>
  <c r="H14" i="1763" s="1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D54" i="1761" s="1"/>
  <c r="H14" i="1761" s="1"/>
  <c r="R34" i="1761"/>
  <c r="L12" i="1761" s="1"/>
  <c r="D12" i="1761" s="1"/>
  <c r="H34" i="1761"/>
  <c r="G49" i="1761" s="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L25" i="1761"/>
  <c r="D25" i="1761" s="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D54" i="1760"/>
  <c r="H14" i="1760" s="1"/>
  <c r="R52" i="1760"/>
  <c r="R51" i="1760"/>
  <c r="D50" i="1760"/>
  <c r="R49" i="1760"/>
  <c r="G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G49" i="1759" s="1"/>
  <c r="D34" i="1759"/>
  <c r="D54" i="1759" s="1"/>
  <c r="H14" i="1759" s="1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D34" i="1757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D34" i="1756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D36" i="1755"/>
  <c r="R35" i="1755"/>
  <c r="H35" i="1755"/>
  <c r="D35" i="1755"/>
  <c r="R34" i="1755"/>
  <c r="H34" i="1755"/>
  <c r="D34" i="1755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D54" i="1757" l="1"/>
  <c r="H14" i="1757" s="1"/>
  <c r="D54" i="1756"/>
  <c r="H14" i="1756" s="1"/>
  <c r="D54" i="1755"/>
  <c r="H14" i="1755" s="1"/>
  <c r="D29" i="1755"/>
  <c r="H13" i="1755" s="1"/>
  <c r="G49" i="1757"/>
  <c r="G49" i="1756"/>
  <c r="G49" i="1755"/>
  <c r="G49" i="1753"/>
  <c r="G49" i="1752"/>
  <c r="G49" i="1751"/>
  <c r="D54" i="1753"/>
  <c r="H14" i="1753" s="1"/>
  <c r="D54" i="1752"/>
  <c r="H14" i="1752" s="1"/>
  <c r="D54" i="1751"/>
  <c r="H14" i="1751" s="1"/>
  <c r="D29" i="1773"/>
  <c r="H13" i="1773" s="1"/>
  <c r="H15" i="1773" s="1"/>
  <c r="H29" i="1773" s="1"/>
  <c r="G51" i="1773" s="1"/>
  <c r="D29" i="1772"/>
  <c r="H13" i="1772" s="1"/>
  <c r="H15" i="1772" s="1"/>
  <c r="H29" i="1772" s="1"/>
  <c r="G51" i="1772" s="1"/>
  <c r="D29" i="1771"/>
  <c r="H13" i="1771" s="1"/>
  <c r="H15" i="1771" s="1"/>
  <c r="H29" i="1771" s="1"/>
  <c r="G51" i="1771" s="1"/>
  <c r="D29" i="1770"/>
  <c r="H13" i="1770" s="1"/>
  <c r="H15" i="1770" s="1"/>
  <c r="H29" i="1770" s="1"/>
  <c r="G51" i="1770" s="1"/>
  <c r="D29" i="1769"/>
  <c r="H13" i="1769" s="1"/>
  <c r="H15" i="1769" s="1"/>
  <c r="H29" i="1769" s="1"/>
  <c r="G51" i="1769" s="1"/>
  <c r="D29" i="1768"/>
  <c r="H13" i="1768" s="1"/>
  <c r="H15" i="1768" s="1"/>
  <c r="H29" i="1768" s="1"/>
  <c r="G51" i="1768"/>
  <c r="G51" i="1767"/>
  <c r="D29" i="1767"/>
  <c r="H13" i="1767" s="1"/>
  <c r="H15" i="1767" s="1"/>
  <c r="H29" i="1767" s="1"/>
  <c r="D29" i="1766"/>
  <c r="H13" i="1766" s="1"/>
  <c r="H15" i="1766" s="1"/>
  <c r="H29" i="1766" s="1"/>
  <c r="G51" i="1766" s="1"/>
  <c r="G51" i="1765"/>
  <c r="D29" i="1764"/>
  <c r="H13" i="1764" s="1"/>
  <c r="H15" i="1764" s="1"/>
  <c r="H29" i="1764" s="1"/>
  <c r="G51" i="1764" s="1"/>
  <c r="D29" i="1763"/>
  <c r="H13" i="1763" s="1"/>
  <c r="H15" i="1763" s="1"/>
  <c r="H29" i="1763" s="1"/>
  <c r="G51" i="1763"/>
  <c r="D29" i="1762"/>
  <c r="H13" i="1762" s="1"/>
  <c r="H15" i="1762" s="1"/>
  <c r="H29" i="1762" s="1"/>
  <c r="G51" i="1762" s="1"/>
  <c r="D29" i="1761"/>
  <c r="H13" i="1761" s="1"/>
  <c r="H15" i="1761" s="1"/>
  <c r="H29" i="1761" s="1"/>
  <c r="G51" i="1761" s="1"/>
  <c r="D29" i="1760"/>
  <c r="H13" i="1760" s="1"/>
  <c r="H15" i="1760" s="1"/>
  <c r="H29" i="1760" s="1"/>
  <c r="G51" i="1760" s="1"/>
  <c r="D29" i="1759"/>
  <c r="H13" i="1759" s="1"/>
  <c r="H15" i="1759" s="1"/>
  <c r="H29" i="1759" s="1"/>
  <c r="G51" i="1759" s="1"/>
  <c r="D29" i="1758"/>
  <c r="H13" i="1758" s="1"/>
  <c r="H15" i="1758" s="1"/>
  <c r="H29" i="1758" s="1"/>
  <c r="G51" i="1758" s="1"/>
  <c r="D29" i="1757"/>
  <c r="H13" i="1757" s="1"/>
  <c r="D29" i="1756"/>
  <c r="H13" i="1756" s="1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H15" i="1757" l="1"/>
  <c r="H29" i="1757" s="1"/>
  <c r="G51" i="1757" s="1"/>
  <c r="H15" i="1756"/>
  <c r="H29" i="1756" s="1"/>
  <c r="G51" i="1756" s="1"/>
  <c r="H15" i="1755"/>
  <c r="H29" i="1755" s="1"/>
  <c r="G51" i="1755" s="1"/>
  <c r="H15" i="1753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<sst xmlns="http://schemas.openxmlformats.org/spreadsheetml/2006/main" count="3762" uniqueCount="160">
  <si>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</si>
  <si>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</si>
  <si>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</si>
  <si>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</si>
  <si>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</si>
  <si>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</si>
  <si>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</si>
  <si>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</si>
  <si>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</si>
  <si>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</si>
  <si>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</si>
  <si>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</si>
  <si>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</si>
  <si>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</si>
  <si>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</si>
  <si>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</si>
  <si>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</si>
  <si>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</si>
  <si>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</si>
  <si>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</si>
  <si>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</si>
  <si>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</si>
  <si>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</si>
  <si>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</si>
  <si>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</si>
  <si>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</si>
  <si>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</si>
  <si>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</si>
  <si>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</si>
  <si>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</si>
  <si>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</si>
  <si>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</si>
  <si>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</si>
  <si>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</si>
  <si>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</si>
  <si>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</si>
  <si>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</si>
  <si>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</si>
  <si>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</si>
  <si>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</si>
  <si>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</si>
  <si>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</si>
  <si>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</si>
  <si>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</si>
  <si>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</si>
  <si>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</si>
  <si>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</si>
  <si>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</si>
  <si>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</si>
  <si>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</si>
  <si>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</si>
  <si>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</si>
  <si>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</si>
  <si>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</si>
  <si>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</si>
  <si>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</si>
  <si>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</si>
  <si>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</si>
  <si>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</si>
  <si>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</si>
  <si>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</si>
  <si>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</si>
  <si>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</si>
  <si>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</si>
  <si>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</si>
  <si>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</si>
  <si>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</si>
  <si>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</si>
  <si>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</si>
  <si>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</si>
  <si>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</si>
  <si>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</si>
  <si>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</si>
  <si>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</si>
  <si>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</si>
  <si>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</si>
  <si>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</si>
  <si>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</si>
  <si>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</si>
  <si>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</si>
  <si>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</si>
  <si>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</si>
  <si>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</si>
  <si>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</si>
  <si>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</si>
  <si>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</si>
  <si>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</si>
  <si>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</si>
  <si>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</si>
  <si>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</si>
  <si>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</si>
  <si>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</si>
  <si>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</si>
  <si>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</si>
  <si>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</si>
  <si>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</si>
  <si>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</si>
  <si>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</si>
  <si>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</si>
  <si>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</si>
  <si>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</si>
  <si>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</si>
  <si>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</si>
  <si>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</si>
  <si>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</si>
  <si>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</si>
  <si>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</si>
  <si>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</si>
  <si>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</si>
  <si>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</si>
  <si>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</si>
  <si>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</si>
  <si>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</si>
  <si>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</si>
  <si>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</si>
  <si>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</si>
  <si>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</si>
  <si>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</si>
  <si>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</si>
  <si>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</si>
  <si>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</si>
  <si>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</si>
  <si>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</si>
  <si>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</si>
  <si>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</si>
  <si>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</si>
  <si>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</si>
  <si>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</si>
  <si>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</si>
  <si>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</si>
  <si>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</si>
  <si>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</si>
  <si>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</si>
  <si>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</si>
  <si>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</si>
  <si>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</si>
  <si>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</si>
  <si>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</si>
  <si>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</si>
  <si>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</si>
  <si>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</si>
  <si>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</si>
  <si>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</si>
  <si>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</si>
  <si>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</si>
  <si>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</si>
  <si>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</si>
  <si>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</si>
  <si>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</si>
  <si>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</si>
  <si>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</si>
  <si>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</si>
  <si>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</si>
  <si>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</si>
  <si>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</si>
  <si>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</si>
  <si>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</si>
  <si>
    <t>G-CASH</t>
  </si>
  <si>
    <t>42966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</si>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</sst>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4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9" t="s">
        <v>1</v>
      </c>
      <c r="O1" s="99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0" t="s">
        <v>7</v>
      </c>
      <c r="B4" s="101"/>
      <c r="C4" s="101"/>
      <c r="D4" s="102"/>
      <c r="F4" s="103" t="s">
        <v>8</v>
      </c>
      <c r="G4" s="105"/>
      <c r="H4" s="107" t="s">
        <v>9</v>
      </c>
      <c r="I4" s="109"/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4"/>
      <c r="B6" s="16"/>
      <c r="C6" s="10"/>
      <c r="D6" s="13">
        <f t="shared" ref="D6:D28" si="1">C6*L6</f>
        <v>0</v>
      </c>
      <c r="F6" s="116" t="s">
        <v>16</v>
      </c>
      <c r="G6" s="118"/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4"/>
      <c r="B7" s="16"/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4"/>
      <c r="B8" s="16"/>
      <c r="C8" s="10"/>
      <c r="D8" s="13">
        <f t="shared" si="1"/>
        <v>0</v>
      </c>
      <c r="F8" s="124" t="s">
        <v>21</v>
      </c>
      <c r="G8" s="126"/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4"/>
      <c r="B9" s="16"/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4"/>
      <c r="C10" s="10"/>
      <c r="D10" s="13">
        <f t="shared" si="1"/>
        <v>0</v>
      </c>
      <c r="F10" s="116" t="s">
        <v>26</v>
      </c>
      <c r="G10" s="132"/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9" ht="15.75" x14ac:dyDescent="0.25">
      <c r="A11" s="114"/>
      <c r="B11" s="17"/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4"/>
      <c r="B12" s="17"/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4"/>
      <c r="B13" s="17"/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4"/>
      <c r="B14" s="14"/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4"/>
      <c r="B15" s="14"/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/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/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/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/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/>
      <c r="C28" s="10"/>
      <c r="D28" s="48">
        <f t="shared" si="1"/>
        <v>0</v>
      </c>
      <c r="F28" s="87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/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/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/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/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/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/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125</v>
      </c>
      <c r="G51" s="222">
        <f>G49-H29</f>
        <v>0</v>
      </c>
      <c r="H51" s="223"/>
      <c r="I51" s="223"/>
      <c r="J51" s="2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1</v>
      </c>
      <c r="H4" s="107" t="s">
        <v>9</v>
      </c>
      <c r="I4" s="109">
        <v>46055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84">
        <v>283</v>
      </c>
      <c r="D6" s="13">
        <f t="shared" ref="D6:D28" si="1">C6*L6</f>
        <v>215363</v>
      </c>
      <c r="F6" s="116" t="s">
        <v>16</v>
      </c>
      <c r="G6" s="118" t="s">
        <v>111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84">
        <v>10</v>
      </c>
      <c r="D7" s="13">
        <f t="shared" si="1"/>
        <v>7810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84"/>
      <c r="D8" s="13">
        <f t="shared" si="1"/>
        <v>0</v>
      </c>
      <c r="F8" s="124" t="s">
        <v>21</v>
      </c>
      <c r="G8" s="126" t="s">
        <v>144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84">
        <v>118</v>
      </c>
      <c r="D9" s="13">
        <f t="shared" si="1"/>
        <v>86494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84"/>
      <c r="D10" s="13">
        <f t="shared" si="1"/>
        <v>0</v>
      </c>
      <c r="F10" s="116" t="s">
        <v>26</v>
      </c>
      <c r="G10" s="132" t="s">
        <v>139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84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84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84">
        <v>14</v>
      </c>
      <c r="D13" s="48">
        <f t="shared" si="1"/>
        <v>4298</v>
      </c>
      <c r="F13" s="138" t="s">
        <v>36</v>
      </c>
      <c r="G13" s="139"/>
      <c r="H13" s="140">
        <f>D29</f>
        <v>314042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84">
        <v>7</v>
      </c>
      <c r="D14" s="31">
        <f t="shared" si="1"/>
        <v>77</v>
      </c>
      <c r="F14" s="143" t="s">
        <v>39</v>
      </c>
      <c r="G14" s="144"/>
      <c r="H14" s="145">
        <f>D54</f>
        <v>21381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84"/>
      <c r="D15" s="31">
        <f t="shared" si="1"/>
        <v>0</v>
      </c>
      <c r="F15" s="148" t="s">
        <v>40</v>
      </c>
      <c r="G15" s="139"/>
      <c r="H15" s="149">
        <f>H13-H14</f>
        <v>292661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>
        <f>324*6</f>
        <v>1944</v>
      </c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133</v>
      </c>
      <c r="C17" s="84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5"/>
      <c r="I19" s="125"/>
      <c r="J19" s="125"/>
      <c r="L19" s="6">
        <v>1102</v>
      </c>
      <c r="Q19" s="4"/>
      <c r="R19" s="5">
        <f t="shared" si="0"/>
        <v>0</v>
      </c>
    </row>
    <row r="20" spans="1:18" ht="15.75" x14ac:dyDescent="0.25">
      <c r="A20" s="114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124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118</v>
      </c>
      <c r="C24" s="84"/>
      <c r="D24" s="48">
        <f t="shared" si="1"/>
        <v>0</v>
      </c>
      <c r="F24" s="77"/>
      <c r="G24" s="79"/>
      <c r="H24" s="228"/>
      <c r="I24" s="229"/>
      <c r="J24" s="22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132</v>
      </c>
      <c r="C26" s="84"/>
      <c r="D26" s="48">
        <f t="shared" si="1"/>
        <v>0</v>
      </c>
      <c r="F26" s="75"/>
      <c r="G26" s="65"/>
      <c r="H26" s="177"/>
      <c r="I26" s="177"/>
      <c r="J26" s="17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110</v>
      </c>
      <c r="C27" s="84"/>
      <c r="D27" s="44">
        <f t="shared" si="1"/>
        <v>0</v>
      </c>
      <c r="F27" s="71"/>
      <c r="G27" s="90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84"/>
      <c r="D28" s="48">
        <f t="shared" si="1"/>
        <v>0</v>
      </c>
      <c r="F28" s="87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314042</v>
      </c>
      <c r="F29" s="161" t="s">
        <v>55</v>
      </c>
      <c r="G29" s="162"/>
      <c r="H29" s="165">
        <f>H15-H16-H17-H18-H19-H20-H22-H23-H24+H26+H27+H28</f>
        <v>290717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193">
        <f t="shared" ref="H34:H39" si="2">F34*G34</f>
        <v>35000</v>
      </c>
      <c r="I34" s="194"/>
      <c r="J34" s="19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93">
        <f t="shared" si="2"/>
        <v>9500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93">
        <f t="shared" si="2"/>
        <v>0</v>
      </c>
      <c r="I36" s="194"/>
      <c r="J36" s="19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193">
        <f t="shared" si="2"/>
        <v>5800</v>
      </c>
      <c r="I37" s="194"/>
      <c r="J37" s="19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193">
        <f t="shared" si="2"/>
        <v>700</v>
      </c>
      <c r="I38" s="194"/>
      <c r="J38" s="19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3"/>
      <c r="I40" s="194"/>
      <c r="J40" s="19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>
        <v>101</v>
      </c>
      <c r="H42" s="194"/>
      <c r="I42" s="194"/>
      <c r="J42" s="19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177">
        <v>233510.5</v>
      </c>
      <c r="I44" s="177"/>
      <c r="J44" s="17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 t="s">
        <v>146</v>
      </c>
      <c r="G45" s="62"/>
      <c r="H45" s="177">
        <v>5935.5</v>
      </c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>
        <v>3</v>
      </c>
      <c r="D49" s="12">
        <f>C49*42</f>
        <v>126</v>
      </c>
      <c r="F49" s="218" t="s">
        <v>86</v>
      </c>
      <c r="G49" s="165">
        <f>H34+H35+H36+H37+H38+H39+H40+H41+G42+H44+H45+H46</f>
        <v>290547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>
        <v>34</v>
      </c>
      <c r="D50" s="12">
        <f>C50*1.5</f>
        <v>51</v>
      </c>
      <c r="F50" s="219"/>
      <c r="G50" s="168"/>
      <c r="H50" s="169"/>
      <c r="I50" s="169"/>
      <c r="J50" s="170"/>
      <c r="O50" t="s">
        <v>137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128</v>
      </c>
      <c r="G51" s="232">
        <f>G49-H29</f>
        <v>-170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2</v>
      </c>
      <c r="H4" s="107" t="s">
        <v>9</v>
      </c>
      <c r="I4" s="109">
        <v>46055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>
        <v>458</v>
      </c>
      <c r="D6" s="13">
        <f t="shared" ref="D6:D28" si="1">C6*L6</f>
        <v>348538</v>
      </c>
      <c r="F6" s="116" t="s">
        <v>16</v>
      </c>
      <c r="G6" s="118" t="s">
        <v>126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>
        <v>11</v>
      </c>
      <c r="D7" s="13">
        <f t="shared" si="1"/>
        <v>8591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113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>
        <v>53</v>
      </c>
      <c r="D9" s="13">
        <f t="shared" si="1"/>
        <v>38849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114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>
        <v>20</v>
      </c>
      <c r="D13" s="48">
        <f t="shared" si="1"/>
        <v>6140</v>
      </c>
      <c r="F13" s="138" t="s">
        <v>36</v>
      </c>
      <c r="G13" s="139"/>
      <c r="H13" s="140">
        <f>D29</f>
        <v>403660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>
        <v>22</v>
      </c>
      <c r="D14" s="31">
        <f t="shared" si="1"/>
        <v>242</v>
      </c>
      <c r="F14" s="143" t="s">
        <v>39</v>
      </c>
      <c r="G14" s="144"/>
      <c r="H14" s="145">
        <f>D54</f>
        <v>63054.75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340605.25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492*6</f>
        <v>2952</v>
      </c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93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5"/>
      <c r="I20" s="125"/>
      <c r="J20" s="12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/>
      <c r="D23" s="48">
        <f t="shared" si="1"/>
        <v>0</v>
      </c>
      <c r="F23" s="25"/>
      <c r="G23" s="37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120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/>
      <c r="D28" s="48">
        <f t="shared" si="1"/>
        <v>0</v>
      </c>
      <c r="F28" s="87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403660</v>
      </c>
      <c r="F29" s="161" t="s">
        <v>55</v>
      </c>
      <c r="G29" s="162"/>
      <c r="H29" s="165">
        <f>H15-H16-H17-H18-H19-H20-H22-H23-H24+H26+H27</f>
        <v>337653.25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93">
        <f>F34*G34</f>
        <v>154000</v>
      </c>
      <c r="I34" s="194"/>
      <c r="J34" s="19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193">
        <f t="shared" ref="H35:H39" si="2">F35*G35</f>
        <v>154500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3">
        <f>F36*G36</f>
        <v>400</v>
      </c>
      <c r="I36" s="194"/>
      <c r="J36" s="19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193">
        <f t="shared" si="2"/>
        <v>18700</v>
      </c>
      <c r="I37" s="194"/>
      <c r="J37" s="19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193">
        <f t="shared" si="2"/>
        <v>10100</v>
      </c>
      <c r="I38" s="194"/>
      <c r="J38" s="19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3">
        <v>66</v>
      </c>
      <c r="H42" s="194"/>
      <c r="I42" s="194"/>
      <c r="J42" s="19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>
        <v>1</v>
      </c>
      <c r="D46" s="12">
        <f>C46*1.5</f>
        <v>1.5</v>
      </c>
      <c r="F46" s="37"/>
      <c r="G46" s="89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>
        <v>21</v>
      </c>
      <c r="D49" s="12">
        <f>C49*42</f>
        <v>882</v>
      </c>
      <c r="F49" s="218" t="s">
        <v>86</v>
      </c>
      <c r="G49" s="165">
        <f>H34+H35+H36+H37+H38+H39+H40+H41+G42+H44+H45+H46</f>
        <v>337766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>
        <v>18</v>
      </c>
      <c r="D50" s="12">
        <f>C50*1.5</f>
        <v>27</v>
      </c>
      <c r="F50" s="219"/>
      <c r="G50" s="168"/>
      <c r="H50" s="169"/>
      <c r="I50" s="169"/>
      <c r="J50" s="170"/>
      <c r="O50" t="s">
        <v>137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135</v>
      </c>
      <c r="G51" s="222">
        <f>G49-H29</f>
        <v>112.75</v>
      </c>
      <c r="H51" s="223"/>
      <c r="I51" s="223"/>
      <c r="J51" s="2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3</v>
      </c>
      <c r="H4" s="107" t="s">
        <v>9</v>
      </c>
      <c r="I4" s="109">
        <v>46055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>
        <v>330</v>
      </c>
      <c r="D6" s="13">
        <f t="shared" ref="D6:D28" si="1">C6*L6</f>
        <v>251130</v>
      </c>
      <c r="F6" s="116" t="s">
        <v>16</v>
      </c>
      <c r="G6" s="118" t="s">
        <v>141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>
        <v>7</v>
      </c>
      <c r="D7" s="13">
        <f t="shared" si="1"/>
        <v>5467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130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>
        <v>40</v>
      </c>
      <c r="D9" s="13">
        <f t="shared" si="1"/>
        <v>29320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127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>
        <v>5</v>
      </c>
      <c r="D12" s="48">
        <f t="shared" si="1"/>
        <v>4960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>
        <v>7</v>
      </c>
      <c r="D13" s="48">
        <f t="shared" si="1"/>
        <v>2149</v>
      </c>
      <c r="F13" s="138" t="s">
        <v>36</v>
      </c>
      <c r="G13" s="139"/>
      <c r="H13" s="140">
        <f>D29</f>
        <v>293070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>
        <v>4</v>
      </c>
      <c r="D14" s="31">
        <f t="shared" si="1"/>
        <v>44</v>
      </c>
      <c r="F14" s="143" t="s">
        <v>39</v>
      </c>
      <c r="G14" s="144"/>
      <c r="H14" s="145">
        <f>D54</f>
        <v>43414.5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249655.5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108*6</f>
        <v>648</v>
      </c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112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101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/>
      <c r="D28" s="48">
        <f t="shared" si="1"/>
        <v>0</v>
      </c>
      <c r="F28" s="87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293070</v>
      </c>
      <c r="F29" s="161" t="s">
        <v>55</v>
      </c>
      <c r="G29" s="162"/>
      <c r="H29" s="165">
        <f>H15-H16-H17-H18-H19-H20-H22-H23-H24+H26+H27</f>
        <v>249007.5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93">
        <f>F34*G34</f>
        <v>144000</v>
      </c>
      <c r="I34" s="194"/>
      <c r="J34" s="19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193">
        <f>F35*G35</f>
        <v>28500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 t="shared" ref="H36:H39" si="2">F36*G36</f>
        <v>0</v>
      </c>
      <c r="I36" s="194"/>
      <c r="J36" s="19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193">
        <f t="shared" si="2"/>
        <v>9200</v>
      </c>
      <c r="I37" s="194"/>
      <c r="J37" s="19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193">
        <f t="shared" si="2"/>
        <v>350</v>
      </c>
      <c r="I38" s="194"/>
      <c r="J38" s="19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193">
        <f t="shared" si="2"/>
        <v>40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3"/>
      <c r="I40" s="194"/>
      <c r="J40" s="19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70</v>
      </c>
      <c r="C42" s="11">
        <v>4</v>
      </c>
      <c r="D42" s="12">
        <f>C42*2.25</f>
        <v>9</v>
      </c>
      <c r="F42" s="39" t="s">
        <v>79</v>
      </c>
      <c r="G42" s="193">
        <v>119</v>
      </c>
      <c r="H42" s="194"/>
      <c r="I42" s="194"/>
      <c r="J42" s="19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0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177">
        <v>67807</v>
      </c>
      <c r="I44" s="177"/>
      <c r="J44" s="17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>
        <v>2</v>
      </c>
      <c r="D49" s="12">
        <f>C49*42</f>
        <v>84</v>
      </c>
      <c r="F49" s="218" t="s">
        <v>86</v>
      </c>
      <c r="G49" s="165">
        <f>H34+H35+H36+H37+H38+H39+H40+H41+G42+H44+H45+H46</f>
        <v>250016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>
        <v>7</v>
      </c>
      <c r="D50" s="12">
        <f>C50*1.5</f>
        <v>10.5</v>
      </c>
      <c r="F50" s="219"/>
      <c r="G50" s="168"/>
      <c r="H50" s="169"/>
      <c r="I50" s="169"/>
      <c r="J50" s="170"/>
      <c r="O50" t="s">
        <v>137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138</v>
      </c>
      <c r="G51" s="222">
        <f>G49-H29</f>
        <v>1008.5</v>
      </c>
      <c r="H51" s="223"/>
      <c r="I51" s="223"/>
      <c r="J51" s="2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0" t="s">
        <v>7</v>
      </c>
      <c r="B4" s="101"/>
      <c r="C4" s="101"/>
      <c r="D4" s="102"/>
      <c r="F4" s="103" t="s">
        <v>8</v>
      </c>
      <c r="G4" s="105"/>
      <c r="H4" s="107" t="s">
        <v>9</v>
      </c>
      <c r="I4" s="109"/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4"/>
      <c r="B6" s="16"/>
      <c r="C6" s="10"/>
      <c r="D6" s="13">
        <f t="shared" ref="D6:D28" si="1">C6*L6</f>
        <v>0</v>
      </c>
      <c r="F6" s="116" t="s">
        <v>16</v>
      </c>
      <c r="G6" s="118"/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4"/>
      <c r="B7" s="16"/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4"/>
      <c r="B8" s="16"/>
      <c r="C8" s="10"/>
      <c r="D8" s="13">
        <f t="shared" si="1"/>
        <v>0</v>
      </c>
      <c r="F8" s="124" t="s">
        <v>21</v>
      </c>
      <c r="G8" s="126"/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4"/>
      <c r="B9" s="16"/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4"/>
      <c r="C10" s="10"/>
      <c r="D10" s="13">
        <f t="shared" si="1"/>
        <v>0</v>
      </c>
      <c r="F10" s="116" t="s">
        <v>26</v>
      </c>
      <c r="G10" s="132"/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9" ht="15.75" x14ac:dyDescent="0.25">
      <c r="A11" s="114"/>
      <c r="B11" s="17"/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4"/>
      <c r="B12" s="17"/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4"/>
      <c r="B13" s="17"/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4"/>
      <c r="B14" s="14"/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4"/>
      <c r="B15" s="14"/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/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/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/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/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/>
      <c r="C28" s="10"/>
      <c r="D28" s="48">
        <f t="shared" si="1"/>
        <v>0</v>
      </c>
      <c r="F28" s="92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/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/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/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/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/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/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5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125</v>
      </c>
      <c r="G51" s="222">
        <f>G49-H29</f>
        <v>0</v>
      </c>
      <c r="H51" s="223"/>
      <c r="I51" s="223"/>
      <c r="J51" s="2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1</v>
      </c>
      <c r="H4" s="107" t="s">
        <v>9</v>
      </c>
      <c r="I4" s="109">
        <v>46056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84">
        <v>307</v>
      </c>
      <c r="D6" s="13">
        <f t="shared" ref="D6:D28" si="1">C6*L6</f>
        <v>233627</v>
      </c>
      <c r="F6" s="116" t="s">
        <v>16</v>
      </c>
      <c r="G6" s="118" t="s">
        <v>111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84">
        <v>8</v>
      </c>
      <c r="D7" s="13">
        <f t="shared" si="1"/>
        <v>6248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84"/>
      <c r="D8" s="13">
        <f t="shared" si="1"/>
        <v>0</v>
      </c>
      <c r="F8" s="124" t="s">
        <v>21</v>
      </c>
      <c r="G8" s="126" t="s">
        <v>144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84">
        <v>20</v>
      </c>
      <c r="D9" s="13">
        <f t="shared" si="1"/>
        <v>14660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84"/>
      <c r="D10" s="13">
        <f t="shared" si="1"/>
        <v>0</v>
      </c>
      <c r="F10" s="116" t="s">
        <v>26</v>
      </c>
      <c r="G10" s="132" t="s">
        <v>139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84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84">
        <v>1</v>
      </c>
      <c r="D12" s="48">
        <f t="shared" si="1"/>
        <v>992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84">
        <v>2</v>
      </c>
      <c r="D13" s="48">
        <f t="shared" si="1"/>
        <v>614</v>
      </c>
      <c r="F13" s="138" t="s">
        <v>36</v>
      </c>
      <c r="G13" s="139"/>
      <c r="H13" s="140">
        <f>D29</f>
        <v>263815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84">
        <v>2</v>
      </c>
      <c r="D14" s="31">
        <f t="shared" si="1"/>
        <v>22</v>
      </c>
      <c r="F14" s="143" t="s">
        <v>39</v>
      </c>
      <c r="G14" s="144"/>
      <c r="H14" s="145">
        <f>D54</f>
        <v>36288.75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84"/>
      <c r="D15" s="31">
        <f t="shared" si="1"/>
        <v>0</v>
      </c>
      <c r="F15" s="148" t="s">
        <v>40</v>
      </c>
      <c r="G15" s="139"/>
      <c r="H15" s="149">
        <f>H13-H14</f>
        <v>227526.25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>
        <f>6*6</f>
        <v>36</v>
      </c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133</v>
      </c>
      <c r="C17" s="84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52">
        <v>50</v>
      </c>
      <c r="I19" s="152"/>
      <c r="J19" s="152"/>
      <c r="L19" s="6">
        <v>1102</v>
      </c>
      <c r="Q19" s="4"/>
      <c r="R19" s="5">
        <f t="shared" si="0"/>
        <v>0</v>
      </c>
    </row>
    <row r="20" spans="1:18" ht="15.75" x14ac:dyDescent="0.25">
      <c r="A20" s="114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124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118</v>
      </c>
      <c r="C24" s="84"/>
      <c r="D24" s="48">
        <f t="shared" si="1"/>
        <v>0</v>
      </c>
      <c r="F24" s="77"/>
      <c r="G24" s="79"/>
      <c r="H24" s="228"/>
      <c r="I24" s="229"/>
      <c r="J24" s="22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151</v>
      </c>
      <c r="C26" s="84">
        <v>12</v>
      </c>
      <c r="D26" s="48">
        <f t="shared" si="1"/>
        <v>454</v>
      </c>
      <c r="F26" s="75"/>
      <c r="G26" s="65"/>
      <c r="H26" s="177"/>
      <c r="I26" s="177"/>
      <c r="J26" s="177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110</v>
      </c>
      <c r="C27" s="84"/>
      <c r="D27" s="44">
        <f t="shared" si="1"/>
        <v>0</v>
      </c>
      <c r="F27" s="71"/>
      <c r="G27" s="95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84">
        <v>5</v>
      </c>
      <c r="D28" s="48">
        <f t="shared" si="1"/>
        <v>4055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263815</v>
      </c>
      <c r="F29" s="161" t="s">
        <v>55</v>
      </c>
      <c r="G29" s="162"/>
      <c r="H29" s="165">
        <f>H15-H16-H17-H18-H19-H20-H22-H23-H24+H26+H27+H28</f>
        <v>227440.25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93">
        <f t="shared" ref="H34:H39" si="2">F34*G34</f>
        <v>191000</v>
      </c>
      <c r="I34" s="194"/>
      <c r="J34" s="19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193">
        <f t="shared" si="2"/>
        <v>33500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 t="shared" si="2"/>
        <v>0</v>
      </c>
      <c r="I36" s="194"/>
      <c r="J36" s="19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193">
        <f t="shared" si="2"/>
        <v>2600</v>
      </c>
      <c r="I37" s="194"/>
      <c r="J37" s="19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93">
        <f t="shared" si="2"/>
        <v>100</v>
      </c>
      <c r="I38" s="194"/>
      <c r="J38" s="19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3"/>
      <c r="I40" s="194"/>
      <c r="J40" s="19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70</v>
      </c>
      <c r="C42" s="11">
        <v>5</v>
      </c>
      <c r="D42" s="12">
        <f>C42*2.25</f>
        <v>11.25</v>
      </c>
      <c r="F42" s="39" t="s">
        <v>79</v>
      </c>
      <c r="G42" s="193">
        <v>19</v>
      </c>
      <c r="H42" s="194"/>
      <c r="I42" s="194"/>
      <c r="J42" s="19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5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>
        <v>1</v>
      </c>
      <c r="D44" s="12">
        <f>C44*120</f>
        <v>120</v>
      </c>
      <c r="F44" s="37"/>
      <c r="G44" s="85"/>
      <c r="H44" s="177"/>
      <c r="I44" s="177"/>
      <c r="J44" s="17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68</v>
      </c>
      <c r="C45" s="33">
        <v>2</v>
      </c>
      <c r="D45" s="12">
        <f>C45*84</f>
        <v>168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>
        <v>20</v>
      </c>
      <c r="D46" s="12">
        <f>C46*1.5</f>
        <v>30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227219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>
        <v>10</v>
      </c>
      <c r="D50" s="12">
        <f>C50*1.5</f>
        <v>15</v>
      </c>
      <c r="F50" s="219"/>
      <c r="G50" s="168"/>
      <c r="H50" s="169"/>
      <c r="I50" s="169"/>
      <c r="J50" s="170"/>
      <c r="O50" t="s">
        <v>137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128</v>
      </c>
      <c r="G51" s="232">
        <f>G49-H29</f>
        <v>-221.25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2</v>
      </c>
      <c r="H4" s="107" t="s">
        <v>9</v>
      </c>
      <c r="I4" s="109">
        <v>46056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>
        <v>242</v>
      </c>
      <c r="D6" s="13">
        <f t="shared" ref="D6:D28" si="1">C6*L6</f>
        <v>184162</v>
      </c>
      <c r="F6" s="116" t="s">
        <v>16</v>
      </c>
      <c r="G6" s="118" t="s">
        <v>126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>
        <v>7</v>
      </c>
      <c r="D7" s="13">
        <f t="shared" si="1"/>
        <v>5467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113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>
        <v>33</v>
      </c>
      <c r="D9" s="13">
        <f t="shared" si="1"/>
        <v>24189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114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>
        <v>4</v>
      </c>
      <c r="D13" s="48">
        <f t="shared" si="1"/>
        <v>1228</v>
      </c>
      <c r="F13" s="138" t="s">
        <v>36</v>
      </c>
      <c r="G13" s="139"/>
      <c r="H13" s="140">
        <f>D29</f>
        <v>216897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>
        <v>9</v>
      </c>
      <c r="D14" s="31">
        <f t="shared" si="1"/>
        <v>99</v>
      </c>
      <c r="F14" s="143" t="s">
        <v>39</v>
      </c>
      <c r="G14" s="144"/>
      <c r="H14" s="145">
        <f>D54</f>
        <v>35701.5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181195.5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140*6</f>
        <v>840</v>
      </c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93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5"/>
      <c r="I20" s="125"/>
      <c r="J20" s="12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/>
      <c r="D23" s="48">
        <f t="shared" si="1"/>
        <v>0</v>
      </c>
      <c r="F23" s="25"/>
      <c r="G23" s="37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120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216897</v>
      </c>
      <c r="F29" s="161" t="s">
        <v>55</v>
      </c>
      <c r="G29" s="162"/>
      <c r="H29" s="165">
        <f>H15-H16-H17-H18-H19-H20-H22-H23-H24+H26+H27</f>
        <v>180355.5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93">
        <f>F34*G34</f>
        <v>154000</v>
      </c>
      <c r="I34" s="194"/>
      <c r="J34" s="19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93">
        <f t="shared" ref="H35:H39" si="2">F35*G35</f>
        <v>25500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>F36*G36</f>
        <v>0</v>
      </c>
      <c r="I36" s="194"/>
      <c r="J36" s="19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193">
        <f t="shared" si="2"/>
        <v>700</v>
      </c>
      <c r="I37" s="194"/>
      <c r="J37" s="19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93">
        <f t="shared" si="2"/>
        <v>50</v>
      </c>
      <c r="I38" s="194"/>
      <c r="J38" s="19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70</v>
      </c>
      <c r="C42" s="11">
        <v>12</v>
      </c>
      <c r="D42" s="12">
        <f>C42*2.25</f>
        <v>27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5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94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>
        <v>2</v>
      </c>
      <c r="D49" s="12">
        <f>C49*42</f>
        <v>84</v>
      </c>
      <c r="F49" s="218" t="s">
        <v>86</v>
      </c>
      <c r="G49" s="165">
        <f>H34+H35+H36+H37+H38+H39+H40+H41+G42+H44+H45+H46</f>
        <v>180250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>
        <v>4</v>
      </c>
      <c r="D50" s="12">
        <f>C50*1.5</f>
        <v>6</v>
      </c>
      <c r="F50" s="219"/>
      <c r="G50" s="168"/>
      <c r="H50" s="169"/>
      <c r="I50" s="169"/>
      <c r="J50" s="170"/>
      <c r="O50" t="s">
        <v>137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155</v>
      </c>
      <c r="G51" s="232">
        <f>G49-H29</f>
        <v>-105.5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3</v>
      </c>
      <c r="H4" s="107" t="s">
        <v>9</v>
      </c>
      <c r="I4" s="109">
        <v>46056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>
        <v>414</v>
      </c>
      <c r="D6" s="13">
        <f t="shared" ref="D6:D28" si="1">C6*L6</f>
        <v>315054</v>
      </c>
      <c r="F6" s="116" t="s">
        <v>16</v>
      </c>
      <c r="G6" s="118" t="s">
        <v>141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>
        <v>4</v>
      </c>
      <c r="D7" s="13">
        <f t="shared" si="1"/>
        <v>3124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130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>
        <v>35</v>
      </c>
      <c r="D9" s="13">
        <f t="shared" si="1"/>
        <v>25655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154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>
        <v>3</v>
      </c>
      <c r="D12" s="48">
        <f t="shared" si="1"/>
        <v>2976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>
        <v>12</v>
      </c>
      <c r="D13" s="48">
        <f t="shared" si="1"/>
        <v>3684</v>
      </c>
      <c r="F13" s="138" t="s">
        <v>36</v>
      </c>
      <c r="G13" s="139"/>
      <c r="H13" s="140">
        <f>D29</f>
        <v>355427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>
        <v>4</v>
      </c>
      <c r="D14" s="31">
        <f t="shared" si="1"/>
        <v>44</v>
      </c>
      <c r="F14" s="143" t="s">
        <v>39</v>
      </c>
      <c r="G14" s="144"/>
      <c r="H14" s="145">
        <f>D54</f>
        <v>51192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304235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329*6+50*6</f>
        <v>2274</v>
      </c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112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98" t="s">
        <v>153</v>
      </c>
      <c r="C23" s="10">
        <f>1+1</f>
        <v>2</v>
      </c>
      <c r="D23" s="48">
        <f t="shared" si="1"/>
        <v>2350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101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355427</v>
      </c>
      <c r="F29" s="161" t="s">
        <v>55</v>
      </c>
      <c r="G29" s="162"/>
      <c r="H29" s="165">
        <f>H15-H16-H17-H18-H19-H20-H22-H23-H24+H26+H27</f>
        <v>301961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193">
        <f>F34*G34</f>
        <v>54000</v>
      </c>
      <c r="I34" s="194"/>
      <c r="J34" s="19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93">
        <f>F35*G35</f>
        <v>21000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93">
        <f t="shared" ref="H36:H39" si="2">F36*G36</f>
        <v>600</v>
      </c>
      <c r="I36" s="194"/>
      <c r="J36" s="19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193">
        <f t="shared" si="2"/>
        <v>8300</v>
      </c>
      <c r="I37" s="194"/>
      <c r="J37" s="19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193">
        <f t="shared" si="2"/>
        <v>550</v>
      </c>
      <c r="I38" s="194"/>
      <c r="J38" s="19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3"/>
      <c r="I40" s="194"/>
      <c r="J40" s="19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70</v>
      </c>
      <c r="C42" s="11">
        <v>6</v>
      </c>
      <c r="D42" s="12">
        <f>C42*2.25</f>
        <v>13.5</v>
      </c>
      <c r="F42" s="39" t="s">
        <v>79</v>
      </c>
      <c r="G42" s="193">
        <v>480</v>
      </c>
      <c r="H42" s="194"/>
      <c r="I42" s="194"/>
      <c r="J42" s="19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5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177">
        <v>216552</v>
      </c>
      <c r="I44" s="177"/>
      <c r="J44" s="17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68</v>
      </c>
      <c r="C45" s="33">
        <v>1</v>
      </c>
      <c r="D45" s="12">
        <f>C45*84</f>
        <v>84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>
        <v>23</v>
      </c>
      <c r="D46" s="12">
        <f>C46*1.5</f>
        <v>34.5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>
        <v>7</v>
      </c>
      <c r="D49" s="12">
        <f>C49*42</f>
        <v>294</v>
      </c>
      <c r="F49" s="218" t="s">
        <v>86</v>
      </c>
      <c r="G49" s="165">
        <f>H34+H35+H36+H37+H38+H39+H40+H41+G42+H44+H45+H46</f>
        <v>301482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>
        <v>20</v>
      </c>
      <c r="D50" s="12">
        <f>C50*1.5</f>
        <v>30</v>
      </c>
      <c r="F50" s="219"/>
      <c r="G50" s="168"/>
      <c r="H50" s="169"/>
      <c r="I50" s="169"/>
      <c r="J50" s="170"/>
      <c r="O50" t="s">
        <v>137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128</v>
      </c>
      <c r="G51" s="232">
        <f>G49-H29</f>
        <v>-479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0" t="s">
        <v>7</v>
      </c>
      <c r="B4" s="101"/>
      <c r="C4" s="101"/>
      <c r="D4" s="102"/>
      <c r="F4" s="103" t="s">
        <v>8</v>
      </c>
      <c r="G4" s="105"/>
      <c r="H4" s="107" t="s">
        <v>9</v>
      </c>
      <c r="I4" s="109"/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4"/>
      <c r="B6" s="16"/>
      <c r="C6" s="10"/>
      <c r="D6" s="13">
        <f t="shared" ref="D6:D28" si="1">C6*L6</f>
        <v>0</v>
      </c>
      <c r="F6" s="116" t="s">
        <v>16</v>
      </c>
      <c r="G6" s="118"/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4"/>
      <c r="B7" s="16"/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4"/>
      <c r="B8" s="16"/>
      <c r="C8" s="10"/>
      <c r="D8" s="13">
        <f t="shared" si="1"/>
        <v>0</v>
      </c>
      <c r="F8" s="124" t="s">
        <v>21</v>
      </c>
      <c r="G8" s="126"/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4"/>
      <c r="B9" s="16"/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4"/>
      <c r="C10" s="10"/>
      <c r="D10" s="13">
        <f t="shared" si="1"/>
        <v>0</v>
      </c>
      <c r="F10" s="116" t="s">
        <v>26</v>
      </c>
      <c r="G10" s="132"/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9" ht="15.75" x14ac:dyDescent="0.25">
      <c r="A11" s="114"/>
      <c r="B11" s="17"/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4"/>
      <c r="B12" s="17"/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4"/>
      <c r="B13" s="17"/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4"/>
      <c r="B14" s="14"/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4"/>
      <c r="B15" s="14"/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/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/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/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/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/>
      <c r="C28" s="10"/>
      <c r="D28" s="48">
        <f t="shared" si="1"/>
        <v>0</v>
      </c>
      <c r="F28" s="92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/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/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/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/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/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/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5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125</v>
      </c>
      <c r="G51" s="222">
        <f>G49-H29</f>
        <v>0</v>
      </c>
      <c r="H51" s="223"/>
      <c r="I51" s="223"/>
      <c r="J51" s="2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1</v>
      </c>
      <c r="H4" s="107" t="s">
        <v>9</v>
      </c>
      <c r="I4" s="109">
        <v>46057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84">
        <v>235</v>
      </c>
      <c r="D6" s="13">
        <f t="shared" ref="D6:D28" si="1">C6*L6</f>
        <v>178835</v>
      </c>
      <c r="F6" s="116" t="s">
        <v>16</v>
      </c>
      <c r="G6" s="118" t="s">
        <v>111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84">
        <v>2</v>
      </c>
      <c r="D7" s="13">
        <f t="shared" si="1"/>
        <v>1562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84"/>
      <c r="D8" s="13">
        <f t="shared" si="1"/>
        <v>0</v>
      </c>
      <c r="F8" s="124" t="s">
        <v>21</v>
      </c>
      <c r="G8" s="126" t="s">
        <v>144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84">
        <v>22</v>
      </c>
      <c r="D9" s="13">
        <f t="shared" si="1"/>
        <v>16126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84"/>
      <c r="D10" s="13">
        <f t="shared" si="1"/>
        <v>0</v>
      </c>
      <c r="F10" s="116" t="s">
        <v>26</v>
      </c>
      <c r="G10" s="132" t="s">
        <v>139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84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84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84">
        <v>5</v>
      </c>
      <c r="D13" s="48">
        <f t="shared" si="1"/>
        <v>1535</v>
      </c>
      <c r="F13" s="138" t="s">
        <v>36</v>
      </c>
      <c r="G13" s="139"/>
      <c r="H13" s="140">
        <f>D29</f>
        <v>198091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84">
        <v>3</v>
      </c>
      <c r="D14" s="31">
        <f t="shared" si="1"/>
        <v>33</v>
      </c>
      <c r="F14" s="143" t="s">
        <v>39</v>
      </c>
      <c r="G14" s="144"/>
      <c r="H14" s="145">
        <f>D54</f>
        <v>31146.75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84"/>
      <c r="D15" s="31">
        <f t="shared" si="1"/>
        <v>0</v>
      </c>
      <c r="F15" s="148" t="s">
        <v>40</v>
      </c>
      <c r="G15" s="139"/>
      <c r="H15" s="149">
        <f>H13-H14</f>
        <v>166944.25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133</v>
      </c>
      <c r="C17" s="84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5"/>
      <c r="I19" s="125"/>
      <c r="J19" s="125"/>
      <c r="L19" s="6">
        <v>1102</v>
      </c>
      <c r="Q19" s="4"/>
      <c r="R19" s="5">
        <f t="shared" si="0"/>
        <v>0</v>
      </c>
    </row>
    <row r="20" spans="1:18" ht="15.75" x14ac:dyDescent="0.25">
      <c r="A20" s="114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124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118</v>
      </c>
      <c r="C24" s="84"/>
      <c r="D24" s="48">
        <f t="shared" si="1"/>
        <v>0</v>
      </c>
      <c r="F24" s="77"/>
      <c r="G24" s="79"/>
      <c r="H24" s="228"/>
      <c r="I24" s="229"/>
      <c r="J24" s="22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132</v>
      </c>
      <c r="C26" s="84"/>
      <c r="D26" s="48">
        <f t="shared" si="1"/>
        <v>0</v>
      </c>
      <c r="F26" s="75"/>
      <c r="G26" s="65"/>
      <c r="H26" s="177"/>
      <c r="I26" s="177"/>
      <c r="J26" s="17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110</v>
      </c>
      <c r="C27" s="84"/>
      <c r="D27" s="44">
        <f t="shared" si="1"/>
        <v>0</v>
      </c>
      <c r="F27" s="71"/>
      <c r="G27" s="95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84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198091</v>
      </c>
      <c r="F29" s="161" t="s">
        <v>55</v>
      </c>
      <c r="G29" s="162"/>
      <c r="H29" s="165">
        <f>H15-H16-H17-H18-H19-H20-H22-H23-H24+H26+H27+H28</f>
        <v>166944.25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93">
        <f t="shared" ref="H34:H39" si="2">F34*G34</f>
        <v>120000</v>
      </c>
      <c r="I34" s="194"/>
      <c r="J34" s="19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93">
        <f t="shared" si="2"/>
        <v>16000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3">
        <f t="shared" si="2"/>
        <v>200</v>
      </c>
      <c r="I36" s="194"/>
      <c r="J36" s="19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5</v>
      </c>
      <c r="H37" s="193">
        <f t="shared" si="2"/>
        <v>500</v>
      </c>
      <c r="I37" s="194"/>
      <c r="J37" s="19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93">
        <f t="shared" si="2"/>
        <v>200</v>
      </c>
      <c r="I38" s="194"/>
      <c r="J38" s="19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3"/>
      <c r="I40" s="194"/>
      <c r="J40" s="19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70</v>
      </c>
      <c r="C42" s="11">
        <v>5</v>
      </c>
      <c r="D42" s="12">
        <f>C42*2.25</f>
        <v>11.25</v>
      </c>
      <c r="F42" s="39" t="s">
        <v>79</v>
      </c>
      <c r="G42" s="193">
        <v>25</v>
      </c>
      <c r="H42" s="194"/>
      <c r="I42" s="194"/>
      <c r="J42" s="19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5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 t="s">
        <v>157</v>
      </c>
      <c r="G44" s="85"/>
      <c r="H44" s="177">
        <v>30000</v>
      </c>
      <c r="I44" s="177"/>
      <c r="J44" s="17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166925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>
        <v>43</v>
      </c>
      <c r="D50" s="12">
        <f>C50*1.5</f>
        <v>64.5</v>
      </c>
      <c r="F50" s="219"/>
      <c r="G50" s="168"/>
      <c r="H50" s="169"/>
      <c r="I50" s="169"/>
      <c r="J50" s="170"/>
      <c r="O50" t="s">
        <v>137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128</v>
      </c>
      <c r="G51" s="232">
        <f>G49-H29</f>
        <v>-19.25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31146.75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2</v>
      </c>
      <c r="H4" s="107" t="s">
        <v>9</v>
      </c>
      <c r="I4" s="109">
        <v>46057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>
        <v>203</v>
      </c>
      <c r="D6" s="13">
        <f t="shared" ref="D6:D28" si="1">C6*L6</f>
        <v>154483</v>
      </c>
      <c r="F6" s="116" t="s">
        <v>16</v>
      </c>
      <c r="G6" s="118" t="s">
        <v>126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>
        <v>5</v>
      </c>
      <c r="D7" s="13">
        <f t="shared" si="1"/>
        <v>3905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113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>
        <v>18</v>
      </c>
      <c r="D9" s="13">
        <f t="shared" si="1"/>
        <v>13194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114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>
        <v>8</v>
      </c>
      <c r="D13" s="48">
        <f t="shared" si="1"/>
        <v>2456</v>
      </c>
      <c r="F13" s="138" t="s">
        <v>36</v>
      </c>
      <c r="G13" s="139"/>
      <c r="H13" s="140">
        <f>D29</f>
        <v>176482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>
        <v>1</v>
      </c>
      <c r="D14" s="31">
        <f t="shared" si="1"/>
        <v>11</v>
      </c>
      <c r="F14" s="143" t="s">
        <v>39</v>
      </c>
      <c r="G14" s="144"/>
      <c r="H14" s="145">
        <f>D54</f>
        <v>26237.25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150244.75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93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5"/>
      <c r="I20" s="125"/>
      <c r="J20" s="12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/>
      <c r="D23" s="48">
        <f t="shared" si="1"/>
        <v>0</v>
      </c>
      <c r="F23" s="25"/>
      <c r="G23" s="37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120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>
        <v>3</v>
      </c>
      <c r="D28" s="48">
        <f t="shared" si="1"/>
        <v>2433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176482</v>
      </c>
      <c r="F29" s="161" t="s">
        <v>55</v>
      </c>
      <c r="G29" s="162"/>
      <c r="H29" s="165">
        <f>H15-H16-H17-H18-H19-H20-H22-H23-H24+H26+H27</f>
        <v>150244.75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129</v>
      </c>
      <c r="H34" s="193">
        <f>F34*G34</f>
        <v>129000</v>
      </c>
      <c r="I34" s="194"/>
      <c r="J34" s="19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93">
        <f t="shared" ref="H35:H39" si="2">F35*G35</f>
        <v>12000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3">
        <f>F36*G36</f>
        <v>400</v>
      </c>
      <c r="I36" s="194"/>
      <c r="J36" s="19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72</v>
      </c>
      <c r="B37" s="28" t="s">
        <v>66</v>
      </c>
      <c r="C37" s="53">
        <v>223</v>
      </c>
      <c r="D37" s="12">
        <f>C37*111</f>
        <v>24753</v>
      </c>
      <c r="F37" s="12">
        <v>100</v>
      </c>
      <c r="G37" s="39">
        <v>71</v>
      </c>
      <c r="H37" s="193">
        <f t="shared" si="2"/>
        <v>7100</v>
      </c>
      <c r="I37" s="194"/>
      <c r="J37" s="19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37</v>
      </c>
      <c r="H38" s="193">
        <f t="shared" si="2"/>
        <v>1850</v>
      </c>
      <c r="I38" s="194"/>
      <c r="J38" s="19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93"/>
      <c r="I40" s="194"/>
      <c r="J40" s="19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3">
        <v>110</v>
      </c>
      <c r="H42" s="194"/>
      <c r="I42" s="194"/>
      <c r="J42" s="19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5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>
        <v>2</v>
      </c>
      <c r="D46" s="12">
        <f>C46*1.5</f>
        <v>3</v>
      </c>
      <c r="F46" s="37"/>
      <c r="G46" s="94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>
        <v>1</v>
      </c>
      <c r="D49" s="12">
        <f>C49*42</f>
        <v>42</v>
      </c>
      <c r="F49" s="218" t="s">
        <v>86</v>
      </c>
      <c r="G49" s="165">
        <f>H34+H35+H36+H37+H38+H39+H40+H41+G42+H44+H45+H46</f>
        <v>150460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>
        <v>3</v>
      </c>
      <c r="D50" s="12">
        <f>C50*1.5</f>
        <v>4.5</v>
      </c>
      <c r="F50" s="219"/>
      <c r="G50" s="168"/>
      <c r="H50" s="169"/>
      <c r="I50" s="169"/>
      <c r="J50" s="170"/>
      <c r="O50" t="s">
        <v>137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135</v>
      </c>
      <c r="G51" s="222">
        <f>G49-H29</f>
        <v>215.25</v>
      </c>
      <c r="H51" s="223"/>
      <c r="I51" s="223"/>
      <c r="J51" s="2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26237.25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3</v>
      </c>
      <c r="H4" s="107" t="s">
        <v>9</v>
      </c>
      <c r="I4" s="109">
        <v>46057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>
        <v>474</v>
      </c>
      <c r="D6" s="13">
        <f t="shared" ref="D6:D28" si="1">C6*L6</f>
        <v>360714</v>
      </c>
      <c r="F6" s="116" t="s">
        <v>16</v>
      </c>
      <c r="G6" s="118" t="s">
        <v>141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>
        <v>20</v>
      </c>
      <c r="D7" s="13">
        <f t="shared" si="1"/>
        <v>15620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>
        <v>2</v>
      </c>
      <c r="D8" s="13">
        <f t="shared" si="1"/>
        <v>2186</v>
      </c>
      <c r="F8" s="124" t="s">
        <v>21</v>
      </c>
      <c r="G8" s="126" t="s">
        <v>130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>
        <v>143</v>
      </c>
      <c r="D9" s="13">
        <f t="shared" si="1"/>
        <v>104819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>
        <v>3</v>
      </c>
      <c r="D10" s="13">
        <f t="shared" si="1"/>
        <v>3096</v>
      </c>
      <c r="F10" s="116" t="s">
        <v>26</v>
      </c>
      <c r="G10" s="132" t="s">
        <v>127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>
        <v>2</v>
      </c>
      <c r="D11" s="13">
        <f t="shared" si="1"/>
        <v>2340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>
        <v>5</v>
      </c>
      <c r="D12" s="48">
        <f t="shared" si="1"/>
        <v>4960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>
        <v>13</v>
      </c>
      <c r="D13" s="48">
        <f t="shared" si="1"/>
        <v>3991</v>
      </c>
      <c r="F13" s="138" t="s">
        <v>36</v>
      </c>
      <c r="G13" s="139"/>
      <c r="H13" s="140">
        <f>D29</f>
        <v>505520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39</v>
      </c>
      <c r="G14" s="144"/>
      <c r="H14" s="145">
        <f>D54</f>
        <v>73287.75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432232.25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144*6+329*6+121*6</f>
        <v>3564</v>
      </c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112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9">
        <v>50</v>
      </c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123</v>
      </c>
      <c r="C21" s="10">
        <v>7</v>
      </c>
      <c r="D21" s="48">
        <f t="shared" si="1"/>
        <v>4550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101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>
        <v>4</v>
      </c>
      <c r="D28" s="48">
        <f t="shared" si="1"/>
        <v>3244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505520</v>
      </c>
      <c r="F29" s="161" t="s">
        <v>55</v>
      </c>
      <c r="G29" s="162"/>
      <c r="H29" s="165">
        <f>H15-H16-H17-H18-H19-H20-H22-H23-H24+H26+H27</f>
        <v>428618.25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184</v>
      </c>
      <c r="H34" s="193">
        <f>F34*G34</f>
        <v>184000</v>
      </c>
      <c r="I34" s="194"/>
      <c r="J34" s="19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60</v>
      </c>
      <c r="H35" s="193">
        <f>F35*G35</f>
        <v>30000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1</v>
      </c>
      <c r="H36" s="193">
        <f t="shared" ref="H36:H39" si="2">F36*G36</f>
        <v>200</v>
      </c>
      <c r="I36" s="194"/>
      <c r="J36" s="19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72</v>
      </c>
      <c r="B37" s="28" t="s">
        <v>66</v>
      </c>
      <c r="C37" s="53">
        <v>616</v>
      </c>
      <c r="D37" s="12">
        <f>C37*111</f>
        <v>68376</v>
      </c>
      <c r="F37" s="12">
        <v>100</v>
      </c>
      <c r="G37" s="39">
        <v>36</v>
      </c>
      <c r="H37" s="193">
        <f t="shared" si="2"/>
        <v>3600</v>
      </c>
      <c r="I37" s="194"/>
      <c r="J37" s="19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21</v>
      </c>
      <c r="H38" s="193">
        <f t="shared" si="2"/>
        <v>1050</v>
      </c>
      <c r="I38" s="194"/>
      <c r="J38" s="19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3"/>
      <c r="I40" s="194"/>
      <c r="J40" s="19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70</v>
      </c>
      <c r="C42" s="11">
        <v>3</v>
      </c>
      <c r="D42" s="12">
        <f>C42*2.25</f>
        <v>6.75</v>
      </c>
      <c r="F42" s="39" t="s">
        <v>79</v>
      </c>
      <c r="G42" s="193">
        <v>106</v>
      </c>
      <c r="H42" s="194"/>
      <c r="I42" s="194"/>
      <c r="J42" s="19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5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 t="s">
        <v>145</v>
      </c>
      <c r="G44" s="76" t="s">
        <v>158</v>
      </c>
      <c r="H44" s="177">
        <v>209026</v>
      </c>
      <c r="I44" s="177"/>
      <c r="J44" s="17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68</v>
      </c>
      <c r="C45" s="33">
        <v>6</v>
      </c>
      <c r="D45" s="12">
        <f>C45*84</f>
        <v>504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>
        <v>22</v>
      </c>
      <c r="D46" s="12">
        <f>C46*1.5</f>
        <v>33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>
        <v>5</v>
      </c>
      <c r="D49" s="12">
        <f>C49*42</f>
        <v>210</v>
      </c>
      <c r="F49" s="218" t="s">
        <v>86</v>
      </c>
      <c r="G49" s="165">
        <f>H34+H35+H36+H37+H38+H39+H40+H41+G42+H44+H45+H46</f>
        <v>427982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>
        <v>23</v>
      </c>
      <c r="D50" s="12">
        <f>C50*1.5</f>
        <v>34.5</v>
      </c>
      <c r="F50" s="219"/>
      <c r="G50" s="168"/>
      <c r="H50" s="169"/>
      <c r="I50" s="169"/>
      <c r="J50" s="170"/>
      <c r="O50" t="s">
        <v>137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159</v>
      </c>
      <c r="G51" s="232">
        <f>G49-H29</f>
        <v>-636.25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73287.75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0" t="s">
        <v>7</v>
      </c>
      <c r="B4" s="101"/>
      <c r="C4" s="101"/>
      <c r="D4" s="102"/>
      <c r="F4" s="103" t="s">
        <v>8</v>
      </c>
      <c r="G4" s="105"/>
      <c r="H4" s="107" t="s">
        <v>9</v>
      </c>
      <c r="I4" s="109"/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4"/>
      <c r="B6" s="16"/>
      <c r="C6" s="10"/>
      <c r="D6" s="13">
        <f t="shared" ref="D6:D28" si="1">C6*L6</f>
        <v>0</v>
      </c>
      <c r="F6" s="116" t="s">
        <v>16</v>
      </c>
      <c r="G6" s="118"/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4"/>
      <c r="B7" s="16"/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4"/>
      <c r="B8" s="16"/>
      <c r="C8" s="10"/>
      <c r="D8" s="13">
        <f t="shared" si="1"/>
        <v>0</v>
      </c>
      <c r="F8" s="124" t="s">
        <v>21</v>
      </c>
      <c r="G8" s="126"/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4"/>
      <c r="B9" s="16"/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4"/>
      <c r="C10" s="10"/>
      <c r="D10" s="13">
        <f t="shared" si="1"/>
        <v>0</v>
      </c>
      <c r="F10" s="116" t="s">
        <v>26</v>
      </c>
      <c r="G10" s="132"/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9" ht="15.75" x14ac:dyDescent="0.25">
      <c r="A11" s="114"/>
      <c r="B11" s="17"/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4"/>
      <c r="B12" s="17"/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4"/>
      <c r="B13" s="17"/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4"/>
      <c r="B14" s="14"/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4"/>
      <c r="B15" s="14"/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/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/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/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/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/>
      <c r="C28" s="10"/>
      <c r="D28" s="48">
        <f t="shared" si="1"/>
        <v>0</v>
      </c>
      <c r="F28" s="92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/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/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/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/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/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/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5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125</v>
      </c>
      <c r="G51" s="222">
        <f>G49-H29</f>
        <v>0</v>
      </c>
      <c r="H51" s="223"/>
      <c r="I51" s="223"/>
      <c r="J51" s="2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1</v>
      </c>
      <c r="H4" s="107" t="s">
        <v>9</v>
      </c>
      <c r="I4" s="109">
        <v>46058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84"/>
      <c r="D6" s="13">
        <f t="shared" ref="D6:D28" si="1">C6*L6</f>
        <v>0</v>
      </c>
      <c r="F6" s="116" t="s">
        <v>16</v>
      </c>
      <c r="G6" s="118" t="s">
        <v>111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84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84"/>
      <c r="D8" s="13">
        <f t="shared" si="1"/>
        <v>0</v>
      </c>
      <c r="F8" s="124" t="s">
        <v>21</v>
      </c>
      <c r="G8" s="126" t="s">
        <v>111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84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84"/>
      <c r="D10" s="13">
        <f t="shared" si="1"/>
        <v>0</v>
      </c>
      <c r="F10" s="116" t="s">
        <v>26</v>
      </c>
      <c r="G10" s="132" t="s">
        <v>114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84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84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84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84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84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133</v>
      </c>
      <c r="C17" s="84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5"/>
      <c r="I19" s="125"/>
      <c r="J19" s="125"/>
      <c r="L19" s="6">
        <v>1102</v>
      </c>
      <c r="Q19" s="4"/>
      <c r="R19" s="5">
        <f t="shared" si="0"/>
        <v>0</v>
      </c>
    </row>
    <row r="20" spans="1:18" ht="15.75" x14ac:dyDescent="0.25">
      <c r="A20" s="114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124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118</v>
      </c>
      <c r="C24" s="84"/>
      <c r="D24" s="48">
        <f t="shared" si="1"/>
        <v>0</v>
      </c>
      <c r="F24" s="77"/>
      <c r="G24" s="79"/>
      <c r="H24" s="228"/>
      <c r="I24" s="229"/>
      <c r="J24" s="22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132</v>
      </c>
      <c r="C26" s="84"/>
      <c r="D26" s="48">
        <f t="shared" si="1"/>
        <v>0</v>
      </c>
      <c r="F26" s="75"/>
      <c r="G26" s="65"/>
      <c r="H26" s="177"/>
      <c r="I26" s="177"/>
      <c r="J26" s="17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110</v>
      </c>
      <c r="C27" s="84"/>
      <c r="D27" s="44">
        <f t="shared" si="1"/>
        <v>0</v>
      </c>
      <c r="F27" s="71"/>
      <c r="G27" s="95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84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H15-H16-H17-H18-H19-H20-H22-H23-H24+H26+H27+H28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3">
        <f t="shared" ref="H34:H39" si="2">F34*G34</f>
        <v>0</v>
      </c>
      <c r="I34" s="194"/>
      <c r="J34" s="19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>
        <f t="shared" si="2"/>
        <v>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 t="shared" si="2"/>
        <v>0</v>
      </c>
      <c r="I36" s="194"/>
      <c r="J36" s="19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5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85"/>
      <c r="H44" s="177"/>
      <c r="I44" s="177"/>
      <c r="J44" s="17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137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128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2</v>
      </c>
      <c r="H4" s="107" t="s">
        <v>9</v>
      </c>
      <c r="I4" s="109">
        <v>46058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126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113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139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93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5"/>
      <c r="I20" s="125"/>
      <c r="J20" s="12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/>
      <c r="D23" s="48">
        <f t="shared" si="1"/>
        <v>0</v>
      </c>
      <c r="F23" s="25"/>
      <c r="G23" s="37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120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>
        <f>F34*G34</f>
        <v>0</v>
      </c>
      <c r="I34" s="194"/>
      <c r="J34" s="19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>
        <f t="shared" ref="H35:H39" si="2">F35*G35</f>
        <v>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>F36*G36</f>
        <v>0</v>
      </c>
      <c r="I36" s="194"/>
      <c r="J36" s="19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5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94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137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135</v>
      </c>
      <c r="G51" s="222">
        <f>G49-H29</f>
        <v>0</v>
      </c>
      <c r="H51" s="223"/>
      <c r="I51" s="223"/>
      <c r="J51" s="2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3</v>
      </c>
      <c r="H4" s="107" t="s">
        <v>9</v>
      </c>
      <c r="I4" s="109">
        <v>46058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141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130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127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112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101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>
        <f>F34*G34</f>
        <v>0</v>
      </c>
      <c r="I34" s="194"/>
      <c r="J34" s="19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>
        <f>F35*G35</f>
        <v>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 t="shared" ref="H36:H39" si="2">F36*G36</f>
        <v>0</v>
      </c>
      <c r="I36" s="194"/>
      <c r="J36" s="19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5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137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138</v>
      </c>
      <c r="G51" s="222">
        <f>G49-H29</f>
        <v>0</v>
      </c>
      <c r="H51" s="223"/>
      <c r="I51" s="223"/>
      <c r="J51" s="2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0" t="s">
        <v>7</v>
      </c>
      <c r="B4" s="101"/>
      <c r="C4" s="101"/>
      <c r="D4" s="102"/>
      <c r="F4" s="103" t="s">
        <v>8</v>
      </c>
      <c r="G4" s="105"/>
      <c r="H4" s="107" t="s">
        <v>9</v>
      </c>
      <c r="I4" s="109"/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4"/>
      <c r="B6" s="16"/>
      <c r="C6" s="10"/>
      <c r="D6" s="13">
        <f t="shared" ref="D6:D28" si="1">C6*L6</f>
        <v>0</v>
      </c>
      <c r="F6" s="116" t="s">
        <v>16</v>
      </c>
      <c r="G6" s="118"/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4"/>
      <c r="B7" s="16"/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4"/>
      <c r="B8" s="16"/>
      <c r="C8" s="10"/>
      <c r="D8" s="13">
        <f t="shared" si="1"/>
        <v>0</v>
      </c>
      <c r="F8" s="124" t="s">
        <v>21</v>
      </c>
      <c r="G8" s="126"/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4"/>
      <c r="B9" s="16"/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4"/>
      <c r="C10" s="10"/>
      <c r="D10" s="13">
        <f t="shared" si="1"/>
        <v>0</v>
      </c>
      <c r="F10" s="116" t="s">
        <v>26</v>
      </c>
      <c r="G10" s="132"/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9" ht="15.75" x14ac:dyDescent="0.25">
      <c r="A11" s="114"/>
      <c r="B11" s="17"/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4"/>
      <c r="B12" s="17"/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4"/>
      <c r="B13" s="17"/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4"/>
      <c r="B14" s="14"/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4"/>
      <c r="B15" s="14"/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/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/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/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/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/>
      <c r="C28" s="10"/>
      <c r="D28" s="48">
        <f t="shared" si="1"/>
        <v>0</v>
      </c>
      <c r="F28" s="92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/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/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/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/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/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/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5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125</v>
      </c>
      <c r="G51" s="222">
        <f>G49-H29</f>
        <v>0</v>
      </c>
      <c r="H51" s="223"/>
      <c r="I51" s="223"/>
      <c r="J51" s="2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1</v>
      </c>
      <c r="H4" s="107" t="s">
        <v>9</v>
      </c>
      <c r="I4" s="109">
        <v>46059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84"/>
      <c r="D6" s="13">
        <f t="shared" ref="D6:D28" si="1">C6*L6</f>
        <v>0</v>
      </c>
      <c r="F6" s="116" t="s">
        <v>16</v>
      </c>
      <c r="G6" s="118" t="s">
        <v>111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84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84"/>
      <c r="D8" s="13">
        <f t="shared" si="1"/>
        <v>0</v>
      </c>
      <c r="F8" s="124" t="s">
        <v>21</v>
      </c>
      <c r="G8" s="126" t="s">
        <v>111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84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84"/>
      <c r="D10" s="13">
        <f t="shared" si="1"/>
        <v>0</v>
      </c>
      <c r="F10" s="116" t="s">
        <v>26</v>
      </c>
      <c r="G10" s="132" t="s">
        <v>114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84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84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84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84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84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133</v>
      </c>
      <c r="C17" s="84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5"/>
      <c r="I19" s="125"/>
      <c r="J19" s="125"/>
      <c r="L19" s="6">
        <v>1102</v>
      </c>
      <c r="Q19" s="4"/>
      <c r="R19" s="5">
        <f t="shared" si="0"/>
        <v>0</v>
      </c>
    </row>
    <row r="20" spans="1:18" ht="15.75" x14ac:dyDescent="0.25">
      <c r="A20" s="114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124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118</v>
      </c>
      <c r="C24" s="84"/>
      <c r="D24" s="48">
        <f t="shared" si="1"/>
        <v>0</v>
      </c>
      <c r="F24" s="77"/>
      <c r="G24" s="79"/>
      <c r="H24" s="228"/>
      <c r="I24" s="229"/>
      <c r="J24" s="22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132</v>
      </c>
      <c r="C26" s="84"/>
      <c r="D26" s="48">
        <f t="shared" si="1"/>
        <v>0</v>
      </c>
      <c r="F26" s="75"/>
      <c r="G26" s="65"/>
      <c r="H26" s="177"/>
      <c r="I26" s="177"/>
      <c r="J26" s="17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110</v>
      </c>
      <c r="C27" s="84"/>
      <c r="D27" s="44">
        <f t="shared" si="1"/>
        <v>0</v>
      </c>
      <c r="F27" s="71"/>
      <c r="G27" s="95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84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H15-H16-H17-H18-H19-H20-H22-H23-H24+H26+H27+H28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3">
        <f t="shared" ref="H34:H39" si="2">F34*G34</f>
        <v>0</v>
      </c>
      <c r="I34" s="194"/>
      <c r="J34" s="19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>
        <f t="shared" si="2"/>
        <v>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 t="shared" si="2"/>
        <v>0</v>
      </c>
      <c r="I36" s="194"/>
      <c r="J36" s="19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5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85"/>
      <c r="H44" s="177"/>
      <c r="I44" s="177"/>
      <c r="J44" s="17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137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128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2</v>
      </c>
      <c r="H4" s="107" t="s">
        <v>9</v>
      </c>
      <c r="I4" s="109">
        <v>46059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126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113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139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93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5"/>
      <c r="I20" s="125"/>
      <c r="J20" s="12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/>
      <c r="D23" s="48">
        <f t="shared" si="1"/>
        <v>0</v>
      </c>
      <c r="F23" s="25"/>
      <c r="G23" s="37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120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>
        <f>F34*G34</f>
        <v>0</v>
      </c>
      <c r="I34" s="194"/>
      <c r="J34" s="19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>
        <f t="shared" ref="H35:H39" si="2">F35*G35</f>
        <v>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>F36*G36</f>
        <v>0</v>
      </c>
      <c r="I36" s="194"/>
      <c r="J36" s="19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5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94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137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135</v>
      </c>
      <c r="G51" s="222">
        <f>G49-H29</f>
        <v>0</v>
      </c>
      <c r="H51" s="223"/>
      <c r="I51" s="223"/>
      <c r="J51" s="2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3</v>
      </c>
      <c r="H4" s="107" t="s">
        <v>9</v>
      </c>
      <c r="I4" s="109">
        <v>46059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141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130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127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112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101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>
        <f>F34*G34</f>
        <v>0</v>
      </c>
      <c r="I34" s="194"/>
      <c r="J34" s="19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>
        <f>F35*G35</f>
        <v>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 t="shared" ref="H36:H39" si="2">F36*G36</f>
        <v>0</v>
      </c>
      <c r="I36" s="194"/>
      <c r="J36" s="19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5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137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138</v>
      </c>
      <c r="G51" s="222">
        <f>G49-H29</f>
        <v>0</v>
      </c>
      <c r="H51" s="223"/>
      <c r="I51" s="223"/>
      <c r="J51" s="2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0" t="s">
        <v>7</v>
      </c>
      <c r="B4" s="101"/>
      <c r="C4" s="101"/>
      <c r="D4" s="102"/>
      <c r="F4" s="103" t="s">
        <v>8</v>
      </c>
      <c r="G4" s="105"/>
      <c r="H4" s="107" t="s">
        <v>9</v>
      </c>
      <c r="I4" s="109"/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4"/>
      <c r="B6" s="16"/>
      <c r="C6" s="10"/>
      <c r="D6" s="13">
        <f t="shared" ref="D6:D28" si="1">C6*L6</f>
        <v>0</v>
      </c>
      <c r="F6" s="116" t="s">
        <v>16</v>
      </c>
      <c r="G6" s="118"/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4"/>
      <c r="B7" s="16"/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4"/>
      <c r="B8" s="16"/>
      <c r="C8" s="10"/>
      <c r="D8" s="13">
        <f t="shared" si="1"/>
        <v>0</v>
      </c>
      <c r="F8" s="124" t="s">
        <v>21</v>
      </c>
      <c r="G8" s="126"/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4"/>
      <c r="B9" s="16"/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4"/>
      <c r="C10" s="10"/>
      <c r="D10" s="13">
        <f t="shared" si="1"/>
        <v>0</v>
      </c>
      <c r="F10" s="116" t="s">
        <v>26</v>
      </c>
      <c r="G10" s="132"/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9" ht="15.75" x14ac:dyDescent="0.25">
      <c r="A11" s="114"/>
      <c r="B11" s="17"/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4"/>
      <c r="B12" s="17"/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4"/>
      <c r="B13" s="17"/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4"/>
      <c r="B14" s="14"/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4"/>
      <c r="B15" s="14"/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/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/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/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/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/>
      <c r="C28" s="10"/>
      <c r="D28" s="48">
        <f t="shared" si="1"/>
        <v>0</v>
      </c>
      <c r="F28" s="92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/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/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/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/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/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/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5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125</v>
      </c>
      <c r="G51" s="222">
        <f>G49-H29</f>
        <v>0</v>
      </c>
      <c r="H51" s="223"/>
      <c r="I51" s="223"/>
      <c r="J51" s="2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1</v>
      </c>
      <c r="H4" s="107" t="s">
        <v>9</v>
      </c>
      <c r="I4" s="109">
        <v>46060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84"/>
      <c r="D6" s="13">
        <f t="shared" ref="D6:D28" si="1">C6*L6</f>
        <v>0</v>
      </c>
      <c r="F6" s="116" t="s">
        <v>16</v>
      </c>
      <c r="G6" s="118" t="s">
        <v>111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84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84"/>
      <c r="D8" s="13">
        <f t="shared" si="1"/>
        <v>0</v>
      </c>
      <c r="F8" s="124" t="s">
        <v>21</v>
      </c>
      <c r="G8" s="126" t="s">
        <v>111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84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84"/>
      <c r="D10" s="13">
        <f t="shared" si="1"/>
        <v>0</v>
      </c>
      <c r="F10" s="116" t="s">
        <v>26</v>
      </c>
      <c r="G10" s="132" t="s">
        <v>114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84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84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84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84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84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133</v>
      </c>
      <c r="C17" s="84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5"/>
      <c r="I19" s="125"/>
      <c r="J19" s="125"/>
      <c r="L19" s="6">
        <v>1102</v>
      </c>
      <c r="Q19" s="4"/>
      <c r="R19" s="5">
        <f t="shared" si="0"/>
        <v>0</v>
      </c>
    </row>
    <row r="20" spans="1:18" ht="15.75" x14ac:dyDescent="0.25">
      <c r="A20" s="114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124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118</v>
      </c>
      <c r="C24" s="84"/>
      <c r="D24" s="48">
        <f t="shared" si="1"/>
        <v>0</v>
      </c>
      <c r="F24" s="77"/>
      <c r="G24" s="79"/>
      <c r="H24" s="228"/>
      <c r="I24" s="229"/>
      <c r="J24" s="22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132</v>
      </c>
      <c r="C26" s="84"/>
      <c r="D26" s="48">
        <f t="shared" si="1"/>
        <v>0</v>
      </c>
      <c r="F26" s="75"/>
      <c r="G26" s="65"/>
      <c r="H26" s="177"/>
      <c r="I26" s="177"/>
      <c r="J26" s="17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110</v>
      </c>
      <c r="C27" s="84"/>
      <c r="D27" s="44">
        <f t="shared" si="1"/>
        <v>0</v>
      </c>
      <c r="F27" s="71"/>
      <c r="G27" s="95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84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H15-H16-H17-H18-H19-H20-H22-H23-H24+H26+H27+H28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3">
        <f t="shared" ref="H34:H39" si="2">F34*G34</f>
        <v>0</v>
      </c>
      <c r="I34" s="194"/>
      <c r="J34" s="19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>
        <f t="shared" si="2"/>
        <v>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 t="shared" si="2"/>
        <v>0</v>
      </c>
      <c r="I36" s="194"/>
      <c r="J36" s="19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5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85"/>
      <c r="H44" s="177"/>
      <c r="I44" s="177"/>
      <c r="J44" s="17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137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128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2</v>
      </c>
      <c r="H4" s="107" t="s">
        <v>9</v>
      </c>
      <c r="I4" s="109">
        <v>46060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126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113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139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93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5"/>
      <c r="I20" s="125"/>
      <c r="J20" s="12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/>
      <c r="D23" s="48">
        <f t="shared" si="1"/>
        <v>0</v>
      </c>
      <c r="F23" s="25"/>
      <c r="G23" s="37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120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>
        <f>F34*G34</f>
        <v>0</v>
      </c>
      <c r="I34" s="194"/>
      <c r="J34" s="19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>
        <f t="shared" ref="H35:H39" si="2">F35*G35</f>
        <v>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>F36*G36</f>
        <v>0</v>
      </c>
      <c r="I36" s="194"/>
      <c r="J36" s="19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5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94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137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135</v>
      </c>
      <c r="G51" s="222">
        <f>G49-H29</f>
        <v>0</v>
      </c>
      <c r="H51" s="223"/>
      <c r="I51" s="223"/>
      <c r="J51" s="2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3</v>
      </c>
      <c r="H4" s="107" t="s">
        <v>9</v>
      </c>
      <c r="I4" s="109">
        <v>46060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141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130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127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112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101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>
        <f>F34*G34</f>
        <v>0</v>
      </c>
      <c r="I34" s="194"/>
      <c r="J34" s="19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>
        <f>F35*G35</f>
        <v>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 t="shared" ref="H36:H39" si="2">F36*G36</f>
        <v>0</v>
      </c>
      <c r="I36" s="194"/>
      <c r="J36" s="19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5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137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138</v>
      </c>
      <c r="G51" s="222">
        <f>G49-H29</f>
        <v>0</v>
      </c>
      <c r="H51" s="223"/>
      <c r="I51" s="223"/>
      <c r="J51" s="2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0" t="s">
        <v>7</v>
      </c>
      <c r="B4" s="101"/>
      <c r="C4" s="101"/>
      <c r="D4" s="102"/>
      <c r="F4" s="103" t="s">
        <v>8</v>
      </c>
      <c r="G4" s="105"/>
      <c r="H4" s="107" t="s">
        <v>9</v>
      </c>
      <c r="I4" s="109"/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4"/>
      <c r="B6" s="16"/>
      <c r="C6" s="10"/>
      <c r="D6" s="13">
        <f t="shared" ref="D6:D28" si="1">C6*L6</f>
        <v>0</v>
      </c>
      <c r="F6" s="116" t="s">
        <v>16</v>
      </c>
      <c r="G6" s="118"/>
      <c r="H6" s="119"/>
      <c r="I6" s="119"/>
      <c r="J6" s="1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4"/>
      <c r="B7" s="16"/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4"/>
      <c r="B8" s="16"/>
      <c r="C8" s="10"/>
      <c r="D8" s="13">
        <f t="shared" si="1"/>
        <v>0</v>
      </c>
      <c r="F8" s="124" t="s">
        <v>21</v>
      </c>
      <c r="G8" s="126"/>
      <c r="H8" s="127"/>
      <c r="I8" s="127"/>
      <c r="J8" s="12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4"/>
      <c r="B9" s="16"/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4"/>
      <c r="C10" s="10"/>
      <c r="D10" s="13">
        <f t="shared" si="1"/>
        <v>0</v>
      </c>
      <c r="F10" s="116" t="s">
        <v>26</v>
      </c>
      <c r="G10" s="132"/>
      <c r="H10" s="133"/>
      <c r="I10" s="133"/>
      <c r="J10" s="134"/>
      <c r="K10" s="8"/>
      <c r="L10" s="6">
        <f>R36</f>
        <v>972</v>
      </c>
      <c r="P10" s="4"/>
      <c r="Q10" s="4"/>
      <c r="R10" s="5"/>
    </row>
    <row r="11" spans="1:19" ht="15.75" x14ac:dyDescent="0.25">
      <c r="A11" s="114"/>
      <c r="B11" s="17"/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4"/>
      <c r="B12" s="17"/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4"/>
      <c r="B13" s="17"/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4"/>
      <c r="B14" s="14"/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4"/>
      <c r="B15" s="14"/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/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/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/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4"/>
      <c r="B22" s="46"/>
      <c r="C22" s="10"/>
      <c r="D22" s="48">
        <f t="shared" si="1"/>
        <v>0</v>
      </c>
      <c r="F22" s="77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/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/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4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/>
      <c r="C28" s="10"/>
      <c r="D28" s="48">
        <f t="shared" si="1"/>
        <v>0</v>
      </c>
      <c r="F28" s="92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/>
      <c r="I34" s="194"/>
      <c r="J34" s="19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/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/>
      <c r="I36" s="194"/>
      <c r="J36" s="19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/>
      <c r="I37" s="194"/>
      <c r="J37" s="19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/>
      <c r="I38" s="194"/>
      <c r="J38" s="19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/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5" t="s">
        <v>83</v>
      </c>
      <c r="H43" s="199" t="s">
        <v>13</v>
      </c>
      <c r="I43" s="200"/>
      <c r="J43" s="201"/>
      <c r="K43" s="21"/>
      <c r="P43" s="4"/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125</v>
      </c>
      <c r="G51" s="222">
        <f>G49-H29</f>
        <v>0</v>
      </c>
      <c r="H51" s="223"/>
      <c r="I51" s="223"/>
      <c r="J51" s="22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1</v>
      </c>
      <c r="H4" s="107" t="s">
        <v>9</v>
      </c>
      <c r="I4" s="109">
        <v>46062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84"/>
      <c r="D6" s="13">
        <f t="shared" ref="D6:D28" si="1">C6*L6</f>
        <v>0</v>
      </c>
      <c r="F6" s="116" t="s">
        <v>16</v>
      </c>
      <c r="G6" s="118" t="s">
        <v>111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84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84"/>
      <c r="D8" s="13">
        <f t="shared" si="1"/>
        <v>0</v>
      </c>
      <c r="F8" s="124" t="s">
        <v>21</v>
      </c>
      <c r="G8" s="126" t="s">
        <v>111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84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84"/>
      <c r="D10" s="13">
        <f t="shared" si="1"/>
        <v>0</v>
      </c>
      <c r="F10" s="116" t="s">
        <v>26</v>
      </c>
      <c r="G10" s="132" t="s">
        <v>114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84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84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84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84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84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133</v>
      </c>
      <c r="C17" s="84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5"/>
      <c r="I19" s="125"/>
      <c r="J19" s="125"/>
      <c r="L19" s="6">
        <v>1102</v>
      </c>
      <c r="Q19" s="4"/>
      <c r="R19" s="5">
        <f t="shared" si="0"/>
        <v>0</v>
      </c>
    </row>
    <row r="20" spans="1:18" ht="15.75" x14ac:dyDescent="0.25">
      <c r="A20" s="114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124</v>
      </c>
      <c r="C22" s="84"/>
      <c r="D22" s="48">
        <f t="shared" si="1"/>
        <v>0</v>
      </c>
      <c r="F22" s="77"/>
      <c r="G22" s="73"/>
      <c r="H22" s="175"/>
      <c r="I22" s="175"/>
      <c r="J22" s="17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101</v>
      </c>
      <c r="C23" s="84"/>
      <c r="D23" s="48">
        <f t="shared" si="1"/>
        <v>0</v>
      </c>
      <c r="F23" s="77"/>
      <c r="G23" s="79"/>
      <c r="H23" s="228"/>
      <c r="I23" s="229"/>
      <c r="J23" s="22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118</v>
      </c>
      <c r="C24" s="84"/>
      <c r="D24" s="48">
        <f t="shared" si="1"/>
        <v>0</v>
      </c>
      <c r="F24" s="77"/>
      <c r="G24" s="79"/>
      <c r="H24" s="228"/>
      <c r="I24" s="229"/>
      <c r="J24" s="22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132</v>
      </c>
      <c r="C26" s="84"/>
      <c r="D26" s="48">
        <f t="shared" si="1"/>
        <v>0</v>
      </c>
      <c r="F26" s="75"/>
      <c r="G26" s="65"/>
      <c r="H26" s="177"/>
      <c r="I26" s="177"/>
      <c r="J26" s="17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110</v>
      </c>
      <c r="C27" s="84"/>
      <c r="D27" s="44">
        <f t="shared" si="1"/>
        <v>0</v>
      </c>
      <c r="F27" s="71"/>
      <c r="G27" s="95"/>
      <c r="H27" s="230"/>
      <c r="I27" s="231"/>
      <c r="J27" s="23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84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H15-H16-H17-H18-H19-H20-H22-H23-H24+H26+H27+H28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3">
        <f t="shared" ref="H34:H39" si="2">F34*G34</f>
        <v>0</v>
      </c>
      <c r="I34" s="194"/>
      <c r="J34" s="19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>
        <f t="shared" si="2"/>
        <v>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 t="shared" si="2"/>
        <v>0</v>
      </c>
      <c r="I36" s="194"/>
      <c r="J36" s="19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5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85"/>
      <c r="H44" s="177"/>
      <c r="I44" s="177"/>
      <c r="J44" s="17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137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128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2</v>
      </c>
      <c r="H4" s="107" t="s">
        <v>9</v>
      </c>
      <c r="I4" s="109">
        <v>46062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126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113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139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93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5"/>
      <c r="I20" s="125"/>
      <c r="J20" s="12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72"/>
      <c r="G22" s="73"/>
      <c r="H22" s="175"/>
      <c r="I22" s="175"/>
      <c r="J22" s="17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/>
      <c r="D23" s="48">
        <f t="shared" si="1"/>
        <v>0</v>
      </c>
      <c r="F23" s="25"/>
      <c r="G23" s="37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120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>
        <f>F34*G34</f>
        <v>0</v>
      </c>
      <c r="I34" s="194"/>
      <c r="J34" s="19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>
        <f t="shared" ref="H35:H39" si="2">F35*G35</f>
        <v>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>F36*G36</f>
        <v>0</v>
      </c>
      <c r="I36" s="194"/>
      <c r="J36" s="19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5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94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137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135</v>
      </c>
      <c r="G51" s="222">
        <f>G49-H29</f>
        <v>0</v>
      </c>
      <c r="H51" s="223"/>
      <c r="I51" s="223"/>
      <c r="J51" s="2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9" t="s">
        <v>1</v>
      </c>
      <c r="O1" s="9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0" t="s">
        <v>7</v>
      </c>
      <c r="B4" s="101"/>
      <c r="C4" s="101"/>
      <c r="D4" s="102"/>
      <c r="F4" s="103" t="s">
        <v>8</v>
      </c>
      <c r="G4" s="105">
        <v>3</v>
      </c>
      <c r="H4" s="107" t="s">
        <v>9</v>
      </c>
      <c r="I4" s="109">
        <v>46062</v>
      </c>
      <c r="J4" s="11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3" t="s">
        <v>7</v>
      </c>
      <c r="B5" s="15" t="s">
        <v>11</v>
      </c>
      <c r="C5" s="9" t="s">
        <v>12</v>
      </c>
      <c r="D5" s="25" t="s">
        <v>13</v>
      </c>
      <c r="F5" s="104"/>
      <c r="G5" s="106"/>
      <c r="H5" s="108"/>
      <c r="I5" s="111"/>
      <c r="J5" s="11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4"/>
      <c r="B6" s="16" t="s">
        <v>15</v>
      </c>
      <c r="C6" s="10"/>
      <c r="D6" s="13">
        <f t="shared" ref="D6:D28" si="1">C6*L6</f>
        <v>0</v>
      </c>
      <c r="F6" s="116" t="s">
        <v>16</v>
      </c>
      <c r="G6" s="118" t="s">
        <v>141</v>
      </c>
      <c r="H6" s="119"/>
      <c r="I6" s="119"/>
      <c r="J6" s="1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4"/>
      <c r="B7" s="16" t="s">
        <v>18</v>
      </c>
      <c r="C7" s="10"/>
      <c r="D7" s="13">
        <f t="shared" si="1"/>
        <v>0</v>
      </c>
      <c r="F7" s="117"/>
      <c r="G7" s="121"/>
      <c r="H7" s="122"/>
      <c r="I7" s="122"/>
      <c r="J7" s="1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4"/>
      <c r="B8" s="16" t="s">
        <v>20</v>
      </c>
      <c r="C8" s="10"/>
      <c r="D8" s="13">
        <f t="shared" si="1"/>
        <v>0</v>
      </c>
      <c r="F8" s="124" t="s">
        <v>21</v>
      </c>
      <c r="G8" s="126" t="s">
        <v>130</v>
      </c>
      <c r="H8" s="127"/>
      <c r="I8" s="127"/>
      <c r="J8" s="12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4"/>
      <c r="B9" s="16" t="s">
        <v>23</v>
      </c>
      <c r="C9" s="10"/>
      <c r="D9" s="13">
        <f t="shared" si="1"/>
        <v>0</v>
      </c>
      <c r="F9" s="117"/>
      <c r="G9" s="129"/>
      <c r="H9" s="130"/>
      <c r="I9" s="130"/>
      <c r="J9" s="13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4"/>
      <c r="B10" t="s">
        <v>25</v>
      </c>
      <c r="C10" s="10"/>
      <c r="D10" s="13">
        <f t="shared" si="1"/>
        <v>0</v>
      </c>
      <c r="F10" s="116" t="s">
        <v>26</v>
      </c>
      <c r="G10" s="132" t="s">
        <v>127</v>
      </c>
      <c r="H10" s="133"/>
      <c r="I10" s="133"/>
      <c r="J10" s="134"/>
      <c r="K10" s="8"/>
      <c r="L10" s="6">
        <f>R36</f>
        <v>1032</v>
      </c>
      <c r="P10" s="4"/>
      <c r="Q10" s="4"/>
      <c r="R10" s="5"/>
    </row>
    <row r="11" spans="1:18" ht="15.75" x14ac:dyDescent="0.25">
      <c r="A11" s="114"/>
      <c r="B11" s="17" t="s">
        <v>28</v>
      </c>
      <c r="C11" s="10"/>
      <c r="D11" s="13">
        <f t="shared" si="1"/>
        <v>0</v>
      </c>
      <c r="F11" s="117"/>
      <c r="G11" s="129"/>
      <c r="H11" s="130"/>
      <c r="I11" s="130"/>
      <c r="J11" s="13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4"/>
      <c r="B12" s="17" t="s">
        <v>30</v>
      </c>
      <c r="C12" s="10"/>
      <c r="D12" s="48">
        <f t="shared" si="1"/>
        <v>0</v>
      </c>
      <c r="F12" s="135" t="s">
        <v>33</v>
      </c>
      <c r="G12" s="136"/>
      <c r="H12" s="136"/>
      <c r="I12" s="136"/>
      <c r="J12" s="13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4"/>
      <c r="B13" s="17" t="s">
        <v>32</v>
      </c>
      <c r="C13" s="10"/>
      <c r="D13" s="48">
        <f t="shared" si="1"/>
        <v>0</v>
      </c>
      <c r="F13" s="138" t="s">
        <v>36</v>
      </c>
      <c r="G13" s="139"/>
      <c r="H13" s="140">
        <f>D29</f>
        <v>0</v>
      </c>
      <c r="I13" s="141"/>
      <c r="J13" s="14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4"/>
      <c r="B14" s="14" t="s">
        <v>35</v>
      </c>
      <c r="C14" s="10"/>
      <c r="D14" s="31">
        <f t="shared" si="1"/>
        <v>0</v>
      </c>
      <c r="F14" s="143" t="s">
        <v>39</v>
      </c>
      <c r="G14" s="144"/>
      <c r="H14" s="145">
        <f>D54</f>
        <v>0</v>
      </c>
      <c r="I14" s="146"/>
      <c r="J14" s="14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4"/>
      <c r="B15" s="14" t="s">
        <v>38</v>
      </c>
      <c r="C15" s="10"/>
      <c r="D15" s="31">
        <f t="shared" si="1"/>
        <v>0</v>
      </c>
      <c r="F15" s="148" t="s">
        <v>40</v>
      </c>
      <c r="G15" s="139"/>
      <c r="H15" s="149">
        <f>H13-H14</f>
        <v>0</v>
      </c>
      <c r="I15" s="150"/>
      <c r="J15" s="15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4"/>
      <c r="B17" t="s">
        <v>112</v>
      </c>
      <c r="C17" s="10"/>
      <c r="D17" s="48">
        <f t="shared" si="1"/>
        <v>0</v>
      </c>
      <c r="F17" s="56"/>
      <c r="G17" s="66" t="s">
        <v>45</v>
      </c>
      <c r="H17" s="125"/>
      <c r="I17" s="125"/>
      <c r="J17" s="12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5"/>
      <c r="I18" s="125"/>
      <c r="J18" s="12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2" t="s">
        <v>13</v>
      </c>
      <c r="I21" s="173"/>
      <c r="J21" s="17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4"/>
      <c r="B22" s="46" t="s">
        <v>104</v>
      </c>
      <c r="C22" s="10"/>
      <c r="D22" s="48">
        <f t="shared" si="1"/>
        <v>0</v>
      </c>
      <c r="F22" s="77"/>
      <c r="G22" s="73"/>
      <c r="H22" s="175"/>
      <c r="I22" s="175"/>
      <c r="J22" s="17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4"/>
      <c r="B23" s="14" t="s">
        <v>107</v>
      </c>
      <c r="C23" s="10"/>
      <c r="D23" s="48">
        <f t="shared" si="1"/>
        <v>0</v>
      </c>
      <c r="F23" s="78"/>
      <c r="G23" s="79"/>
      <c r="H23" s="176"/>
      <c r="I23" s="177"/>
      <c r="J23" s="17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4"/>
      <c r="B24" s="14" t="s">
        <v>101</v>
      </c>
      <c r="C24" s="10"/>
      <c r="D24" s="48">
        <f t="shared" si="1"/>
        <v>0</v>
      </c>
      <c r="F24" s="38"/>
      <c r="G24" s="37"/>
      <c r="H24" s="176"/>
      <c r="I24" s="177"/>
      <c r="J24" s="17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4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4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5"/>
      <c r="B28" s="46" t="s">
        <v>97</v>
      </c>
      <c r="C28" s="10"/>
      <c r="D28" s="48">
        <f t="shared" si="1"/>
        <v>0</v>
      </c>
      <c r="F28" s="92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161" t="s">
        <v>55</v>
      </c>
      <c r="G29" s="162"/>
      <c r="H29" s="165">
        <f>H15-H16-H17-H18-H19-H20-H22-H23-H24+H26+H27</f>
        <v>0</v>
      </c>
      <c r="I29" s="166"/>
      <c r="J29" s="16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63"/>
      <c r="G30" s="164"/>
      <c r="H30" s="168"/>
      <c r="I30" s="169"/>
      <c r="J30" s="17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0" t="s">
        <v>58</v>
      </c>
      <c r="B32" s="101"/>
      <c r="C32" s="101"/>
      <c r="D32" s="102"/>
      <c r="F32" s="190" t="s">
        <v>59</v>
      </c>
      <c r="G32" s="191"/>
      <c r="H32" s="191"/>
      <c r="I32" s="191"/>
      <c r="J32" s="19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90" t="s">
        <v>13</v>
      </c>
      <c r="I33" s="191"/>
      <c r="J33" s="19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3">
        <f>F34*G34</f>
        <v>0</v>
      </c>
      <c r="I34" s="194"/>
      <c r="J34" s="19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4"/>
      <c r="B35" s="27" t="s">
        <v>68</v>
      </c>
      <c r="C35" s="52"/>
      <c r="D35" s="30">
        <f>C35*84</f>
        <v>0</v>
      </c>
      <c r="F35" s="58">
        <v>500</v>
      </c>
      <c r="G35" s="41"/>
      <c r="H35" s="193">
        <f>F35*G35</f>
        <v>0</v>
      </c>
      <c r="I35" s="194"/>
      <c r="J35" s="19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5"/>
      <c r="B36" s="26" t="s">
        <v>70</v>
      </c>
      <c r="C36" s="10"/>
      <c r="D36" s="12">
        <f>C36*1.5</f>
        <v>0</v>
      </c>
      <c r="F36" s="12">
        <v>200</v>
      </c>
      <c r="G36" s="37"/>
      <c r="H36" s="193">
        <f t="shared" ref="H36:H39" si="2">F36*G36</f>
        <v>0</v>
      </c>
      <c r="I36" s="194"/>
      <c r="J36" s="19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3">
        <f t="shared" si="2"/>
        <v>0</v>
      </c>
      <c r="I37" s="194"/>
      <c r="J37" s="19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4"/>
      <c r="B38" s="29" t="s">
        <v>68</v>
      </c>
      <c r="C38" s="54"/>
      <c r="D38" s="12">
        <f>C38*84</f>
        <v>0</v>
      </c>
      <c r="F38" s="30">
        <v>50</v>
      </c>
      <c r="G38" s="39"/>
      <c r="H38" s="193">
        <f t="shared" si="2"/>
        <v>0</v>
      </c>
      <c r="I38" s="194"/>
      <c r="J38" s="19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5"/>
      <c r="B39" s="29" t="s">
        <v>70</v>
      </c>
      <c r="C39" s="52"/>
      <c r="D39" s="31">
        <f>C39*4.5</f>
        <v>0</v>
      </c>
      <c r="F39" s="12">
        <v>20</v>
      </c>
      <c r="G39" s="37"/>
      <c r="H39" s="193">
        <f t="shared" si="2"/>
        <v>0</v>
      </c>
      <c r="I39" s="194"/>
      <c r="J39" s="19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3"/>
      <c r="I40" s="194"/>
      <c r="J40" s="19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4"/>
      <c r="B41" s="27" t="s">
        <v>68</v>
      </c>
      <c r="C41" s="10"/>
      <c r="D41" s="12">
        <f>C41*84</f>
        <v>0</v>
      </c>
      <c r="F41" s="12">
        <v>5</v>
      </c>
      <c r="G41" s="42"/>
      <c r="H41" s="193"/>
      <c r="I41" s="194"/>
      <c r="J41" s="19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5"/>
      <c r="B42" s="27" t="s">
        <v>70</v>
      </c>
      <c r="C42" s="11"/>
      <c r="D42" s="12">
        <f>C42*2.25</f>
        <v>0</v>
      </c>
      <c r="F42" s="39" t="s">
        <v>79</v>
      </c>
      <c r="G42" s="193"/>
      <c r="H42" s="194"/>
      <c r="I42" s="194"/>
      <c r="J42" s="19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6" t="s">
        <v>81</v>
      </c>
      <c r="C43" s="11"/>
      <c r="D43" s="12"/>
      <c r="F43" s="59" t="s">
        <v>82</v>
      </c>
      <c r="G43" s="95" t="s">
        <v>83</v>
      </c>
      <c r="H43" s="199" t="s">
        <v>13</v>
      </c>
      <c r="I43" s="200"/>
      <c r="J43" s="20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7"/>
      <c r="B44" s="27" t="s">
        <v>66</v>
      </c>
      <c r="C44" s="10"/>
      <c r="D44" s="12">
        <f>C44*120</f>
        <v>0</v>
      </c>
      <c r="F44" s="37"/>
      <c r="G44" s="76"/>
      <c r="H44" s="177"/>
      <c r="I44" s="177"/>
      <c r="J44" s="17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7"/>
      <c r="B45" s="27" t="s">
        <v>68</v>
      </c>
      <c r="C45" s="33"/>
      <c r="D45" s="12">
        <f>C45*84</f>
        <v>0</v>
      </c>
      <c r="F45" s="37"/>
      <c r="G45" s="76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97"/>
      <c r="B46" s="49" t="s">
        <v>70</v>
      </c>
      <c r="C46" s="81"/>
      <c r="D46" s="12">
        <f>C46*1.5</f>
        <v>0</v>
      </c>
      <c r="F46" s="37"/>
      <c r="G46" s="62"/>
      <c r="H46" s="202"/>
      <c r="I46" s="202"/>
      <c r="J46" s="202"/>
      <c r="K46" s="21"/>
      <c r="P46" s="4"/>
      <c r="Q46" s="4"/>
      <c r="R46" s="5"/>
    </row>
    <row r="47" spans="1:18" ht="15.75" x14ac:dyDescent="0.25">
      <c r="A47" s="198"/>
      <c r="B47" s="27"/>
      <c r="C47" s="11"/>
      <c r="D47" s="12"/>
      <c r="F47" s="59"/>
      <c r="G47" s="59"/>
      <c r="H47" s="203"/>
      <c r="I47" s="204"/>
      <c r="J47" s="205"/>
      <c r="K47" s="21"/>
      <c r="P47" s="4"/>
      <c r="Q47" s="4"/>
      <c r="R47" s="5"/>
    </row>
    <row r="48" spans="1:18" ht="15" customHeight="1" x14ac:dyDescent="0.25">
      <c r="A48" s="196" t="s">
        <v>32</v>
      </c>
      <c r="B48" s="27" t="s">
        <v>66</v>
      </c>
      <c r="C48" s="10"/>
      <c r="D48" s="12">
        <f>C48*78</f>
        <v>0</v>
      </c>
      <c r="F48" s="59"/>
      <c r="G48" s="59"/>
      <c r="H48" s="203"/>
      <c r="I48" s="204"/>
      <c r="J48" s="20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7"/>
      <c r="B49" s="29" t="s">
        <v>68</v>
      </c>
      <c r="C49" s="33"/>
      <c r="D49" s="12">
        <f>C49*42</f>
        <v>0</v>
      </c>
      <c r="F49" s="218" t="s">
        <v>86</v>
      </c>
      <c r="G49" s="165">
        <f>H34+H35+H36+H37+H38+H39+H40+H41+G42+H44+H45+H46</f>
        <v>0</v>
      </c>
      <c r="H49" s="166"/>
      <c r="I49" s="166"/>
      <c r="J49" s="16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7"/>
      <c r="B50" s="32" t="s">
        <v>70</v>
      </c>
      <c r="C50" s="11"/>
      <c r="D50" s="12">
        <f>C50*1.5</f>
        <v>0</v>
      </c>
      <c r="F50" s="219"/>
      <c r="G50" s="168"/>
      <c r="H50" s="169"/>
      <c r="I50" s="169"/>
      <c r="J50" s="170"/>
      <c r="O50" t="s">
        <v>137</v>
      </c>
      <c r="P50" s="4">
        <v>1204</v>
      </c>
      <c r="Q50" s="4"/>
      <c r="R50" s="5"/>
    </row>
    <row r="51" spans="1:18" ht="15" customHeight="1" x14ac:dyDescent="0.25">
      <c r="A51" s="197"/>
      <c r="B51" s="27"/>
      <c r="C51" s="10"/>
      <c r="D51" s="31"/>
      <c r="F51" s="220" t="s">
        <v>138</v>
      </c>
      <c r="G51" s="222">
        <f>G49-H29</f>
        <v>0</v>
      </c>
      <c r="H51" s="223"/>
      <c r="I51" s="223"/>
      <c r="J51" s="22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7"/>
      <c r="B52" s="29"/>
      <c r="C52" s="33"/>
      <c r="D52" s="45"/>
      <c r="F52" s="221"/>
      <c r="G52" s="225"/>
      <c r="H52" s="226"/>
      <c r="I52" s="226"/>
      <c r="J52" s="22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1" t="s">
        <v>90</v>
      </c>
      <c r="B54" s="206"/>
      <c r="C54" s="207"/>
      <c r="D54" s="21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3"/>
      <c r="B55" s="208"/>
      <c r="C55" s="209"/>
      <c r="D55" s="2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2" t="s">
        <v>91</v>
      </c>
      <c r="B58" s="213"/>
      <c r="C58" s="213"/>
      <c r="D58" s="214"/>
      <c r="F58" s="212" t="s">
        <v>92</v>
      </c>
      <c r="G58" s="213"/>
      <c r="H58" s="213"/>
      <c r="I58" s="213"/>
      <c r="J58" s="214"/>
    </row>
    <row r="59" spans="1:18" x14ac:dyDescent="0.25">
      <c r="A59" s="215"/>
      <c r="B59" s="216"/>
      <c r="C59" s="216"/>
      <c r="D59" s="217"/>
      <c r="F59" s="215"/>
      <c r="G59" s="216"/>
      <c r="H59" s="216"/>
      <c r="I59" s="216"/>
      <c r="J59" s="2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2026-02-05T01:05:59Z</cp:lastPrinted>
  <dcterms:created xsi:type="dcterms:W3CDTF">2024-09-01T23:36:50Z</dcterms:created>
  <dcterms:modified xsi:type="dcterms:W3CDTF">2026-02-05T01:06:01Z</dcterms:modified>
</cp:coreProperties>
</file>