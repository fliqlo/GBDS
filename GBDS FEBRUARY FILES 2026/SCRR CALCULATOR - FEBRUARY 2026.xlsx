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74B483A-5D3C-4E0A-A5F1-6C2AEF96D508}" xr6:coauthVersionLast="45" xr6:coauthVersionMax="47" xr10:uidLastSave="{00000000-0000-0000-0000-000000000000}"/>
  <bookViews>
    <workbookView xWindow="-120" yWindow="-120" windowWidth="29040" windowHeight="15840" firstSheet="48" activeTab="56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" sheetId="1803" r:id="rId59"/>
    <sheet name="02,18 R2" sheetId="1804" r:id="rId60"/>
    <sheet name="02,18 R3" sheetId="1805" r:id="rId61"/>
    <sheet name="(19)" sheetId="1806" r:id="rId62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R1'!$A$1:$J$60</definedName>
    <definedName name="_xlnm.Print_Area" localSheetId="59">'02,18 R2'!$A$1:$J$60</definedName>
    <definedName name="_xlnm.Print_Area" localSheetId="60">'02,18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01" l="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G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G49" i="1804" s="1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D54" i="1805" l="1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H15" i="1804" s="1"/>
  <c r="H29" i="1804" s="1"/>
  <c r="G51" i="1804" s="1"/>
  <c r="D29" i="1803"/>
  <c r="H13" i="1803" s="1"/>
  <c r="H15" i="1803" s="1"/>
  <c r="H29" i="1803" s="1"/>
  <c r="G51" i="1803" s="1"/>
  <c r="H16" i="1797"/>
  <c r="H16" i="1796"/>
  <c r="H16" i="1795"/>
  <c r="H15" i="1805" l="1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<sst xmlns="http://schemas.openxmlformats.org/spreadsheetml/2006/main" count="8225" uniqueCount="202">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</sst>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87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283</v>
      </c>
      <c r="D6" s="13">
        <f t="shared" ref="D6:D28" si="1">C6*L6</f>
        <v>215363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118</v>
      </c>
      <c r="D9" s="13">
        <f t="shared" si="1"/>
        <v>86494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14</v>
      </c>
      <c r="D13" s="48">
        <f t="shared" si="1"/>
        <v>4298</v>
      </c>
      <c r="F13" s="252" t="s">
        <v>36</v>
      </c>
      <c r="G13" s="216"/>
      <c r="H13" s="207">
        <f>D29</f>
        <v>314042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7</v>
      </c>
      <c r="D14" s="31">
        <f t="shared" si="1"/>
        <v>77</v>
      </c>
      <c r="F14" s="210" t="s">
        <v>39</v>
      </c>
      <c r="G14" s="211"/>
      <c r="H14" s="212">
        <f>D54</f>
        <v>21381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292661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324*6</f>
        <v>1944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8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314042</v>
      </c>
      <c r="F29" s="124" t="s">
        <v>55</v>
      </c>
      <c r="G29" s="186"/>
      <c r="H29" s="146">
        <f>H15-H16-H17-H18-H19-H20-H22-H23-H24+H26+H27+H28</f>
        <v>290717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68">
        <f t="shared" ref="H34:H39" si="2">F34*G34</f>
        <v>35000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8">
        <f t="shared" si="2"/>
        <v>9500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68">
        <f t="shared" si="2"/>
        <v>5800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68">
        <f t="shared" si="2"/>
        <v>700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101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63">
        <v>233510.5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146</v>
      </c>
      <c r="G45" s="62"/>
      <c r="H45" s="163">
        <v>5935.5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</v>
      </c>
      <c r="D49" s="12">
        <f>C49*42</f>
        <v>126</v>
      </c>
      <c r="F49" s="144" t="s">
        <v>86</v>
      </c>
      <c r="G49" s="146">
        <f>H34+H35+H36+H37+H38+H39+H40+H41+G42+H44+H45+H46</f>
        <v>290547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34</v>
      </c>
      <c r="D50" s="12">
        <f>C50*1.5</f>
        <v>51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-170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458</v>
      </c>
      <c r="D6" s="13">
        <f t="shared" ref="D6:D28" si="1">C6*L6</f>
        <v>348538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53</v>
      </c>
      <c r="D9" s="13">
        <f t="shared" si="1"/>
        <v>38849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20</v>
      </c>
      <c r="D13" s="48">
        <f t="shared" si="1"/>
        <v>6140</v>
      </c>
      <c r="F13" s="252" t="s">
        <v>36</v>
      </c>
      <c r="G13" s="216"/>
      <c r="H13" s="207">
        <f>D29</f>
        <v>403660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22</v>
      </c>
      <c r="D14" s="31">
        <f t="shared" si="1"/>
        <v>242</v>
      </c>
      <c r="F14" s="210" t="s">
        <v>39</v>
      </c>
      <c r="G14" s="211"/>
      <c r="H14" s="212">
        <f>D54</f>
        <v>63054.75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340605.25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492*6</f>
        <v>2952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8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403660</v>
      </c>
      <c r="F29" s="124" t="s">
        <v>55</v>
      </c>
      <c r="G29" s="186"/>
      <c r="H29" s="146">
        <f>H15-H16-H17-H18-H19-H20-H22-H23-H24+H26+H27</f>
        <v>337653.25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8">
        <f>F34*G34</f>
        <v>154000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68">
        <f t="shared" ref="H35:H39" si="2">F35*G35</f>
        <v>154500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8">
        <f>F36*G36</f>
        <v>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68">
        <f t="shared" si="2"/>
        <v>18700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68">
        <f t="shared" si="2"/>
        <v>10100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66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89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21</v>
      </c>
      <c r="D49" s="12">
        <f>C49*42</f>
        <v>882</v>
      </c>
      <c r="F49" s="144" t="s">
        <v>86</v>
      </c>
      <c r="G49" s="146">
        <f>H34+H35+H36+H37+H38+H39+H40+H41+G42+H44+H45+H46</f>
        <v>337766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18</v>
      </c>
      <c r="D50" s="12">
        <f>C50*1.5</f>
        <v>27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112.75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46055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330</v>
      </c>
      <c r="D6" s="13">
        <f t="shared" ref="D6:D28" si="1">C6*L6</f>
        <v>251130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40</v>
      </c>
      <c r="D9" s="13">
        <f t="shared" si="1"/>
        <v>29320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293070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43414.5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249655.5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648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87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293070</v>
      </c>
      <c r="F29" s="124" t="s">
        <v>55</v>
      </c>
      <c r="G29" s="186"/>
      <c r="H29" s="146">
        <f>H15-H16-H17-H18-H19-H20-H22-H23-H24+H26+H27</f>
        <v>249007.5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8">
        <f>F34*G34</f>
        <v>144000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68">
        <f>F35*G35</f>
        <v>28500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68">
        <f t="shared" si="2"/>
        <v>9200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68">
        <f t="shared" si="2"/>
        <v>350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119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0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63">
        <v>67807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250016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1008.5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307</v>
      </c>
      <c r="D6" s="13">
        <f t="shared" ref="D6:D28" si="1">C6*L6</f>
        <v>233627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8</v>
      </c>
      <c r="D7" s="13">
        <f t="shared" si="1"/>
        <v>6248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20</v>
      </c>
      <c r="D9" s="13">
        <f t="shared" si="1"/>
        <v>14660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263815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</v>
      </c>
      <c r="D14" s="31">
        <f t="shared" si="1"/>
        <v>22</v>
      </c>
      <c r="F14" s="210" t="s">
        <v>39</v>
      </c>
      <c r="G14" s="211"/>
      <c r="H14" s="212">
        <f>D54</f>
        <v>36288.75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227526.25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6*6</f>
        <v>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151</v>
      </c>
      <c r="C26" s="84">
        <v>12</v>
      </c>
      <c r="D26" s="48">
        <f t="shared" si="1"/>
        <v>454</v>
      </c>
      <c r="F26" s="75"/>
      <c r="G26" s="65"/>
      <c r="H26" s="163"/>
      <c r="I26" s="163"/>
      <c r="J26" s="163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5</v>
      </c>
      <c r="D28" s="48">
        <f t="shared" si="1"/>
        <v>4055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263815</v>
      </c>
      <c r="F29" s="124" t="s">
        <v>55</v>
      </c>
      <c r="G29" s="186"/>
      <c r="H29" s="146">
        <f>H15-H16-H17-H18-H19-H20-H22-H23-H24+H26+H27+H28</f>
        <v>227440.25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68">
        <f t="shared" ref="H34:H39" si="2">F34*G34</f>
        <v>191000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68">
        <f t="shared" si="2"/>
        <v>33500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68">
        <f t="shared" si="2"/>
        <v>2600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8">
        <v>19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85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2</v>
      </c>
      <c r="D45" s="12">
        <f>C45*84</f>
        <v>168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20</v>
      </c>
      <c r="D46" s="12">
        <f>C46*1.5</f>
        <v>30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227219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10</v>
      </c>
      <c r="D50" s="12">
        <f>C50*1.5</f>
        <v>15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-221.25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242</v>
      </c>
      <c r="D6" s="13">
        <f t="shared" ref="D6:D28" si="1">C6*L6</f>
        <v>184162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33</v>
      </c>
      <c r="D9" s="13">
        <f t="shared" si="1"/>
        <v>24189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4</v>
      </c>
      <c r="D13" s="48">
        <f t="shared" si="1"/>
        <v>1228</v>
      </c>
      <c r="F13" s="252" t="s">
        <v>36</v>
      </c>
      <c r="G13" s="216"/>
      <c r="H13" s="207">
        <f>D29</f>
        <v>216897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9</v>
      </c>
      <c r="D14" s="31">
        <f t="shared" si="1"/>
        <v>99</v>
      </c>
      <c r="F14" s="210" t="s">
        <v>39</v>
      </c>
      <c r="G14" s="211"/>
      <c r="H14" s="212">
        <f>D54</f>
        <v>35701.5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181195.5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140*6</f>
        <v>840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216897</v>
      </c>
      <c r="F29" s="124" t="s">
        <v>55</v>
      </c>
      <c r="G29" s="186"/>
      <c r="H29" s="146">
        <f>H15-H16-H17-H18-H19-H20-H22-H23-H24+H26+H27</f>
        <v>180355.5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8">
        <f>F34*G34</f>
        <v>154000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68">
        <f t="shared" ref="H35:H39" si="2">F35*G35</f>
        <v>25500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12</v>
      </c>
      <c r="D42" s="12">
        <f>C42*2.25</f>
        <v>27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</v>
      </c>
      <c r="D49" s="12">
        <f>C49*42</f>
        <v>84</v>
      </c>
      <c r="F49" s="144" t="s">
        <v>86</v>
      </c>
      <c r="G49" s="146">
        <f>H34+H35+H36+H37+H38+H39+H40+H41+G42+H44+H45+H46</f>
        <v>180250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-105.5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46056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414</v>
      </c>
      <c r="D6" s="13">
        <f t="shared" ref="D6:D28" si="1">C6*L6</f>
        <v>315054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35</v>
      </c>
      <c r="D9" s="13">
        <f t="shared" si="1"/>
        <v>25655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154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12</v>
      </c>
      <c r="D13" s="48">
        <f t="shared" si="1"/>
        <v>3684</v>
      </c>
      <c r="F13" s="252" t="s">
        <v>36</v>
      </c>
      <c r="G13" s="216"/>
      <c r="H13" s="207">
        <f>D29</f>
        <v>355427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51192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304235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329*6+50*6</f>
        <v>2274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355427</v>
      </c>
      <c r="F29" s="124" t="s">
        <v>55</v>
      </c>
      <c r="G29" s="186"/>
      <c r="H29" s="146">
        <f>H15-H16-H17-H18-H19-H20-H22-H23-H24+H26+H27</f>
        <v>301961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68">
        <f>F34*G34</f>
        <v>54000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8">
        <f>F35*G35</f>
        <v>21000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 t="shared" ref="H36:H39" si="2"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68">
        <f t="shared" si="2"/>
        <v>8300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68">
        <f t="shared" si="2"/>
        <v>550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6</v>
      </c>
      <c r="D42" s="12">
        <f>C42*2.25</f>
        <v>13.5</v>
      </c>
      <c r="F42" s="39" t="s">
        <v>79</v>
      </c>
      <c r="G42" s="168">
        <v>480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63">
        <v>216552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23</v>
      </c>
      <c r="D46" s="12">
        <f>C46*1.5</f>
        <v>34.5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301482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20</v>
      </c>
      <c r="D50" s="12">
        <f>C50*1.5</f>
        <v>30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-479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235</v>
      </c>
      <c r="D6" s="13">
        <f t="shared" ref="D6:D28" si="1">C6*L6</f>
        <v>178835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22</v>
      </c>
      <c r="D9" s="13">
        <f t="shared" si="1"/>
        <v>16126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5</v>
      </c>
      <c r="D13" s="48">
        <f t="shared" si="1"/>
        <v>1535</v>
      </c>
      <c r="F13" s="252" t="s">
        <v>36</v>
      </c>
      <c r="G13" s="216"/>
      <c r="H13" s="207">
        <f>D29</f>
        <v>198091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3</v>
      </c>
      <c r="D14" s="31">
        <f t="shared" si="1"/>
        <v>33</v>
      </c>
      <c r="F14" s="210" t="s">
        <v>39</v>
      </c>
      <c r="G14" s="211"/>
      <c r="H14" s="212">
        <f>D54</f>
        <v>31146.75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166944.25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198091</v>
      </c>
      <c r="F29" s="124" t="s">
        <v>55</v>
      </c>
      <c r="G29" s="186"/>
      <c r="H29" s="146">
        <f>H15-H16-H17-H18-H19-H20-H22-H23-H24+H26+H27+H28</f>
        <v>166944.25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8">
        <f t="shared" ref="H34:H39" si="2">F34*G34</f>
        <v>120000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8">
        <f t="shared" si="2"/>
        <v>16000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si="2"/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68">
        <f t="shared" si="2"/>
        <v>500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8">
        <f t="shared" si="2"/>
        <v>200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8">
        <v>25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157</v>
      </c>
      <c r="G44" s="85"/>
      <c r="H44" s="163">
        <v>30000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166925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43</v>
      </c>
      <c r="D50" s="12">
        <f>C50*1.5</f>
        <v>64.5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-19.25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203</v>
      </c>
      <c r="D6" s="13">
        <f t="shared" ref="D6:D28" si="1">C6*L6</f>
        <v>154483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18</v>
      </c>
      <c r="D9" s="13">
        <f t="shared" si="1"/>
        <v>13194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176482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</v>
      </c>
      <c r="D14" s="31">
        <f t="shared" si="1"/>
        <v>11</v>
      </c>
      <c r="F14" s="210" t="s">
        <v>39</v>
      </c>
      <c r="G14" s="211"/>
      <c r="H14" s="212">
        <f>D54</f>
        <v>26237.25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150244.75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3</v>
      </c>
      <c r="D28" s="48">
        <f t="shared" si="1"/>
        <v>2433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176482</v>
      </c>
      <c r="F29" s="124" t="s">
        <v>55</v>
      </c>
      <c r="G29" s="186"/>
      <c r="H29" s="146">
        <f>H15-H16-H17-H18-H19-H20-H22-H23-H24+H26+H27</f>
        <v>150244.75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68">
        <f>F34*G34</f>
        <v>129000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8">
        <f t="shared" ref="H35:H39" si="2">F35*G35</f>
        <v>12000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8">
        <f>F36*G36</f>
        <v>400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68">
        <f t="shared" si="2"/>
        <v>7100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68">
        <f t="shared" si="2"/>
        <v>1850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110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150460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3</v>
      </c>
      <c r="D50" s="12">
        <f>C50*1.5</f>
        <v>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215.25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46057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474</v>
      </c>
      <c r="D6" s="13">
        <f t="shared" ref="D6:D28" si="1">C6*L6</f>
        <v>360714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</v>
      </c>
      <c r="D8" s="13">
        <f t="shared" si="1"/>
        <v>2186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143</v>
      </c>
      <c r="D9" s="13">
        <f t="shared" si="1"/>
        <v>104819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505520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73287.75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432232.25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144*6+329*6+121*6</f>
        <v>3564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4</v>
      </c>
      <c r="D28" s="48">
        <f t="shared" si="1"/>
        <v>3244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505520</v>
      </c>
      <c r="F29" s="124" t="s">
        <v>55</v>
      </c>
      <c r="G29" s="186"/>
      <c r="H29" s="146">
        <f>H15-H16-H17-H18-H19-H20-H22-H23-H24+H26+H27</f>
        <v>428618.25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68">
        <f>F34*G34</f>
        <v>184000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68">
        <f>F35*G35</f>
        <v>30000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68">
        <f t="shared" ref="H36:H39" si="2"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68">
        <f t="shared" si="2"/>
        <v>3600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68">
        <f t="shared" si="2"/>
        <v>1050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</v>
      </c>
      <c r="D42" s="12">
        <f>C42*2.25</f>
        <v>6.75</v>
      </c>
      <c r="F42" s="39" t="s">
        <v>79</v>
      </c>
      <c r="G42" s="168">
        <v>106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63">
        <v>209026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6</v>
      </c>
      <c r="D45" s="12">
        <f>C45*84</f>
        <v>504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22</v>
      </c>
      <c r="D46" s="12">
        <f>C46*1.5</f>
        <v>33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5</v>
      </c>
      <c r="D49" s="12">
        <f>C49*42</f>
        <v>210</v>
      </c>
      <c r="F49" s="144" t="s">
        <v>86</v>
      </c>
      <c r="G49" s="146">
        <f>H34+H35+H36+H37+H38+H39+H40+H41+G42+H44+H45+H46</f>
        <v>427982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23</v>
      </c>
      <c r="D50" s="12">
        <f>C50*1.5</f>
        <v>34.5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159</v>
      </c>
      <c r="G51" s="253">
        <f>G49-H29</f>
        <v>-636.25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207</v>
      </c>
      <c r="D6" s="13">
        <f t="shared" ref="D6:D28" si="1">C6*L6</f>
        <v>157527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</v>
      </c>
      <c r="D7" s="13">
        <f t="shared" si="1"/>
        <v>781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33</v>
      </c>
      <c r="D9" s="13">
        <f t="shared" si="1"/>
        <v>24189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4</v>
      </c>
      <c r="D13" s="48">
        <f t="shared" si="1"/>
        <v>1228</v>
      </c>
      <c r="F13" s="252" t="s">
        <v>36</v>
      </c>
      <c r="G13" s="216"/>
      <c r="H13" s="207">
        <f>D29</f>
        <v>194843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6</v>
      </c>
      <c r="D14" s="31">
        <f t="shared" si="1"/>
        <v>66</v>
      </c>
      <c r="F14" s="210" t="s">
        <v>39</v>
      </c>
      <c r="G14" s="211"/>
      <c r="H14" s="212">
        <f>D54</f>
        <v>28632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v>1</v>
      </c>
      <c r="D15" s="31">
        <f t="shared" si="1"/>
        <v>620</v>
      </c>
      <c r="F15" s="215" t="s">
        <v>40</v>
      </c>
      <c r="G15" s="216"/>
      <c r="H15" s="217">
        <f>H13-H14</f>
        <v>166211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83" t="s">
        <v>165</v>
      </c>
      <c r="C22" s="84">
        <v>3</v>
      </c>
      <c r="D22" s="48">
        <f t="shared" si="1"/>
        <v>4746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194843</v>
      </c>
      <c r="F29" s="124" t="s">
        <v>55</v>
      </c>
      <c r="G29" s="186"/>
      <c r="H29" s="146">
        <f>H15-H16-H17-H18-H19-H20-H22-H23-H24+H26+H27+H28</f>
        <v>166211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68">
        <f t="shared" ref="H34:H39" si="2">F34*G34</f>
        <v>66000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8">
        <f t="shared" si="2"/>
        <v>9500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68">
        <f t="shared" si="2"/>
        <v>3100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68">
        <f t="shared" si="2"/>
        <v>1500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49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63">
        <v>85702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7</v>
      </c>
      <c r="D46" s="12">
        <f>C46*1.5</f>
        <v>10.5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165891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5</v>
      </c>
      <c r="D50" s="12">
        <f>C50*1.5</f>
        <v>7.5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-320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205</v>
      </c>
      <c r="D6" s="13">
        <f t="shared" ref="D6:D28" si="1">C6*L6</f>
        <v>156005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29</v>
      </c>
      <c r="D9" s="13">
        <f t="shared" si="1"/>
        <v>21257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187600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</v>
      </c>
      <c r="D14" s="31">
        <f t="shared" si="1"/>
        <v>22</v>
      </c>
      <c r="F14" s="210" t="s">
        <v>39</v>
      </c>
      <c r="G14" s="211"/>
      <c r="H14" s="212">
        <f>D54</f>
        <v>23733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163867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192*6</f>
        <v>1152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187600</v>
      </c>
      <c r="F29" s="124" t="s">
        <v>55</v>
      </c>
      <c r="G29" s="186"/>
      <c r="H29" s="146">
        <f>H15-H16-H17-H18-H19-H20-H22-H23-H24+H26+H27</f>
        <v>162715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68">
        <f>F34*G34</f>
        <v>28000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8">
        <f t="shared" ref="H35:H39" si="2">F35*G35</f>
        <v>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68">
        <f t="shared" si="2"/>
        <v>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150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63">
        <v>134176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9</v>
      </c>
      <c r="D49" s="12">
        <f>C49*42</f>
        <v>378</v>
      </c>
      <c r="F49" s="144" t="s">
        <v>86</v>
      </c>
      <c r="G49" s="146">
        <f>H34+H35+H36+H37+H38+H39+H40+H41+G42+H44+H45+H46</f>
        <v>163026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4</v>
      </c>
      <c r="D50" s="12">
        <f>C50*1.5</f>
        <v>6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311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46058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248</v>
      </c>
      <c r="D6" s="13">
        <f t="shared" ref="D6:D28" si="1">C6*L6</f>
        <v>188728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>
        <v>4</v>
      </c>
      <c r="D11" s="13">
        <f t="shared" si="1"/>
        <v>4680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206767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9</v>
      </c>
      <c r="D14" s="31">
        <f t="shared" si="1"/>
        <v>99</v>
      </c>
      <c r="F14" s="210" t="s">
        <v>39</v>
      </c>
      <c r="G14" s="211"/>
      <c r="H14" s="212">
        <f>D54</f>
        <v>50062.5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1</v>
      </c>
      <c r="D15" s="31">
        <f t="shared" si="1"/>
        <v>620</v>
      </c>
      <c r="F15" s="215" t="s">
        <v>40</v>
      </c>
      <c r="G15" s="216"/>
      <c r="H15" s="217">
        <f>H13-H14</f>
        <v>156704.5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103*6+108*6</f>
        <v>1266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206767</v>
      </c>
      <c r="F29" s="124" t="s">
        <v>55</v>
      </c>
      <c r="G29" s="186"/>
      <c r="H29" s="146">
        <f>H15-H16-H17-H18-H19-H20-H22-H23-H24+H26+H27</f>
        <v>155438.5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68">
        <f>F34*G34</f>
        <v>36000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8">
        <f>F35*G35</f>
        <v>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63">
        <f>56380</f>
        <v>56380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63">
        <v>62596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23</v>
      </c>
      <c r="D46" s="12">
        <f>C46*1.5</f>
        <v>34.5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155476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37.5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46059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57</v>
      </c>
      <c r="D6" s="13">
        <f t="shared" ref="D6:D28" si="1">C6*L6</f>
        <v>43377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25</v>
      </c>
      <c r="D7" s="13">
        <f t="shared" si="1"/>
        <v>19525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10</v>
      </c>
      <c r="D8" s="13">
        <f t="shared" si="1"/>
        <v>10930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7</v>
      </c>
      <c r="D9" s="13">
        <f t="shared" si="1"/>
        <v>5131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50+5</f>
        <v>55</v>
      </c>
      <c r="D12" s="48">
        <f t="shared" si="1"/>
        <v>54560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175949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11</v>
      </c>
      <c r="D14" s="31">
        <f t="shared" si="1"/>
        <v>121</v>
      </c>
      <c r="F14" s="210" t="s">
        <v>39</v>
      </c>
      <c r="G14" s="211"/>
      <c r="H14" s="212">
        <f>D54</f>
        <v>27286.5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v>5</v>
      </c>
      <c r="D15" s="31">
        <f t="shared" si="1"/>
        <v>3100</v>
      </c>
      <c r="F15" s="215" t="s">
        <v>40</v>
      </c>
      <c r="G15" s="216"/>
      <c r="H15" s="217">
        <f>H13-H14</f>
        <v>148662.5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>
        <v>10</v>
      </c>
      <c r="D28" s="48">
        <f t="shared" si="1"/>
        <v>8110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175949</v>
      </c>
      <c r="F29" s="124" t="s">
        <v>55</v>
      </c>
      <c r="G29" s="186"/>
      <c r="H29" s="146">
        <f>H15-H16-H17-H18-H19-H20-H22-H23-H24+H26+H27+H28</f>
        <v>148662.5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68">
        <f t="shared" ref="H34:H39" si="2">F34*G34</f>
        <v>40000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68">
        <f t="shared" si="2"/>
        <v>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68">
        <f t="shared" si="2"/>
        <v>100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128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3">
        <v>107519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46</v>
      </c>
      <c r="D45" s="12">
        <f>C45*84</f>
        <v>3864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148547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8</v>
      </c>
      <c r="D50" s="12">
        <f>C50*1.5</f>
        <v>12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-115.5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46059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180</v>
      </c>
      <c r="D6" s="13">
        <f t="shared" ref="D6:D28" si="1">C6*L6</f>
        <v>136980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7</v>
      </c>
      <c r="D7" s="13">
        <f t="shared" si="1"/>
        <v>5467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54</v>
      </c>
      <c r="D9" s="13">
        <f t="shared" si="1"/>
        <v>39582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</v>
      </c>
      <c r="D10" s="13">
        <f t="shared" si="1"/>
        <v>1032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191902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10</v>
      </c>
      <c r="D14" s="31">
        <f t="shared" si="1"/>
        <v>110</v>
      </c>
      <c r="F14" s="210" t="s">
        <v>39</v>
      </c>
      <c r="G14" s="211"/>
      <c r="H14" s="212">
        <f>D54</f>
        <v>27573.75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164328.25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7">
        <v>20</v>
      </c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2</v>
      </c>
      <c r="D28" s="48">
        <f t="shared" si="1"/>
        <v>1622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191902</v>
      </c>
      <c r="F29" s="124" t="s">
        <v>55</v>
      </c>
      <c r="G29" s="186"/>
      <c r="H29" s="146">
        <f>H15-H16-H17-H18-H19-H20-H22-H23-H24+H26+H27</f>
        <v>164308.25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68">
        <f>F34*G34</f>
        <v>146000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8">
        <f t="shared" ref="H35:H39" si="2">F35*G35</f>
        <v>17000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68">
        <f t="shared" si="2"/>
        <v>1000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68">
        <f t="shared" si="2"/>
        <v>200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109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164309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</v>
      </c>
      <c r="D50" s="12">
        <f>C50*1.5</f>
        <v>1.5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0.75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46059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159</v>
      </c>
      <c r="D6" s="13">
        <f t="shared" ref="D6:D28" si="1">C6*L6</f>
        <v>120999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15</v>
      </c>
      <c r="D8" s="13">
        <f t="shared" si="1"/>
        <v>16395</v>
      </c>
      <c r="F8" s="239" t="s">
        <v>21</v>
      </c>
      <c r="G8" s="240" t="s">
        <v>126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22</v>
      </c>
      <c r="D9" s="13">
        <f t="shared" si="1"/>
        <v>16126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4</v>
      </c>
      <c r="D10" s="13">
        <f t="shared" si="1"/>
        <v>4128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2</v>
      </c>
      <c r="D11" s="13">
        <f t="shared" si="1"/>
        <v>2340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f>1+2</f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</v>
      </c>
      <c r="D13" s="48">
        <f t="shared" si="1"/>
        <v>307</v>
      </c>
      <c r="F13" s="252" t="s">
        <v>36</v>
      </c>
      <c r="G13" s="216"/>
      <c r="H13" s="207">
        <f>D29</f>
        <v>173376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14</v>
      </c>
      <c r="D14" s="31">
        <f t="shared" si="1"/>
        <v>154</v>
      </c>
      <c r="F14" s="210" t="s">
        <v>39</v>
      </c>
      <c r="G14" s="211"/>
      <c r="H14" s="212">
        <f>D54</f>
        <v>23477.25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149898.75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173376</v>
      </c>
      <c r="F29" s="124" t="s">
        <v>55</v>
      </c>
      <c r="G29" s="186"/>
      <c r="H29" s="146">
        <f>H15-H16-H17-H18-H19-H20-H22-H23-H24+H26+H27+H28</f>
        <v>149848.75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68">
        <f t="shared" ref="H34:H39" si="2">F34*G34</f>
        <v>120000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8">
        <f t="shared" si="2"/>
        <v>15000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68">
        <f t="shared" si="2"/>
        <v>60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8">
        <v>13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63">
        <v>14000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4</v>
      </c>
      <c r="D45" s="12">
        <f>C45*84</f>
        <v>336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149823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5</v>
      </c>
      <c r="D50" s="12">
        <f>C50*1.5</f>
        <v>7.5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-25.75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333</v>
      </c>
      <c r="D6" s="13">
        <f t="shared" ref="D6:D28" si="1">C6*L6</f>
        <v>253413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</v>
      </c>
      <c r="D9" s="13">
        <f t="shared" si="1"/>
        <v>2199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11</v>
      </c>
      <c r="D13" s="48">
        <f t="shared" si="1"/>
        <v>3377</v>
      </c>
      <c r="F13" s="252" t="s">
        <v>36</v>
      </c>
      <c r="G13" s="216"/>
      <c r="H13" s="207">
        <f>D29</f>
        <v>267745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15</v>
      </c>
      <c r="D14" s="31">
        <f t="shared" si="1"/>
        <v>165</v>
      </c>
      <c r="F14" s="210" t="s">
        <v>39</v>
      </c>
      <c r="G14" s="211"/>
      <c r="H14" s="212">
        <f>D54</f>
        <v>57427.5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210317.5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241*6</f>
        <v>1446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267745</v>
      </c>
      <c r="F29" s="124" t="s">
        <v>55</v>
      </c>
      <c r="G29" s="186"/>
      <c r="H29" s="146">
        <f>H15-H16-H17-H18-H19-H20-H22-H23-H24+H26+H27</f>
        <v>208871.5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8">
        <f>F34*G34</f>
        <v>41000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8">
        <f t="shared" ref="H35:H39" si="2">F35*G35</f>
        <v>20500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68">
        <f t="shared" si="2"/>
        <v>7500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68">
        <f t="shared" si="2"/>
        <v>450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30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63">
        <v>138760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10</v>
      </c>
      <c r="D49" s="12">
        <f>C49*42</f>
        <v>420</v>
      </c>
      <c r="F49" s="144" t="s">
        <v>86</v>
      </c>
      <c r="G49" s="146">
        <f>H34+H35+H36+H37+H38+H39+H40+H41+G42+H44+H45+H46</f>
        <v>208840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14</v>
      </c>
      <c r="D50" s="12">
        <f>C50*1.5</f>
        <v>21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-31.5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358</v>
      </c>
      <c r="D6" s="13">
        <f t="shared" ref="D6:D28" si="1">C6*L6</f>
        <v>272438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16</v>
      </c>
      <c r="D9" s="13">
        <f t="shared" si="1"/>
        <v>11728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3</v>
      </c>
      <c r="D13" s="48">
        <f t="shared" si="1"/>
        <v>921</v>
      </c>
      <c r="F13" s="252" t="s">
        <v>36</v>
      </c>
      <c r="G13" s="216"/>
      <c r="H13" s="207">
        <f>D29</f>
        <v>294192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5</v>
      </c>
      <c r="D14" s="31">
        <f t="shared" si="1"/>
        <v>55</v>
      </c>
      <c r="F14" s="210" t="s">
        <v>39</v>
      </c>
      <c r="G14" s="211"/>
      <c r="H14" s="212">
        <f>D54</f>
        <v>44824.5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2</v>
      </c>
      <c r="D15" s="31">
        <f t="shared" si="1"/>
        <v>1240</v>
      </c>
      <c r="F15" s="215" t="s">
        <v>40</v>
      </c>
      <c r="G15" s="216"/>
      <c r="H15" s="217">
        <f>H13-H14</f>
        <v>249367.5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50*6+184*6</f>
        <v>1404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294192</v>
      </c>
      <c r="F29" s="124" t="s">
        <v>55</v>
      </c>
      <c r="G29" s="186"/>
      <c r="H29" s="146">
        <f>H15-H16-H17-H18-H19-H20-H22-H23-H24+H26+H27</f>
        <v>247963.5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8">
        <f>F34*G34</f>
        <v>84000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8">
        <f>F35*G35</f>
        <v>39000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68">
        <f t="shared" si="2"/>
        <v>1900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68">
        <f t="shared" si="2"/>
        <v>1050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4</v>
      </c>
      <c r="D42" s="12">
        <f>C42*2.25</f>
        <v>9</v>
      </c>
      <c r="F42" s="39" t="s">
        <v>79</v>
      </c>
      <c r="G42" s="168">
        <v>56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63">
        <v>121864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8</v>
      </c>
      <c r="D46" s="12">
        <f>C46*1.5</f>
        <v>12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247890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-73.5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9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350</v>
      </c>
      <c r="D6" s="13">
        <f t="shared" ref="D6:D28" si="1">C6*L6</f>
        <v>266350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11</v>
      </c>
      <c r="D7" s="13">
        <f t="shared" si="1"/>
        <v>8591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14</v>
      </c>
      <c r="D9" s="13">
        <f t="shared" si="1"/>
        <v>10262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10</v>
      </c>
      <c r="D10" s="13">
        <f t="shared" si="1"/>
        <v>10320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5</v>
      </c>
      <c r="D11" s="13">
        <f t="shared" si="1"/>
        <v>5850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10</v>
      </c>
      <c r="D13" s="48">
        <f t="shared" si="1"/>
        <v>3070</v>
      </c>
      <c r="F13" s="252" t="s">
        <v>36</v>
      </c>
      <c r="G13" s="216"/>
      <c r="H13" s="207">
        <f>D29</f>
        <v>305952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19</v>
      </c>
      <c r="D14" s="31">
        <f t="shared" si="1"/>
        <v>209</v>
      </c>
      <c r="F14" s="210" t="s">
        <v>39</v>
      </c>
      <c r="G14" s="211"/>
      <c r="H14" s="212">
        <f>D54</f>
        <v>50665.5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255286.5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231*6</f>
        <v>1386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305952</v>
      </c>
      <c r="F29" s="124" t="s">
        <v>55</v>
      </c>
      <c r="G29" s="186"/>
      <c r="H29" s="146">
        <f>H15-H16-H17-H18-H19-H20-H22-H23-H24+H26+H27+H28</f>
        <v>253900.5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68">
        <f t="shared" ref="H34:H39" si="2">F34*G34</f>
        <v>74000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8">
        <f t="shared" si="2"/>
        <v>25000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68">
        <f t="shared" si="2"/>
        <v>1200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68">
        <f t="shared" si="2"/>
        <v>2900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68">
        <f t="shared" si="2"/>
        <v>200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8">
        <v>7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63">
        <v>150599.5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10</v>
      </c>
      <c r="D46" s="12">
        <f>C46*1.5</f>
        <v>15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9</v>
      </c>
      <c r="D49" s="12">
        <f>C49*42</f>
        <v>378</v>
      </c>
      <c r="F49" s="144" t="s">
        <v>86</v>
      </c>
      <c r="G49" s="146">
        <f>H34+H35+H36+H37+H38+H39+H40+H41+G42+H44+H45+H46</f>
        <v>253906.5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14</v>
      </c>
      <c r="D50" s="12">
        <f>C50*1.5</f>
        <v>21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6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328</v>
      </c>
      <c r="D6" s="13">
        <f t="shared" ref="D6:D28" si="1">C6*L6</f>
        <v>249608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106</v>
      </c>
      <c r="D9" s="13">
        <f t="shared" si="1"/>
        <v>77698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176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21</v>
      </c>
      <c r="D13" s="48">
        <f t="shared" si="1"/>
        <v>6447</v>
      </c>
      <c r="F13" s="252" t="s">
        <v>36</v>
      </c>
      <c r="G13" s="216"/>
      <c r="H13" s="207">
        <f>D29</f>
        <v>336387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52480.5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283906.5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434*6</f>
        <v>2604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336387</v>
      </c>
      <c r="F29" s="124" t="s">
        <v>55</v>
      </c>
      <c r="G29" s="186"/>
      <c r="H29" s="146">
        <f>H15-H16-H17-H18-H19-H20-H22-H23-H24+H26+H27</f>
        <v>281302.5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8">
        <f>F34*G34</f>
        <v>31000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68">
        <f t="shared" ref="H35:H39" si="2">F35*G35</f>
        <v>251000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68">
        <f t="shared" si="2"/>
        <v>100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41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94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16</v>
      </c>
      <c r="D49" s="12">
        <f>C49*42</f>
        <v>672</v>
      </c>
      <c r="F49" s="144" t="s">
        <v>86</v>
      </c>
      <c r="G49" s="146">
        <f>H34+H35+H36+H37+H38+H39+H40+H41+G42+H44+H45+H46</f>
        <v>282141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838.5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46062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305</v>
      </c>
      <c r="D6" s="13">
        <f t="shared" ref="D6:D28" si="1">C6*L6</f>
        <v>232105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85</v>
      </c>
      <c r="D9" s="13">
        <f t="shared" si="1"/>
        <v>62305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</v>
      </c>
      <c r="D10" s="13">
        <f t="shared" si="1"/>
        <v>2064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13</v>
      </c>
      <c r="D13" s="48">
        <f t="shared" si="1"/>
        <v>3991</v>
      </c>
      <c r="F13" s="252" t="s">
        <v>36</v>
      </c>
      <c r="G13" s="216"/>
      <c r="H13" s="207">
        <f>D29</f>
        <v>309916.5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42118.5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267798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93">
        <v>141180</v>
      </c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94"/>
      <c r="I24" s="163"/>
      <c r="J24" s="16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9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309916.5</v>
      </c>
      <c r="F29" s="124" t="s">
        <v>55</v>
      </c>
      <c r="G29" s="186"/>
      <c r="H29" s="146">
        <f>H15-H16-H17-H18-H19-H20-H22-H23-H24+H26+H27</f>
        <v>126618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68">
        <f>F34*G34</f>
        <v>69000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68">
        <f>F35*G35</f>
        <v>45000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68">
        <f t="shared" si="2"/>
        <v>12400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68">
        <f t="shared" si="2"/>
        <v>250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8">
        <v>69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95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17</v>
      </c>
      <c r="D46" s="12">
        <f>C46*1.5</f>
        <v>25.5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11</v>
      </c>
      <c r="D49" s="12">
        <f>C49*42</f>
        <v>462</v>
      </c>
      <c r="F49" s="144" t="s">
        <v>86</v>
      </c>
      <c r="G49" s="146">
        <f>H34+H35+H36+H37+H38+H39+H40+H41+G42+H44+H45+H46</f>
        <v>126719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5</v>
      </c>
      <c r="D50" s="12">
        <f>C50*1.5</f>
        <v>7.5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101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229</v>
      </c>
      <c r="D6" s="13">
        <f t="shared" ref="D6:D28" si="1">C6*L6</f>
        <v>174269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4</v>
      </c>
      <c r="D7" s="13">
        <f t="shared" si="1"/>
        <v>3124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25</v>
      </c>
      <c r="D9" s="13">
        <f t="shared" si="1"/>
        <v>18325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197103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11</v>
      </c>
      <c r="D14" s="31">
        <f t="shared" si="1"/>
        <v>121</v>
      </c>
      <c r="F14" s="210" t="s">
        <v>39</v>
      </c>
      <c r="G14" s="211"/>
      <c r="H14" s="212">
        <f>D54</f>
        <v>29223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167880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7">
        <v>214.28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1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197103</v>
      </c>
      <c r="F29" s="124" t="s">
        <v>55</v>
      </c>
      <c r="G29" s="186"/>
      <c r="H29" s="146">
        <f>H15-H16-H17-H18-H19-H20-H22-H23-H24+H26+H27+H28</f>
        <v>167665.72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68">
        <f t="shared" ref="H34:H39" si="2">F34*G34</f>
        <v>83000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8">
        <f t="shared" si="2"/>
        <v>11500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68">
        <f t="shared" si="2"/>
        <v>2700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68">
        <f t="shared" si="2"/>
        <v>300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76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63">
        <f>69966</f>
        <v>69966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35</v>
      </c>
      <c r="D46" s="12">
        <f>C46*1.5</f>
        <v>52.5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167542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13</v>
      </c>
      <c r="D50" s="12">
        <f>C50*1.5</f>
        <v>19.5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-123.72000000000116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231</v>
      </c>
      <c r="D6" s="13">
        <f t="shared" ref="D6:D28" si="1">C6*L6</f>
        <v>175791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4</v>
      </c>
      <c r="D7" s="13">
        <f t="shared" si="1"/>
        <v>3124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22</v>
      </c>
      <c r="D9" s="13">
        <f t="shared" si="1"/>
        <v>16126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176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205618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15</v>
      </c>
      <c r="D14" s="31">
        <f t="shared" si="1"/>
        <v>165</v>
      </c>
      <c r="F14" s="210" t="s">
        <v>39</v>
      </c>
      <c r="G14" s="211"/>
      <c r="H14" s="212">
        <f>D54</f>
        <v>27680.25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177937.75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180*6</f>
        <v>1080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205618</v>
      </c>
      <c r="F29" s="124" t="s">
        <v>55</v>
      </c>
      <c r="G29" s="186"/>
      <c r="H29" s="146">
        <f>H15-H16-H17-H18-H19-H20-H22-H23-H24+H26+H27</f>
        <v>176857.75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8">
        <f>F34*G34</f>
        <v>37000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8">
        <f t="shared" ref="H35:H39" si="2">F35*G35</f>
        <v>4000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8">
        <f>F36*G36</f>
        <v>600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68">
        <f t="shared" si="2"/>
        <v>6300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68">
        <f t="shared" si="2"/>
        <v>800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3</v>
      </c>
      <c r="D42" s="12">
        <f>C42*2.25</f>
        <v>6.75</v>
      </c>
      <c r="F42" s="39" t="s">
        <v>79</v>
      </c>
      <c r="G42" s="168">
        <v>720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63">
        <v>126833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10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176293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6</v>
      </c>
      <c r="D50" s="12">
        <f>C50*1.5</f>
        <v>9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-564.75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46063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327</v>
      </c>
      <c r="D6" s="13">
        <f t="shared" ref="D6:D28" si="1">C6*L6</f>
        <v>248847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35</v>
      </c>
      <c r="D7" s="13">
        <f t="shared" si="1"/>
        <v>27335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10</v>
      </c>
      <c r="D8" s="13">
        <f t="shared" si="1"/>
        <v>10930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10</v>
      </c>
      <c r="D10" s="13">
        <f t="shared" si="1"/>
        <v>10320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317068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40029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277039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8">
        <v>141180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10</v>
      </c>
      <c r="D28" s="48">
        <f t="shared" si="1"/>
        <v>8110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317068</v>
      </c>
      <c r="F29" s="124" t="s">
        <v>55</v>
      </c>
      <c r="G29" s="186"/>
      <c r="H29" s="146">
        <f>H15-H16-H17-H18-H19-H20-H22-H23-H24+H26+H27</f>
        <v>418219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68">
        <f>F34*G34</f>
        <v>13000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68">
        <f>F35*G35</f>
        <v>1000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8">
        <v>40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63">
        <v>264377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63">
        <v>139920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16</v>
      </c>
      <c r="D46" s="12">
        <f>C46*1.5</f>
        <v>24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418337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118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0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815</v>
      </c>
      <c r="D6" s="13">
        <f t="shared" ref="D6:D28" si="1">C6*L6</f>
        <v>620215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48</v>
      </c>
      <c r="D7" s="13">
        <f t="shared" si="1"/>
        <v>37488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108</v>
      </c>
      <c r="D9" s="13">
        <f t="shared" si="1"/>
        <v>79164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30</v>
      </c>
      <c r="D10" s="13">
        <f t="shared" si="1"/>
        <v>30960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10</v>
      </c>
      <c r="D11" s="13">
        <f t="shared" si="1"/>
        <v>11700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52</v>
      </c>
      <c r="D13" s="48">
        <f t="shared" si="1"/>
        <v>15964</v>
      </c>
      <c r="F13" s="252" t="s">
        <v>36</v>
      </c>
      <c r="G13" s="216"/>
      <c r="H13" s="207">
        <f>D29</f>
        <v>809196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5</v>
      </c>
      <c r="D14" s="31">
        <f t="shared" si="1"/>
        <v>55</v>
      </c>
      <c r="F14" s="210" t="s">
        <v>39</v>
      </c>
      <c r="G14" s="211"/>
      <c r="H14" s="212">
        <f>D54</f>
        <v>111525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697671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325*6+520*6+54</f>
        <v>5124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93">
        <v>96418</v>
      </c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63">
        <v>108268</v>
      </c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1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809196</v>
      </c>
      <c r="F29" s="124" t="s">
        <v>55</v>
      </c>
      <c r="G29" s="186"/>
      <c r="H29" s="146">
        <f>H15-H16-H17-H18-H19-H20-H22-H23-H24+H26+H27+H28</f>
        <v>704397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68">
        <f t="shared" ref="H34:H39" si="2">F34*G34</f>
        <v>146000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68">
        <f t="shared" si="2"/>
        <v>46500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68">
        <f t="shared" si="2"/>
        <v>1800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68">
        <f t="shared" si="2"/>
        <v>37400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68">
        <f t="shared" si="2"/>
        <v>10550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100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63">
        <v>108268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63">
        <v>353553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21</v>
      </c>
      <c r="D49" s="12">
        <f>C49*42</f>
        <v>882</v>
      </c>
      <c r="F49" s="144" t="s">
        <v>86</v>
      </c>
      <c r="G49" s="146">
        <f>H34+H35+H36+H37+H38+H39+H40+H41+G42+H44+H45+H46</f>
        <v>704171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6</v>
      </c>
      <c r="D50" s="12">
        <f>C50*1.5</f>
        <v>9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-226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191</v>
      </c>
      <c r="D6" s="13">
        <f t="shared" ref="D6:D28" si="1">C6*L6</f>
        <v>145351</v>
      </c>
      <c r="F6" s="231" t="s">
        <v>16</v>
      </c>
      <c r="G6" s="233" t="s">
        <v>185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170729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11</v>
      </c>
      <c r="D14" s="31">
        <f t="shared" si="1"/>
        <v>121</v>
      </c>
      <c r="F14" s="210" t="s">
        <v>39</v>
      </c>
      <c r="G14" s="211"/>
      <c r="H14" s="212">
        <f>D54</f>
        <v>25408.5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145320.5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103*6</f>
        <v>618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>
        <v>1</v>
      </c>
      <c r="D28" s="48">
        <f t="shared" si="1"/>
        <v>811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170729</v>
      </c>
      <c r="F29" s="124" t="s">
        <v>55</v>
      </c>
      <c r="G29" s="186"/>
      <c r="H29" s="146">
        <f>H15-H16-H17-H18-H19-H20-H22-H23-H24+H26+H27</f>
        <v>144702.5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8">
        <f>F34*G34</f>
        <v>104000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8">
        <f t="shared" ref="H35:H39" si="2">F35*G35</f>
        <v>39000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68">
        <f t="shared" si="2"/>
        <v>1200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68">
        <f t="shared" si="2"/>
        <v>400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32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10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6</v>
      </c>
      <c r="D49" s="12">
        <f>C49*42</f>
        <v>252</v>
      </c>
      <c r="F49" s="144" t="s">
        <v>86</v>
      </c>
      <c r="G49" s="146">
        <f>H34+H35+H36+H37+H38+H39+H40+H41+G42+H44+H45+H46</f>
        <v>144652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16</v>
      </c>
      <c r="D50" s="12">
        <f>C50*1.5</f>
        <v>24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-50.5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46064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331</v>
      </c>
      <c r="D6" s="13">
        <f t="shared" ref="D6:D28" si="1">C6*L6</f>
        <v>251891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10</v>
      </c>
      <c r="D7" s="13">
        <f t="shared" si="1"/>
        <v>7810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36</v>
      </c>
      <c r="D9" s="13">
        <f t="shared" si="1"/>
        <v>26388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3</v>
      </c>
      <c r="D10" s="13">
        <f t="shared" si="1"/>
        <v>3096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9</v>
      </c>
      <c r="D13" s="48">
        <f t="shared" si="1"/>
        <v>2763</v>
      </c>
      <c r="F13" s="252" t="s">
        <v>36</v>
      </c>
      <c r="G13" s="216"/>
      <c r="H13" s="207">
        <f>D29</f>
        <v>295569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14</v>
      </c>
      <c r="D14" s="31">
        <f t="shared" si="1"/>
        <v>154</v>
      </c>
      <c r="F14" s="210" t="s">
        <v>39</v>
      </c>
      <c r="G14" s="211"/>
      <c r="H14" s="212">
        <f>D54</f>
        <v>44308.5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251260.5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251*6+65*6+61*6</f>
        <v>2262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295569</v>
      </c>
      <c r="F29" s="124" t="s">
        <v>55</v>
      </c>
      <c r="G29" s="186"/>
      <c r="H29" s="146">
        <f>H15-H16-H17-H18-H19-H20-H22-H23-H24+H26+H27</f>
        <v>248948.5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8">
        <f>F34*G34</f>
        <v>51000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8">
        <f>F35*G35</f>
        <v>20500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68">
        <f t="shared" si="2"/>
        <v>13500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366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1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63">
        <v>163030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3</v>
      </c>
      <c r="D45" s="12">
        <f>C45*84</f>
        <v>252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6</v>
      </c>
      <c r="D49" s="12">
        <f>C49*42</f>
        <v>252</v>
      </c>
      <c r="F49" s="144" t="s">
        <v>86</v>
      </c>
      <c r="G49" s="146">
        <f>H34+H35+H36+H37+H38+H39+H40+H41+G42+H44+H45+H46</f>
        <v>248396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7</v>
      </c>
      <c r="D50" s="12">
        <f>C50*1.5</f>
        <v>10.5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-552.5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0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355</v>
      </c>
      <c r="D6" s="13">
        <f t="shared" ref="D6:D28" si="1">C6*L6</f>
        <v>270155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10</v>
      </c>
      <c r="D9" s="13">
        <f t="shared" si="1"/>
        <v>7330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10</v>
      </c>
      <c r="D13" s="48">
        <f t="shared" si="1"/>
        <v>3070</v>
      </c>
      <c r="F13" s="252" t="s">
        <v>36</v>
      </c>
      <c r="G13" s="216"/>
      <c r="H13" s="207">
        <f>D29</f>
        <v>280577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2</v>
      </c>
      <c r="D14" s="31">
        <f t="shared" si="1"/>
        <v>22</v>
      </c>
      <c r="F14" s="210" t="s">
        <v>39</v>
      </c>
      <c r="G14" s="211"/>
      <c r="H14" s="212">
        <f>D54</f>
        <v>40954.5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239622.5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324*6</f>
        <v>1944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280577</v>
      </c>
      <c r="F29" s="124" t="s">
        <v>55</v>
      </c>
      <c r="G29" s="186"/>
      <c r="H29" s="146">
        <f>H15-H16-H17-H18-H19-H20-H22-H23-H24+H26+H27+H28</f>
        <v>237678.5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68">
        <f t="shared" ref="H34:H39" si="2">F34*G34</f>
        <v>169000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68">
        <f t="shared" si="2"/>
        <v>68500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68">
        <f t="shared" si="2"/>
        <v>80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22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85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8</v>
      </c>
      <c r="D49" s="12">
        <f>C49*42</f>
        <v>336</v>
      </c>
      <c r="F49" s="144" t="s">
        <v>86</v>
      </c>
      <c r="G49" s="146">
        <f>H34+H35+H36+H37+H38+H39+H40+H41+G42+H44+H45+H46</f>
        <v>237602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3</v>
      </c>
      <c r="D50" s="12">
        <f>C50*1.5</f>
        <v>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-76.5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212</v>
      </c>
      <c r="D6" s="13">
        <f t="shared" ref="D6:D28" si="1">C6*L6</f>
        <v>161332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20</v>
      </c>
      <c r="D8" s="13">
        <f t="shared" si="1"/>
        <v>21860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20</v>
      </c>
      <c r="D10" s="13">
        <f t="shared" si="1"/>
        <v>20640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233825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10</v>
      </c>
      <c r="D14" s="31">
        <f t="shared" si="1"/>
        <v>110</v>
      </c>
      <c r="F14" s="210" t="s">
        <v>39</v>
      </c>
      <c r="G14" s="211"/>
      <c r="H14" s="212">
        <f>D54</f>
        <v>10731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223094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20*6+200*6</f>
        <v>1320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167</v>
      </c>
      <c r="C26" s="10">
        <v>6</v>
      </c>
      <c r="D26" s="48">
        <f t="shared" si="1"/>
        <v>237</v>
      </c>
      <c r="F26" s="64"/>
      <c r="G26" s="10"/>
      <c r="H26" s="198"/>
      <c r="I26" s="199"/>
      <c r="J26" s="200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233825</v>
      </c>
      <c r="F29" s="124" t="s">
        <v>55</v>
      </c>
      <c r="G29" s="186"/>
      <c r="H29" s="146">
        <f>H15-H16-H17-H18-H19-H20-H22-H23-H24+H26+H27</f>
        <v>221774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8">
        <f>F34*G34</f>
        <v>37000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8">
        <f t="shared" ref="H35:H39" si="2">F35*G35</f>
        <v>3000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68">
        <f t="shared" si="2"/>
        <v>300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19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63">
        <v>160045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63">
        <v>21040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08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221404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10</v>
      </c>
      <c r="D50" s="12">
        <f>C50*1.5</f>
        <v>15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-370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46065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204</v>
      </c>
      <c r="D6" s="13">
        <f t="shared" ref="D6:D28" si="1">C6*L6</f>
        <v>155244</v>
      </c>
      <c r="F6" s="231" t="s">
        <v>16</v>
      </c>
      <c r="G6" s="233" t="s">
        <v>185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12</v>
      </c>
      <c r="D7" s="13">
        <f t="shared" si="1"/>
        <v>9372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5</v>
      </c>
      <c r="D13" s="48">
        <f t="shared" si="1"/>
        <v>1535</v>
      </c>
      <c r="F13" s="252" t="s">
        <v>36</v>
      </c>
      <c r="G13" s="216"/>
      <c r="H13" s="207">
        <f>D29</f>
        <v>188141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29342.25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158798.75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50*6+50*6</f>
        <v>600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188141</v>
      </c>
      <c r="F29" s="124" t="s">
        <v>55</v>
      </c>
      <c r="G29" s="186"/>
      <c r="H29" s="146">
        <f>H15-H16-H17-H18-H19-H20-H22-H23-H24+H26+H27</f>
        <v>158198.75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68">
        <f>F34*G34</f>
        <v>116000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8">
        <f>F35*G35</f>
        <v>38500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ref="H36:H39" si="2"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68">
        <f t="shared" si="2"/>
        <v>1900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68">
        <f t="shared" si="2"/>
        <v>1000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8">
        <v>1104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4</v>
      </c>
      <c r="D46" s="12">
        <f>C46*1.5</f>
        <v>6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158704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505.25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0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111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0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85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150</v>
      </c>
      <c r="D6" s="13">
        <f t="shared" ref="D6:D28" si="1">C6*L6</f>
        <v>114150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5</v>
      </c>
      <c r="D8" s="13">
        <f t="shared" si="1"/>
        <v>5465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50</v>
      </c>
      <c r="D9" s="13">
        <f t="shared" si="1"/>
        <v>36650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>
        <v>5</v>
      </c>
      <c r="D10" s="13">
        <f t="shared" si="1"/>
        <v>5160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163881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31509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132372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210*6</f>
        <v>1260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163881</v>
      </c>
      <c r="F29" s="124" t="s">
        <v>55</v>
      </c>
      <c r="G29" s="186"/>
      <c r="H29" s="146">
        <f>H15-H16-H17-H18-H19-H20-H22-H23-H24+H26+H27</f>
        <v>131112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63">
        <v>131112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5</v>
      </c>
      <c r="D46" s="12">
        <f>C46*1.5</f>
        <v>7.5</v>
      </c>
      <c r="F46" s="37"/>
      <c r="G46" s="108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131112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19</v>
      </c>
      <c r="D50" s="12">
        <f>C50*1.5</f>
        <v>28.5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190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46066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237</v>
      </c>
      <c r="D6" s="13">
        <f t="shared" ref="D6:D28" si="1">C6*L6</f>
        <v>180357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6</v>
      </c>
      <c r="D9" s="13">
        <f t="shared" si="1"/>
        <v>4398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7</v>
      </c>
      <c r="D13" s="48">
        <f t="shared" si="1"/>
        <v>2149</v>
      </c>
      <c r="F13" s="252" t="s">
        <v>36</v>
      </c>
      <c r="G13" s="216"/>
      <c r="H13" s="207">
        <f>D29</f>
        <v>195791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2</v>
      </c>
      <c r="D14" s="31">
        <f t="shared" si="1"/>
        <v>22</v>
      </c>
      <c r="F14" s="210" t="s">
        <v>39</v>
      </c>
      <c r="G14" s="211"/>
      <c r="H14" s="212">
        <f>D54</f>
        <v>24539.25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171251.75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116*6+100*6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0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195791</v>
      </c>
      <c r="F29" s="124" t="s">
        <v>55</v>
      </c>
      <c r="G29" s="186"/>
      <c r="H29" s="146">
        <f>H15-H16-H17-H18-H19-H20-H22-H23-H24+H26+H27</f>
        <v>169905.75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68">
        <f>F34*G34</f>
        <v>67000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8">
        <f>F35*G35</f>
        <v>15000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68">
        <f t="shared" si="2"/>
        <v>6400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68">
        <f t="shared" si="2"/>
        <v>4700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8">
        <f t="shared" si="2"/>
        <v>20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68">
        <v>20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0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63">
        <v>76694.5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</v>
      </c>
      <c r="D46" s="12">
        <f>C46*1.5</f>
        <v>1.5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7</v>
      </c>
      <c r="D49" s="12">
        <f>C49*42</f>
        <v>294</v>
      </c>
      <c r="F49" s="144" t="s">
        <v>86</v>
      </c>
      <c r="G49" s="146">
        <f>H34+H35+H36+H37+H38+H39+H40+H41+G42+H44+H45+H46</f>
        <v>169834.5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</v>
      </c>
      <c r="D50" s="12">
        <f>C50*1.5</f>
        <v>3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-71.25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323</v>
      </c>
      <c r="D6" s="13">
        <f t="shared" ref="D6:D28" si="1">C6*L6</f>
        <v>245803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>
        <v>61</v>
      </c>
      <c r="D8" s="13">
        <f t="shared" si="1"/>
        <v>66673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40</v>
      </c>
      <c r="D9" s="13">
        <f t="shared" si="1"/>
        <v>29320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>
        <v>3</v>
      </c>
      <c r="D11" s="13">
        <f t="shared" si="1"/>
        <v>3510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5</v>
      </c>
      <c r="D12" s="48">
        <f t="shared" si="1"/>
        <v>4960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354408.66666666669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13</v>
      </c>
      <c r="D14" s="31">
        <f t="shared" si="1"/>
        <v>143</v>
      </c>
      <c r="F14" s="210" t="s">
        <v>39</v>
      </c>
      <c r="G14" s="211"/>
      <c r="H14" s="212">
        <f>D54</f>
        <v>50364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>
        <v>1</v>
      </c>
      <c r="D15" s="31">
        <f t="shared" si="1"/>
        <v>620</v>
      </c>
      <c r="F15" s="215" t="s">
        <v>40</v>
      </c>
      <c r="G15" s="216"/>
      <c r="H15" s="217">
        <f>H13-H14</f>
        <v>304044.66666666669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59"/>
      <c r="I24" s="260"/>
      <c r="J24" s="26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354408.66666666669</v>
      </c>
      <c r="F29" s="124" t="s">
        <v>55</v>
      </c>
      <c r="G29" s="186"/>
      <c r="H29" s="146">
        <f>H15-H16-H17-H18-H19-H20-H22-H23-H24+H26+H27+H28</f>
        <v>303994.66666666669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68">
        <f t="shared" ref="H34:H39" si="2">F34*G34</f>
        <v>145000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68">
        <f t="shared" si="2"/>
        <v>10000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68">
        <f t="shared" si="2"/>
        <v>700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63">
        <v>76502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63">
        <v>71750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22</v>
      </c>
      <c r="D46" s="12">
        <f>C46*1.5</f>
        <v>33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303967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23</v>
      </c>
      <c r="D50" s="12">
        <f>C50*1.5</f>
        <v>34.5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-27.666666666686069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309</v>
      </c>
      <c r="D6" s="13">
        <f t="shared" ref="D6:D28" si="1">C6*L6</f>
        <v>235149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5</v>
      </c>
      <c r="D7" s="13">
        <f t="shared" si="1"/>
        <v>3905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>
        <v>1</v>
      </c>
      <c r="D8" s="13">
        <f t="shared" si="1"/>
        <v>1093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252" t="s">
        <v>36</v>
      </c>
      <c r="G13" s="216"/>
      <c r="H13" s="207">
        <f>D29</f>
        <v>242774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15</v>
      </c>
      <c r="D14" s="31">
        <f t="shared" si="1"/>
        <v>165</v>
      </c>
      <c r="F14" s="210" t="s">
        <v>39</v>
      </c>
      <c r="G14" s="211"/>
      <c r="H14" s="212">
        <f>D54</f>
        <v>33110.25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>
        <v>1</v>
      </c>
      <c r="D15" s="31">
        <f t="shared" si="1"/>
        <v>620</v>
      </c>
      <c r="F15" s="215" t="s">
        <v>40</v>
      </c>
      <c r="G15" s="216"/>
      <c r="H15" s="217">
        <f>H13-H14</f>
        <v>209663.75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242774</v>
      </c>
      <c r="F29" s="124" t="s">
        <v>55</v>
      </c>
      <c r="G29" s="186"/>
      <c r="H29" s="146">
        <f>H15-H16-H17-H18-H19-H20-H22-H23-H24+H26+H27</f>
        <v>208367.75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68">
        <f>F34*G34</f>
        <v>50000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68">
        <f t="shared" ref="H35:H39" si="2">F35*G35</f>
        <v>12500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>F36*G36</f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68">
        <f t="shared" si="2"/>
        <v>2600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68">
        <f t="shared" si="2"/>
        <v>400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63">
        <v>142807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1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208512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15</v>
      </c>
      <c r="D50" s="12">
        <f>C50*1.5</f>
        <v>22.5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144.25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46067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328</v>
      </c>
      <c r="D6" s="13">
        <f t="shared" ref="D6:D28" si="1">C6*L6</f>
        <v>249608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8</v>
      </c>
      <c r="D7" s="13">
        <f t="shared" si="1"/>
        <v>6248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30</v>
      </c>
      <c r="D9" s="13">
        <f t="shared" si="1"/>
        <v>21990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8</v>
      </c>
      <c r="D13" s="48">
        <f t="shared" si="1"/>
        <v>2456</v>
      </c>
      <c r="F13" s="252" t="s">
        <v>36</v>
      </c>
      <c r="G13" s="216"/>
      <c r="H13" s="207">
        <f>D29</f>
        <v>283410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12</v>
      </c>
      <c r="D14" s="31">
        <f t="shared" si="1"/>
        <v>132</v>
      </c>
      <c r="F14" s="210" t="s">
        <v>39</v>
      </c>
      <c r="G14" s="211"/>
      <c r="H14" s="212">
        <f>D54</f>
        <v>45153.75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238256.25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138*6+50*6+108*6</f>
        <v>1776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283410</v>
      </c>
      <c r="F29" s="124" t="s">
        <v>55</v>
      </c>
      <c r="G29" s="186"/>
      <c r="H29" s="146">
        <f>H15-H16-H17-H18-H19-H20-H22-H23-H24+H26+H27</f>
        <v>236480.25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68">
        <f>F34*G34</f>
        <v>109000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68">
        <f>F35*G35</f>
        <v>56000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63">
        <v>70468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9</v>
      </c>
      <c r="D46" s="12">
        <f>C46*1.5</f>
        <v>13.5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</v>
      </c>
      <c r="D49" s="12">
        <f>C49*42</f>
        <v>126</v>
      </c>
      <c r="F49" s="144" t="s">
        <v>86</v>
      </c>
      <c r="G49" s="146">
        <f>H34+H35+H36+H37+H38+H39+H40+H41+G42+H44+H45+H46</f>
        <v>235468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11</v>
      </c>
      <c r="D50" s="12">
        <f>C50*1.5</f>
        <v>16.5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-1012.25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46069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287</v>
      </c>
      <c r="D6" s="13">
        <f t="shared" ref="D6:D28" si="1">C6*L6</f>
        <v>218407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118</v>
      </c>
      <c r="D9" s="13">
        <f t="shared" si="1"/>
        <v>86494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>
        <v>5</v>
      </c>
      <c r="D10" s="13">
        <f t="shared" si="1"/>
        <v>5160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>
        <v>9</v>
      </c>
      <c r="D12" s="48">
        <f t="shared" si="1"/>
        <v>8928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13</v>
      </c>
      <c r="D13" s="48">
        <f t="shared" si="1"/>
        <v>3991</v>
      </c>
      <c r="F13" s="252" t="s">
        <v>36</v>
      </c>
      <c r="G13" s="216"/>
      <c r="H13" s="207">
        <f>D29</f>
        <v>324575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3</v>
      </c>
      <c r="D14" s="31">
        <f t="shared" si="1"/>
        <v>33</v>
      </c>
      <c r="F14" s="210" t="s">
        <v>39</v>
      </c>
      <c r="G14" s="211"/>
      <c r="H14" s="212">
        <f>D54</f>
        <v>46686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277889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7*6+339*6</f>
        <v>2076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324575</v>
      </c>
      <c r="F29" s="124" t="s">
        <v>55</v>
      </c>
      <c r="G29" s="186"/>
      <c r="H29" s="146">
        <f>H15-H16-H17-H18-H19-H20-H22-H23-H24+H26+H27+H28</f>
        <v>275813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68">
        <f t="shared" ref="H34:H39" si="2">F34*G34</f>
        <v>42000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8">
        <f t="shared" si="2"/>
        <v>11500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68">
        <f t="shared" si="2"/>
        <v>400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33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63">
        <v>222536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11</v>
      </c>
      <c r="D46" s="12">
        <f>C46*1.5</f>
        <v>16.5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276469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16</v>
      </c>
      <c r="D50" s="12">
        <f>C50*1.5</f>
        <v>24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656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46069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439</v>
      </c>
      <c r="D6" s="13">
        <f t="shared" ref="D6:D28" si="1">C6*L6</f>
        <v>334079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3</v>
      </c>
      <c r="D12" s="48">
        <f t="shared" si="1"/>
        <v>2976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15</v>
      </c>
      <c r="D13" s="48">
        <f t="shared" si="1"/>
        <v>4605</v>
      </c>
      <c r="F13" s="252" t="s">
        <v>36</v>
      </c>
      <c r="G13" s="216"/>
      <c r="H13" s="207">
        <f>D29</f>
        <v>341726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49630.5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292095.5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435*6</f>
        <v>2610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341726</v>
      </c>
      <c r="F29" s="124" t="s">
        <v>55</v>
      </c>
      <c r="G29" s="186"/>
      <c r="H29" s="146">
        <f>H15-H16-H17-H18-H19-H20-H22-H23-H24+H26+H27</f>
        <v>289485.5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68">
        <f>F34*G34</f>
        <v>289000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8">
        <f t="shared" si="2"/>
        <v>50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>
        <v>18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10</v>
      </c>
      <c r="D46" s="12">
        <f>C46*1.5</f>
        <v>15</v>
      </c>
      <c r="F46" s="37"/>
      <c r="G46" s="11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12</v>
      </c>
      <c r="D49" s="12">
        <f>C49*42</f>
        <v>504</v>
      </c>
      <c r="F49" s="144" t="s">
        <v>86</v>
      </c>
      <c r="G49" s="146">
        <f>H34+H35+H36+H37+H38+H39+H40+H41+G42+H44+H45+H46</f>
        <v>289068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15</v>
      </c>
      <c r="D50" s="12">
        <f>C50*1.5</f>
        <v>22.5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-417.5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46069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303</v>
      </c>
      <c r="D6" s="13">
        <f t="shared" ref="D6:D28" si="1">C6*L6</f>
        <v>230583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45</v>
      </c>
      <c r="D9" s="13">
        <f t="shared" si="1"/>
        <v>32985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v>1</v>
      </c>
      <c r="D12" s="48">
        <f t="shared" si="1"/>
        <v>992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269624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39777.75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229846.25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160*6</f>
        <v>960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269624</v>
      </c>
      <c r="F29" s="124" t="s">
        <v>55</v>
      </c>
      <c r="G29" s="186"/>
      <c r="H29" s="146">
        <f>H15-H16-H17-H18-H19-H20-H22-H23-H24+H26+H27</f>
        <v>228836.25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68">
        <f>F34*G34</f>
        <v>50000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8">
        <f>F35*G35</f>
        <v>1500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8">
        <v>30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63">
        <v>105096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63">
        <v>72320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5</v>
      </c>
      <c r="D49" s="12">
        <f>C49*42</f>
        <v>210</v>
      </c>
      <c r="F49" s="144" t="s">
        <v>86</v>
      </c>
      <c r="G49" s="146">
        <f>H34+H35+H36+H37+H38+H39+H40+H41+G42+H44+H45+H46</f>
        <v>228946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5</v>
      </c>
      <c r="D50" s="12">
        <f>C50*1.5</f>
        <v>7.5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109.75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46070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>
        <v>303</v>
      </c>
      <c r="D6" s="13">
        <f t="shared" ref="D6:D28" si="1">C6*L6</f>
        <v>230583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>
        <v>6</v>
      </c>
      <c r="D7" s="13">
        <f t="shared" si="1"/>
        <v>4686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>
        <v>28</v>
      </c>
      <c r="D9" s="13">
        <f t="shared" si="1"/>
        <v>20524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>
        <v>2</v>
      </c>
      <c r="D13" s="48">
        <f t="shared" si="1"/>
        <v>614</v>
      </c>
      <c r="F13" s="252" t="s">
        <v>36</v>
      </c>
      <c r="G13" s="216"/>
      <c r="H13" s="207">
        <f>D29</f>
        <v>256495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>
        <v>8</v>
      </c>
      <c r="D14" s="31">
        <f t="shared" si="1"/>
        <v>88</v>
      </c>
      <c r="F14" s="210" t="s">
        <v>39</v>
      </c>
      <c r="G14" s="211"/>
      <c r="H14" s="212">
        <f>D54</f>
        <v>37728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218767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7">
        <v>50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256495</v>
      </c>
      <c r="F29" s="124" t="s">
        <v>55</v>
      </c>
      <c r="G29" s="186"/>
      <c r="H29" s="146">
        <f>H15-H16-H17-H18-H19-H20-H22-H23-H24+H26+H27+H28</f>
        <v>218717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68">
        <f t="shared" ref="H34:H39" si="2">F34*G34</f>
        <v>85000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8">
        <f t="shared" si="2"/>
        <v>14500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8">
        <f t="shared" si="2"/>
        <v>200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68">
        <f t="shared" si="2"/>
        <v>10000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2</v>
      </c>
      <c r="D42" s="12">
        <f>C42*2.25</f>
        <v>4.5</v>
      </c>
      <c r="F42" s="39" t="s">
        <v>79</v>
      </c>
      <c r="G42" s="168">
        <v>2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63">
        <v>64440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63">
        <v>44600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218742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17</v>
      </c>
      <c r="D50" s="12">
        <f>C50*1.5</f>
        <v>25.5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25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46070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292</v>
      </c>
      <c r="D6" s="13">
        <f t="shared" ref="D6:D28" si="1">C6*L6</f>
        <v>222212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</v>
      </c>
      <c r="D7" s="13">
        <f t="shared" si="1"/>
        <v>1562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23</v>
      </c>
      <c r="D9" s="13">
        <f t="shared" si="1"/>
        <v>16859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>
        <f>1+1</f>
        <v>2</v>
      </c>
      <c r="D12" s="48">
        <f t="shared" si="1"/>
        <v>1984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6</v>
      </c>
      <c r="D13" s="48">
        <f t="shared" si="1"/>
        <v>1842</v>
      </c>
      <c r="F13" s="252" t="s">
        <v>36</v>
      </c>
      <c r="G13" s="216"/>
      <c r="H13" s="207">
        <f>D29</f>
        <v>245825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6</v>
      </c>
      <c r="D14" s="31">
        <f t="shared" si="1"/>
        <v>66</v>
      </c>
      <c r="F14" s="210" t="s">
        <v>39</v>
      </c>
      <c r="G14" s="211"/>
      <c r="H14" s="212">
        <f>D54</f>
        <v>35950.5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209874.5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100*6</f>
        <v>600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245825</v>
      </c>
      <c r="F29" s="124" t="s">
        <v>55</v>
      </c>
      <c r="G29" s="186"/>
      <c r="H29" s="146">
        <f>H15-H16-H17-H18-H19-H20-H22-H23-H24+H26+H27</f>
        <v>209274.5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68">
        <f>F34*G34</f>
        <v>179000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8">
        <f t="shared" ref="H35:H39" si="2">F35*G35</f>
        <v>29000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8">
        <v>353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>
        <v>1</v>
      </c>
      <c r="D44" s="12">
        <f>C44*120</f>
        <v>120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>
        <v>1</v>
      </c>
      <c r="D45" s="12">
        <f>C45*84</f>
        <v>84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</v>
      </c>
      <c r="D46" s="12">
        <f>C46*1.5</f>
        <v>3</v>
      </c>
      <c r="F46" s="37"/>
      <c r="G46" s="116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3</v>
      </c>
      <c r="D49" s="12">
        <f>C49*42</f>
        <v>126</v>
      </c>
      <c r="F49" s="144" t="s">
        <v>86</v>
      </c>
      <c r="G49" s="146">
        <f>H34+H35+H36+H37+H38+H39+H40+H41+G42+H44+H45+H46</f>
        <v>208353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>
        <v>23</v>
      </c>
      <c r="D50" s="12">
        <f>C50*1.5</f>
        <v>34.5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155</v>
      </c>
      <c r="G51" s="253">
        <f>G49-H29</f>
        <v>-921.5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46070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>
        <v>372</v>
      </c>
      <c r="D6" s="13">
        <f t="shared" ref="D6:D28" si="1">C6*L6</f>
        <v>283092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>
        <v>20</v>
      </c>
      <c r="D7" s="13">
        <f t="shared" si="1"/>
        <v>15620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>
        <v>52</v>
      </c>
      <c r="D9" s="13">
        <f t="shared" si="1"/>
        <v>38116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>
        <v>10</v>
      </c>
      <c r="D13" s="48">
        <f t="shared" si="1"/>
        <v>3070</v>
      </c>
      <c r="F13" s="252" t="s">
        <v>36</v>
      </c>
      <c r="G13" s="216"/>
      <c r="H13" s="207">
        <f>D29</f>
        <v>339942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>
        <v>4</v>
      </c>
      <c r="D14" s="31">
        <f t="shared" si="1"/>
        <v>44</v>
      </c>
      <c r="F14" s="210" t="s">
        <v>39</v>
      </c>
      <c r="G14" s="211"/>
      <c r="H14" s="212">
        <f>D54</f>
        <v>63030.75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276911.25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286*6+108*6+50*6</f>
        <v>2664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1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339942</v>
      </c>
      <c r="F29" s="124" t="s">
        <v>55</v>
      </c>
      <c r="G29" s="186"/>
      <c r="H29" s="146">
        <f>H15-H16-H17-H18-H19-H20-H22-H23-H24+H26+H27</f>
        <v>274247.25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8">
        <f>F34*G34</f>
        <v>25000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8">
        <f>F35*G35</f>
        <v>5000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68">
        <f t="shared" si="2"/>
        <v>1200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8">
        <f t="shared" si="2"/>
        <v>40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>
        <v>1</v>
      </c>
      <c r="D42" s="12">
        <f>C42*2.25</f>
        <v>2.25</v>
      </c>
      <c r="F42" s="39" t="s">
        <v>79</v>
      </c>
      <c r="G42" s="168">
        <v>25</v>
      </c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63">
        <v>184558</v>
      </c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63">
        <v>58480</v>
      </c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>
        <v>24</v>
      </c>
      <c r="D46" s="12">
        <f>C46*1.5</f>
        <v>36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>
        <v>1</v>
      </c>
      <c r="D49" s="12">
        <f>C49*42</f>
        <v>42</v>
      </c>
      <c r="F49" s="144" t="s">
        <v>86</v>
      </c>
      <c r="G49" s="146">
        <f>H34+H35+H36+H37+H38+H39+H40+H41+G42+H44+H45+H46</f>
        <v>274303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55.75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1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7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1</v>
      </c>
      <c r="H4" s="225" t="s">
        <v>9</v>
      </c>
      <c r="I4" s="227">
        <v>46071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84"/>
      <c r="D6" s="13">
        <f t="shared" ref="D6:D28" si="1">C6*L6</f>
        <v>0</v>
      </c>
      <c r="F6" s="231" t="s">
        <v>16</v>
      </c>
      <c r="G6" s="233" t="s">
        <v>111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84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84"/>
      <c r="D8" s="13">
        <f t="shared" si="1"/>
        <v>0</v>
      </c>
      <c r="F8" s="239" t="s">
        <v>21</v>
      </c>
      <c r="G8" s="240" t="s">
        <v>144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84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84"/>
      <c r="D10" s="13">
        <f t="shared" si="1"/>
        <v>0</v>
      </c>
      <c r="F10" s="231" t="s">
        <v>26</v>
      </c>
      <c r="G10" s="246" t="s">
        <v>139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84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84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84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84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84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133</v>
      </c>
      <c r="C17" s="84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66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124</v>
      </c>
      <c r="C22" s="84"/>
      <c r="D22" s="48">
        <f t="shared" si="1"/>
        <v>0</v>
      </c>
      <c r="F22" s="77"/>
      <c r="G22" s="73"/>
      <c r="H22" s="193"/>
      <c r="I22" s="193"/>
      <c r="J22" s="19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132</v>
      </c>
      <c r="C26" s="84"/>
      <c r="D26" s="48">
        <f t="shared" si="1"/>
        <v>0</v>
      </c>
      <c r="F26" s="75"/>
      <c r="G26" s="65"/>
      <c r="H26" s="163"/>
      <c r="I26" s="163"/>
      <c r="J26" s="16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110</v>
      </c>
      <c r="C27" s="84"/>
      <c r="D27" s="44">
        <f t="shared" si="1"/>
        <v>0</v>
      </c>
      <c r="F27" s="71"/>
      <c r="G27" s="119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84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H15-H16-H17-H18-H19-H20-H22-H23-H24+H26+H27+H28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8">
        <f t="shared" ref="H34:H39" si="2"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si="2"/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si="2"/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9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85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128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2</v>
      </c>
      <c r="H4" s="225" t="s">
        <v>9</v>
      </c>
      <c r="I4" s="227">
        <v>46071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126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113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114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93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2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25"/>
      <c r="G23" s="37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120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 t="shared" ref="H35:H39" si="2"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9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62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62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120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1" t="s">
        <v>7</v>
      </c>
      <c r="B4" s="172"/>
      <c r="C4" s="172"/>
      <c r="D4" s="173"/>
      <c r="F4" s="221" t="s">
        <v>8</v>
      </c>
      <c r="G4" s="223">
        <v>3</v>
      </c>
      <c r="H4" s="225" t="s">
        <v>9</v>
      </c>
      <c r="I4" s="227">
        <v>46071</v>
      </c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6"/>
      <c r="B6" s="16" t="s">
        <v>15</v>
      </c>
      <c r="C6" s="10"/>
      <c r="D6" s="13">
        <f t="shared" ref="D6:D28" si="1">C6*L6</f>
        <v>0</v>
      </c>
      <c r="F6" s="231" t="s">
        <v>16</v>
      </c>
      <c r="G6" s="233" t="s">
        <v>141</v>
      </c>
      <c r="H6" s="234"/>
      <c r="I6" s="234"/>
      <c r="J6" s="2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6"/>
      <c r="B7" s="16" t="s">
        <v>18</v>
      </c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6"/>
      <c r="B8" s="16" t="s">
        <v>20</v>
      </c>
      <c r="C8" s="10"/>
      <c r="D8" s="13">
        <f t="shared" si="1"/>
        <v>0</v>
      </c>
      <c r="F8" s="239" t="s">
        <v>21</v>
      </c>
      <c r="G8" s="240" t="s">
        <v>130</v>
      </c>
      <c r="H8" s="241"/>
      <c r="I8" s="241"/>
      <c r="J8" s="2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6"/>
      <c r="B9" s="16" t="s">
        <v>23</v>
      </c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6"/>
      <c r="B10" t="s">
        <v>25</v>
      </c>
      <c r="C10" s="10"/>
      <c r="D10" s="13">
        <f t="shared" si="1"/>
        <v>0</v>
      </c>
      <c r="F10" s="231" t="s">
        <v>26</v>
      </c>
      <c r="G10" s="246" t="s">
        <v>127</v>
      </c>
      <c r="H10" s="247"/>
      <c r="I10" s="247"/>
      <c r="J10" s="248"/>
      <c r="K10" s="8"/>
      <c r="L10" s="6">
        <f>R36</f>
        <v>1032</v>
      </c>
      <c r="P10" s="4"/>
      <c r="Q10" s="4"/>
      <c r="R10" s="5"/>
    </row>
    <row r="11" spans="1:18" ht="15.75" x14ac:dyDescent="0.25">
      <c r="A11" s="166"/>
      <c r="B11" s="17" t="s">
        <v>28</v>
      </c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6"/>
      <c r="B12" s="17" t="s">
        <v>30</v>
      </c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6"/>
      <c r="B13" s="17" t="s">
        <v>32</v>
      </c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6"/>
      <c r="B14" s="14" t="s">
        <v>35</v>
      </c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6"/>
      <c r="B15" s="14" t="s">
        <v>38</v>
      </c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B17" t="s">
        <v>112</v>
      </c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6"/>
      <c r="B22" s="46" t="s">
        <v>104</v>
      </c>
      <c r="C22" s="10"/>
      <c r="D22" s="48">
        <f t="shared" si="1"/>
        <v>0</v>
      </c>
      <c r="F22" s="77"/>
      <c r="G22" s="73"/>
      <c r="H22" s="193"/>
      <c r="I22" s="193"/>
      <c r="J22" s="19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 t="s">
        <v>107</v>
      </c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 t="s">
        <v>101</v>
      </c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6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 t="s">
        <v>97</v>
      </c>
      <c r="C28" s="10"/>
      <c r="D28" s="48">
        <f t="shared" si="1"/>
        <v>0</v>
      </c>
      <c r="F28" s="122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>
        <f>F34*G34</f>
        <v>0</v>
      </c>
      <c r="I34" s="169"/>
      <c r="J34" s="17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>
        <f>F35*G35</f>
        <v>0</v>
      </c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>
        <f t="shared" ref="H36:H39" si="2">F36*G36</f>
        <v>0</v>
      </c>
      <c r="I36" s="169"/>
      <c r="J36" s="17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>
        <f t="shared" si="2"/>
        <v>0</v>
      </c>
      <c r="I37" s="169"/>
      <c r="J37" s="17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>
        <f t="shared" si="2"/>
        <v>0</v>
      </c>
      <c r="I38" s="169"/>
      <c r="J38" s="17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>
        <f t="shared" si="2"/>
        <v>0</v>
      </c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9" t="s">
        <v>83</v>
      </c>
      <c r="H43" s="160" t="s">
        <v>13</v>
      </c>
      <c r="I43" s="161"/>
      <c r="J43" s="16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O50" t="s">
        <v>137</v>
      </c>
      <c r="P50" s="4">
        <v>1204</v>
      </c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138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0" t="s">
        <v>1</v>
      </c>
      <c r="O1" s="22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1" t="s">
        <v>7</v>
      </c>
      <c r="B4" s="172"/>
      <c r="C4" s="172"/>
      <c r="D4" s="173"/>
      <c r="F4" s="221" t="s">
        <v>8</v>
      </c>
      <c r="G4" s="223"/>
      <c r="H4" s="225" t="s">
        <v>9</v>
      </c>
      <c r="I4" s="227"/>
      <c r="J4" s="2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5" t="s">
        <v>7</v>
      </c>
      <c r="B5" s="15" t="s">
        <v>11</v>
      </c>
      <c r="C5" s="9" t="s">
        <v>12</v>
      </c>
      <c r="D5" s="25" t="s">
        <v>13</v>
      </c>
      <c r="F5" s="222"/>
      <c r="G5" s="224"/>
      <c r="H5" s="226"/>
      <c r="I5" s="229"/>
      <c r="J5" s="2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6"/>
      <c r="B6" s="16"/>
      <c r="C6" s="10"/>
      <c r="D6" s="13">
        <f t="shared" ref="D6:D28" si="1">C6*L6</f>
        <v>0</v>
      </c>
      <c r="F6" s="231" t="s">
        <v>16</v>
      </c>
      <c r="G6" s="233"/>
      <c r="H6" s="234"/>
      <c r="I6" s="234"/>
      <c r="J6" s="2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6"/>
      <c r="B7" s="16"/>
      <c r="C7" s="10"/>
      <c r="D7" s="13">
        <f t="shared" si="1"/>
        <v>0</v>
      </c>
      <c r="F7" s="232"/>
      <c r="G7" s="236"/>
      <c r="H7" s="237"/>
      <c r="I7" s="237"/>
      <c r="J7" s="2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6"/>
      <c r="B8" s="16"/>
      <c r="C8" s="10"/>
      <c r="D8" s="13">
        <f t="shared" si="1"/>
        <v>0</v>
      </c>
      <c r="F8" s="239" t="s">
        <v>21</v>
      </c>
      <c r="G8" s="240"/>
      <c r="H8" s="241"/>
      <c r="I8" s="241"/>
      <c r="J8" s="2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6"/>
      <c r="B9" s="16"/>
      <c r="C9" s="10"/>
      <c r="D9" s="13">
        <f t="shared" si="1"/>
        <v>0</v>
      </c>
      <c r="F9" s="232"/>
      <c r="G9" s="243"/>
      <c r="H9" s="244"/>
      <c r="I9" s="244"/>
      <c r="J9" s="2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6"/>
      <c r="C10" s="10"/>
      <c r="D10" s="13">
        <f t="shared" si="1"/>
        <v>0</v>
      </c>
      <c r="F10" s="231" t="s">
        <v>26</v>
      </c>
      <c r="G10" s="246"/>
      <c r="H10" s="247"/>
      <c r="I10" s="247"/>
      <c r="J10" s="248"/>
      <c r="K10" s="8"/>
      <c r="L10" s="6">
        <f>R36</f>
        <v>972</v>
      </c>
      <c r="P10" s="4"/>
      <c r="Q10" s="4"/>
      <c r="R10" s="5"/>
    </row>
    <row r="11" spans="1:19" ht="15.75" x14ac:dyDescent="0.25">
      <c r="A11" s="166"/>
      <c r="B11" s="17"/>
      <c r="C11" s="10"/>
      <c r="D11" s="13">
        <f t="shared" si="1"/>
        <v>0</v>
      </c>
      <c r="F11" s="232"/>
      <c r="G11" s="243"/>
      <c r="H11" s="244"/>
      <c r="I11" s="244"/>
      <c r="J11" s="2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6"/>
      <c r="B12" s="17"/>
      <c r="C12" s="10"/>
      <c r="D12" s="48">
        <f t="shared" si="1"/>
        <v>0</v>
      </c>
      <c r="F12" s="249" t="s">
        <v>33</v>
      </c>
      <c r="G12" s="250"/>
      <c r="H12" s="250"/>
      <c r="I12" s="250"/>
      <c r="J12" s="2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6"/>
      <c r="B13" s="17"/>
      <c r="C13" s="10"/>
      <c r="D13" s="48">
        <f t="shared" si="1"/>
        <v>0</v>
      </c>
      <c r="F13" s="252" t="s">
        <v>36</v>
      </c>
      <c r="G13" s="216"/>
      <c r="H13" s="207">
        <f>D29</f>
        <v>0</v>
      </c>
      <c r="I13" s="208"/>
      <c r="J13" s="20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6"/>
      <c r="B14" s="14"/>
      <c r="C14" s="10"/>
      <c r="D14" s="31">
        <f t="shared" si="1"/>
        <v>0</v>
      </c>
      <c r="F14" s="210" t="s">
        <v>39</v>
      </c>
      <c r="G14" s="211"/>
      <c r="H14" s="212">
        <f>D54</f>
        <v>0</v>
      </c>
      <c r="I14" s="213"/>
      <c r="J14" s="21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6"/>
      <c r="B15" s="14"/>
      <c r="C15" s="10"/>
      <c r="D15" s="31">
        <f t="shared" si="1"/>
        <v>0</v>
      </c>
      <c r="F15" s="215" t="s">
        <v>40</v>
      </c>
      <c r="G15" s="216"/>
      <c r="H15" s="217">
        <f>H13-H14</f>
        <v>0</v>
      </c>
      <c r="I15" s="218"/>
      <c r="J15" s="21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6"/>
      <c r="C17" s="10"/>
      <c r="D17" s="48">
        <f t="shared" si="1"/>
        <v>0</v>
      </c>
      <c r="F17" s="56"/>
      <c r="G17" s="66" t="s">
        <v>45</v>
      </c>
      <c r="H17" s="188"/>
      <c r="I17" s="188"/>
      <c r="J17" s="18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6"/>
      <c r="B18" s="19"/>
      <c r="C18" s="10"/>
      <c r="D18" s="48">
        <f t="shared" si="1"/>
        <v>0</v>
      </c>
      <c r="F18" s="56"/>
      <c r="G18" s="66" t="s">
        <v>47</v>
      </c>
      <c r="H18" s="188"/>
      <c r="I18" s="188"/>
      <c r="J18" s="18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6"/>
      <c r="B19" s="14"/>
      <c r="C19" s="10"/>
      <c r="D19" s="48">
        <f t="shared" si="1"/>
        <v>0</v>
      </c>
      <c r="F19" s="56"/>
      <c r="G19" s="68" t="s">
        <v>50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6"/>
      <c r="B20" s="46"/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0" t="s">
        <v>13</v>
      </c>
      <c r="I21" s="191"/>
      <c r="J21" s="19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6"/>
      <c r="B22" s="46"/>
      <c r="C22" s="10"/>
      <c r="D22" s="48">
        <f t="shared" si="1"/>
        <v>0</v>
      </c>
      <c r="F22" s="77"/>
      <c r="G22" s="73"/>
      <c r="H22" s="193"/>
      <c r="I22" s="193"/>
      <c r="J22" s="19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6"/>
      <c r="B23" s="14"/>
      <c r="C23" s="10"/>
      <c r="D23" s="48">
        <f t="shared" si="1"/>
        <v>0</v>
      </c>
      <c r="F23" s="78"/>
      <c r="G23" s="79"/>
      <c r="H23" s="194"/>
      <c r="I23" s="163"/>
      <c r="J23" s="16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6"/>
      <c r="B24" s="14"/>
      <c r="C24" s="10"/>
      <c r="D24" s="48">
        <f t="shared" si="1"/>
        <v>0</v>
      </c>
      <c r="F24" s="38"/>
      <c r="G24" s="37"/>
      <c r="H24" s="194"/>
      <c r="I24" s="163"/>
      <c r="J24" s="16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6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6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7"/>
      <c r="B28" s="46"/>
      <c r="C28" s="10"/>
      <c r="D28" s="48">
        <f t="shared" si="1"/>
        <v>0</v>
      </c>
      <c r="F28" s="122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24" t="s">
        <v>55</v>
      </c>
      <c r="G29" s="186"/>
      <c r="H29" s="146">
        <f>H15-H16-H17-H18-H19-H20-H22-H23-H24+H26+H27</f>
        <v>0</v>
      </c>
      <c r="I29" s="147"/>
      <c r="J29" s="14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27"/>
      <c r="G30" s="187"/>
      <c r="H30" s="149"/>
      <c r="I30" s="150"/>
      <c r="J30" s="15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1" t="s">
        <v>58</v>
      </c>
      <c r="B32" s="172"/>
      <c r="C32" s="172"/>
      <c r="D32" s="173"/>
      <c r="F32" s="174" t="s">
        <v>59</v>
      </c>
      <c r="G32" s="175"/>
      <c r="H32" s="175"/>
      <c r="I32" s="175"/>
      <c r="J32" s="17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74" t="s">
        <v>13</v>
      </c>
      <c r="I33" s="175"/>
      <c r="J33" s="17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8"/>
      <c r="I34" s="169"/>
      <c r="J34" s="17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6"/>
      <c r="B35" s="27" t="s">
        <v>68</v>
      </c>
      <c r="C35" s="52"/>
      <c r="D35" s="30">
        <f>C35*84</f>
        <v>0</v>
      </c>
      <c r="F35" s="58">
        <v>500</v>
      </c>
      <c r="G35" s="41"/>
      <c r="H35" s="168"/>
      <c r="I35" s="169"/>
      <c r="J35" s="17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7"/>
      <c r="B36" s="26" t="s">
        <v>70</v>
      </c>
      <c r="C36" s="10"/>
      <c r="D36" s="12">
        <f>C36*1.5</f>
        <v>0</v>
      </c>
      <c r="F36" s="12">
        <v>200</v>
      </c>
      <c r="G36" s="37"/>
      <c r="H36" s="168"/>
      <c r="I36" s="169"/>
      <c r="J36" s="17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8"/>
      <c r="I37" s="169"/>
      <c r="J37" s="17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6"/>
      <c r="B38" s="29" t="s">
        <v>68</v>
      </c>
      <c r="C38" s="54"/>
      <c r="D38" s="12">
        <f>C38*84</f>
        <v>0</v>
      </c>
      <c r="F38" s="30">
        <v>50</v>
      </c>
      <c r="G38" s="39"/>
      <c r="H38" s="168"/>
      <c r="I38" s="169"/>
      <c r="J38" s="17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7"/>
      <c r="B39" s="29" t="s">
        <v>70</v>
      </c>
      <c r="C39" s="52"/>
      <c r="D39" s="31">
        <f>C39*4.5</f>
        <v>0</v>
      </c>
      <c r="F39" s="12">
        <v>20</v>
      </c>
      <c r="G39" s="37"/>
      <c r="H39" s="168"/>
      <c r="I39" s="169"/>
      <c r="J39" s="17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8"/>
      <c r="I40" s="169"/>
      <c r="J40" s="17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6"/>
      <c r="B41" s="27" t="s">
        <v>68</v>
      </c>
      <c r="C41" s="10"/>
      <c r="D41" s="12">
        <f>C41*84</f>
        <v>0</v>
      </c>
      <c r="F41" s="12">
        <v>5</v>
      </c>
      <c r="G41" s="42"/>
      <c r="H41" s="168"/>
      <c r="I41" s="169"/>
      <c r="J41" s="17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7"/>
      <c r="B42" s="27" t="s">
        <v>70</v>
      </c>
      <c r="C42" s="11"/>
      <c r="D42" s="12">
        <f>C42*2.25</f>
        <v>0</v>
      </c>
      <c r="F42" s="39" t="s">
        <v>79</v>
      </c>
      <c r="G42" s="168"/>
      <c r="H42" s="169"/>
      <c r="I42" s="169"/>
      <c r="J42" s="17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8" t="s">
        <v>81</v>
      </c>
      <c r="C43" s="11"/>
      <c r="D43" s="12"/>
      <c r="F43" s="59" t="s">
        <v>82</v>
      </c>
      <c r="G43" s="119" t="s">
        <v>83</v>
      </c>
      <c r="H43" s="160" t="s">
        <v>13</v>
      </c>
      <c r="I43" s="161"/>
      <c r="J43" s="162"/>
      <c r="K43" s="21"/>
      <c r="P43" s="4"/>
      <c r="Q43" s="4"/>
      <c r="R43" s="5"/>
    </row>
    <row r="44" spans="1:18" ht="15.75" x14ac:dyDescent="0.25">
      <c r="A44" s="139"/>
      <c r="B44" s="27" t="s">
        <v>66</v>
      </c>
      <c r="C44" s="10"/>
      <c r="D44" s="12">
        <f>C44*120</f>
        <v>0</v>
      </c>
      <c r="F44" s="37"/>
      <c r="G44" s="76"/>
      <c r="H44" s="163"/>
      <c r="I44" s="163"/>
      <c r="J44" s="163"/>
      <c r="K44" s="21"/>
      <c r="P44" s="4"/>
      <c r="Q44" s="4"/>
      <c r="R44" s="5"/>
    </row>
    <row r="45" spans="1:18" ht="15.75" x14ac:dyDescent="0.25">
      <c r="A45" s="139"/>
      <c r="B45" s="27" t="s">
        <v>68</v>
      </c>
      <c r="C45" s="33"/>
      <c r="D45" s="12">
        <f>C45*84</f>
        <v>0</v>
      </c>
      <c r="F45" s="37"/>
      <c r="G45" s="76"/>
      <c r="H45" s="163"/>
      <c r="I45" s="163"/>
      <c r="J45" s="163"/>
      <c r="K45" s="21"/>
      <c r="P45" s="4"/>
      <c r="Q45" s="4"/>
      <c r="R45" s="5"/>
    </row>
    <row r="46" spans="1:18" ht="15.75" x14ac:dyDescent="0.25">
      <c r="A46" s="139"/>
      <c r="B46" s="49" t="s">
        <v>70</v>
      </c>
      <c r="C46" s="81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0"/>
      <c r="B47" s="27"/>
      <c r="C47" s="11"/>
      <c r="D47" s="12"/>
      <c r="F47" s="59"/>
      <c r="G47" s="59"/>
      <c r="H47" s="141"/>
      <c r="I47" s="142"/>
      <c r="J47" s="143"/>
      <c r="K47" s="21"/>
      <c r="P47" s="4"/>
      <c r="Q47" s="4"/>
      <c r="R47" s="5"/>
    </row>
    <row r="48" spans="1:18" ht="15" customHeight="1" x14ac:dyDescent="0.25">
      <c r="A48" s="138" t="s">
        <v>32</v>
      </c>
      <c r="B48" s="27" t="s">
        <v>66</v>
      </c>
      <c r="C48" s="10"/>
      <c r="D48" s="12">
        <f>C48*78</f>
        <v>0</v>
      </c>
      <c r="F48" s="59"/>
      <c r="G48" s="59"/>
      <c r="H48" s="141"/>
      <c r="I48" s="142"/>
      <c r="J48" s="14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9"/>
      <c r="B49" s="29" t="s">
        <v>68</v>
      </c>
      <c r="C49" s="33"/>
      <c r="D49" s="12">
        <f>C49*42</f>
        <v>0</v>
      </c>
      <c r="F49" s="144" t="s">
        <v>86</v>
      </c>
      <c r="G49" s="146">
        <f>H34+H35+H36+H37+H38+H39+H40+H41+G42+H44+H45+H46</f>
        <v>0</v>
      </c>
      <c r="H49" s="147"/>
      <c r="I49" s="147"/>
      <c r="J49" s="14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9"/>
      <c r="B50" s="32" t="s">
        <v>70</v>
      </c>
      <c r="C50" s="11"/>
      <c r="D50" s="12">
        <f>C50*1.5</f>
        <v>0</v>
      </c>
      <c r="F50" s="145"/>
      <c r="G50" s="149"/>
      <c r="H50" s="150"/>
      <c r="I50" s="150"/>
      <c r="J50" s="151"/>
      <c r="P50" s="4"/>
      <c r="Q50" s="4"/>
      <c r="R50" s="5"/>
    </row>
    <row r="51" spans="1:18" ht="15" customHeight="1" x14ac:dyDescent="0.25">
      <c r="A51" s="139"/>
      <c r="B51" s="27"/>
      <c r="C51" s="10"/>
      <c r="D51" s="31"/>
      <c r="F51" s="152" t="s">
        <v>125</v>
      </c>
      <c r="G51" s="154">
        <f>G49-H29</f>
        <v>0</v>
      </c>
      <c r="H51" s="155"/>
      <c r="I51" s="155"/>
      <c r="J51" s="1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9"/>
      <c r="B52" s="29"/>
      <c r="C52" s="33"/>
      <c r="D52" s="45"/>
      <c r="F52" s="153"/>
      <c r="G52" s="157"/>
      <c r="H52" s="158"/>
      <c r="I52" s="158"/>
      <c r="J52" s="1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4" t="s">
        <v>90</v>
      </c>
      <c r="B54" s="125"/>
      <c r="C54" s="126"/>
      <c r="D54" s="130">
        <f>SUM(D34:D53)</f>
        <v>0</v>
      </c>
      <c r="F54" s="21"/>
      <c r="J54" s="34"/>
    </row>
    <row r="55" spans="1:18" x14ac:dyDescent="0.25">
      <c r="A55" s="127"/>
      <c r="B55" s="128"/>
      <c r="C55" s="129"/>
      <c r="D55" s="1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2" t="s">
        <v>91</v>
      </c>
      <c r="B58" s="133"/>
      <c r="C58" s="133"/>
      <c r="D58" s="134"/>
      <c r="F58" s="132" t="s">
        <v>92</v>
      </c>
      <c r="G58" s="133"/>
      <c r="H58" s="133"/>
      <c r="I58" s="133"/>
      <c r="J58" s="134"/>
    </row>
    <row r="59" spans="1:18" x14ac:dyDescent="0.25">
      <c r="A59" s="135"/>
      <c r="B59" s="136"/>
      <c r="C59" s="136"/>
      <c r="D59" s="137"/>
      <c r="F59" s="135"/>
      <c r="G59" s="136"/>
      <c r="H59" s="136"/>
      <c r="I59" s="136"/>
      <c r="J59" s="1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62</vt:i4>
      </vt:variant>
      <vt:variant>
        <vt:lpstr>Named Ranges</vt:lpstr>
      </vt:variant>
      <vt:variant>
        <vt:i4>61</vt:i4>
      </vt:variant>
    </vt:vector>
  </HeadingPairs>
  <TitlesOfParts>
    <vt:vector size="12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</vt:lpstr>
      <vt:lpstr>02,18 R2</vt:lpstr>
      <vt:lpstr>02,18 R3</vt:lpstr>
      <vt:lpstr>(19)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R1'!Print_Area</vt:lpstr>
      <vt:lpstr>'02,18 R2'!Print_Area</vt:lpstr>
      <vt:lpstr>'02,18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2026-02-17T23:53:48Z</cp:lastPrinted>
  <dcterms:created xsi:type="dcterms:W3CDTF">2024-09-01T23:36:50Z</dcterms:created>
  <dcterms:modified xsi:type="dcterms:W3CDTF">2026-02-18T00:14:30Z</dcterms:modified>
</cp:coreProperties>
</file>