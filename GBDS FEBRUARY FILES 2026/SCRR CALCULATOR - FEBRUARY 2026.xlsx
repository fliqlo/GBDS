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78519E96-FCF3-458A-84F4-2907C680662E}" xr6:coauthVersionLast="45" xr6:coauthVersionMax="47" xr10:uidLastSave="{00000000-0000-0000-0000-000000000000}"/>
  <bookViews>
    <workbookView xWindow="-120" yWindow="-120" windowWidth="29040" windowHeight="15840" firstSheet="9" activeTab="14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761" l="1"/>
  <c r="C19" i="1760"/>
  <c r="H20" i="1759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7" l="1"/>
  <c r="H16" i="1736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G49" i="1773" s="1"/>
  <c r="D36" i="1773"/>
  <c r="R35" i="1773"/>
  <c r="H35" i="1773"/>
  <c r="D35" i="1773"/>
  <c r="D54" i="1773" s="1"/>
  <c r="H14" i="1773" s="1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G49" i="1772" s="1"/>
  <c r="D34" i="1772"/>
  <c r="D54" i="1772" s="1"/>
  <c r="H14" i="1772" s="1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G49" i="1771" s="1"/>
  <c r="D34" i="1771"/>
  <c r="D54" i="1771" s="1"/>
  <c r="H14" i="1771" s="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D54" i="1769" s="1"/>
  <c r="H14" i="1769" s="1"/>
  <c r="R34" i="1769"/>
  <c r="H34" i="1769"/>
  <c r="G49" i="1769" s="1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G49" i="1768" s="1"/>
  <c r="D34" i="1768"/>
  <c r="D54" i="1768" s="1"/>
  <c r="H14" i="1768" s="1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D54" i="1767"/>
  <c r="H14" i="1767" s="1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G49" i="1767" s="1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D54" i="1764"/>
  <c r="H14" i="1764" s="1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G49" i="1764" s="1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G49" i="1763" s="1"/>
  <c r="D34" i="1763"/>
  <c r="D54" i="1763" s="1"/>
  <c r="H14" i="1763" s="1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61" l="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H15" i="1773" s="1"/>
  <c r="H29" i="1773" s="1"/>
  <c r="G51" i="1773" s="1"/>
  <c r="D29" i="1772"/>
  <c r="H13" i="1772" s="1"/>
  <c r="H15" i="1772" s="1"/>
  <c r="H29" i="1772" s="1"/>
  <c r="G51" i="1772" s="1"/>
  <c r="D29" i="1771"/>
  <c r="H13" i="1771" s="1"/>
  <c r="H15" i="1771" s="1"/>
  <c r="H29" i="1771" s="1"/>
  <c r="G51" i="1771" s="1"/>
  <c r="D29" i="1770"/>
  <c r="H13" i="1770" s="1"/>
  <c r="H15" i="1770" s="1"/>
  <c r="H29" i="1770" s="1"/>
  <c r="G51" i="1770" s="1"/>
  <c r="D29" i="1769"/>
  <c r="H13" i="1769" s="1"/>
  <c r="H15" i="1769" s="1"/>
  <c r="H29" i="1769" s="1"/>
  <c r="G51" i="1769" s="1"/>
  <c r="D29" i="1768"/>
  <c r="H13" i="1768" s="1"/>
  <c r="H15" i="1768" s="1"/>
  <c r="H29" i="1768" s="1"/>
  <c r="G51" i="1768"/>
  <c r="G51" i="1767"/>
  <c r="D29" i="1767"/>
  <c r="H13" i="1767" s="1"/>
  <c r="H15" i="1767" s="1"/>
  <c r="H29" i="1767" s="1"/>
  <c r="D29" i="1766"/>
  <c r="H13" i="1766" s="1"/>
  <c r="H15" i="1766" s="1"/>
  <c r="H29" i="1766" s="1"/>
  <c r="G51" i="1766" s="1"/>
  <c r="G51" i="1765"/>
  <c r="D29" i="1764"/>
  <c r="H13" i="1764" s="1"/>
  <c r="H15" i="1764" s="1"/>
  <c r="H29" i="1764" s="1"/>
  <c r="G51" i="1764" s="1"/>
  <c r="D29" i="1763"/>
  <c r="H13" i="1763" s="1"/>
  <c r="H15" i="1763" s="1"/>
  <c r="H29" i="1763" s="1"/>
  <c r="G51" i="1763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61" l="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<sst xmlns="http://schemas.openxmlformats.org/spreadsheetml/2006/main" count="3770" uniqueCount="168">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</sst>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7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46055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283</v>
      </c>
      <c r="D6" s="13">
        <f t="shared" ref="D6:D28" si="1">C6*L6</f>
        <v>215363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10</v>
      </c>
      <c r="D7" s="13">
        <f t="shared" si="1"/>
        <v>7810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144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118</v>
      </c>
      <c r="D9" s="13">
        <f t="shared" si="1"/>
        <v>86494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14</v>
      </c>
      <c r="D13" s="48">
        <f t="shared" si="1"/>
        <v>4298</v>
      </c>
      <c r="F13" s="227" t="s">
        <v>36</v>
      </c>
      <c r="G13" s="191"/>
      <c r="H13" s="182">
        <f>D29</f>
        <v>314042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7</v>
      </c>
      <c r="D14" s="31">
        <f t="shared" si="1"/>
        <v>77</v>
      </c>
      <c r="F14" s="185" t="s">
        <v>39</v>
      </c>
      <c r="G14" s="186"/>
      <c r="H14" s="187">
        <f>D54</f>
        <v>21381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292661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>
        <f>324*6</f>
        <v>1944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124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132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0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87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314042</v>
      </c>
      <c r="F29" s="99" t="s">
        <v>55</v>
      </c>
      <c r="G29" s="161"/>
      <c r="H29" s="121">
        <f>H15-H16-H17-H18-H19-H20-H22-H23-H24+H26+H27+H28</f>
        <v>290717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43">
        <f t="shared" ref="H34:H39" si="2">F34*G34</f>
        <v>35000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3">
        <f t="shared" si="2"/>
        <v>9500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43">
        <f t="shared" si="2"/>
        <v>5800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43">
        <f t="shared" si="2"/>
        <v>700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>
        <v>101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38">
        <v>233510.5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 t="s">
        <v>146</v>
      </c>
      <c r="G45" s="62"/>
      <c r="H45" s="138">
        <v>5935.5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3</v>
      </c>
      <c r="D49" s="12">
        <f>C49*42</f>
        <v>126</v>
      </c>
      <c r="F49" s="119" t="s">
        <v>86</v>
      </c>
      <c r="G49" s="121">
        <f>H34+H35+H36+H37+H38+H39+H40+H41+G42+H44+H45+H46</f>
        <v>290547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34</v>
      </c>
      <c r="D50" s="12">
        <f>C50*1.5</f>
        <v>51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-170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46055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458</v>
      </c>
      <c r="D6" s="13">
        <f t="shared" ref="D6:D28" si="1">C6*L6</f>
        <v>348538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11</v>
      </c>
      <c r="D7" s="13">
        <f t="shared" si="1"/>
        <v>8591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53</v>
      </c>
      <c r="D9" s="13">
        <f t="shared" si="1"/>
        <v>38849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20</v>
      </c>
      <c r="D13" s="48">
        <f t="shared" si="1"/>
        <v>6140</v>
      </c>
      <c r="F13" s="227" t="s">
        <v>36</v>
      </c>
      <c r="G13" s="191"/>
      <c r="H13" s="182">
        <f>D29</f>
        <v>403660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22</v>
      </c>
      <c r="D14" s="31">
        <f t="shared" si="1"/>
        <v>242</v>
      </c>
      <c r="F14" s="185" t="s">
        <v>39</v>
      </c>
      <c r="G14" s="186"/>
      <c r="H14" s="187">
        <f>D54</f>
        <v>63054.75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340605.25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492*6</f>
        <v>2952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87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403660</v>
      </c>
      <c r="F29" s="99" t="s">
        <v>55</v>
      </c>
      <c r="G29" s="161"/>
      <c r="H29" s="121">
        <f>H15-H16-H17-H18-H19-H20-H22-H23-H24+H26+H27</f>
        <v>337653.25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3">
        <f>F34*G34</f>
        <v>154000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43">
        <f t="shared" ref="H35:H39" si="2">F35*G35</f>
        <v>154500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3">
        <f>F36*G36</f>
        <v>400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43">
        <f t="shared" si="2"/>
        <v>18700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43">
        <f t="shared" si="2"/>
        <v>10100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3">
        <v>66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1</v>
      </c>
      <c r="D46" s="12">
        <f>C46*1.5</f>
        <v>1.5</v>
      </c>
      <c r="F46" s="37"/>
      <c r="G46" s="89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21</v>
      </c>
      <c r="D49" s="12">
        <f>C49*42</f>
        <v>882</v>
      </c>
      <c r="F49" s="119" t="s">
        <v>86</v>
      </c>
      <c r="G49" s="121">
        <f>H34+H35+H36+H37+H38+H39+H40+H41+G42+H44+H45+H46</f>
        <v>337766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18</v>
      </c>
      <c r="D50" s="12">
        <f>C50*1.5</f>
        <v>27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135</v>
      </c>
      <c r="G51" s="129">
        <f>G49-H29</f>
        <v>112.75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46055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330</v>
      </c>
      <c r="D6" s="13">
        <f t="shared" ref="D6:D28" si="1">C6*L6</f>
        <v>251130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5467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40</v>
      </c>
      <c r="D9" s="13">
        <f t="shared" si="1"/>
        <v>29320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127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5</v>
      </c>
      <c r="D12" s="48">
        <f t="shared" si="1"/>
        <v>4960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7</v>
      </c>
      <c r="D13" s="48">
        <f t="shared" si="1"/>
        <v>2149</v>
      </c>
      <c r="F13" s="227" t="s">
        <v>36</v>
      </c>
      <c r="G13" s="191"/>
      <c r="H13" s="182">
        <f>D29</f>
        <v>293070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85" t="s">
        <v>39</v>
      </c>
      <c r="G14" s="186"/>
      <c r="H14" s="187">
        <f>D54</f>
        <v>43414.5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249655.5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108*6</f>
        <v>648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87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293070</v>
      </c>
      <c r="F29" s="99" t="s">
        <v>55</v>
      </c>
      <c r="G29" s="161"/>
      <c r="H29" s="121">
        <f>H15-H16-H17-H18-H19-H20-H22-H23-H24+H26+H27</f>
        <v>249007.5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43">
        <f>F34*G34</f>
        <v>144000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43">
        <f>F35*G35</f>
        <v>28500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43">
        <f t="shared" si="2"/>
        <v>9200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43">
        <f t="shared" si="2"/>
        <v>350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43">
        <f t="shared" si="2"/>
        <v>40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4</v>
      </c>
      <c r="D42" s="12">
        <f>C42*2.25</f>
        <v>9</v>
      </c>
      <c r="F42" s="39" t="s">
        <v>79</v>
      </c>
      <c r="G42" s="143">
        <v>119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0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38">
        <v>67807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2</v>
      </c>
      <c r="D49" s="12">
        <f>C49*42</f>
        <v>84</v>
      </c>
      <c r="F49" s="119" t="s">
        <v>86</v>
      </c>
      <c r="G49" s="121">
        <f>H34+H35+H36+H37+H38+H39+H40+H41+G42+H44+H45+H46</f>
        <v>250016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7</v>
      </c>
      <c r="D50" s="12">
        <f>C50*1.5</f>
        <v>10.5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138</v>
      </c>
      <c r="G51" s="129">
        <f>G49-H29</f>
        <v>1008.5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46056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307</v>
      </c>
      <c r="D6" s="13">
        <f t="shared" ref="D6:D28" si="1">C6*L6</f>
        <v>233627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8</v>
      </c>
      <c r="D7" s="13">
        <f t="shared" si="1"/>
        <v>6248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144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20</v>
      </c>
      <c r="D9" s="13">
        <f t="shared" si="1"/>
        <v>14660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>
        <v>1</v>
      </c>
      <c r="D12" s="48">
        <f t="shared" si="1"/>
        <v>992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2</v>
      </c>
      <c r="D13" s="48">
        <f t="shared" si="1"/>
        <v>614</v>
      </c>
      <c r="F13" s="227" t="s">
        <v>36</v>
      </c>
      <c r="G13" s="191"/>
      <c r="H13" s="182">
        <f>D29</f>
        <v>263815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2</v>
      </c>
      <c r="D14" s="31">
        <f t="shared" si="1"/>
        <v>22</v>
      </c>
      <c r="F14" s="185" t="s">
        <v>39</v>
      </c>
      <c r="G14" s="186"/>
      <c r="H14" s="187">
        <f>D54</f>
        <v>36288.75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227526.25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>
        <f>6*6</f>
        <v>36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2">
        <v>50</v>
      </c>
      <c r="I19" s="152"/>
      <c r="J19" s="152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124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151</v>
      </c>
      <c r="C26" s="84">
        <v>12</v>
      </c>
      <c r="D26" s="48">
        <f t="shared" si="1"/>
        <v>454</v>
      </c>
      <c r="F26" s="75"/>
      <c r="G26" s="65"/>
      <c r="H26" s="138"/>
      <c r="I26" s="138"/>
      <c r="J26" s="13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>
        <v>5</v>
      </c>
      <c r="D28" s="48">
        <f t="shared" si="1"/>
        <v>4055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263815</v>
      </c>
      <c r="F29" s="99" t="s">
        <v>55</v>
      </c>
      <c r="G29" s="161"/>
      <c r="H29" s="121">
        <f>H15-H16-H17-H18-H19-H20-H22-H23-H24+H26+H27+H28</f>
        <v>227440.25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43">
        <f t="shared" ref="H34:H39" si="2">F34*G34</f>
        <v>191000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43">
        <f t="shared" si="2"/>
        <v>33500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43">
        <f t="shared" si="2"/>
        <v>2600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3">
        <f t="shared" si="2"/>
        <v>100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3">
        <v>19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1</v>
      </c>
      <c r="D44" s="12">
        <f>C44*120</f>
        <v>120</v>
      </c>
      <c r="F44" s="37"/>
      <c r="G44" s="85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>
        <v>2</v>
      </c>
      <c r="D45" s="12">
        <f>C45*84</f>
        <v>168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20</v>
      </c>
      <c r="D46" s="12">
        <f>C46*1.5</f>
        <v>30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227219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10</v>
      </c>
      <c r="D50" s="12">
        <f>C50*1.5</f>
        <v>15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-221.25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46056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242</v>
      </c>
      <c r="D6" s="13">
        <f t="shared" ref="D6:D28" si="1">C6*L6</f>
        <v>184162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5467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33</v>
      </c>
      <c r="D9" s="13">
        <f t="shared" si="1"/>
        <v>24189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227" t="s">
        <v>36</v>
      </c>
      <c r="G13" s="191"/>
      <c r="H13" s="182">
        <f>D29</f>
        <v>216897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9</v>
      </c>
      <c r="D14" s="31">
        <f t="shared" si="1"/>
        <v>99</v>
      </c>
      <c r="F14" s="185" t="s">
        <v>39</v>
      </c>
      <c r="G14" s="186"/>
      <c r="H14" s="187">
        <f>D54</f>
        <v>35701.5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181195.5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140*6</f>
        <v>840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216897</v>
      </c>
      <c r="F29" s="99" t="s">
        <v>55</v>
      </c>
      <c r="G29" s="161"/>
      <c r="H29" s="121">
        <f>H15-H16-H17-H18-H19-H20-H22-H23-H24+H26+H27</f>
        <v>180355.5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43">
        <f>F34*G34</f>
        <v>154000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43">
        <f t="shared" ref="H35:H39" si="2">F35*G35</f>
        <v>25500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43">
        <f t="shared" si="2"/>
        <v>700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43">
        <f t="shared" si="2"/>
        <v>50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12</v>
      </c>
      <c r="D42" s="12">
        <f>C42*2.25</f>
        <v>27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2</v>
      </c>
      <c r="D49" s="12">
        <f>C49*42</f>
        <v>84</v>
      </c>
      <c r="F49" s="119" t="s">
        <v>86</v>
      </c>
      <c r="G49" s="121">
        <f>H34+H35+H36+H37+H38+H39+H40+H41+G42+H44+H45+H46</f>
        <v>180250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4</v>
      </c>
      <c r="D50" s="12">
        <f>C50*1.5</f>
        <v>6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155</v>
      </c>
      <c r="G51" s="228">
        <f>G49-H29</f>
        <v>-105.5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46056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414</v>
      </c>
      <c r="D6" s="13">
        <f t="shared" ref="D6:D28" si="1">C6*L6</f>
        <v>315054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4</v>
      </c>
      <c r="D7" s="13">
        <f t="shared" si="1"/>
        <v>3124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35</v>
      </c>
      <c r="D9" s="13">
        <f t="shared" si="1"/>
        <v>25655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154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12</v>
      </c>
      <c r="D13" s="48">
        <f t="shared" si="1"/>
        <v>3684</v>
      </c>
      <c r="F13" s="227" t="s">
        <v>36</v>
      </c>
      <c r="G13" s="191"/>
      <c r="H13" s="182">
        <f>D29</f>
        <v>355427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85" t="s">
        <v>39</v>
      </c>
      <c r="G14" s="186"/>
      <c r="H14" s="187">
        <f>D54</f>
        <v>51192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304235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329*6+50*6</f>
        <v>2274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355427</v>
      </c>
      <c r="F29" s="99" t="s">
        <v>55</v>
      </c>
      <c r="G29" s="161"/>
      <c r="H29" s="121">
        <f>H15-H16-H17-H18-H19-H20-H22-H23-H24+H26+H27</f>
        <v>301961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43">
        <f>F34*G34</f>
        <v>54000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3">
        <f>F35*G35</f>
        <v>21000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3">
        <f t="shared" ref="H36:H39" si="2">F36*G36</f>
        <v>600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43">
        <f t="shared" si="2"/>
        <v>8300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43">
        <f t="shared" si="2"/>
        <v>550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6</v>
      </c>
      <c r="D42" s="12">
        <f>C42*2.25</f>
        <v>13.5</v>
      </c>
      <c r="F42" s="39" t="s">
        <v>79</v>
      </c>
      <c r="G42" s="143">
        <v>480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38">
        <v>216552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>
        <v>1</v>
      </c>
      <c r="D45" s="12">
        <f>C45*84</f>
        <v>84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23</v>
      </c>
      <c r="D46" s="12">
        <f>C46*1.5</f>
        <v>34.5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7</v>
      </c>
      <c r="D49" s="12">
        <f>C49*42</f>
        <v>294</v>
      </c>
      <c r="F49" s="119" t="s">
        <v>86</v>
      </c>
      <c r="G49" s="121">
        <f>H34+H35+H36+H37+H38+H39+H40+H41+G42+H44+H45+H46</f>
        <v>301482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20</v>
      </c>
      <c r="D50" s="12">
        <f>C50*1.5</f>
        <v>30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-479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46057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235</v>
      </c>
      <c r="D6" s="13">
        <f t="shared" ref="D6:D28" si="1">C6*L6</f>
        <v>178835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2</v>
      </c>
      <c r="D7" s="13">
        <f t="shared" si="1"/>
        <v>1562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144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22</v>
      </c>
      <c r="D9" s="13">
        <f t="shared" si="1"/>
        <v>16126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5</v>
      </c>
      <c r="D13" s="48">
        <f t="shared" si="1"/>
        <v>1535</v>
      </c>
      <c r="F13" s="227" t="s">
        <v>36</v>
      </c>
      <c r="G13" s="191"/>
      <c r="H13" s="182">
        <f>D29</f>
        <v>198091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3</v>
      </c>
      <c r="D14" s="31">
        <f t="shared" si="1"/>
        <v>33</v>
      </c>
      <c r="F14" s="185" t="s">
        <v>39</v>
      </c>
      <c r="G14" s="186"/>
      <c r="H14" s="187">
        <f>D54</f>
        <v>31146.75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166944.25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124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132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198091</v>
      </c>
      <c r="F29" s="99" t="s">
        <v>55</v>
      </c>
      <c r="G29" s="161"/>
      <c r="H29" s="121">
        <f>H15-H16-H17-H18-H19-H20-H22-H23-H24+H26+H27+H28</f>
        <v>166944.25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3">
        <f t="shared" ref="H34:H39" si="2">F34*G34</f>
        <v>120000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43">
        <f t="shared" si="2"/>
        <v>16000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3">
        <f t="shared" si="2"/>
        <v>200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43">
        <f t="shared" si="2"/>
        <v>500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3">
        <f t="shared" si="2"/>
        <v>200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3">
        <v>25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 t="s">
        <v>157</v>
      </c>
      <c r="G44" s="85"/>
      <c r="H44" s="138">
        <v>30000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166925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43</v>
      </c>
      <c r="D50" s="12">
        <f>C50*1.5</f>
        <v>64.5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-19.25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46057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203</v>
      </c>
      <c r="D6" s="13">
        <f t="shared" ref="D6:D28" si="1">C6*L6</f>
        <v>154483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5</v>
      </c>
      <c r="D7" s="13">
        <f t="shared" si="1"/>
        <v>3905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18</v>
      </c>
      <c r="D9" s="13">
        <f t="shared" si="1"/>
        <v>13194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176482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85" t="s">
        <v>39</v>
      </c>
      <c r="G14" s="186"/>
      <c r="H14" s="187">
        <f>D54</f>
        <v>26237.25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150244.75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3</v>
      </c>
      <c r="D28" s="48">
        <f t="shared" si="1"/>
        <v>2433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176482</v>
      </c>
      <c r="F29" s="99" t="s">
        <v>55</v>
      </c>
      <c r="G29" s="161"/>
      <c r="H29" s="121">
        <f>H15-H16-H17-H18-H19-H20-H22-H23-H24+H26+H27</f>
        <v>150244.75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43">
        <f>F34*G34</f>
        <v>129000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43">
        <f t="shared" ref="H35:H39" si="2">F35*G35</f>
        <v>12000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3">
        <f>F36*G36</f>
        <v>400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43">
        <f t="shared" si="2"/>
        <v>7100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43">
        <f t="shared" si="2"/>
        <v>1850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3">
        <v>110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2</v>
      </c>
      <c r="D46" s="12">
        <f>C46*1.5</f>
        <v>3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1</v>
      </c>
      <c r="D49" s="12">
        <f>C49*42</f>
        <v>42</v>
      </c>
      <c r="F49" s="119" t="s">
        <v>86</v>
      </c>
      <c r="G49" s="121">
        <f>H34+H35+H36+H37+H38+H39+H40+H41+G42+H44+H45+H46</f>
        <v>150460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3</v>
      </c>
      <c r="D50" s="12">
        <f>C50*1.5</f>
        <v>4.5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135</v>
      </c>
      <c r="G51" s="129">
        <f>G49-H29</f>
        <v>215.25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46057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474</v>
      </c>
      <c r="D6" s="13">
        <f t="shared" ref="D6:D28" si="1">C6*L6</f>
        <v>360714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20</v>
      </c>
      <c r="D7" s="13">
        <f t="shared" si="1"/>
        <v>15620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2</v>
      </c>
      <c r="D8" s="13">
        <f t="shared" si="1"/>
        <v>2186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143</v>
      </c>
      <c r="D9" s="13">
        <f t="shared" si="1"/>
        <v>104819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3</v>
      </c>
      <c r="D10" s="13">
        <f t="shared" si="1"/>
        <v>3096</v>
      </c>
      <c r="F10" s="206" t="s">
        <v>26</v>
      </c>
      <c r="G10" s="221" t="s">
        <v>127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2340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5</v>
      </c>
      <c r="D12" s="48">
        <f t="shared" si="1"/>
        <v>4960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227" t="s">
        <v>36</v>
      </c>
      <c r="G13" s="191"/>
      <c r="H13" s="182">
        <f>D29</f>
        <v>505520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73287.75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432232.25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144*6+329*6+121*6</f>
        <v>3564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>
        <v>4</v>
      </c>
      <c r="D28" s="48">
        <f t="shared" si="1"/>
        <v>3244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505520</v>
      </c>
      <c r="F29" s="99" t="s">
        <v>55</v>
      </c>
      <c r="G29" s="161"/>
      <c r="H29" s="121">
        <f>H15-H16-H17-H18-H19-H20-H22-H23-H24+H26+H27</f>
        <v>428618.25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43">
        <f>F34*G34</f>
        <v>184000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43">
        <f>F35*G35</f>
        <v>30000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43">
        <f t="shared" ref="H36:H39" si="2">F36*G36</f>
        <v>200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43">
        <f t="shared" si="2"/>
        <v>3600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43">
        <f t="shared" si="2"/>
        <v>1050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3</v>
      </c>
      <c r="D42" s="12">
        <f>C42*2.25</f>
        <v>6.75</v>
      </c>
      <c r="F42" s="39" t="s">
        <v>79</v>
      </c>
      <c r="G42" s="143">
        <v>106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38">
        <v>209026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>
        <v>6</v>
      </c>
      <c r="D45" s="12">
        <f>C45*84</f>
        <v>504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22</v>
      </c>
      <c r="D46" s="12">
        <f>C46*1.5</f>
        <v>33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5</v>
      </c>
      <c r="D49" s="12">
        <f>C49*42</f>
        <v>210</v>
      </c>
      <c r="F49" s="119" t="s">
        <v>86</v>
      </c>
      <c r="G49" s="121">
        <f>H34+H35+H36+H37+H38+H39+H40+H41+G42+H44+H45+H46</f>
        <v>427982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23</v>
      </c>
      <c r="D50" s="12">
        <f>C50*1.5</f>
        <v>34.5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159</v>
      </c>
      <c r="G51" s="228">
        <f>G49-H29</f>
        <v>-636.25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46058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>
        <v>207</v>
      </c>
      <c r="D6" s="13">
        <f t="shared" ref="D6:D28" si="1">C6*L6</f>
        <v>157527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>
        <v>1</v>
      </c>
      <c r="D7" s="13">
        <f t="shared" si="1"/>
        <v>781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>
        <v>10</v>
      </c>
      <c r="D8" s="13">
        <f t="shared" si="1"/>
        <v>10930</v>
      </c>
      <c r="F8" s="214" t="s">
        <v>21</v>
      </c>
      <c r="G8" s="215" t="s">
        <v>144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>
        <v>33</v>
      </c>
      <c r="D9" s="13">
        <f t="shared" si="1"/>
        <v>24189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>
        <v>2</v>
      </c>
      <c r="D12" s="48">
        <f t="shared" si="1"/>
        <v>1984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>
        <v>4</v>
      </c>
      <c r="D13" s="48">
        <f t="shared" si="1"/>
        <v>1228</v>
      </c>
      <c r="F13" s="227" t="s">
        <v>36</v>
      </c>
      <c r="G13" s="191"/>
      <c r="H13" s="182">
        <f>D29</f>
        <v>205773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>
        <v>6</v>
      </c>
      <c r="D14" s="31">
        <f t="shared" si="1"/>
        <v>66</v>
      </c>
      <c r="F14" s="185" t="s">
        <v>39</v>
      </c>
      <c r="G14" s="186"/>
      <c r="H14" s="187">
        <f>D54</f>
        <v>28632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>
        <v>1</v>
      </c>
      <c r="D15" s="31">
        <f t="shared" si="1"/>
        <v>620</v>
      </c>
      <c r="F15" s="190" t="s">
        <v>40</v>
      </c>
      <c r="G15" s="191"/>
      <c r="H15" s="192">
        <f>H13-H14</f>
        <v>177141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>
        <f>10*973</f>
        <v>9730</v>
      </c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83" t="s">
        <v>165</v>
      </c>
      <c r="C22" s="84">
        <v>3</v>
      </c>
      <c r="D22" s="48">
        <f t="shared" si="1"/>
        <v>4746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132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205773</v>
      </c>
      <c r="F29" s="99" t="s">
        <v>55</v>
      </c>
      <c r="G29" s="161"/>
      <c r="H29" s="121">
        <f>H15-H16-H17-H18-H19-H20-H22-H23-H24+H26+H27+H28</f>
        <v>167411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43">
        <f t="shared" ref="H34:H39" si="2">F34*G34</f>
        <v>66000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43">
        <f t="shared" si="2"/>
        <v>9500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43">
        <f t="shared" si="2"/>
        <v>3100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43">
        <f t="shared" si="2"/>
        <v>1500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3">
        <f t="shared" si="2"/>
        <v>40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>
        <v>49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3</v>
      </c>
      <c r="D44" s="12">
        <f>C44*120</f>
        <v>360</v>
      </c>
      <c r="F44" s="37" t="s">
        <v>160</v>
      </c>
      <c r="G44" s="240" t="s">
        <v>161</v>
      </c>
      <c r="H44" s="138">
        <v>85702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7</v>
      </c>
      <c r="D46" s="12">
        <f>C46*1.5</f>
        <v>10.5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165891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5</v>
      </c>
      <c r="D50" s="12">
        <f>C50*1.5</f>
        <v>7.5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-1520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46058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205</v>
      </c>
      <c r="D6" s="13">
        <f t="shared" ref="D6:D28" si="1">C6*L6</f>
        <v>156005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29</v>
      </c>
      <c r="D9" s="13">
        <f t="shared" si="1"/>
        <v>21257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2064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187600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</v>
      </c>
      <c r="D14" s="31">
        <f t="shared" si="1"/>
        <v>22</v>
      </c>
      <c r="F14" s="185" t="s">
        <v>39</v>
      </c>
      <c r="G14" s="186"/>
      <c r="H14" s="187">
        <f>D54</f>
        <v>23733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163867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192*6</f>
        <v>1152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241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187600</v>
      </c>
      <c r="F29" s="99" t="s">
        <v>55</v>
      </c>
      <c r="G29" s="161"/>
      <c r="H29" s="121">
        <f>H15-H16-H17-H18-H19-H20-H22-H23-H24+H26+H27</f>
        <v>162715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43">
        <f>F34*G34</f>
        <v>28000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3">
        <f t="shared" ref="H35:H39" si="2">F35*G35</f>
        <v>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43">
        <f t="shared" si="2"/>
        <v>200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4</v>
      </c>
      <c r="D42" s="12">
        <f>C42*2.25</f>
        <v>9</v>
      </c>
      <c r="F42" s="39" t="s">
        <v>79</v>
      </c>
      <c r="G42" s="143">
        <v>150</v>
      </c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38">
        <v>134176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>
        <v>9</v>
      </c>
      <c r="D49" s="12">
        <f>C49*42</f>
        <v>378</v>
      </c>
      <c r="F49" s="119" t="s">
        <v>86</v>
      </c>
      <c r="G49" s="121">
        <f>H34+H35+H36+H37+H38+H39+H40+H41+G42+H44+H45+H46</f>
        <v>163026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>
        <v>4</v>
      </c>
      <c r="D50" s="12">
        <f>C50*1.5</f>
        <v>6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135</v>
      </c>
      <c r="G51" s="129">
        <f>G49-H29</f>
        <v>311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46058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248</v>
      </c>
      <c r="D6" s="13">
        <f t="shared" ref="D6:D28" si="1">C6*L6</f>
        <v>188728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6</v>
      </c>
      <c r="D9" s="13">
        <f t="shared" si="1"/>
        <v>4398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127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4</v>
      </c>
      <c r="D11" s="13">
        <f t="shared" si="1"/>
        <v>4680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10</v>
      </c>
      <c r="D13" s="48">
        <f t="shared" si="1"/>
        <v>3070</v>
      </c>
      <c r="F13" s="227" t="s">
        <v>36</v>
      </c>
      <c r="G13" s="191"/>
      <c r="H13" s="182">
        <f>D29</f>
        <v>206767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9</v>
      </c>
      <c r="D14" s="31">
        <f t="shared" si="1"/>
        <v>99</v>
      </c>
      <c r="F14" s="185" t="s">
        <v>39</v>
      </c>
      <c r="G14" s="186"/>
      <c r="H14" s="187">
        <f>D54</f>
        <v>50062.5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>
        <v>1</v>
      </c>
      <c r="D15" s="31">
        <f t="shared" si="1"/>
        <v>620</v>
      </c>
      <c r="F15" s="190" t="s">
        <v>40</v>
      </c>
      <c r="G15" s="191"/>
      <c r="H15" s="192">
        <f>H13-H14</f>
        <v>156704.5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>
        <f>103*6+108*6</f>
        <v>1266</v>
      </c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206767</v>
      </c>
      <c r="F29" s="99" t="s">
        <v>55</v>
      </c>
      <c r="G29" s="161"/>
      <c r="H29" s="121">
        <f>H15-H16-H17-H18-H19-H20-H22-H23-H24+H26+H27</f>
        <v>155438.5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43">
        <f>F34*G34</f>
        <v>36000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3">
        <f>F35*G35</f>
        <v>500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>
        <v>4</v>
      </c>
      <c r="D42" s="12">
        <f>C42*2.25</f>
        <v>9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38">
        <f>56380</f>
        <v>56380</v>
      </c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38">
        <v>62596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>
        <v>23</v>
      </c>
      <c r="D46" s="12">
        <f>C46*1.5</f>
        <v>34.5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155476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138</v>
      </c>
      <c r="G51" s="129">
        <f>G49-H29</f>
        <v>37.5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46059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111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124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132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85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46059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46059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127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46060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111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124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132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85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46060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46060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127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46062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84"/>
      <c r="D6" s="13">
        <f t="shared" ref="D6:D28" si="1">C6*L6</f>
        <v>0</v>
      </c>
      <c r="F6" s="206" t="s">
        <v>16</v>
      </c>
      <c r="G6" s="208" t="s">
        <v>111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84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84"/>
      <c r="D8" s="13">
        <f t="shared" si="1"/>
        <v>0</v>
      </c>
      <c r="F8" s="214" t="s">
        <v>21</v>
      </c>
      <c r="G8" s="215" t="s">
        <v>111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84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84"/>
      <c r="D10" s="13">
        <f t="shared" si="1"/>
        <v>0</v>
      </c>
      <c r="F10" s="206" t="s">
        <v>26</v>
      </c>
      <c r="G10" s="221" t="s">
        <v>114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84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84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84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84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84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133</v>
      </c>
      <c r="C17" s="84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3"/>
      <c r="I19" s="163"/>
      <c r="J19" s="163"/>
      <c r="L19" s="6">
        <v>1102</v>
      </c>
      <c r="Q19" s="4"/>
      <c r="R19" s="5">
        <f t="shared" si="0"/>
        <v>0</v>
      </c>
    </row>
    <row r="20" spans="1:18" ht="15.75" x14ac:dyDescent="0.25">
      <c r="A20" s="14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124</v>
      </c>
      <c r="C22" s="84"/>
      <c r="D22" s="48">
        <f t="shared" si="1"/>
        <v>0</v>
      </c>
      <c r="F22" s="77"/>
      <c r="G22" s="73"/>
      <c r="H22" s="168"/>
      <c r="I22" s="168"/>
      <c r="J22" s="16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101</v>
      </c>
      <c r="C23" s="84"/>
      <c r="D23" s="48">
        <f t="shared" si="1"/>
        <v>0</v>
      </c>
      <c r="F23" s="77"/>
      <c r="G23" s="79"/>
      <c r="H23" s="234"/>
      <c r="I23" s="235"/>
      <c r="J23" s="23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118</v>
      </c>
      <c r="C24" s="84"/>
      <c r="D24" s="48">
        <f t="shared" si="1"/>
        <v>0</v>
      </c>
      <c r="F24" s="77"/>
      <c r="G24" s="79"/>
      <c r="H24" s="234"/>
      <c r="I24" s="235"/>
      <c r="J24" s="23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132</v>
      </c>
      <c r="C26" s="84"/>
      <c r="D26" s="48">
        <f t="shared" si="1"/>
        <v>0</v>
      </c>
      <c r="F26" s="75"/>
      <c r="G26" s="65"/>
      <c r="H26" s="138"/>
      <c r="I26" s="138"/>
      <c r="J26" s="13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110</v>
      </c>
      <c r="C27" s="84"/>
      <c r="D27" s="44">
        <f t="shared" si="1"/>
        <v>0</v>
      </c>
      <c r="F27" s="71"/>
      <c r="G27" s="95"/>
      <c r="H27" s="236"/>
      <c r="I27" s="237"/>
      <c r="J27" s="23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84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H15-H16-H17-H18-H19-H20-H22-H23-H24+H26+H27+H28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85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128</v>
      </c>
      <c r="G51" s="228">
        <f>G49-H29</f>
        <v>0</v>
      </c>
      <c r="H51" s="229"/>
      <c r="I51" s="229"/>
      <c r="J51" s="23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46062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126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113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139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93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3"/>
      <c r="I20" s="163"/>
      <c r="J20" s="16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120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135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46062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141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130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127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39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38</v>
      </c>
      <c r="C15" s="10"/>
      <c r="D15" s="31">
        <f t="shared" si="1"/>
        <v>0</v>
      </c>
      <c r="F15" s="190" t="s">
        <v>40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2"/>
      <c r="I16" s="152"/>
      <c r="J16" s="15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t="s">
        <v>112</v>
      </c>
      <c r="C17" s="10"/>
      <c r="D17" s="48">
        <f t="shared" si="1"/>
        <v>0</v>
      </c>
      <c r="F17" s="56"/>
      <c r="G17" s="66" t="s">
        <v>45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2"/>
      <c r="I20" s="152"/>
      <c r="J20" s="15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5" t="s">
        <v>13</v>
      </c>
      <c r="I21" s="166"/>
      <c r="J21" s="16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104</v>
      </c>
      <c r="C22" s="10"/>
      <c r="D22" s="48">
        <f t="shared" si="1"/>
        <v>0</v>
      </c>
      <c r="F22" s="77"/>
      <c r="G22" s="73"/>
      <c r="H22" s="168"/>
      <c r="I22" s="168"/>
      <c r="J22" s="16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107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101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0" t="s">
        <v>13</v>
      </c>
      <c r="I25" s="171"/>
      <c r="J25" s="17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105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109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97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55</v>
      </c>
      <c r="G29" s="161"/>
      <c r="H29" s="121">
        <f>H15-H16-H17-H18-H19-H20-H22-H23-H24+H26+H27</f>
        <v>0</v>
      </c>
      <c r="I29" s="122"/>
      <c r="J29" s="12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58</v>
      </c>
      <c r="B32" s="147"/>
      <c r="C32" s="147"/>
      <c r="D32" s="148"/>
      <c r="F32" s="149" t="s">
        <v>59</v>
      </c>
      <c r="G32" s="150"/>
      <c r="H32" s="150"/>
      <c r="I32" s="150"/>
      <c r="J32" s="15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49" t="s">
        <v>13</v>
      </c>
      <c r="I33" s="150"/>
      <c r="J33" s="15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68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70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68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70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68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70</v>
      </c>
      <c r="C42" s="11"/>
      <c r="D42" s="12">
        <f>C42*2.25</f>
        <v>0</v>
      </c>
      <c r="F42" s="39" t="s">
        <v>79</v>
      </c>
      <c r="G42" s="143"/>
      <c r="H42" s="144"/>
      <c r="I42" s="144"/>
      <c r="J42" s="14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81</v>
      </c>
      <c r="C43" s="11"/>
      <c r="D43" s="12"/>
      <c r="F43" s="59" t="s">
        <v>82</v>
      </c>
      <c r="G43" s="95" t="s">
        <v>83</v>
      </c>
      <c r="H43" s="135" t="s">
        <v>13</v>
      </c>
      <c r="I43" s="136"/>
      <c r="J43" s="13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4"/>
      <c r="B44" s="27" t="s">
        <v>66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68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66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68</v>
      </c>
      <c r="C49" s="33"/>
      <c r="D49" s="12">
        <f>C49*42</f>
        <v>0</v>
      </c>
      <c r="F49" s="119" t="s">
        <v>86</v>
      </c>
      <c r="G49" s="121">
        <f>H34+H35+H36+H37+H38+H39+H40+H41+G42+H44+H45+H46</f>
        <v>0</v>
      </c>
      <c r="H49" s="122"/>
      <c r="I49" s="122"/>
      <c r="J49" s="12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70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137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138</v>
      </c>
      <c r="G51" s="129">
        <f>G49-H29</f>
        <v>0</v>
      </c>
      <c r="H51" s="130"/>
      <c r="I51" s="130"/>
      <c r="J51" s="1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9" t="s">
        <v>90</v>
      </c>
      <c r="B54" s="100"/>
      <c r="C54" s="101"/>
      <c r="D54" s="10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91</v>
      </c>
      <c r="B58" s="108"/>
      <c r="C58" s="108"/>
      <c r="D58" s="109"/>
      <c r="F58" s="107" t="s">
        <v>92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2026-02-06T00:17:40Z</cp:lastPrinted>
  <dcterms:created xsi:type="dcterms:W3CDTF">2024-09-01T23:36:50Z</dcterms:created>
  <dcterms:modified xsi:type="dcterms:W3CDTF">2026-02-06T00:18:57Z</dcterms:modified>
</cp:coreProperties>
</file>