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4EFFDB11-5443-4D0F-96BD-077F19BDDE34}" xr6:coauthVersionLast="45" xr6:coauthVersionMax="47" xr10:uidLastSave="{00000000-0000-0000-0000-000000000000}"/>
  <bookViews>
    <workbookView xWindow="-120" yWindow="-120" windowWidth="29040" windowHeight="15840" firstSheet="39" activeTab="48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 NO TRIP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  <sheet name="(10)" sheetId="1774" r:id="rId30"/>
    <sheet name="02,10 R1" sheetId="1775" r:id="rId31"/>
    <sheet name="02,10 R2" sheetId="1776" r:id="rId32"/>
    <sheet name="02,10 R3" sheetId="1777" r:id="rId33"/>
    <sheet name="(11)" sheetId="1778" r:id="rId34"/>
    <sheet name="02,11 R1" sheetId="1779" r:id="rId35"/>
    <sheet name="02,11 R2" sheetId="1780" r:id="rId36"/>
    <sheet name="02,11 R3" sheetId="1781" r:id="rId37"/>
    <sheet name="(12)" sheetId="1782" r:id="rId38"/>
    <sheet name="02,12 R1" sheetId="1783" r:id="rId39"/>
    <sheet name="02,12 R2" sheetId="1784" r:id="rId40"/>
    <sheet name="02,12 R3" sheetId="1785" r:id="rId41"/>
    <sheet name="(13)" sheetId="1786" r:id="rId42"/>
    <sheet name="02,13 R1 NO TRIP" sheetId="1787" r:id="rId43"/>
    <sheet name="02,13 R2" sheetId="1788" r:id="rId44"/>
    <sheet name="02,13 R3" sheetId="1789" r:id="rId45"/>
    <sheet name="(14)" sheetId="1790" r:id="rId46"/>
    <sheet name="02,14 R1" sheetId="1791" r:id="rId47"/>
    <sheet name="02,14 R2" sheetId="1792" r:id="rId48"/>
    <sheet name="02,14 R3" sheetId="1793" r:id="rId49"/>
    <sheet name="(16)" sheetId="1794" r:id="rId50"/>
    <sheet name="02,16 R1" sheetId="1795" r:id="rId51"/>
    <sheet name="02,16 R2" sheetId="1796" r:id="rId52"/>
    <sheet name="02,16 R3" sheetId="1797" r:id="rId53"/>
    <sheet name="(17)" sheetId="1798" r:id="rId54"/>
    <sheet name="02,17 R1" sheetId="1799" r:id="rId55"/>
    <sheet name="02,17 R2" sheetId="1800" r:id="rId56"/>
    <sheet name="02,17 R3" sheetId="1801" r:id="rId57"/>
    <sheet name="(18)" sheetId="1802" r:id="rId58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 NO TRIP'!$A$1:$J$60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  <definedName name="_xlnm.Print_Area" localSheetId="30">'02,10 R1'!$A$1:$J$60</definedName>
    <definedName name="_xlnm.Print_Area" localSheetId="31">'02,10 R2'!$A$1:$J$60</definedName>
    <definedName name="_xlnm.Print_Area" localSheetId="32">'02,10 R3'!$A$1:$J$60</definedName>
    <definedName name="_xlnm.Print_Area" localSheetId="34">'02,11 R1'!$A$1:$J$60</definedName>
    <definedName name="_xlnm.Print_Area" localSheetId="35">'02,11 R2'!$A$1:$J$60</definedName>
    <definedName name="_xlnm.Print_Area" localSheetId="36">'02,11 R3'!$A$1:$J$60</definedName>
    <definedName name="_xlnm.Print_Area" localSheetId="38">'02,12 R1'!$A$1:$J$60</definedName>
    <definedName name="_xlnm.Print_Area" localSheetId="39">'02,12 R2'!$A$1:$J$60</definedName>
    <definedName name="_xlnm.Print_Area" localSheetId="40">'02,12 R3'!$A$1:$J$60</definedName>
    <definedName name="_xlnm.Print_Area" localSheetId="42">'02,13 R1 NO TRIP'!$A$1:$J$60</definedName>
    <definedName name="_xlnm.Print_Area" localSheetId="43">'02,13 R2'!$A$1:$J$60</definedName>
    <definedName name="_xlnm.Print_Area" localSheetId="44">'02,13 R3'!$A$1:$J$60</definedName>
    <definedName name="_xlnm.Print_Area" localSheetId="46">'02,14 R1'!$A$1:$J$60</definedName>
    <definedName name="_xlnm.Print_Area" localSheetId="47">'02,14 R2'!$A$1:$J$60</definedName>
    <definedName name="_xlnm.Print_Area" localSheetId="48">'02,14 R3'!$A$1:$J$60</definedName>
    <definedName name="_xlnm.Print_Area" localSheetId="50">'02,16 R1'!$A$1:$J$60</definedName>
    <definedName name="_xlnm.Print_Area" localSheetId="51">'02,16 R2'!$A$1:$J$60</definedName>
    <definedName name="_xlnm.Print_Area" localSheetId="52">'02,16 R3'!$A$1:$J$60</definedName>
    <definedName name="_xlnm.Print_Area" localSheetId="54">'02,17 R1'!$A$1:$J$60</definedName>
    <definedName name="_xlnm.Print_Area" localSheetId="55">'02,17 R2'!$A$1:$J$60</definedName>
    <definedName name="_xlnm.Print_Area" localSheetId="56">'02,17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793" l="1"/>
  <c r="H16" i="1792"/>
  <c r="L24" i="1791" l="1"/>
  <c r="H16" i="1789" l="1"/>
  <c r="H16" i="1788"/>
  <c r="H16" i="1785" l="1"/>
  <c r="H16" i="1784"/>
  <c r="H16" i="1783"/>
  <c r="L26" i="1784"/>
  <c r="R52" i="1802" l="1"/>
  <c r="R51" i="1802"/>
  <c r="D50" i="1802"/>
  <c r="R49" i="1802"/>
  <c r="G49" i="1802"/>
  <c r="D49" i="1802"/>
  <c r="R48" i="1802"/>
  <c r="D48" i="1802"/>
  <c r="D46" i="1802"/>
  <c r="D45" i="1802"/>
  <c r="D44" i="1802"/>
  <c r="R42" i="1802"/>
  <c r="L6" i="1802" s="1"/>
  <c r="D6" i="1802" s="1"/>
  <c r="D42" i="1802"/>
  <c r="R41" i="1802"/>
  <c r="L7" i="1802" s="1"/>
  <c r="D7" i="1802" s="1"/>
  <c r="D41" i="1802"/>
  <c r="R40" i="1802"/>
  <c r="D40" i="1802"/>
  <c r="R39" i="1802"/>
  <c r="D39" i="1802"/>
  <c r="R38" i="1802"/>
  <c r="D38" i="1802"/>
  <c r="R37" i="1802"/>
  <c r="D37" i="1802"/>
  <c r="R36" i="1802"/>
  <c r="L10" i="1802" s="1"/>
  <c r="D10" i="1802" s="1"/>
  <c r="D36" i="1802"/>
  <c r="R35" i="1802"/>
  <c r="D35" i="1802"/>
  <c r="R34" i="1802"/>
  <c r="L12" i="1802" s="1"/>
  <c r="D12" i="1802" s="1"/>
  <c r="D34" i="1802"/>
  <c r="D54" i="1802" s="1"/>
  <c r="H14" i="1802" s="1"/>
  <c r="R33" i="1802"/>
  <c r="L23" i="1802" s="1"/>
  <c r="D23" i="1802" s="1"/>
  <c r="R32" i="1802"/>
  <c r="R31" i="1802"/>
  <c r="R30" i="1802"/>
  <c r="R29" i="1802"/>
  <c r="R28" i="1802"/>
  <c r="L16" i="1802" s="1"/>
  <c r="D16" i="1802" s="1"/>
  <c r="D28" i="1802"/>
  <c r="R27" i="1802"/>
  <c r="D27" i="1802"/>
  <c r="R26" i="1802"/>
  <c r="L26" i="1802"/>
  <c r="D26" i="1802"/>
  <c r="R25" i="1802"/>
  <c r="L25" i="1802"/>
  <c r="D25" i="1802"/>
  <c r="R24" i="1802"/>
  <c r="D24" i="1802"/>
  <c r="R23" i="1802"/>
  <c r="R22" i="1802"/>
  <c r="L22" i="1802"/>
  <c r="D22" i="1802" s="1"/>
  <c r="R21" i="1802"/>
  <c r="D21" i="1802"/>
  <c r="R20" i="1802"/>
  <c r="L20" i="1802"/>
  <c r="D20" i="1802"/>
  <c r="R19" i="1802"/>
  <c r="L19" i="1802"/>
  <c r="D19" i="1802"/>
  <c r="R18" i="1802"/>
  <c r="D18" i="1802"/>
  <c r="R17" i="1802"/>
  <c r="D17" i="1802"/>
  <c r="R16" i="1802"/>
  <c r="S15" i="1802"/>
  <c r="R15" i="1802"/>
  <c r="D15" i="1802"/>
  <c r="S14" i="1802"/>
  <c r="R14" i="1802"/>
  <c r="D14" i="1802"/>
  <c r="R13" i="1802"/>
  <c r="D13" i="1802"/>
  <c r="R12" i="1802"/>
  <c r="R11" i="1802"/>
  <c r="L11" i="1802"/>
  <c r="D11" i="1802" s="1"/>
  <c r="L9" i="1802"/>
  <c r="D9" i="1802" s="1"/>
  <c r="L8" i="1802"/>
  <c r="D8" i="1802"/>
  <c r="R6" i="1802"/>
  <c r="R5" i="1802"/>
  <c r="R4" i="1802"/>
  <c r="R52" i="1801"/>
  <c r="R51" i="1801"/>
  <c r="D50" i="1801"/>
  <c r="R49" i="1801"/>
  <c r="D49" i="1801"/>
  <c r="D54" i="1801" s="1"/>
  <c r="H14" i="1801" s="1"/>
  <c r="R48" i="1801"/>
  <c r="D48" i="1801"/>
  <c r="D46" i="1801"/>
  <c r="D45" i="1801"/>
  <c r="R44" i="1801"/>
  <c r="D44" i="1801"/>
  <c r="R42" i="1801"/>
  <c r="D42" i="1801"/>
  <c r="R41" i="1801"/>
  <c r="L7" i="1801" s="1"/>
  <c r="D7" i="1801" s="1"/>
  <c r="D41" i="1801"/>
  <c r="R40" i="1801"/>
  <c r="D40" i="1801"/>
  <c r="R39" i="1801"/>
  <c r="H39" i="1801"/>
  <c r="G49" i="1801" s="1"/>
  <c r="D39" i="1801"/>
  <c r="R38" i="1801"/>
  <c r="L9" i="1801" s="1"/>
  <c r="D9" i="1801" s="1"/>
  <c r="H38" i="1801"/>
  <c r="D38" i="1801"/>
  <c r="R37" i="1801"/>
  <c r="H37" i="1801"/>
  <c r="D37" i="1801"/>
  <c r="R36" i="1801"/>
  <c r="L10" i="1801" s="1"/>
  <c r="D10" i="1801" s="1"/>
  <c r="H36" i="1801"/>
  <c r="D36" i="1801"/>
  <c r="R35" i="1801"/>
  <c r="L19" i="1801" s="1"/>
  <c r="D19" i="1801" s="1"/>
  <c r="H35" i="1801"/>
  <c r="D35" i="1801"/>
  <c r="R34" i="1801"/>
  <c r="L12" i="1801" s="1"/>
  <c r="D12" i="1801" s="1"/>
  <c r="H34" i="1801"/>
  <c r="D34" i="1801"/>
  <c r="R33" i="1801"/>
  <c r="L23" i="1801" s="1"/>
  <c r="D23" i="1801" s="1"/>
  <c r="R32" i="1801"/>
  <c r="L11" i="1801" s="1"/>
  <c r="D11" i="1801" s="1"/>
  <c r="R31" i="1801"/>
  <c r="R30" i="1801"/>
  <c r="R29" i="1801"/>
  <c r="R28" i="1801"/>
  <c r="L16" i="1801" s="1"/>
  <c r="D16" i="1801" s="1"/>
  <c r="L28" i="1801"/>
  <c r="D28" i="1801"/>
  <c r="R27" i="1801"/>
  <c r="D27" i="1801"/>
  <c r="R26" i="1801"/>
  <c r="L26" i="1801"/>
  <c r="D26" i="1801" s="1"/>
  <c r="R25" i="1801"/>
  <c r="L25" i="1801"/>
  <c r="D25" i="1801"/>
  <c r="R24" i="1801"/>
  <c r="D24" i="1801"/>
  <c r="R23" i="1801"/>
  <c r="R22" i="1801"/>
  <c r="L22" i="1801"/>
  <c r="D22" i="1801"/>
  <c r="R21" i="1801"/>
  <c r="D21" i="1801"/>
  <c r="R20" i="1801"/>
  <c r="L20" i="1801"/>
  <c r="D20" i="1801" s="1"/>
  <c r="R19" i="1801"/>
  <c r="R18" i="1801"/>
  <c r="D18" i="1801"/>
  <c r="R17" i="1801"/>
  <c r="D17" i="1801"/>
  <c r="R16" i="1801"/>
  <c r="R15" i="1801"/>
  <c r="D15" i="1801"/>
  <c r="R14" i="1801"/>
  <c r="D14" i="1801"/>
  <c r="R13" i="1801"/>
  <c r="D13" i="1801"/>
  <c r="R12" i="1801"/>
  <c r="R11" i="1801"/>
  <c r="L8" i="1801"/>
  <c r="D8" i="1801"/>
  <c r="R6" i="1801"/>
  <c r="L6" i="1801"/>
  <c r="D6" i="1801" s="1"/>
  <c r="D29" i="1801" s="1"/>
  <c r="H13" i="1801" s="1"/>
  <c r="H15" i="1801" s="1"/>
  <c r="H29" i="1801" s="1"/>
  <c r="R5" i="1801"/>
  <c r="R4" i="1801"/>
  <c r="R52" i="1800"/>
  <c r="R51" i="1800"/>
  <c r="D50" i="1800"/>
  <c r="R49" i="1800"/>
  <c r="D49" i="1800"/>
  <c r="R48" i="1800"/>
  <c r="D48" i="1800"/>
  <c r="D46" i="1800"/>
  <c r="D45" i="1800"/>
  <c r="R44" i="1800"/>
  <c r="D44" i="1800"/>
  <c r="R42" i="1800"/>
  <c r="L6" i="1800" s="1"/>
  <c r="D6" i="1800" s="1"/>
  <c r="D42" i="1800"/>
  <c r="R41" i="1800"/>
  <c r="D41" i="1800"/>
  <c r="R40" i="1800"/>
  <c r="L8" i="1800" s="1"/>
  <c r="D8" i="1800" s="1"/>
  <c r="D40" i="1800"/>
  <c r="R39" i="1800"/>
  <c r="H39" i="1800"/>
  <c r="D39" i="1800"/>
  <c r="R38" i="1800"/>
  <c r="H38" i="1800"/>
  <c r="D38" i="1800"/>
  <c r="R37" i="1800"/>
  <c r="H37" i="1800"/>
  <c r="D37" i="1800"/>
  <c r="R36" i="1800"/>
  <c r="L10" i="1800" s="1"/>
  <c r="D10" i="1800" s="1"/>
  <c r="H36" i="1800"/>
  <c r="G49" i="1800" s="1"/>
  <c r="D36" i="1800"/>
  <c r="R35" i="1800"/>
  <c r="H35" i="1800"/>
  <c r="D35" i="1800"/>
  <c r="R34" i="1800"/>
  <c r="H34" i="1800"/>
  <c r="D34" i="1800"/>
  <c r="D54" i="1800" s="1"/>
  <c r="H14" i="1800" s="1"/>
  <c r="R33" i="1800"/>
  <c r="R32" i="1800"/>
  <c r="R31" i="1800"/>
  <c r="R30" i="1800"/>
  <c r="R29" i="1800"/>
  <c r="R28" i="1800"/>
  <c r="L28" i="1800"/>
  <c r="D28" i="1800"/>
  <c r="R27" i="1800"/>
  <c r="D27" i="1800"/>
  <c r="R26" i="1800"/>
  <c r="L26" i="1800"/>
  <c r="D26" i="1800"/>
  <c r="R25" i="1800"/>
  <c r="L25" i="1800"/>
  <c r="D25" i="1800"/>
  <c r="R24" i="1800"/>
  <c r="L24" i="1800"/>
  <c r="D24" i="1800"/>
  <c r="R23" i="1800"/>
  <c r="L23" i="1800"/>
  <c r="D23" i="1800"/>
  <c r="R22" i="1800"/>
  <c r="L22" i="1800"/>
  <c r="D22" i="1800" s="1"/>
  <c r="R21" i="1800"/>
  <c r="D21" i="1800"/>
  <c r="R20" i="1800"/>
  <c r="L20" i="1800"/>
  <c r="D20" i="1800" s="1"/>
  <c r="R19" i="1800"/>
  <c r="L19" i="1800"/>
  <c r="D19" i="1800" s="1"/>
  <c r="R18" i="1800"/>
  <c r="D18" i="1800"/>
  <c r="R17" i="1800"/>
  <c r="L17" i="1800"/>
  <c r="D17" i="1800"/>
  <c r="R16" i="1800"/>
  <c r="L16" i="1800"/>
  <c r="D16" i="1800" s="1"/>
  <c r="R15" i="1800"/>
  <c r="D15" i="1800"/>
  <c r="R14" i="1800"/>
  <c r="D14" i="1800"/>
  <c r="R13" i="1800"/>
  <c r="D13" i="1800"/>
  <c r="R12" i="1800"/>
  <c r="L12" i="1800"/>
  <c r="D12" i="1800" s="1"/>
  <c r="R11" i="1800"/>
  <c r="L11" i="1800"/>
  <c r="D11" i="1800"/>
  <c r="L9" i="1800"/>
  <c r="D9" i="1800" s="1"/>
  <c r="L7" i="1800"/>
  <c r="D7" i="1800"/>
  <c r="R6" i="1800"/>
  <c r="R5" i="1800"/>
  <c r="R4" i="1800"/>
  <c r="R52" i="1799"/>
  <c r="R51" i="1799"/>
  <c r="D50" i="1799"/>
  <c r="R49" i="1799"/>
  <c r="D49" i="1799"/>
  <c r="R48" i="1799"/>
  <c r="D48" i="1799"/>
  <c r="D46" i="1799"/>
  <c r="D45" i="1799"/>
  <c r="R44" i="1799"/>
  <c r="D44" i="1799"/>
  <c r="R42" i="1799"/>
  <c r="L6" i="1799" s="1"/>
  <c r="D6" i="1799" s="1"/>
  <c r="D42" i="1799"/>
  <c r="R41" i="1799"/>
  <c r="L7" i="1799" s="1"/>
  <c r="D7" i="1799" s="1"/>
  <c r="D41" i="1799"/>
  <c r="D54" i="1799" s="1"/>
  <c r="H14" i="1799" s="1"/>
  <c r="R40" i="1799"/>
  <c r="D40" i="1799"/>
  <c r="R39" i="1799"/>
  <c r="L20" i="1799" s="1"/>
  <c r="D20" i="1799" s="1"/>
  <c r="H39" i="1799"/>
  <c r="D39" i="1799"/>
  <c r="R38" i="1799"/>
  <c r="H38" i="1799"/>
  <c r="D38" i="1799"/>
  <c r="R37" i="1799"/>
  <c r="H37" i="1799"/>
  <c r="D37" i="1799"/>
  <c r="R36" i="1799"/>
  <c r="H36" i="1799"/>
  <c r="D36" i="1799"/>
  <c r="R35" i="1799"/>
  <c r="H35" i="1799"/>
  <c r="D35" i="1799"/>
  <c r="R34" i="1799"/>
  <c r="H34" i="1799"/>
  <c r="G49" i="1799" s="1"/>
  <c r="D34" i="1799"/>
  <c r="R33" i="1799"/>
  <c r="R32" i="1799"/>
  <c r="R31" i="1799"/>
  <c r="R30" i="1799"/>
  <c r="R29" i="1799"/>
  <c r="R28" i="1799"/>
  <c r="L28" i="1799"/>
  <c r="D28" i="1799"/>
  <c r="R27" i="1799"/>
  <c r="D27" i="1799"/>
  <c r="R26" i="1799"/>
  <c r="L26" i="1799"/>
  <c r="D26" i="1799"/>
  <c r="R25" i="1799"/>
  <c r="L25" i="1799"/>
  <c r="D25" i="1799"/>
  <c r="R24" i="1799"/>
  <c r="L24" i="1799"/>
  <c r="D24" i="1799"/>
  <c r="R23" i="1799"/>
  <c r="D23" i="1799"/>
  <c r="R22" i="1799"/>
  <c r="D22" i="1799"/>
  <c r="R21" i="1799"/>
  <c r="D21" i="1799"/>
  <c r="R20" i="1799"/>
  <c r="R19" i="1799"/>
  <c r="D19" i="1799"/>
  <c r="R18" i="1799"/>
  <c r="D18" i="1799"/>
  <c r="R17" i="1799"/>
  <c r="L17" i="1799"/>
  <c r="D17" i="1799"/>
  <c r="R16" i="1799"/>
  <c r="L16" i="1799"/>
  <c r="D16" i="1799" s="1"/>
  <c r="R15" i="1799"/>
  <c r="D15" i="1799"/>
  <c r="R14" i="1799"/>
  <c r="D14" i="1799"/>
  <c r="R13" i="1799"/>
  <c r="D13" i="1799"/>
  <c r="R12" i="1799"/>
  <c r="L12" i="1799"/>
  <c r="D12" i="1799" s="1"/>
  <c r="R11" i="1799"/>
  <c r="L11" i="1799"/>
  <c r="D11" i="1799" s="1"/>
  <c r="L10" i="1799"/>
  <c r="D10" i="1799"/>
  <c r="L9" i="1799"/>
  <c r="D9" i="1799"/>
  <c r="L8" i="1799"/>
  <c r="D8" i="1799" s="1"/>
  <c r="R6" i="1799"/>
  <c r="R5" i="1799"/>
  <c r="R4" i="1799"/>
  <c r="R52" i="1798"/>
  <c r="R51" i="1798"/>
  <c r="D50" i="1798"/>
  <c r="R49" i="1798"/>
  <c r="G49" i="1798"/>
  <c r="D49" i="1798"/>
  <c r="R48" i="1798"/>
  <c r="D48" i="1798"/>
  <c r="D46" i="1798"/>
  <c r="D45" i="1798"/>
  <c r="D44" i="1798"/>
  <c r="R42" i="1798"/>
  <c r="L6" i="1798" s="1"/>
  <c r="D6" i="1798" s="1"/>
  <c r="D42" i="1798"/>
  <c r="R41" i="1798"/>
  <c r="L7" i="1798" s="1"/>
  <c r="D7" i="1798" s="1"/>
  <c r="D41" i="1798"/>
  <c r="D54" i="1798" s="1"/>
  <c r="H14" i="1798" s="1"/>
  <c r="R40" i="1798"/>
  <c r="D40" i="1798"/>
  <c r="R39" i="1798"/>
  <c r="D39" i="1798"/>
  <c r="R38" i="1798"/>
  <c r="D38" i="1798"/>
  <c r="R37" i="1798"/>
  <c r="D37" i="1798"/>
  <c r="R36" i="1798"/>
  <c r="D36" i="1798"/>
  <c r="R35" i="1798"/>
  <c r="D35" i="1798"/>
  <c r="R34" i="1798"/>
  <c r="D34" i="1798"/>
  <c r="R33" i="1798"/>
  <c r="L23" i="1798" s="1"/>
  <c r="D23" i="1798" s="1"/>
  <c r="R32" i="1798"/>
  <c r="L11" i="1798" s="1"/>
  <c r="D11" i="1798" s="1"/>
  <c r="R31" i="1798"/>
  <c r="R30" i="1798"/>
  <c r="R29" i="1798"/>
  <c r="R28" i="1798"/>
  <c r="L16" i="1798" s="1"/>
  <c r="D16" i="1798" s="1"/>
  <c r="D28" i="1798"/>
  <c r="R27" i="1798"/>
  <c r="D27" i="1798"/>
  <c r="R26" i="1798"/>
  <c r="L26" i="1798"/>
  <c r="D26" i="1798"/>
  <c r="R25" i="1798"/>
  <c r="L25" i="1798"/>
  <c r="D25" i="1798"/>
  <c r="R24" i="1798"/>
  <c r="D24" i="1798"/>
  <c r="R23" i="1798"/>
  <c r="R22" i="1798"/>
  <c r="L22" i="1798"/>
  <c r="D22" i="1798" s="1"/>
  <c r="R21" i="1798"/>
  <c r="D21" i="1798"/>
  <c r="R20" i="1798"/>
  <c r="L20" i="1798"/>
  <c r="D20" i="1798"/>
  <c r="R19" i="1798"/>
  <c r="L19" i="1798"/>
  <c r="D19" i="1798"/>
  <c r="R18" i="1798"/>
  <c r="D18" i="1798"/>
  <c r="R17" i="1798"/>
  <c r="D17" i="1798"/>
  <c r="R16" i="1798"/>
  <c r="S15" i="1798"/>
  <c r="R15" i="1798"/>
  <c r="D15" i="1798"/>
  <c r="S14" i="1798"/>
  <c r="R14" i="1798"/>
  <c r="D14" i="1798"/>
  <c r="R13" i="1798"/>
  <c r="D13" i="1798"/>
  <c r="R12" i="1798"/>
  <c r="L12" i="1798"/>
  <c r="D12" i="1798" s="1"/>
  <c r="R11" i="1798"/>
  <c r="L10" i="1798"/>
  <c r="D10" i="1798" s="1"/>
  <c r="L9" i="1798"/>
  <c r="D9" i="1798"/>
  <c r="L8" i="1798"/>
  <c r="D8" i="1798" s="1"/>
  <c r="R6" i="1798"/>
  <c r="R5" i="1798"/>
  <c r="R4" i="1798"/>
  <c r="R52" i="1797"/>
  <c r="R51" i="1797"/>
  <c r="D50" i="1797"/>
  <c r="R49" i="1797"/>
  <c r="D49" i="1797"/>
  <c r="R48" i="1797"/>
  <c r="D48" i="1797"/>
  <c r="D46" i="1797"/>
  <c r="D45" i="1797"/>
  <c r="R44" i="1797"/>
  <c r="L28" i="1797" s="1"/>
  <c r="D28" i="1797" s="1"/>
  <c r="D44" i="1797"/>
  <c r="R42" i="1797"/>
  <c r="L6" i="1797" s="1"/>
  <c r="D6" i="1797" s="1"/>
  <c r="D42" i="1797"/>
  <c r="R41" i="1797"/>
  <c r="L7" i="1797" s="1"/>
  <c r="D7" i="1797" s="1"/>
  <c r="D41" i="1797"/>
  <c r="R40" i="1797"/>
  <c r="D40" i="1797"/>
  <c r="R39" i="1797"/>
  <c r="H39" i="1797"/>
  <c r="D39" i="1797"/>
  <c r="R38" i="1797"/>
  <c r="H38" i="1797"/>
  <c r="D38" i="1797"/>
  <c r="R37" i="1797"/>
  <c r="H37" i="1797"/>
  <c r="D37" i="1797"/>
  <c r="R36" i="1797"/>
  <c r="H36" i="1797"/>
  <c r="D36" i="1797"/>
  <c r="D54" i="1797" s="1"/>
  <c r="H14" i="1797" s="1"/>
  <c r="R35" i="1797"/>
  <c r="L19" i="1797" s="1"/>
  <c r="D19" i="1797" s="1"/>
  <c r="H35" i="1797"/>
  <c r="D35" i="1797"/>
  <c r="R34" i="1797"/>
  <c r="L12" i="1797" s="1"/>
  <c r="D12" i="1797" s="1"/>
  <c r="H34" i="1797"/>
  <c r="G49" i="1797" s="1"/>
  <c r="D34" i="1797"/>
  <c r="R33" i="1797"/>
  <c r="R32" i="1797"/>
  <c r="R31" i="1797"/>
  <c r="R30" i="1797"/>
  <c r="R29" i="1797"/>
  <c r="R28" i="1797"/>
  <c r="R27" i="1797"/>
  <c r="D27" i="1797"/>
  <c r="R26" i="1797"/>
  <c r="L26" i="1797"/>
  <c r="D26" i="1797"/>
  <c r="R25" i="1797"/>
  <c r="L25" i="1797"/>
  <c r="D25" i="1797" s="1"/>
  <c r="R24" i="1797"/>
  <c r="D24" i="1797"/>
  <c r="R23" i="1797"/>
  <c r="L23" i="1797"/>
  <c r="D23" i="1797"/>
  <c r="R22" i="1797"/>
  <c r="L22" i="1797"/>
  <c r="D22" i="1797"/>
  <c r="R21" i="1797"/>
  <c r="D21" i="1797"/>
  <c r="R20" i="1797"/>
  <c r="L20" i="1797"/>
  <c r="D20" i="1797"/>
  <c r="R19" i="1797"/>
  <c r="R18" i="1797"/>
  <c r="D18" i="1797"/>
  <c r="R17" i="1797"/>
  <c r="D17" i="1797"/>
  <c r="R16" i="1797"/>
  <c r="L16" i="1797"/>
  <c r="D16" i="1797"/>
  <c r="R15" i="1797"/>
  <c r="D15" i="1797"/>
  <c r="R14" i="1797"/>
  <c r="D14" i="1797"/>
  <c r="R13" i="1797"/>
  <c r="D13" i="1797"/>
  <c r="R12" i="1797"/>
  <c r="R11" i="1797"/>
  <c r="L11" i="1797"/>
  <c r="D11" i="1797" s="1"/>
  <c r="L10" i="1797"/>
  <c r="D10" i="1797"/>
  <c r="L9" i="1797"/>
  <c r="D9" i="1797" s="1"/>
  <c r="L8" i="1797"/>
  <c r="D8" i="1797"/>
  <c r="R6" i="1797"/>
  <c r="R5" i="1797"/>
  <c r="R4" i="1797"/>
  <c r="R52" i="1796"/>
  <c r="R51" i="1796"/>
  <c r="D50" i="1796"/>
  <c r="R49" i="1796"/>
  <c r="D49" i="1796"/>
  <c r="R48" i="1796"/>
  <c r="D48" i="1796"/>
  <c r="D46" i="1796"/>
  <c r="D45" i="1796"/>
  <c r="R44" i="1796"/>
  <c r="L28" i="1796" s="1"/>
  <c r="D28" i="1796" s="1"/>
  <c r="D44" i="1796"/>
  <c r="R42" i="1796"/>
  <c r="D42" i="1796"/>
  <c r="R41" i="1796"/>
  <c r="D41" i="1796"/>
  <c r="R40" i="1796"/>
  <c r="D40" i="1796"/>
  <c r="R39" i="1796"/>
  <c r="L20" i="1796" s="1"/>
  <c r="D20" i="1796" s="1"/>
  <c r="H39" i="1796"/>
  <c r="D39" i="1796"/>
  <c r="R38" i="1796"/>
  <c r="H38" i="1796"/>
  <c r="D38" i="1796"/>
  <c r="R37" i="1796"/>
  <c r="H37" i="1796"/>
  <c r="D37" i="1796"/>
  <c r="R36" i="1796"/>
  <c r="L10" i="1796" s="1"/>
  <c r="D10" i="1796" s="1"/>
  <c r="H36" i="1796"/>
  <c r="D36" i="1796"/>
  <c r="R35" i="1796"/>
  <c r="H35" i="1796"/>
  <c r="D35" i="1796"/>
  <c r="R34" i="1796"/>
  <c r="L12" i="1796" s="1"/>
  <c r="D12" i="1796" s="1"/>
  <c r="H34" i="1796"/>
  <c r="G49" i="1796" s="1"/>
  <c r="D34" i="1796"/>
  <c r="D54" i="1796" s="1"/>
  <c r="H14" i="1796" s="1"/>
  <c r="R33" i="1796"/>
  <c r="R32" i="1796"/>
  <c r="R31" i="1796"/>
  <c r="R30" i="1796"/>
  <c r="R29" i="1796"/>
  <c r="R28" i="1796"/>
  <c r="R27" i="1796"/>
  <c r="D27" i="1796"/>
  <c r="R26" i="1796"/>
  <c r="L26" i="1796"/>
  <c r="D26" i="1796"/>
  <c r="R25" i="1796"/>
  <c r="L25" i="1796"/>
  <c r="D25" i="1796" s="1"/>
  <c r="R24" i="1796"/>
  <c r="L24" i="1796"/>
  <c r="D24" i="1796"/>
  <c r="R23" i="1796"/>
  <c r="L23" i="1796"/>
  <c r="D23" i="1796" s="1"/>
  <c r="R22" i="1796"/>
  <c r="L22" i="1796"/>
  <c r="D22" i="1796" s="1"/>
  <c r="R21" i="1796"/>
  <c r="D21" i="1796"/>
  <c r="R20" i="1796"/>
  <c r="R19" i="1796"/>
  <c r="L19" i="1796"/>
  <c r="D19" i="1796"/>
  <c r="R18" i="1796"/>
  <c r="D18" i="1796"/>
  <c r="R17" i="1796"/>
  <c r="L17" i="1796"/>
  <c r="D17" i="1796" s="1"/>
  <c r="R16" i="1796"/>
  <c r="L16" i="1796"/>
  <c r="D16" i="1796" s="1"/>
  <c r="R15" i="1796"/>
  <c r="D15" i="1796"/>
  <c r="R14" i="1796"/>
  <c r="D14" i="1796"/>
  <c r="R13" i="1796"/>
  <c r="D13" i="1796"/>
  <c r="R12" i="1796"/>
  <c r="R11" i="1796"/>
  <c r="L11" i="1796"/>
  <c r="D11" i="1796"/>
  <c r="L9" i="1796"/>
  <c r="D9" i="1796"/>
  <c r="L8" i="1796"/>
  <c r="D8" i="1796" s="1"/>
  <c r="L7" i="1796"/>
  <c r="D7" i="1796" s="1"/>
  <c r="R6" i="1796"/>
  <c r="L6" i="1796"/>
  <c r="D6" i="1796"/>
  <c r="R5" i="1796"/>
  <c r="R4" i="1796"/>
  <c r="R52" i="1795"/>
  <c r="R51" i="1795"/>
  <c r="D50" i="1795"/>
  <c r="R49" i="1795"/>
  <c r="D49" i="1795"/>
  <c r="R48" i="1795"/>
  <c r="D48" i="1795"/>
  <c r="D46" i="1795"/>
  <c r="D45" i="1795"/>
  <c r="R44" i="1795"/>
  <c r="L28" i="1795" s="1"/>
  <c r="D28" i="1795" s="1"/>
  <c r="D44" i="1795"/>
  <c r="R42" i="1795"/>
  <c r="L6" i="1795" s="1"/>
  <c r="D6" i="1795" s="1"/>
  <c r="D42" i="1795"/>
  <c r="R41" i="1795"/>
  <c r="D41" i="1795"/>
  <c r="R40" i="1795"/>
  <c r="L8" i="1795" s="1"/>
  <c r="D8" i="1795" s="1"/>
  <c r="D40" i="1795"/>
  <c r="R39" i="1795"/>
  <c r="L20" i="1795" s="1"/>
  <c r="D20" i="1795" s="1"/>
  <c r="H39" i="1795"/>
  <c r="D39" i="1795"/>
  <c r="R38" i="1795"/>
  <c r="H38" i="1795"/>
  <c r="D38" i="1795"/>
  <c r="R37" i="1795"/>
  <c r="H37" i="1795"/>
  <c r="D37" i="1795"/>
  <c r="R36" i="1795"/>
  <c r="H36" i="1795"/>
  <c r="D36" i="1795"/>
  <c r="R35" i="1795"/>
  <c r="H35" i="1795"/>
  <c r="D35" i="1795"/>
  <c r="R34" i="1795"/>
  <c r="H34" i="1795"/>
  <c r="G49" i="1795" s="1"/>
  <c r="D34" i="1795"/>
  <c r="D54" i="1795" s="1"/>
  <c r="H14" i="1795" s="1"/>
  <c r="R33" i="1795"/>
  <c r="R32" i="1795"/>
  <c r="R31" i="1795"/>
  <c r="R30" i="1795"/>
  <c r="R29" i="1795"/>
  <c r="R28" i="1795"/>
  <c r="R27" i="1795"/>
  <c r="D27" i="1795"/>
  <c r="R26" i="1795"/>
  <c r="L26" i="1795"/>
  <c r="D26" i="1795"/>
  <c r="R25" i="1795"/>
  <c r="L25" i="1795"/>
  <c r="D25" i="1795"/>
  <c r="R24" i="1795"/>
  <c r="L24" i="1795"/>
  <c r="D24" i="1795"/>
  <c r="R23" i="1795"/>
  <c r="D23" i="1795"/>
  <c r="R22" i="1795"/>
  <c r="D22" i="1795"/>
  <c r="R21" i="1795"/>
  <c r="D21" i="1795"/>
  <c r="R20" i="1795"/>
  <c r="R19" i="1795"/>
  <c r="D19" i="1795"/>
  <c r="R18" i="1795"/>
  <c r="D18" i="1795"/>
  <c r="R17" i="1795"/>
  <c r="L17" i="1795"/>
  <c r="D17" i="1795"/>
  <c r="R16" i="1795"/>
  <c r="L16" i="1795"/>
  <c r="D16" i="1795"/>
  <c r="R15" i="1795"/>
  <c r="D15" i="1795"/>
  <c r="R14" i="1795"/>
  <c r="D14" i="1795"/>
  <c r="R13" i="1795"/>
  <c r="D13" i="1795"/>
  <c r="R12" i="1795"/>
  <c r="L12" i="1795"/>
  <c r="D12" i="1795"/>
  <c r="R11" i="1795"/>
  <c r="L11" i="1795"/>
  <c r="D11" i="1795"/>
  <c r="L10" i="1795"/>
  <c r="D10" i="1795" s="1"/>
  <c r="L9" i="1795"/>
  <c r="D9" i="1795" s="1"/>
  <c r="L7" i="1795"/>
  <c r="D7" i="1795"/>
  <c r="R6" i="1795"/>
  <c r="R5" i="1795"/>
  <c r="R4" i="1795"/>
  <c r="R52" i="1794"/>
  <c r="R51" i="1794"/>
  <c r="D50" i="1794"/>
  <c r="R49" i="1794"/>
  <c r="G49" i="1794"/>
  <c r="D49" i="1794"/>
  <c r="R48" i="1794"/>
  <c r="D48" i="1794"/>
  <c r="D46" i="1794"/>
  <c r="D45" i="1794"/>
  <c r="D44" i="1794"/>
  <c r="R42" i="1794"/>
  <c r="L6" i="1794" s="1"/>
  <c r="D6" i="1794" s="1"/>
  <c r="D42" i="1794"/>
  <c r="R41" i="1794"/>
  <c r="L7" i="1794" s="1"/>
  <c r="D7" i="1794" s="1"/>
  <c r="D41" i="1794"/>
  <c r="R40" i="1794"/>
  <c r="D40" i="1794"/>
  <c r="R39" i="1794"/>
  <c r="D39" i="1794"/>
  <c r="R38" i="1794"/>
  <c r="L9" i="1794" s="1"/>
  <c r="D9" i="1794" s="1"/>
  <c r="D38" i="1794"/>
  <c r="R37" i="1794"/>
  <c r="D37" i="1794"/>
  <c r="R36" i="1794"/>
  <c r="L10" i="1794" s="1"/>
  <c r="D10" i="1794" s="1"/>
  <c r="D36" i="1794"/>
  <c r="R35" i="1794"/>
  <c r="D35" i="1794"/>
  <c r="R34" i="1794"/>
  <c r="L12" i="1794" s="1"/>
  <c r="D12" i="1794" s="1"/>
  <c r="D34" i="1794"/>
  <c r="D54" i="1794" s="1"/>
  <c r="H14" i="1794" s="1"/>
  <c r="R33" i="1794"/>
  <c r="L23" i="1794" s="1"/>
  <c r="D23" i="1794" s="1"/>
  <c r="R32" i="1794"/>
  <c r="R31" i="1794"/>
  <c r="R30" i="1794"/>
  <c r="R29" i="1794"/>
  <c r="R28" i="1794"/>
  <c r="L16" i="1794" s="1"/>
  <c r="D16" i="1794" s="1"/>
  <c r="D28" i="1794"/>
  <c r="R27" i="1794"/>
  <c r="D27" i="1794"/>
  <c r="R26" i="1794"/>
  <c r="L26" i="1794"/>
  <c r="D26" i="1794"/>
  <c r="R25" i="1794"/>
  <c r="L25" i="1794"/>
  <c r="D25" i="1794"/>
  <c r="R24" i="1794"/>
  <c r="D24" i="1794"/>
  <c r="R23" i="1794"/>
  <c r="R22" i="1794"/>
  <c r="L22" i="1794"/>
  <c r="D22" i="1794" s="1"/>
  <c r="R21" i="1794"/>
  <c r="D21" i="1794"/>
  <c r="R20" i="1794"/>
  <c r="L20" i="1794"/>
  <c r="D20" i="1794"/>
  <c r="R19" i="1794"/>
  <c r="L19" i="1794"/>
  <c r="D19" i="1794"/>
  <c r="R18" i="1794"/>
  <c r="D18" i="1794"/>
  <c r="R17" i="1794"/>
  <c r="D17" i="1794"/>
  <c r="R16" i="1794"/>
  <c r="S15" i="1794"/>
  <c r="R15" i="1794"/>
  <c r="D15" i="1794"/>
  <c r="S14" i="1794"/>
  <c r="R14" i="1794"/>
  <c r="D14" i="1794"/>
  <c r="R13" i="1794"/>
  <c r="D13" i="1794"/>
  <c r="R12" i="1794"/>
  <c r="R11" i="1794"/>
  <c r="L11" i="1794"/>
  <c r="D11" i="1794" s="1"/>
  <c r="L8" i="1794"/>
  <c r="D8" i="1794"/>
  <c r="R6" i="1794"/>
  <c r="R5" i="1794"/>
  <c r="R4" i="1794"/>
  <c r="R52" i="1793"/>
  <c r="R51" i="1793"/>
  <c r="D50" i="1793"/>
  <c r="R49" i="1793"/>
  <c r="D49" i="1793"/>
  <c r="R48" i="1793"/>
  <c r="D48" i="1793"/>
  <c r="D46" i="1793"/>
  <c r="D45" i="1793"/>
  <c r="R44" i="1793"/>
  <c r="D44" i="1793"/>
  <c r="R42" i="1793"/>
  <c r="L6" i="1793" s="1"/>
  <c r="D6" i="1793" s="1"/>
  <c r="D42" i="1793"/>
  <c r="R41" i="1793"/>
  <c r="L7" i="1793" s="1"/>
  <c r="D7" i="1793" s="1"/>
  <c r="D41" i="1793"/>
  <c r="R40" i="1793"/>
  <c r="D40" i="1793"/>
  <c r="R39" i="1793"/>
  <c r="H39" i="1793"/>
  <c r="D39" i="1793"/>
  <c r="R38" i="1793"/>
  <c r="H38" i="1793"/>
  <c r="D38" i="1793"/>
  <c r="R37" i="1793"/>
  <c r="H37" i="1793"/>
  <c r="D37" i="1793"/>
  <c r="R36" i="1793"/>
  <c r="H36" i="1793"/>
  <c r="D36" i="1793"/>
  <c r="R35" i="1793"/>
  <c r="L19" i="1793" s="1"/>
  <c r="D19" i="1793" s="1"/>
  <c r="H35" i="1793"/>
  <c r="D35" i="1793"/>
  <c r="R34" i="1793"/>
  <c r="H34" i="1793"/>
  <c r="D34" i="1793"/>
  <c r="R33" i="1793"/>
  <c r="R32" i="1793"/>
  <c r="R31" i="1793"/>
  <c r="R30" i="1793"/>
  <c r="R29" i="1793"/>
  <c r="R28" i="1793"/>
  <c r="L16" i="1793" s="1"/>
  <c r="D16" i="1793" s="1"/>
  <c r="L28" i="1793"/>
  <c r="D28" i="1793"/>
  <c r="R27" i="1793"/>
  <c r="D27" i="1793"/>
  <c r="R26" i="1793"/>
  <c r="L26" i="1793"/>
  <c r="D26" i="1793" s="1"/>
  <c r="R25" i="1793"/>
  <c r="L25" i="1793"/>
  <c r="D25" i="1793" s="1"/>
  <c r="R24" i="1793"/>
  <c r="D24" i="1793"/>
  <c r="R23" i="1793"/>
  <c r="L23" i="1793"/>
  <c r="D23" i="1793"/>
  <c r="R22" i="1793"/>
  <c r="L22" i="1793"/>
  <c r="D22" i="1793"/>
  <c r="R21" i="1793"/>
  <c r="D21" i="1793"/>
  <c r="R20" i="1793"/>
  <c r="L20" i="1793"/>
  <c r="D20" i="1793" s="1"/>
  <c r="R19" i="1793"/>
  <c r="R18" i="1793"/>
  <c r="D18" i="1793"/>
  <c r="R17" i="1793"/>
  <c r="D17" i="1793"/>
  <c r="R16" i="1793"/>
  <c r="R15" i="1793"/>
  <c r="D15" i="1793"/>
  <c r="R14" i="1793"/>
  <c r="D14" i="1793"/>
  <c r="R13" i="1793"/>
  <c r="D13" i="1793"/>
  <c r="R12" i="1793"/>
  <c r="L12" i="1793"/>
  <c r="D12" i="1793" s="1"/>
  <c r="R11" i="1793"/>
  <c r="L11" i="1793"/>
  <c r="D11" i="1793"/>
  <c r="L10" i="1793"/>
  <c r="D10" i="1793"/>
  <c r="L9" i="1793"/>
  <c r="D9" i="1793" s="1"/>
  <c r="L8" i="1793"/>
  <c r="D8" i="1793"/>
  <c r="R6" i="1793"/>
  <c r="R5" i="1793"/>
  <c r="R4" i="1793"/>
  <c r="R52" i="1792"/>
  <c r="R51" i="1792"/>
  <c r="D50" i="1792"/>
  <c r="R49" i="1792"/>
  <c r="D49" i="1792"/>
  <c r="R48" i="1792"/>
  <c r="D48" i="1792"/>
  <c r="D46" i="1792"/>
  <c r="D45" i="1792"/>
  <c r="R44" i="1792"/>
  <c r="D44" i="1792"/>
  <c r="R42" i="1792"/>
  <c r="L6" i="1792" s="1"/>
  <c r="D6" i="1792" s="1"/>
  <c r="D42" i="1792"/>
  <c r="R41" i="1792"/>
  <c r="D41" i="1792"/>
  <c r="R40" i="1792"/>
  <c r="L8" i="1792" s="1"/>
  <c r="D8" i="1792" s="1"/>
  <c r="D40" i="1792"/>
  <c r="R39" i="1792"/>
  <c r="H39" i="1792"/>
  <c r="D39" i="1792"/>
  <c r="R38" i="1792"/>
  <c r="H38" i="1792"/>
  <c r="D38" i="1792"/>
  <c r="R37" i="1792"/>
  <c r="H37" i="1792"/>
  <c r="D37" i="1792"/>
  <c r="R36" i="1792"/>
  <c r="L10" i="1792" s="1"/>
  <c r="D10" i="1792" s="1"/>
  <c r="H36" i="1792"/>
  <c r="D36" i="1792"/>
  <c r="R35" i="1792"/>
  <c r="H35" i="1792"/>
  <c r="D35" i="1792"/>
  <c r="R34" i="1792"/>
  <c r="H34" i="1792"/>
  <c r="D34" i="1792"/>
  <c r="R33" i="1792"/>
  <c r="R32" i="1792"/>
  <c r="R31" i="1792"/>
  <c r="R30" i="1792"/>
  <c r="R29" i="1792"/>
  <c r="R28" i="1792"/>
  <c r="L28" i="1792"/>
  <c r="D28" i="1792"/>
  <c r="R27" i="1792"/>
  <c r="D27" i="1792"/>
  <c r="R26" i="1792"/>
  <c r="L26" i="1792"/>
  <c r="D26" i="1792"/>
  <c r="R25" i="1792"/>
  <c r="L25" i="1792"/>
  <c r="D25" i="1792"/>
  <c r="R24" i="1792"/>
  <c r="L24" i="1792"/>
  <c r="D24" i="1792"/>
  <c r="R23" i="1792"/>
  <c r="L23" i="1792"/>
  <c r="D23" i="1792"/>
  <c r="R22" i="1792"/>
  <c r="L22" i="1792"/>
  <c r="D22" i="1792" s="1"/>
  <c r="R21" i="1792"/>
  <c r="D21" i="1792"/>
  <c r="R20" i="1792"/>
  <c r="L20" i="1792"/>
  <c r="D20" i="1792"/>
  <c r="R19" i="1792"/>
  <c r="L19" i="1792"/>
  <c r="D19" i="1792"/>
  <c r="R18" i="1792"/>
  <c r="D18" i="1792"/>
  <c r="R17" i="1792"/>
  <c r="L17" i="1792"/>
  <c r="D17" i="1792"/>
  <c r="R16" i="1792"/>
  <c r="L16" i="1792"/>
  <c r="D16" i="1792" s="1"/>
  <c r="R15" i="1792"/>
  <c r="D15" i="1792"/>
  <c r="R14" i="1792"/>
  <c r="D14" i="1792"/>
  <c r="R13" i="1792"/>
  <c r="D13" i="1792"/>
  <c r="R12" i="1792"/>
  <c r="L12" i="1792"/>
  <c r="D12" i="1792"/>
  <c r="R11" i="1792"/>
  <c r="L11" i="1792"/>
  <c r="D11" i="1792"/>
  <c r="L9" i="1792"/>
  <c r="D9" i="1792" s="1"/>
  <c r="L7" i="1792"/>
  <c r="D7" i="1792"/>
  <c r="R6" i="1792"/>
  <c r="R5" i="1792"/>
  <c r="R4" i="1792"/>
  <c r="R52" i="1791"/>
  <c r="R51" i="1791"/>
  <c r="D50" i="1791"/>
  <c r="R49" i="1791"/>
  <c r="D49" i="1791"/>
  <c r="R48" i="1791"/>
  <c r="D48" i="1791"/>
  <c r="D46" i="1791"/>
  <c r="D45" i="1791"/>
  <c r="R44" i="1791"/>
  <c r="D44" i="1791"/>
  <c r="R42" i="1791"/>
  <c r="L6" i="1791" s="1"/>
  <c r="D6" i="1791" s="1"/>
  <c r="D42" i="1791"/>
  <c r="R41" i="1791"/>
  <c r="L7" i="1791" s="1"/>
  <c r="D7" i="1791" s="1"/>
  <c r="D41" i="1791"/>
  <c r="R40" i="1791"/>
  <c r="L8" i="1791" s="1"/>
  <c r="D8" i="1791" s="1"/>
  <c r="D40" i="1791"/>
  <c r="R39" i="1791"/>
  <c r="H39" i="1791"/>
  <c r="D39" i="1791"/>
  <c r="R38" i="1791"/>
  <c r="H38" i="1791"/>
  <c r="D38" i="1791"/>
  <c r="R37" i="1791"/>
  <c r="H37" i="1791"/>
  <c r="D37" i="1791"/>
  <c r="R36" i="1791"/>
  <c r="H36" i="1791"/>
  <c r="D36" i="1791"/>
  <c r="R35" i="1791"/>
  <c r="H35" i="1791"/>
  <c r="D35" i="1791"/>
  <c r="R34" i="1791"/>
  <c r="H34" i="1791"/>
  <c r="D34" i="1791"/>
  <c r="R33" i="1791"/>
  <c r="R32" i="1791"/>
  <c r="R31" i="1791"/>
  <c r="R30" i="1791"/>
  <c r="R29" i="1791"/>
  <c r="R28" i="1791"/>
  <c r="L16" i="1791" s="1"/>
  <c r="D16" i="1791" s="1"/>
  <c r="L28" i="1791"/>
  <c r="D28" i="1791"/>
  <c r="R27" i="1791"/>
  <c r="D27" i="1791"/>
  <c r="R26" i="1791"/>
  <c r="L26" i="1791"/>
  <c r="D26" i="1791"/>
  <c r="R25" i="1791"/>
  <c r="L25" i="1791"/>
  <c r="D25" i="1791" s="1"/>
  <c r="R24" i="1791"/>
  <c r="D24" i="1791"/>
  <c r="R23" i="1791"/>
  <c r="D23" i="1791"/>
  <c r="R22" i="1791"/>
  <c r="D22" i="1791"/>
  <c r="R21" i="1791"/>
  <c r="D21" i="1791"/>
  <c r="R20" i="1791"/>
  <c r="L20" i="1791"/>
  <c r="D20" i="1791" s="1"/>
  <c r="R19" i="1791"/>
  <c r="D19" i="1791"/>
  <c r="R18" i="1791"/>
  <c r="D18" i="1791"/>
  <c r="R17" i="1791"/>
  <c r="L17" i="1791"/>
  <c r="D17" i="1791"/>
  <c r="R16" i="1791"/>
  <c r="R15" i="1791"/>
  <c r="D15" i="1791"/>
  <c r="R14" i="1791"/>
  <c r="D14" i="1791"/>
  <c r="R13" i="1791"/>
  <c r="D13" i="1791"/>
  <c r="R12" i="1791"/>
  <c r="L12" i="1791"/>
  <c r="D12" i="1791"/>
  <c r="R11" i="1791"/>
  <c r="L11" i="1791"/>
  <c r="D11" i="1791"/>
  <c r="L10" i="1791"/>
  <c r="D10" i="1791"/>
  <c r="L9" i="1791"/>
  <c r="D9" i="1791"/>
  <c r="R6" i="1791"/>
  <c r="R5" i="1791"/>
  <c r="R4" i="1791"/>
  <c r="R52" i="1790"/>
  <c r="R51" i="1790"/>
  <c r="D50" i="1790"/>
  <c r="R49" i="1790"/>
  <c r="G49" i="1790"/>
  <c r="D49" i="1790"/>
  <c r="R48" i="1790"/>
  <c r="D48" i="1790"/>
  <c r="D46" i="1790"/>
  <c r="D45" i="1790"/>
  <c r="D44" i="1790"/>
  <c r="D54" i="1790" s="1"/>
  <c r="H14" i="1790" s="1"/>
  <c r="R42" i="1790"/>
  <c r="L6" i="1790" s="1"/>
  <c r="D6" i="1790" s="1"/>
  <c r="D42" i="1790"/>
  <c r="R41" i="1790"/>
  <c r="L7" i="1790" s="1"/>
  <c r="D7" i="1790" s="1"/>
  <c r="D41" i="1790"/>
  <c r="R40" i="1790"/>
  <c r="D40" i="1790"/>
  <c r="R39" i="1790"/>
  <c r="D39" i="1790"/>
  <c r="R38" i="1790"/>
  <c r="L9" i="1790" s="1"/>
  <c r="D9" i="1790" s="1"/>
  <c r="D38" i="1790"/>
  <c r="R37" i="1790"/>
  <c r="D37" i="1790"/>
  <c r="R36" i="1790"/>
  <c r="D36" i="1790"/>
  <c r="R35" i="1790"/>
  <c r="D35" i="1790"/>
  <c r="R34" i="1790"/>
  <c r="L12" i="1790" s="1"/>
  <c r="D12" i="1790" s="1"/>
  <c r="D34" i="1790"/>
  <c r="R33" i="1790"/>
  <c r="L23" i="1790" s="1"/>
  <c r="D23" i="1790" s="1"/>
  <c r="R32" i="1790"/>
  <c r="L11" i="1790" s="1"/>
  <c r="D11" i="1790" s="1"/>
  <c r="R31" i="1790"/>
  <c r="R30" i="1790"/>
  <c r="R29" i="1790"/>
  <c r="R28" i="1790"/>
  <c r="L16" i="1790" s="1"/>
  <c r="D16" i="1790" s="1"/>
  <c r="D28" i="1790"/>
  <c r="R27" i="1790"/>
  <c r="D27" i="1790"/>
  <c r="R26" i="1790"/>
  <c r="L26" i="1790"/>
  <c r="D26" i="1790"/>
  <c r="R25" i="1790"/>
  <c r="L25" i="1790"/>
  <c r="D25" i="1790"/>
  <c r="R24" i="1790"/>
  <c r="D24" i="1790"/>
  <c r="R23" i="1790"/>
  <c r="R22" i="1790"/>
  <c r="L22" i="1790"/>
  <c r="D22" i="1790" s="1"/>
  <c r="R21" i="1790"/>
  <c r="D21" i="1790"/>
  <c r="R20" i="1790"/>
  <c r="L20" i="1790"/>
  <c r="D20" i="1790"/>
  <c r="R19" i="1790"/>
  <c r="L19" i="1790"/>
  <c r="D19" i="1790"/>
  <c r="R18" i="1790"/>
  <c r="D18" i="1790"/>
  <c r="R17" i="1790"/>
  <c r="D17" i="1790"/>
  <c r="R16" i="1790"/>
  <c r="S15" i="1790"/>
  <c r="R15" i="1790"/>
  <c r="D15" i="1790"/>
  <c r="S14" i="1790"/>
  <c r="R14" i="1790"/>
  <c r="D14" i="1790"/>
  <c r="R13" i="1790"/>
  <c r="D13" i="1790"/>
  <c r="R12" i="1790"/>
  <c r="R11" i="1790"/>
  <c r="L10" i="1790"/>
  <c r="D10" i="1790" s="1"/>
  <c r="L8" i="1790"/>
  <c r="D8" i="1790"/>
  <c r="R6" i="1790"/>
  <c r="R5" i="1790"/>
  <c r="R4" i="1790"/>
  <c r="G49" i="1793" l="1"/>
  <c r="G49" i="1792"/>
  <c r="G49" i="1791"/>
  <c r="D54" i="1793"/>
  <c r="H14" i="1793" s="1"/>
  <c r="D54" i="1792"/>
  <c r="H14" i="1792" s="1"/>
  <c r="D29" i="1792"/>
  <c r="H13" i="1792" s="1"/>
  <c r="D54" i="1791"/>
  <c r="H14" i="1791" s="1"/>
  <c r="D29" i="1802"/>
  <c r="H13" i="1802" s="1"/>
  <c r="H15" i="1802" s="1"/>
  <c r="H29" i="1802" s="1"/>
  <c r="G51" i="1802" s="1"/>
  <c r="G51" i="1801"/>
  <c r="D29" i="1800"/>
  <c r="H13" i="1800" s="1"/>
  <c r="H15" i="1800" s="1"/>
  <c r="H29" i="1800" s="1"/>
  <c r="G51" i="1800" s="1"/>
  <c r="D29" i="1799"/>
  <c r="H13" i="1799" s="1"/>
  <c r="H15" i="1799" s="1"/>
  <c r="H29" i="1799" s="1"/>
  <c r="G51" i="1799" s="1"/>
  <c r="D29" i="1798"/>
  <c r="H13" i="1798" s="1"/>
  <c r="H15" i="1798" s="1"/>
  <c r="H29" i="1798" s="1"/>
  <c r="G51" i="1798" s="1"/>
  <c r="D29" i="1797"/>
  <c r="H13" i="1797" s="1"/>
  <c r="H15" i="1797" s="1"/>
  <c r="H29" i="1797" s="1"/>
  <c r="G51" i="1797"/>
  <c r="D29" i="1796"/>
  <c r="H13" i="1796" s="1"/>
  <c r="H15" i="1796" s="1"/>
  <c r="H29" i="1796" s="1"/>
  <c r="G51" i="1796"/>
  <c r="D29" i="1795"/>
  <c r="H13" i="1795" s="1"/>
  <c r="H15" i="1795" s="1"/>
  <c r="H29" i="1795" s="1"/>
  <c r="G51" i="1795" s="1"/>
  <c r="D29" i="1794"/>
  <c r="H13" i="1794" s="1"/>
  <c r="H15" i="1794" s="1"/>
  <c r="H29" i="1794" s="1"/>
  <c r="G51" i="1794" s="1"/>
  <c r="D29" i="1793"/>
  <c r="H13" i="1793" s="1"/>
  <c r="D29" i="1791"/>
  <c r="H13" i="1791" s="1"/>
  <c r="D29" i="1790"/>
  <c r="H13" i="1790" s="1"/>
  <c r="H15" i="1790" s="1"/>
  <c r="H29" i="1790" s="1"/>
  <c r="G51" i="1790" s="1"/>
  <c r="H16" i="1781"/>
  <c r="H16" i="1780"/>
  <c r="C23" i="1781"/>
  <c r="H16" i="1779"/>
  <c r="R52" i="1789"/>
  <c r="L22" i="1789" s="1"/>
  <c r="D22" i="1789" s="1"/>
  <c r="R51" i="1789"/>
  <c r="D50" i="1789"/>
  <c r="R49" i="1789"/>
  <c r="D49" i="1789"/>
  <c r="R48" i="1789"/>
  <c r="D48" i="1789"/>
  <c r="D46" i="1789"/>
  <c r="D45" i="1789"/>
  <c r="R44" i="1789"/>
  <c r="L28" i="1789" s="1"/>
  <c r="D28" i="1789" s="1"/>
  <c r="D44" i="1789"/>
  <c r="R42" i="1789"/>
  <c r="D42" i="1789"/>
  <c r="R41" i="1789"/>
  <c r="D41" i="1789"/>
  <c r="R40" i="1789"/>
  <c r="D40" i="1789"/>
  <c r="R39" i="1789"/>
  <c r="H39" i="1789"/>
  <c r="D39" i="1789"/>
  <c r="R38" i="1789"/>
  <c r="H38" i="1789"/>
  <c r="D38" i="1789"/>
  <c r="R37" i="1789"/>
  <c r="H37" i="1789"/>
  <c r="D37" i="1789"/>
  <c r="R36" i="1789"/>
  <c r="H36" i="1789"/>
  <c r="D36" i="1789"/>
  <c r="R35" i="1789"/>
  <c r="L19" i="1789" s="1"/>
  <c r="D19" i="1789" s="1"/>
  <c r="H35" i="1789"/>
  <c r="D35" i="1789"/>
  <c r="R34" i="1789"/>
  <c r="L12" i="1789" s="1"/>
  <c r="D12" i="1789" s="1"/>
  <c r="H34" i="1789"/>
  <c r="D34" i="1789"/>
  <c r="R33" i="1789"/>
  <c r="R32" i="1789"/>
  <c r="R31" i="1789"/>
  <c r="R30" i="1789"/>
  <c r="R29" i="1789"/>
  <c r="R28" i="1789"/>
  <c r="R27" i="1789"/>
  <c r="D27" i="1789"/>
  <c r="R26" i="1789"/>
  <c r="L26" i="1789"/>
  <c r="D26" i="1789"/>
  <c r="R25" i="1789"/>
  <c r="L25" i="1789"/>
  <c r="D25" i="1789"/>
  <c r="R24" i="1789"/>
  <c r="D24" i="1789"/>
  <c r="R23" i="1789"/>
  <c r="L23" i="1789"/>
  <c r="D23" i="1789"/>
  <c r="R22" i="1789"/>
  <c r="R21" i="1789"/>
  <c r="D21" i="1789"/>
  <c r="R20" i="1789"/>
  <c r="L20" i="1789"/>
  <c r="D20" i="1789"/>
  <c r="R19" i="1789"/>
  <c r="R18" i="1789"/>
  <c r="D18" i="1789"/>
  <c r="R17" i="1789"/>
  <c r="D17" i="1789"/>
  <c r="R16" i="1789"/>
  <c r="L16" i="1789"/>
  <c r="D16" i="1789"/>
  <c r="R15" i="1789"/>
  <c r="D15" i="1789"/>
  <c r="R14" i="1789"/>
  <c r="D14" i="1789"/>
  <c r="R13" i="1789"/>
  <c r="D13" i="1789"/>
  <c r="R12" i="1789"/>
  <c r="R11" i="1789"/>
  <c r="L11" i="1789"/>
  <c r="D11" i="1789" s="1"/>
  <c r="L10" i="1789"/>
  <c r="D10" i="1789"/>
  <c r="L9" i="1789"/>
  <c r="D9" i="1789"/>
  <c r="L8" i="1789"/>
  <c r="D8" i="1789"/>
  <c r="L7" i="1789"/>
  <c r="D7" i="1789"/>
  <c r="R6" i="1789"/>
  <c r="L6" i="1789"/>
  <c r="D6" i="1789"/>
  <c r="R5" i="1789"/>
  <c r="R4" i="1789"/>
  <c r="R52" i="1788"/>
  <c r="R51" i="1788"/>
  <c r="D50" i="1788"/>
  <c r="R49" i="1788"/>
  <c r="D49" i="1788"/>
  <c r="R48" i="1788"/>
  <c r="D48" i="1788"/>
  <c r="D46" i="1788"/>
  <c r="D45" i="1788"/>
  <c r="R44" i="1788"/>
  <c r="L28" i="1788" s="1"/>
  <c r="D28" i="1788" s="1"/>
  <c r="D44" i="1788"/>
  <c r="R42" i="1788"/>
  <c r="L6" i="1788" s="1"/>
  <c r="D6" i="1788" s="1"/>
  <c r="D42" i="1788"/>
  <c r="R41" i="1788"/>
  <c r="L7" i="1788" s="1"/>
  <c r="D7" i="1788" s="1"/>
  <c r="D41" i="1788"/>
  <c r="R40" i="1788"/>
  <c r="D40" i="1788"/>
  <c r="R39" i="1788"/>
  <c r="H39" i="1788"/>
  <c r="D39" i="1788"/>
  <c r="R38" i="1788"/>
  <c r="L9" i="1788" s="1"/>
  <c r="D9" i="1788" s="1"/>
  <c r="H38" i="1788"/>
  <c r="D38" i="1788"/>
  <c r="R37" i="1788"/>
  <c r="H37" i="1788"/>
  <c r="D37" i="1788"/>
  <c r="R36" i="1788"/>
  <c r="H36" i="1788"/>
  <c r="D36" i="1788"/>
  <c r="R35" i="1788"/>
  <c r="L19" i="1788" s="1"/>
  <c r="D19" i="1788" s="1"/>
  <c r="H35" i="1788"/>
  <c r="G49" i="1788" s="1"/>
  <c r="D35" i="1788"/>
  <c r="R34" i="1788"/>
  <c r="L12" i="1788" s="1"/>
  <c r="D12" i="1788" s="1"/>
  <c r="H34" i="1788"/>
  <c r="D34" i="1788"/>
  <c r="R33" i="1788"/>
  <c r="R32" i="1788"/>
  <c r="R31" i="1788"/>
  <c r="R30" i="1788"/>
  <c r="R29" i="1788"/>
  <c r="R28" i="1788"/>
  <c r="L16" i="1788" s="1"/>
  <c r="D16" i="1788" s="1"/>
  <c r="R27" i="1788"/>
  <c r="D27" i="1788"/>
  <c r="R26" i="1788"/>
  <c r="L26" i="1788"/>
  <c r="D26" i="1788" s="1"/>
  <c r="R25" i="1788"/>
  <c r="L25" i="1788"/>
  <c r="D25" i="1788" s="1"/>
  <c r="R24" i="1788"/>
  <c r="L24" i="1788"/>
  <c r="D24" i="1788"/>
  <c r="R23" i="1788"/>
  <c r="L23" i="1788"/>
  <c r="D23" i="1788"/>
  <c r="R22" i="1788"/>
  <c r="L22" i="1788"/>
  <c r="D22" i="1788"/>
  <c r="R21" i="1788"/>
  <c r="L17" i="1788" s="1"/>
  <c r="D17" i="1788" s="1"/>
  <c r="D21" i="1788"/>
  <c r="R20" i="1788"/>
  <c r="L20" i="1788"/>
  <c r="D20" i="1788"/>
  <c r="R19" i="1788"/>
  <c r="R18" i="1788"/>
  <c r="D18" i="1788"/>
  <c r="R17" i="1788"/>
  <c r="R16" i="1788"/>
  <c r="R15" i="1788"/>
  <c r="D15" i="1788"/>
  <c r="R14" i="1788"/>
  <c r="D14" i="1788"/>
  <c r="R13" i="1788"/>
  <c r="D13" i="1788"/>
  <c r="R12" i="1788"/>
  <c r="R11" i="1788"/>
  <c r="L11" i="1788"/>
  <c r="D11" i="1788"/>
  <c r="L10" i="1788"/>
  <c r="D10" i="1788"/>
  <c r="L8" i="1788"/>
  <c r="D8" i="1788"/>
  <c r="R6" i="1788"/>
  <c r="R5" i="1788"/>
  <c r="R4" i="1788"/>
  <c r="R52" i="1787"/>
  <c r="R51" i="1787"/>
  <c r="D50" i="1787"/>
  <c r="R49" i="1787"/>
  <c r="G49" i="1787"/>
  <c r="D49" i="1787"/>
  <c r="R48" i="1787"/>
  <c r="D48" i="1787"/>
  <c r="D46" i="1787"/>
  <c r="D45" i="1787"/>
  <c r="R44" i="1787"/>
  <c r="L28" i="1787" s="1"/>
  <c r="D28" i="1787" s="1"/>
  <c r="D44" i="1787"/>
  <c r="R42" i="1787"/>
  <c r="D42" i="1787"/>
  <c r="R41" i="1787"/>
  <c r="D41" i="1787"/>
  <c r="R40" i="1787"/>
  <c r="L8" i="1787" s="1"/>
  <c r="D8" i="1787" s="1"/>
  <c r="D40" i="1787"/>
  <c r="R39" i="1787"/>
  <c r="L20" i="1787" s="1"/>
  <c r="D20" i="1787" s="1"/>
  <c r="H39" i="1787"/>
  <c r="D39" i="1787"/>
  <c r="R38" i="1787"/>
  <c r="L9" i="1787" s="1"/>
  <c r="D9" i="1787" s="1"/>
  <c r="H38" i="1787"/>
  <c r="D38" i="1787"/>
  <c r="R37" i="1787"/>
  <c r="H37" i="1787"/>
  <c r="D37" i="1787"/>
  <c r="R36" i="1787"/>
  <c r="H36" i="1787"/>
  <c r="D36" i="1787"/>
  <c r="R35" i="1787"/>
  <c r="H35" i="1787"/>
  <c r="D35" i="1787"/>
  <c r="R34" i="1787"/>
  <c r="H34" i="1787"/>
  <c r="D34" i="1787"/>
  <c r="R33" i="1787"/>
  <c r="R32" i="1787"/>
  <c r="L11" i="1787" s="1"/>
  <c r="D11" i="1787" s="1"/>
  <c r="R31" i="1787"/>
  <c r="R30" i="1787"/>
  <c r="R29" i="1787"/>
  <c r="R28" i="1787"/>
  <c r="R27" i="1787"/>
  <c r="D27" i="1787"/>
  <c r="R26" i="1787"/>
  <c r="L26" i="1787"/>
  <c r="D26" i="1787"/>
  <c r="R25" i="1787"/>
  <c r="L25" i="1787"/>
  <c r="D25" i="1787"/>
  <c r="R24" i="1787"/>
  <c r="L24" i="1787"/>
  <c r="D24" i="1787"/>
  <c r="R23" i="1787"/>
  <c r="D23" i="1787"/>
  <c r="R22" i="1787"/>
  <c r="D22" i="1787"/>
  <c r="R21" i="1787"/>
  <c r="D21" i="1787"/>
  <c r="R20" i="1787"/>
  <c r="R19" i="1787"/>
  <c r="D19" i="1787"/>
  <c r="R18" i="1787"/>
  <c r="D18" i="1787"/>
  <c r="R17" i="1787"/>
  <c r="L17" i="1787"/>
  <c r="D17" i="1787"/>
  <c r="R16" i="1787"/>
  <c r="L16" i="1787"/>
  <c r="D16" i="1787" s="1"/>
  <c r="R15" i="1787"/>
  <c r="D15" i="1787"/>
  <c r="R14" i="1787"/>
  <c r="D14" i="1787"/>
  <c r="R13" i="1787"/>
  <c r="D13" i="1787"/>
  <c r="R12" i="1787"/>
  <c r="L12" i="1787"/>
  <c r="D12" i="1787"/>
  <c r="R11" i="1787"/>
  <c r="L10" i="1787"/>
  <c r="D10" i="1787" s="1"/>
  <c r="L7" i="1787"/>
  <c r="D7" i="1787"/>
  <c r="R6" i="1787"/>
  <c r="L6" i="1787"/>
  <c r="D6" i="1787"/>
  <c r="R5" i="1787"/>
  <c r="R4" i="1787"/>
  <c r="R52" i="1786"/>
  <c r="R51" i="1786"/>
  <c r="D50" i="1786"/>
  <c r="R49" i="1786"/>
  <c r="G49" i="1786"/>
  <c r="D49" i="1786"/>
  <c r="R48" i="1786"/>
  <c r="D48" i="1786"/>
  <c r="D46" i="1786"/>
  <c r="D45" i="1786"/>
  <c r="D44" i="1786"/>
  <c r="R42" i="1786"/>
  <c r="L6" i="1786" s="1"/>
  <c r="D6" i="1786" s="1"/>
  <c r="D42" i="1786"/>
  <c r="R41" i="1786"/>
  <c r="L7" i="1786" s="1"/>
  <c r="D7" i="1786" s="1"/>
  <c r="D41" i="1786"/>
  <c r="R40" i="1786"/>
  <c r="D40" i="1786"/>
  <c r="R39" i="1786"/>
  <c r="D39" i="1786"/>
  <c r="R38" i="1786"/>
  <c r="D38" i="1786"/>
  <c r="R37" i="1786"/>
  <c r="D37" i="1786"/>
  <c r="R36" i="1786"/>
  <c r="L10" i="1786" s="1"/>
  <c r="D10" i="1786" s="1"/>
  <c r="D36" i="1786"/>
  <c r="R35" i="1786"/>
  <c r="D35" i="1786"/>
  <c r="R34" i="1786"/>
  <c r="L12" i="1786" s="1"/>
  <c r="D12" i="1786" s="1"/>
  <c r="D34" i="1786"/>
  <c r="D54" i="1786" s="1"/>
  <c r="H14" i="1786" s="1"/>
  <c r="R33" i="1786"/>
  <c r="L23" i="1786" s="1"/>
  <c r="D23" i="1786" s="1"/>
  <c r="R32" i="1786"/>
  <c r="R31" i="1786"/>
  <c r="R30" i="1786"/>
  <c r="R29" i="1786"/>
  <c r="R28" i="1786"/>
  <c r="D28" i="1786"/>
  <c r="R27" i="1786"/>
  <c r="D27" i="1786"/>
  <c r="R26" i="1786"/>
  <c r="L26" i="1786"/>
  <c r="D26" i="1786" s="1"/>
  <c r="R25" i="1786"/>
  <c r="L25" i="1786"/>
  <c r="D25" i="1786"/>
  <c r="R24" i="1786"/>
  <c r="D24" i="1786"/>
  <c r="R23" i="1786"/>
  <c r="R22" i="1786"/>
  <c r="L22" i="1786"/>
  <c r="D22" i="1786"/>
  <c r="R21" i="1786"/>
  <c r="D21" i="1786"/>
  <c r="R20" i="1786"/>
  <c r="L20" i="1786"/>
  <c r="D20" i="1786" s="1"/>
  <c r="R19" i="1786"/>
  <c r="L19" i="1786"/>
  <c r="D19" i="1786"/>
  <c r="R18" i="1786"/>
  <c r="D18" i="1786"/>
  <c r="R17" i="1786"/>
  <c r="D17" i="1786"/>
  <c r="R16" i="1786"/>
  <c r="L16" i="1786"/>
  <c r="D16" i="1786" s="1"/>
  <c r="S15" i="1786"/>
  <c r="R15" i="1786"/>
  <c r="D15" i="1786"/>
  <c r="S14" i="1786"/>
  <c r="R14" i="1786"/>
  <c r="D14" i="1786"/>
  <c r="R13" i="1786"/>
  <c r="D13" i="1786"/>
  <c r="R12" i="1786"/>
  <c r="R11" i="1786"/>
  <c r="L11" i="1786"/>
  <c r="D11" i="1786"/>
  <c r="L9" i="1786"/>
  <c r="D9" i="1786"/>
  <c r="L8" i="1786"/>
  <c r="D8" i="1786"/>
  <c r="R6" i="1786"/>
  <c r="R5" i="1786"/>
  <c r="R4" i="1786"/>
  <c r="R52" i="1785"/>
  <c r="L22" i="1785" s="1"/>
  <c r="D22" i="1785" s="1"/>
  <c r="R51" i="1785"/>
  <c r="D50" i="1785"/>
  <c r="R49" i="1785"/>
  <c r="D49" i="1785"/>
  <c r="R48" i="1785"/>
  <c r="D48" i="1785"/>
  <c r="D46" i="1785"/>
  <c r="D45" i="1785"/>
  <c r="R44" i="1785"/>
  <c r="D44" i="1785"/>
  <c r="R42" i="1785"/>
  <c r="L6" i="1785" s="1"/>
  <c r="D6" i="1785" s="1"/>
  <c r="D42" i="1785"/>
  <c r="R41" i="1785"/>
  <c r="L7" i="1785" s="1"/>
  <c r="D7" i="1785" s="1"/>
  <c r="D41" i="1785"/>
  <c r="R40" i="1785"/>
  <c r="D40" i="1785"/>
  <c r="R39" i="1785"/>
  <c r="H39" i="1785"/>
  <c r="D39" i="1785"/>
  <c r="R38" i="1785"/>
  <c r="H38" i="1785"/>
  <c r="D38" i="1785"/>
  <c r="R37" i="1785"/>
  <c r="H37" i="1785"/>
  <c r="D37" i="1785"/>
  <c r="R36" i="1785"/>
  <c r="H36" i="1785"/>
  <c r="D36" i="1785"/>
  <c r="R35" i="1785"/>
  <c r="L19" i="1785" s="1"/>
  <c r="D19" i="1785" s="1"/>
  <c r="H35" i="1785"/>
  <c r="D35" i="1785"/>
  <c r="R34" i="1785"/>
  <c r="H34" i="1785"/>
  <c r="D34" i="1785"/>
  <c r="R33" i="1785"/>
  <c r="R32" i="1785"/>
  <c r="R31" i="1785"/>
  <c r="R30" i="1785"/>
  <c r="R29" i="1785"/>
  <c r="R28" i="1785"/>
  <c r="L28" i="1785"/>
  <c r="D28" i="1785"/>
  <c r="R27" i="1785"/>
  <c r="D27" i="1785"/>
  <c r="R26" i="1785"/>
  <c r="L26" i="1785"/>
  <c r="D26" i="1785" s="1"/>
  <c r="R25" i="1785"/>
  <c r="L25" i="1785"/>
  <c r="D25" i="1785" s="1"/>
  <c r="R24" i="1785"/>
  <c r="D24" i="1785"/>
  <c r="R23" i="1785"/>
  <c r="L23" i="1785"/>
  <c r="D23" i="1785"/>
  <c r="R22" i="1785"/>
  <c r="R21" i="1785"/>
  <c r="D21" i="1785"/>
  <c r="R20" i="1785"/>
  <c r="L20" i="1785"/>
  <c r="D20" i="1785" s="1"/>
  <c r="R19" i="1785"/>
  <c r="R18" i="1785"/>
  <c r="D18" i="1785"/>
  <c r="R17" i="1785"/>
  <c r="D17" i="1785"/>
  <c r="R16" i="1785"/>
  <c r="L16" i="1785"/>
  <c r="D16" i="1785"/>
  <c r="R15" i="1785"/>
  <c r="D15" i="1785"/>
  <c r="R14" i="1785"/>
  <c r="D14" i="1785"/>
  <c r="R13" i="1785"/>
  <c r="D13" i="1785"/>
  <c r="R12" i="1785"/>
  <c r="L12" i="1785"/>
  <c r="D12" i="1785" s="1"/>
  <c r="R11" i="1785"/>
  <c r="L11" i="1785"/>
  <c r="D11" i="1785"/>
  <c r="L10" i="1785"/>
  <c r="D10" i="1785"/>
  <c r="L9" i="1785"/>
  <c r="D9" i="1785"/>
  <c r="L8" i="1785"/>
  <c r="D8" i="1785"/>
  <c r="R6" i="1785"/>
  <c r="R5" i="1785"/>
  <c r="R4" i="1785"/>
  <c r="R52" i="1784"/>
  <c r="R51" i="1784"/>
  <c r="D50" i="1784"/>
  <c r="R49" i="1784"/>
  <c r="D49" i="1784"/>
  <c r="R48" i="1784"/>
  <c r="D48" i="1784"/>
  <c r="D46" i="1784"/>
  <c r="D45" i="1784"/>
  <c r="R44" i="1784"/>
  <c r="L28" i="1784" s="1"/>
  <c r="D28" i="1784" s="1"/>
  <c r="D44" i="1784"/>
  <c r="R42" i="1784"/>
  <c r="L6" i="1784" s="1"/>
  <c r="D6" i="1784" s="1"/>
  <c r="D42" i="1784"/>
  <c r="R41" i="1784"/>
  <c r="D41" i="1784"/>
  <c r="R40" i="1784"/>
  <c r="D40" i="1784"/>
  <c r="R39" i="1784"/>
  <c r="H39" i="1784"/>
  <c r="D39" i="1784"/>
  <c r="R38" i="1784"/>
  <c r="L9" i="1784" s="1"/>
  <c r="D9" i="1784" s="1"/>
  <c r="H38" i="1784"/>
  <c r="D38" i="1784"/>
  <c r="R37" i="1784"/>
  <c r="H37" i="1784"/>
  <c r="D37" i="1784"/>
  <c r="R36" i="1784"/>
  <c r="L10" i="1784" s="1"/>
  <c r="D10" i="1784" s="1"/>
  <c r="H36" i="1784"/>
  <c r="D36" i="1784"/>
  <c r="R35" i="1784"/>
  <c r="H35" i="1784"/>
  <c r="G49" i="1784" s="1"/>
  <c r="D35" i="1784"/>
  <c r="R34" i="1784"/>
  <c r="H34" i="1784"/>
  <c r="D34" i="1784"/>
  <c r="R33" i="1784"/>
  <c r="R32" i="1784"/>
  <c r="R31" i="1784"/>
  <c r="R30" i="1784"/>
  <c r="R29" i="1784"/>
  <c r="R28" i="1784"/>
  <c r="R27" i="1784"/>
  <c r="D27" i="1784"/>
  <c r="R26" i="1784"/>
  <c r="D26" i="1784"/>
  <c r="R25" i="1784"/>
  <c r="L25" i="1784"/>
  <c r="D25" i="1784"/>
  <c r="R24" i="1784"/>
  <c r="L24" i="1784"/>
  <c r="D24" i="1784"/>
  <c r="R23" i="1784"/>
  <c r="L23" i="1784"/>
  <c r="D23" i="1784"/>
  <c r="R22" i="1784"/>
  <c r="L22" i="1784"/>
  <c r="D22" i="1784" s="1"/>
  <c r="R21" i="1784"/>
  <c r="D21" i="1784"/>
  <c r="R20" i="1784"/>
  <c r="L20" i="1784"/>
  <c r="D20" i="1784" s="1"/>
  <c r="R19" i="1784"/>
  <c r="L19" i="1784"/>
  <c r="D19" i="1784" s="1"/>
  <c r="R18" i="1784"/>
  <c r="D18" i="1784"/>
  <c r="R17" i="1784"/>
  <c r="L17" i="1784"/>
  <c r="D17" i="1784"/>
  <c r="R16" i="1784"/>
  <c r="L16" i="1784"/>
  <c r="D16" i="1784" s="1"/>
  <c r="R15" i="1784"/>
  <c r="D15" i="1784"/>
  <c r="R14" i="1784"/>
  <c r="D14" i="1784"/>
  <c r="R13" i="1784"/>
  <c r="D13" i="1784"/>
  <c r="R12" i="1784"/>
  <c r="L12" i="1784"/>
  <c r="D12" i="1784"/>
  <c r="R11" i="1784"/>
  <c r="L11" i="1784"/>
  <c r="D11" i="1784"/>
  <c r="L8" i="1784"/>
  <c r="D8" i="1784" s="1"/>
  <c r="L7" i="1784"/>
  <c r="D7" i="1784"/>
  <c r="R6" i="1784"/>
  <c r="R5" i="1784"/>
  <c r="R4" i="1784"/>
  <c r="R52" i="1783"/>
  <c r="R51" i="1783"/>
  <c r="D50" i="1783"/>
  <c r="R49" i="1783"/>
  <c r="D49" i="1783"/>
  <c r="R48" i="1783"/>
  <c r="D48" i="1783"/>
  <c r="D46" i="1783"/>
  <c r="D45" i="1783"/>
  <c r="R44" i="1783"/>
  <c r="D44" i="1783"/>
  <c r="R42" i="1783"/>
  <c r="D42" i="1783"/>
  <c r="R41" i="1783"/>
  <c r="D41" i="1783"/>
  <c r="R40" i="1783"/>
  <c r="L8" i="1783" s="1"/>
  <c r="D8" i="1783" s="1"/>
  <c r="D40" i="1783"/>
  <c r="R39" i="1783"/>
  <c r="L20" i="1783" s="1"/>
  <c r="D20" i="1783" s="1"/>
  <c r="H39" i="1783"/>
  <c r="D39" i="1783"/>
  <c r="R38" i="1783"/>
  <c r="H38" i="1783"/>
  <c r="D38" i="1783"/>
  <c r="R37" i="1783"/>
  <c r="H37" i="1783"/>
  <c r="D37" i="1783"/>
  <c r="R36" i="1783"/>
  <c r="L10" i="1783" s="1"/>
  <c r="D10" i="1783" s="1"/>
  <c r="H36" i="1783"/>
  <c r="D36" i="1783"/>
  <c r="R35" i="1783"/>
  <c r="H35" i="1783"/>
  <c r="D35" i="1783"/>
  <c r="R34" i="1783"/>
  <c r="H34" i="1783"/>
  <c r="D34" i="1783"/>
  <c r="R33" i="1783"/>
  <c r="R32" i="1783"/>
  <c r="R31" i="1783"/>
  <c r="R30" i="1783"/>
  <c r="R29" i="1783"/>
  <c r="R28" i="1783"/>
  <c r="L16" i="1783" s="1"/>
  <c r="D16" i="1783" s="1"/>
  <c r="L28" i="1783"/>
  <c r="D28" i="1783"/>
  <c r="R27" i="1783"/>
  <c r="D27" i="1783"/>
  <c r="R26" i="1783"/>
  <c r="L26" i="1783"/>
  <c r="D26" i="1783"/>
  <c r="R25" i="1783"/>
  <c r="L25" i="1783"/>
  <c r="D25" i="1783"/>
  <c r="R24" i="1783"/>
  <c r="L24" i="1783"/>
  <c r="D24" i="1783"/>
  <c r="R23" i="1783"/>
  <c r="D23" i="1783"/>
  <c r="R22" i="1783"/>
  <c r="D22" i="1783"/>
  <c r="R21" i="1783"/>
  <c r="D21" i="1783"/>
  <c r="R20" i="1783"/>
  <c r="R19" i="1783"/>
  <c r="D19" i="1783"/>
  <c r="R18" i="1783"/>
  <c r="D18" i="1783"/>
  <c r="R17" i="1783"/>
  <c r="L17" i="1783"/>
  <c r="D17" i="1783"/>
  <c r="R16" i="1783"/>
  <c r="R15" i="1783"/>
  <c r="D15" i="1783"/>
  <c r="R14" i="1783"/>
  <c r="D14" i="1783"/>
  <c r="R13" i="1783"/>
  <c r="D13" i="1783"/>
  <c r="R12" i="1783"/>
  <c r="L12" i="1783"/>
  <c r="D12" i="1783"/>
  <c r="R11" i="1783"/>
  <c r="L11" i="1783"/>
  <c r="D11" i="1783"/>
  <c r="L9" i="1783"/>
  <c r="D9" i="1783" s="1"/>
  <c r="L7" i="1783"/>
  <c r="D7" i="1783"/>
  <c r="R6" i="1783"/>
  <c r="L6" i="1783"/>
  <c r="D6" i="1783" s="1"/>
  <c r="R5" i="1783"/>
  <c r="R4" i="1783"/>
  <c r="R52" i="1782"/>
  <c r="R51" i="1782"/>
  <c r="D50" i="1782"/>
  <c r="R49" i="1782"/>
  <c r="G49" i="1782"/>
  <c r="D49" i="1782"/>
  <c r="R48" i="1782"/>
  <c r="D48" i="1782"/>
  <c r="D46" i="1782"/>
  <c r="D45" i="1782"/>
  <c r="D44" i="1782"/>
  <c r="R42" i="1782"/>
  <c r="D42" i="1782"/>
  <c r="R41" i="1782"/>
  <c r="L7" i="1782" s="1"/>
  <c r="D7" i="1782" s="1"/>
  <c r="D41" i="1782"/>
  <c r="R40" i="1782"/>
  <c r="L8" i="1782" s="1"/>
  <c r="D8" i="1782" s="1"/>
  <c r="D40" i="1782"/>
  <c r="R39" i="1782"/>
  <c r="D39" i="1782"/>
  <c r="D54" i="1782" s="1"/>
  <c r="H14" i="1782" s="1"/>
  <c r="R38" i="1782"/>
  <c r="D38" i="1782"/>
  <c r="R37" i="1782"/>
  <c r="D37" i="1782"/>
  <c r="R36" i="1782"/>
  <c r="L10" i="1782" s="1"/>
  <c r="D10" i="1782" s="1"/>
  <c r="D36" i="1782"/>
  <c r="R35" i="1782"/>
  <c r="D35" i="1782"/>
  <c r="R34" i="1782"/>
  <c r="D34" i="1782"/>
  <c r="R33" i="1782"/>
  <c r="R32" i="1782"/>
  <c r="L11" i="1782" s="1"/>
  <c r="D11" i="1782" s="1"/>
  <c r="R31" i="1782"/>
  <c r="R30" i="1782"/>
  <c r="R29" i="1782"/>
  <c r="R28" i="1782"/>
  <c r="D28" i="1782"/>
  <c r="R27" i="1782"/>
  <c r="D27" i="1782"/>
  <c r="R26" i="1782"/>
  <c r="L26" i="1782"/>
  <c r="D26" i="1782"/>
  <c r="R25" i="1782"/>
  <c r="L25" i="1782"/>
  <c r="D25" i="1782"/>
  <c r="R24" i="1782"/>
  <c r="D24" i="1782"/>
  <c r="R23" i="1782"/>
  <c r="L23" i="1782"/>
  <c r="D23" i="1782"/>
  <c r="R22" i="1782"/>
  <c r="L22" i="1782"/>
  <c r="D22" i="1782"/>
  <c r="R21" i="1782"/>
  <c r="D21" i="1782"/>
  <c r="R20" i="1782"/>
  <c r="L20" i="1782"/>
  <c r="D20" i="1782"/>
  <c r="R19" i="1782"/>
  <c r="L19" i="1782"/>
  <c r="D19" i="1782"/>
  <c r="R18" i="1782"/>
  <c r="D18" i="1782"/>
  <c r="R17" i="1782"/>
  <c r="D17" i="1782"/>
  <c r="R16" i="1782"/>
  <c r="L16" i="1782"/>
  <c r="D16" i="1782" s="1"/>
  <c r="S15" i="1782"/>
  <c r="R15" i="1782"/>
  <c r="D15" i="1782"/>
  <c r="S14" i="1782"/>
  <c r="R14" i="1782"/>
  <c r="D14" i="1782"/>
  <c r="R13" i="1782"/>
  <c r="D13" i="1782"/>
  <c r="R12" i="1782"/>
  <c r="L12" i="1782"/>
  <c r="D12" i="1782"/>
  <c r="R11" i="1782"/>
  <c r="L9" i="1782"/>
  <c r="D9" i="1782" s="1"/>
  <c r="R6" i="1782"/>
  <c r="L6" i="1782"/>
  <c r="D6" i="1782"/>
  <c r="R5" i="1782"/>
  <c r="R4" i="1782"/>
  <c r="H15" i="1793" l="1"/>
  <c r="H29" i="1793" s="1"/>
  <c r="G51" i="1793" s="1"/>
  <c r="H15" i="1792"/>
  <c r="H29" i="1792" s="1"/>
  <c r="G51" i="1792" s="1"/>
  <c r="H15" i="1791"/>
  <c r="H29" i="1791" s="1"/>
  <c r="G51" i="1791" s="1"/>
  <c r="G49" i="1789"/>
  <c r="D54" i="1789"/>
  <c r="H14" i="1789" s="1"/>
  <c r="D54" i="1788"/>
  <c r="H14" i="1788" s="1"/>
  <c r="D54" i="1787"/>
  <c r="H14" i="1787" s="1"/>
  <c r="G49" i="1785"/>
  <c r="G49" i="1783"/>
  <c r="D54" i="1785"/>
  <c r="H14" i="1785" s="1"/>
  <c r="D54" i="1784"/>
  <c r="H14" i="1784" s="1"/>
  <c r="D54" i="1783"/>
  <c r="H14" i="1783" s="1"/>
  <c r="D29" i="1789"/>
  <c r="H13" i="1789" s="1"/>
  <c r="D29" i="1788"/>
  <c r="H13" i="1788" s="1"/>
  <c r="H15" i="1788" s="1"/>
  <c r="H29" i="1788" s="1"/>
  <c r="G51" i="1788" s="1"/>
  <c r="D29" i="1787"/>
  <c r="H13" i="1787" s="1"/>
  <c r="D29" i="1786"/>
  <c r="H13" i="1786" s="1"/>
  <c r="H15" i="1786" s="1"/>
  <c r="H29" i="1786" s="1"/>
  <c r="G51" i="1786" s="1"/>
  <c r="D29" i="1785"/>
  <c r="H13" i="1785" s="1"/>
  <c r="D29" i="1784"/>
  <c r="H13" i="1784" s="1"/>
  <c r="D29" i="1783"/>
  <c r="H13" i="1783" s="1"/>
  <c r="D29" i="1782"/>
  <c r="H13" i="1782" s="1"/>
  <c r="H15" i="1782" s="1"/>
  <c r="H29" i="1782" s="1"/>
  <c r="G51" i="1782" s="1"/>
  <c r="H16" i="1776"/>
  <c r="H44" i="1775"/>
  <c r="H15" i="1789" l="1"/>
  <c r="H29" i="1789" s="1"/>
  <c r="G51" i="1789" s="1"/>
  <c r="H15" i="1787"/>
  <c r="H29" i="1787" s="1"/>
  <c r="G51" i="1787" s="1"/>
  <c r="H15" i="1785"/>
  <c r="H29" i="1785" s="1"/>
  <c r="G51" i="1785" s="1"/>
  <c r="H15" i="1784"/>
  <c r="H29" i="1784" s="1"/>
  <c r="G51" i="1784" s="1"/>
  <c r="H15" i="1783"/>
  <c r="H29" i="1783" s="1"/>
  <c r="G51" i="1783" s="1"/>
  <c r="L24" i="1773"/>
  <c r="C12" i="1772"/>
  <c r="H16" i="1772"/>
  <c r="H16" i="1771"/>
  <c r="R52" i="1781" l="1"/>
  <c r="L22" i="1781" s="1"/>
  <c r="D22" i="1781" s="1"/>
  <c r="R51" i="1781"/>
  <c r="D50" i="1781"/>
  <c r="R49" i="1781"/>
  <c r="D49" i="1781"/>
  <c r="R48" i="1781"/>
  <c r="D48" i="1781"/>
  <c r="D46" i="1781"/>
  <c r="D45" i="1781"/>
  <c r="R44" i="1781"/>
  <c r="L28" i="1781" s="1"/>
  <c r="D28" i="1781" s="1"/>
  <c r="D44" i="1781"/>
  <c r="R42" i="1781"/>
  <c r="L6" i="1781" s="1"/>
  <c r="D6" i="1781" s="1"/>
  <c r="D42" i="1781"/>
  <c r="R41" i="1781"/>
  <c r="D41" i="1781"/>
  <c r="R40" i="1781"/>
  <c r="D40" i="1781"/>
  <c r="R39" i="1781"/>
  <c r="H39" i="1781"/>
  <c r="D39" i="1781"/>
  <c r="R38" i="1781"/>
  <c r="H38" i="1781"/>
  <c r="D38" i="1781"/>
  <c r="R37" i="1781"/>
  <c r="H37" i="1781"/>
  <c r="D37" i="1781"/>
  <c r="R36" i="1781"/>
  <c r="L10" i="1781" s="1"/>
  <c r="D10" i="1781" s="1"/>
  <c r="H36" i="1781"/>
  <c r="D36" i="1781"/>
  <c r="R35" i="1781"/>
  <c r="L19" i="1781" s="1"/>
  <c r="D19" i="1781" s="1"/>
  <c r="H35" i="1781"/>
  <c r="D35" i="1781"/>
  <c r="R34" i="1781"/>
  <c r="L12" i="1781" s="1"/>
  <c r="D12" i="1781" s="1"/>
  <c r="H34" i="1781"/>
  <c r="D34" i="1781"/>
  <c r="R33" i="1781"/>
  <c r="L23" i="1781" s="1"/>
  <c r="D23" i="1781" s="1"/>
  <c r="R32" i="1781"/>
  <c r="R31" i="1781"/>
  <c r="R30" i="1781"/>
  <c r="R29" i="1781"/>
  <c r="R28" i="1781"/>
  <c r="R27" i="1781"/>
  <c r="D27" i="1781"/>
  <c r="R26" i="1781"/>
  <c r="L26" i="1781"/>
  <c r="D26" i="1781" s="1"/>
  <c r="R25" i="1781"/>
  <c r="L25" i="1781"/>
  <c r="D25" i="1781" s="1"/>
  <c r="R24" i="1781"/>
  <c r="D24" i="1781"/>
  <c r="R23" i="1781"/>
  <c r="R22" i="1781"/>
  <c r="R21" i="1781"/>
  <c r="D21" i="1781"/>
  <c r="R20" i="1781"/>
  <c r="L20" i="1781"/>
  <c r="D20" i="1781"/>
  <c r="R19" i="1781"/>
  <c r="R18" i="1781"/>
  <c r="D18" i="1781"/>
  <c r="R17" i="1781"/>
  <c r="D17" i="1781"/>
  <c r="R16" i="1781"/>
  <c r="L16" i="1781"/>
  <c r="D16" i="1781" s="1"/>
  <c r="R15" i="1781"/>
  <c r="D15" i="1781"/>
  <c r="R14" i="1781"/>
  <c r="D14" i="1781"/>
  <c r="R13" i="1781"/>
  <c r="D13" i="1781"/>
  <c r="R12" i="1781"/>
  <c r="R11" i="1781"/>
  <c r="L11" i="1781"/>
  <c r="D11" i="1781"/>
  <c r="L9" i="1781"/>
  <c r="D9" i="1781"/>
  <c r="L8" i="1781"/>
  <c r="D8" i="1781"/>
  <c r="L7" i="1781"/>
  <c r="D7" i="1781" s="1"/>
  <c r="R6" i="1781"/>
  <c r="R5" i="1781"/>
  <c r="R4" i="1781"/>
  <c r="R52" i="1780"/>
  <c r="R51" i="1780"/>
  <c r="D50" i="1780"/>
  <c r="R49" i="1780"/>
  <c r="D49" i="1780"/>
  <c r="R48" i="1780"/>
  <c r="D48" i="1780"/>
  <c r="D46" i="1780"/>
  <c r="D45" i="1780"/>
  <c r="R44" i="1780"/>
  <c r="L28" i="1780" s="1"/>
  <c r="D28" i="1780" s="1"/>
  <c r="D44" i="1780"/>
  <c r="R42" i="1780"/>
  <c r="D42" i="1780"/>
  <c r="R41" i="1780"/>
  <c r="L7" i="1780" s="1"/>
  <c r="D7" i="1780" s="1"/>
  <c r="D41" i="1780"/>
  <c r="R40" i="1780"/>
  <c r="L8" i="1780" s="1"/>
  <c r="D8" i="1780" s="1"/>
  <c r="D40" i="1780"/>
  <c r="R39" i="1780"/>
  <c r="H39" i="1780"/>
  <c r="D39" i="1780"/>
  <c r="R38" i="1780"/>
  <c r="H38" i="1780"/>
  <c r="D38" i="1780"/>
  <c r="R37" i="1780"/>
  <c r="H37" i="1780"/>
  <c r="D37" i="1780"/>
  <c r="R36" i="1780"/>
  <c r="H36" i="1780"/>
  <c r="D36" i="1780"/>
  <c r="R35" i="1780"/>
  <c r="L19" i="1780" s="1"/>
  <c r="D19" i="1780" s="1"/>
  <c r="H35" i="1780"/>
  <c r="D35" i="1780"/>
  <c r="R34" i="1780"/>
  <c r="L12" i="1780" s="1"/>
  <c r="D12" i="1780" s="1"/>
  <c r="H34" i="1780"/>
  <c r="D34" i="1780"/>
  <c r="R33" i="1780"/>
  <c r="R32" i="1780"/>
  <c r="L11" i="1780" s="1"/>
  <c r="D11" i="1780" s="1"/>
  <c r="R31" i="1780"/>
  <c r="R30" i="1780"/>
  <c r="R29" i="1780"/>
  <c r="R28" i="1780"/>
  <c r="R27" i="1780"/>
  <c r="D27" i="1780"/>
  <c r="R26" i="1780"/>
  <c r="L26" i="1780"/>
  <c r="D26" i="1780" s="1"/>
  <c r="R25" i="1780"/>
  <c r="L25" i="1780"/>
  <c r="D25" i="1780"/>
  <c r="R24" i="1780"/>
  <c r="L24" i="1780"/>
  <c r="D24" i="1780"/>
  <c r="R23" i="1780"/>
  <c r="L23" i="1780"/>
  <c r="D23" i="1780" s="1"/>
  <c r="R22" i="1780"/>
  <c r="L22" i="1780"/>
  <c r="D22" i="1780"/>
  <c r="R21" i="1780"/>
  <c r="D21" i="1780"/>
  <c r="R20" i="1780"/>
  <c r="L20" i="1780"/>
  <c r="D20" i="1780"/>
  <c r="R19" i="1780"/>
  <c r="R18" i="1780"/>
  <c r="D18" i="1780"/>
  <c r="R17" i="1780"/>
  <c r="L17" i="1780"/>
  <c r="D17" i="1780" s="1"/>
  <c r="R16" i="1780"/>
  <c r="L16" i="1780"/>
  <c r="D16" i="1780"/>
  <c r="R15" i="1780"/>
  <c r="D15" i="1780"/>
  <c r="R14" i="1780"/>
  <c r="D14" i="1780"/>
  <c r="R13" i="1780"/>
  <c r="D13" i="1780"/>
  <c r="R12" i="1780"/>
  <c r="R11" i="1780"/>
  <c r="L10" i="1780"/>
  <c r="D10" i="1780"/>
  <c r="L9" i="1780"/>
  <c r="D9" i="1780"/>
  <c r="R6" i="1780"/>
  <c r="L6" i="1780"/>
  <c r="D6" i="1780"/>
  <c r="R5" i="1780"/>
  <c r="R4" i="1780"/>
  <c r="R52" i="1779"/>
  <c r="R51" i="1779"/>
  <c r="D50" i="1779"/>
  <c r="R49" i="1779"/>
  <c r="D49" i="1779"/>
  <c r="R48" i="1779"/>
  <c r="D48" i="1779"/>
  <c r="D46" i="1779"/>
  <c r="D45" i="1779"/>
  <c r="R44" i="1779"/>
  <c r="L28" i="1779" s="1"/>
  <c r="D28" i="1779" s="1"/>
  <c r="D44" i="1779"/>
  <c r="R42" i="1779"/>
  <c r="D42" i="1779"/>
  <c r="R41" i="1779"/>
  <c r="D41" i="1779"/>
  <c r="R40" i="1779"/>
  <c r="L8" i="1779" s="1"/>
  <c r="D8" i="1779" s="1"/>
  <c r="D40" i="1779"/>
  <c r="R39" i="1779"/>
  <c r="L20" i="1779" s="1"/>
  <c r="D20" i="1779" s="1"/>
  <c r="H39" i="1779"/>
  <c r="D39" i="1779"/>
  <c r="R38" i="1779"/>
  <c r="H38" i="1779"/>
  <c r="D38" i="1779"/>
  <c r="R37" i="1779"/>
  <c r="H37" i="1779"/>
  <c r="D37" i="1779"/>
  <c r="R36" i="1779"/>
  <c r="H36" i="1779"/>
  <c r="D36" i="1779"/>
  <c r="R35" i="1779"/>
  <c r="H35" i="1779"/>
  <c r="D35" i="1779"/>
  <c r="R34" i="1779"/>
  <c r="L12" i="1779" s="1"/>
  <c r="D12" i="1779" s="1"/>
  <c r="H34" i="1779"/>
  <c r="D34" i="1779"/>
  <c r="R33" i="1779"/>
  <c r="R32" i="1779"/>
  <c r="R31" i="1779"/>
  <c r="R30" i="1779"/>
  <c r="R29" i="1779"/>
  <c r="R28" i="1779"/>
  <c r="L16" i="1779" s="1"/>
  <c r="D16" i="1779" s="1"/>
  <c r="R27" i="1779"/>
  <c r="D27" i="1779"/>
  <c r="R26" i="1779"/>
  <c r="L26" i="1779"/>
  <c r="D26" i="1779"/>
  <c r="R25" i="1779"/>
  <c r="L25" i="1779"/>
  <c r="D25" i="1779" s="1"/>
  <c r="R24" i="1779"/>
  <c r="L24" i="1779"/>
  <c r="D24" i="1779"/>
  <c r="R23" i="1779"/>
  <c r="D23" i="1779"/>
  <c r="R22" i="1779"/>
  <c r="D22" i="1779"/>
  <c r="R21" i="1779"/>
  <c r="D21" i="1779"/>
  <c r="R20" i="1779"/>
  <c r="R19" i="1779"/>
  <c r="D19" i="1779"/>
  <c r="R18" i="1779"/>
  <c r="D18" i="1779"/>
  <c r="R17" i="1779"/>
  <c r="L17" i="1779"/>
  <c r="D17" i="1779"/>
  <c r="R16" i="1779"/>
  <c r="R15" i="1779"/>
  <c r="D15" i="1779"/>
  <c r="R14" i="1779"/>
  <c r="D14" i="1779"/>
  <c r="R13" i="1779"/>
  <c r="D13" i="1779"/>
  <c r="R12" i="1779"/>
  <c r="R11" i="1779"/>
  <c r="L11" i="1779"/>
  <c r="D11" i="1779"/>
  <c r="L10" i="1779"/>
  <c r="D10" i="1779" s="1"/>
  <c r="L9" i="1779"/>
  <c r="D9" i="1779" s="1"/>
  <c r="L7" i="1779"/>
  <c r="D7" i="1779"/>
  <c r="R6" i="1779"/>
  <c r="L6" i="1779"/>
  <c r="D6" i="1779" s="1"/>
  <c r="R5" i="1779"/>
  <c r="R4" i="1779"/>
  <c r="R52" i="1778"/>
  <c r="R51" i="1778"/>
  <c r="D50" i="1778"/>
  <c r="R49" i="1778"/>
  <c r="G49" i="1778"/>
  <c r="D49" i="1778"/>
  <c r="R48" i="1778"/>
  <c r="D48" i="1778"/>
  <c r="D46" i="1778"/>
  <c r="D45" i="1778"/>
  <c r="D44" i="1778"/>
  <c r="R42" i="1778"/>
  <c r="L6" i="1778" s="1"/>
  <c r="D6" i="1778" s="1"/>
  <c r="D42" i="1778"/>
  <c r="R41" i="1778"/>
  <c r="D41" i="1778"/>
  <c r="R40" i="1778"/>
  <c r="D40" i="1778"/>
  <c r="R39" i="1778"/>
  <c r="D39" i="1778"/>
  <c r="R38" i="1778"/>
  <c r="L9" i="1778" s="1"/>
  <c r="D9" i="1778" s="1"/>
  <c r="D38" i="1778"/>
  <c r="R37" i="1778"/>
  <c r="D37" i="1778"/>
  <c r="R36" i="1778"/>
  <c r="D36" i="1778"/>
  <c r="R35" i="1778"/>
  <c r="D35" i="1778"/>
  <c r="R34" i="1778"/>
  <c r="L12" i="1778" s="1"/>
  <c r="D12" i="1778" s="1"/>
  <c r="D34" i="1778"/>
  <c r="D54" i="1778" s="1"/>
  <c r="H14" i="1778" s="1"/>
  <c r="R33" i="1778"/>
  <c r="R32" i="1778"/>
  <c r="R31" i="1778"/>
  <c r="R30" i="1778"/>
  <c r="R29" i="1778"/>
  <c r="R28" i="1778"/>
  <c r="D28" i="1778"/>
  <c r="R27" i="1778"/>
  <c r="D27" i="1778"/>
  <c r="R26" i="1778"/>
  <c r="L26" i="1778"/>
  <c r="D26" i="1778" s="1"/>
  <c r="R25" i="1778"/>
  <c r="L25" i="1778"/>
  <c r="D25" i="1778"/>
  <c r="R24" i="1778"/>
  <c r="D24" i="1778"/>
  <c r="R23" i="1778"/>
  <c r="L23" i="1778"/>
  <c r="D23" i="1778" s="1"/>
  <c r="R22" i="1778"/>
  <c r="L22" i="1778"/>
  <c r="D22" i="1778"/>
  <c r="R21" i="1778"/>
  <c r="D21" i="1778"/>
  <c r="R20" i="1778"/>
  <c r="L20" i="1778"/>
  <c r="D20" i="1778"/>
  <c r="R19" i="1778"/>
  <c r="L19" i="1778"/>
  <c r="D19" i="1778"/>
  <c r="R18" i="1778"/>
  <c r="D18" i="1778"/>
  <c r="R17" i="1778"/>
  <c r="D17" i="1778"/>
  <c r="R16" i="1778"/>
  <c r="L16" i="1778"/>
  <c r="D16" i="1778" s="1"/>
  <c r="S15" i="1778"/>
  <c r="R15" i="1778"/>
  <c r="D15" i="1778"/>
  <c r="S14" i="1778"/>
  <c r="R14" i="1778"/>
  <c r="D14" i="1778"/>
  <c r="R13" i="1778"/>
  <c r="D13" i="1778"/>
  <c r="R12" i="1778"/>
  <c r="R11" i="1778"/>
  <c r="L11" i="1778"/>
  <c r="D11" i="1778"/>
  <c r="L10" i="1778"/>
  <c r="D10" i="1778"/>
  <c r="L8" i="1778"/>
  <c r="D8" i="1778"/>
  <c r="L7" i="1778"/>
  <c r="D7" i="1778"/>
  <c r="R6" i="1778"/>
  <c r="R5" i="1778"/>
  <c r="R4" i="1778"/>
  <c r="R52" i="1777"/>
  <c r="R51" i="1777"/>
  <c r="D50" i="1777"/>
  <c r="R49" i="1777"/>
  <c r="D49" i="1777"/>
  <c r="R48" i="1777"/>
  <c r="D48" i="1777"/>
  <c r="D46" i="1777"/>
  <c r="D45" i="1777"/>
  <c r="R44" i="1777"/>
  <c r="D44" i="1777"/>
  <c r="R42" i="1777"/>
  <c r="L6" i="1777" s="1"/>
  <c r="D6" i="1777" s="1"/>
  <c r="D42" i="1777"/>
  <c r="R41" i="1777"/>
  <c r="L7" i="1777" s="1"/>
  <c r="D7" i="1777" s="1"/>
  <c r="D41" i="1777"/>
  <c r="R40" i="1777"/>
  <c r="D40" i="1777"/>
  <c r="R39" i="1777"/>
  <c r="H39" i="1777"/>
  <c r="D39" i="1777"/>
  <c r="R38" i="1777"/>
  <c r="H38" i="1777"/>
  <c r="D38" i="1777"/>
  <c r="R37" i="1777"/>
  <c r="H37" i="1777"/>
  <c r="D37" i="1777"/>
  <c r="R36" i="1777"/>
  <c r="H36" i="1777"/>
  <c r="D36" i="1777"/>
  <c r="R35" i="1777"/>
  <c r="L19" i="1777" s="1"/>
  <c r="D19" i="1777" s="1"/>
  <c r="H35" i="1777"/>
  <c r="D35" i="1777"/>
  <c r="R34" i="1777"/>
  <c r="H34" i="1777"/>
  <c r="D34" i="1777"/>
  <c r="R33" i="1777"/>
  <c r="R32" i="1777"/>
  <c r="R31" i="1777"/>
  <c r="R30" i="1777"/>
  <c r="R29" i="1777"/>
  <c r="R28" i="1777"/>
  <c r="L28" i="1777"/>
  <c r="D28" i="1777"/>
  <c r="R27" i="1777"/>
  <c r="D27" i="1777"/>
  <c r="R26" i="1777"/>
  <c r="L26" i="1777"/>
  <c r="D26" i="1777"/>
  <c r="R25" i="1777"/>
  <c r="L25" i="1777"/>
  <c r="D25" i="1777" s="1"/>
  <c r="R24" i="1777"/>
  <c r="D24" i="1777"/>
  <c r="R23" i="1777"/>
  <c r="L23" i="1777"/>
  <c r="D23" i="1777"/>
  <c r="R22" i="1777"/>
  <c r="L22" i="1777"/>
  <c r="D22" i="1777"/>
  <c r="R21" i="1777"/>
  <c r="D21" i="1777"/>
  <c r="R20" i="1777"/>
  <c r="L20" i="1777"/>
  <c r="D20" i="1777"/>
  <c r="R19" i="1777"/>
  <c r="R18" i="1777"/>
  <c r="D18" i="1777"/>
  <c r="R17" i="1777"/>
  <c r="D17" i="1777"/>
  <c r="R16" i="1777"/>
  <c r="L16" i="1777"/>
  <c r="D16" i="1777"/>
  <c r="R15" i="1777"/>
  <c r="D15" i="1777"/>
  <c r="R14" i="1777"/>
  <c r="D14" i="1777"/>
  <c r="R13" i="1777"/>
  <c r="D13" i="1777"/>
  <c r="R12" i="1777"/>
  <c r="L12" i="1777"/>
  <c r="D12" i="1777"/>
  <c r="R11" i="1777"/>
  <c r="L11" i="1777"/>
  <c r="D11" i="1777" s="1"/>
  <c r="L10" i="1777"/>
  <c r="D10" i="1777"/>
  <c r="L9" i="1777"/>
  <c r="D9" i="1777" s="1"/>
  <c r="L8" i="1777"/>
  <c r="D8" i="1777" s="1"/>
  <c r="R6" i="1777"/>
  <c r="R5" i="1777"/>
  <c r="R4" i="1777"/>
  <c r="R52" i="1776"/>
  <c r="R51" i="1776"/>
  <c r="D50" i="1776"/>
  <c r="R49" i="1776"/>
  <c r="D49" i="1776"/>
  <c r="R48" i="1776"/>
  <c r="D48" i="1776"/>
  <c r="D46" i="1776"/>
  <c r="D45" i="1776"/>
  <c r="R44" i="1776"/>
  <c r="D44" i="1776"/>
  <c r="R42" i="1776"/>
  <c r="L6" i="1776" s="1"/>
  <c r="D6" i="1776" s="1"/>
  <c r="D42" i="1776"/>
  <c r="R41" i="1776"/>
  <c r="D41" i="1776"/>
  <c r="R40" i="1776"/>
  <c r="D40" i="1776"/>
  <c r="R39" i="1776"/>
  <c r="H39" i="1776"/>
  <c r="D39" i="1776"/>
  <c r="R38" i="1776"/>
  <c r="L9" i="1776" s="1"/>
  <c r="D9" i="1776" s="1"/>
  <c r="H38" i="1776"/>
  <c r="D38" i="1776"/>
  <c r="R37" i="1776"/>
  <c r="H37" i="1776"/>
  <c r="D37" i="1776"/>
  <c r="R36" i="1776"/>
  <c r="L10" i="1776" s="1"/>
  <c r="D10" i="1776" s="1"/>
  <c r="H36" i="1776"/>
  <c r="D36" i="1776"/>
  <c r="R35" i="1776"/>
  <c r="H35" i="1776"/>
  <c r="D35" i="1776"/>
  <c r="R34" i="1776"/>
  <c r="H34" i="1776"/>
  <c r="D34" i="1776"/>
  <c r="R33" i="1776"/>
  <c r="R32" i="1776"/>
  <c r="R31" i="1776"/>
  <c r="R30" i="1776"/>
  <c r="R29" i="1776"/>
  <c r="R28" i="1776"/>
  <c r="L28" i="1776"/>
  <c r="D28" i="1776"/>
  <c r="R27" i="1776"/>
  <c r="D27" i="1776"/>
  <c r="R26" i="1776"/>
  <c r="L26" i="1776"/>
  <c r="D26" i="1776"/>
  <c r="R25" i="1776"/>
  <c r="D25" i="1776"/>
  <c r="R24" i="1776"/>
  <c r="L24" i="1776"/>
  <c r="D24" i="1776"/>
  <c r="R23" i="1776"/>
  <c r="L23" i="1776"/>
  <c r="D23" i="1776"/>
  <c r="R22" i="1776"/>
  <c r="L22" i="1776"/>
  <c r="D22" i="1776" s="1"/>
  <c r="R21" i="1776"/>
  <c r="D21" i="1776"/>
  <c r="R20" i="1776"/>
  <c r="L20" i="1776"/>
  <c r="D20" i="1776"/>
  <c r="R19" i="1776"/>
  <c r="L19" i="1776"/>
  <c r="D19" i="1776"/>
  <c r="R18" i="1776"/>
  <c r="D18" i="1776"/>
  <c r="R17" i="1776"/>
  <c r="L17" i="1776"/>
  <c r="D17" i="1776"/>
  <c r="R16" i="1776"/>
  <c r="L16" i="1776"/>
  <c r="D16" i="1776" s="1"/>
  <c r="R15" i="1776"/>
  <c r="D15" i="1776"/>
  <c r="R14" i="1776"/>
  <c r="D14" i="1776"/>
  <c r="R13" i="1776"/>
  <c r="D13" i="1776"/>
  <c r="R12" i="1776"/>
  <c r="L12" i="1776"/>
  <c r="D12" i="1776"/>
  <c r="R11" i="1776"/>
  <c r="L11" i="1776"/>
  <c r="D11" i="1776"/>
  <c r="L8" i="1776"/>
  <c r="D8" i="1776"/>
  <c r="L7" i="1776"/>
  <c r="D7" i="1776"/>
  <c r="R6" i="1776"/>
  <c r="R5" i="1776"/>
  <c r="R4" i="1776"/>
  <c r="R52" i="1775"/>
  <c r="R51" i="1775"/>
  <c r="D50" i="1775"/>
  <c r="R49" i="1775"/>
  <c r="D49" i="1775"/>
  <c r="R48" i="1775"/>
  <c r="D48" i="1775"/>
  <c r="D46" i="1775"/>
  <c r="D45" i="1775"/>
  <c r="R44" i="1775"/>
  <c r="L28" i="1775" s="1"/>
  <c r="D28" i="1775" s="1"/>
  <c r="D44" i="1775"/>
  <c r="R42" i="1775"/>
  <c r="L6" i="1775" s="1"/>
  <c r="D6" i="1775" s="1"/>
  <c r="D42" i="1775"/>
  <c r="R41" i="1775"/>
  <c r="L7" i="1775" s="1"/>
  <c r="D7" i="1775" s="1"/>
  <c r="D41" i="1775"/>
  <c r="R40" i="1775"/>
  <c r="D40" i="1775"/>
  <c r="R39" i="1775"/>
  <c r="H39" i="1775"/>
  <c r="D39" i="1775"/>
  <c r="R38" i="1775"/>
  <c r="H38" i="1775"/>
  <c r="D38" i="1775"/>
  <c r="R37" i="1775"/>
  <c r="H37" i="1775"/>
  <c r="D37" i="1775"/>
  <c r="R36" i="1775"/>
  <c r="H36" i="1775"/>
  <c r="D36" i="1775"/>
  <c r="R35" i="1775"/>
  <c r="H35" i="1775"/>
  <c r="D35" i="1775"/>
  <c r="R34" i="1775"/>
  <c r="H34" i="1775"/>
  <c r="D34" i="1775"/>
  <c r="R33" i="1775"/>
  <c r="R32" i="1775"/>
  <c r="R31" i="1775"/>
  <c r="R30" i="1775"/>
  <c r="R29" i="1775"/>
  <c r="R28" i="1775"/>
  <c r="L16" i="1775" s="1"/>
  <c r="D16" i="1775" s="1"/>
  <c r="R27" i="1775"/>
  <c r="D27" i="1775"/>
  <c r="R26" i="1775"/>
  <c r="L26" i="1775"/>
  <c r="D26" i="1775"/>
  <c r="R25" i="1775"/>
  <c r="L25" i="1775"/>
  <c r="D25" i="1775" s="1"/>
  <c r="R24" i="1775"/>
  <c r="L24" i="1775"/>
  <c r="D24" i="1775"/>
  <c r="R23" i="1775"/>
  <c r="D23" i="1775"/>
  <c r="R22" i="1775"/>
  <c r="D22" i="1775"/>
  <c r="R21" i="1775"/>
  <c r="D21" i="1775"/>
  <c r="R20" i="1775"/>
  <c r="L20" i="1775"/>
  <c r="D20" i="1775" s="1"/>
  <c r="R19" i="1775"/>
  <c r="D19" i="1775"/>
  <c r="R18" i="1775"/>
  <c r="D18" i="1775"/>
  <c r="R17" i="1775"/>
  <c r="L17" i="1775"/>
  <c r="D17" i="1775"/>
  <c r="R16" i="1775"/>
  <c r="R15" i="1775"/>
  <c r="D15" i="1775"/>
  <c r="R14" i="1775"/>
  <c r="D14" i="1775"/>
  <c r="R13" i="1775"/>
  <c r="D13" i="1775"/>
  <c r="R12" i="1775"/>
  <c r="L12" i="1775"/>
  <c r="D12" i="1775"/>
  <c r="R11" i="1775"/>
  <c r="L11" i="1775"/>
  <c r="D11" i="1775"/>
  <c r="L10" i="1775"/>
  <c r="D10" i="1775" s="1"/>
  <c r="L9" i="1775"/>
  <c r="D9" i="1775" s="1"/>
  <c r="L8" i="1775"/>
  <c r="D8" i="1775" s="1"/>
  <c r="R6" i="1775"/>
  <c r="R5" i="1775"/>
  <c r="R4" i="1775"/>
  <c r="R52" i="1774"/>
  <c r="R51" i="1774"/>
  <c r="D50" i="1774"/>
  <c r="R49" i="1774"/>
  <c r="G49" i="1774"/>
  <c r="D49" i="1774"/>
  <c r="R48" i="1774"/>
  <c r="D48" i="1774"/>
  <c r="D46" i="1774"/>
  <c r="D45" i="1774"/>
  <c r="D44" i="1774"/>
  <c r="R42" i="1774"/>
  <c r="L6" i="1774" s="1"/>
  <c r="D6" i="1774" s="1"/>
  <c r="D42" i="1774"/>
  <c r="R41" i="1774"/>
  <c r="L7" i="1774" s="1"/>
  <c r="D7" i="1774" s="1"/>
  <c r="D41" i="1774"/>
  <c r="R40" i="1774"/>
  <c r="D40" i="1774"/>
  <c r="R39" i="1774"/>
  <c r="D39" i="1774"/>
  <c r="R38" i="1774"/>
  <c r="L9" i="1774" s="1"/>
  <c r="D9" i="1774" s="1"/>
  <c r="D38" i="1774"/>
  <c r="R37" i="1774"/>
  <c r="D37" i="1774"/>
  <c r="R36" i="1774"/>
  <c r="L10" i="1774" s="1"/>
  <c r="D10" i="1774" s="1"/>
  <c r="D36" i="1774"/>
  <c r="R35" i="1774"/>
  <c r="L19" i="1774" s="1"/>
  <c r="D19" i="1774" s="1"/>
  <c r="D35" i="1774"/>
  <c r="R34" i="1774"/>
  <c r="D34" i="1774"/>
  <c r="D54" i="1774" s="1"/>
  <c r="H14" i="1774" s="1"/>
  <c r="R33" i="1774"/>
  <c r="R32" i="1774"/>
  <c r="R31" i="1774"/>
  <c r="R30" i="1774"/>
  <c r="R29" i="1774"/>
  <c r="R28" i="1774"/>
  <c r="L16" i="1774" s="1"/>
  <c r="D16" i="1774" s="1"/>
  <c r="D28" i="1774"/>
  <c r="R27" i="1774"/>
  <c r="D27" i="1774"/>
  <c r="R26" i="1774"/>
  <c r="L26" i="1774"/>
  <c r="D26" i="1774"/>
  <c r="R25" i="1774"/>
  <c r="L25" i="1774"/>
  <c r="D25" i="1774"/>
  <c r="R24" i="1774"/>
  <c r="D24" i="1774"/>
  <c r="R23" i="1774"/>
  <c r="L23" i="1774"/>
  <c r="D23" i="1774"/>
  <c r="R22" i="1774"/>
  <c r="L22" i="1774"/>
  <c r="D22" i="1774" s="1"/>
  <c r="R21" i="1774"/>
  <c r="D21" i="1774"/>
  <c r="R20" i="1774"/>
  <c r="L20" i="1774"/>
  <c r="D20" i="1774"/>
  <c r="R19" i="1774"/>
  <c r="R18" i="1774"/>
  <c r="D18" i="1774"/>
  <c r="R17" i="1774"/>
  <c r="D17" i="1774"/>
  <c r="R16" i="1774"/>
  <c r="S15" i="1774"/>
  <c r="R15" i="1774"/>
  <c r="D15" i="1774"/>
  <c r="S14" i="1774"/>
  <c r="R14" i="1774"/>
  <c r="D14" i="1774"/>
  <c r="R13" i="1774"/>
  <c r="D13" i="1774"/>
  <c r="R12" i="1774"/>
  <c r="L12" i="1774"/>
  <c r="D12" i="1774"/>
  <c r="R11" i="1774"/>
  <c r="L11" i="1774"/>
  <c r="D11" i="1774" s="1"/>
  <c r="L8" i="1774"/>
  <c r="D8" i="1774"/>
  <c r="R6" i="1774"/>
  <c r="R5" i="1774"/>
  <c r="R4" i="1774"/>
  <c r="G49" i="1781" l="1"/>
  <c r="G49" i="1780"/>
  <c r="D54" i="1781"/>
  <c r="H14" i="1781" s="1"/>
  <c r="D54" i="1780"/>
  <c r="H14" i="1780" s="1"/>
  <c r="G49" i="1779"/>
  <c r="D54" i="1779"/>
  <c r="H14" i="1779" s="1"/>
  <c r="G49" i="1777"/>
  <c r="G49" i="1776"/>
  <c r="G49" i="1775"/>
  <c r="D54" i="1777"/>
  <c r="H14" i="1777" s="1"/>
  <c r="D54" i="1776"/>
  <c r="H14" i="1776" s="1"/>
  <c r="D29" i="1776"/>
  <c r="H13" i="1776" s="1"/>
  <c r="D54" i="1775"/>
  <c r="H14" i="1775" s="1"/>
  <c r="D29" i="1781"/>
  <c r="H13" i="1781" s="1"/>
  <c r="D29" i="1780"/>
  <c r="H13" i="1780" s="1"/>
  <c r="D29" i="1779"/>
  <c r="H13" i="1779" s="1"/>
  <c r="H15" i="1779" s="1"/>
  <c r="H29" i="1779" s="1"/>
  <c r="D29" i="1778"/>
  <c r="H13" i="1778" s="1"/>
  <c r="H15" i="1778" s="1"/>
  <c r="H29" i="1778" s="1"/>
  <c r="G51" i="1778" s="1"/>
  <c r="D29" i="1777"/>
  <c r="H13" i="1777" s="1"/>
  <c r="D29" i="1775"/>
  <c r="H13" i="1775" s="1"/>
  <c r="D29" i="1774"/>
  <c r="H13" i="1774" s="1"/>
  <c r="H15" i="1774" s="1"/>
  <c r="H29" i="1774" s="1"/>
  <c r="G51" i="1774"/>
  <c r="H16" i="1769"/>
  <c r="H16" i="1768"/>
  <c r="H15" i="1781" l="1"/>
  <c r="H29" i="1781" s="1"/>
  <c r="G51" i="1781" s="1"/>
  <c r="H15" i="1780"/>
  <c r="H29" i="1780" s="1"/>
  <c r="G51" i="1780" s="1"/>
  <c r="G51" i="1779"/>
  <c r="H15" i="1777"/>
  <c r="H29" i="1777" s="1"/>
  <c r="G51" i="1777" s="1"/>
  <c r="H15" i="1776"/>
  <c r="H29" i="1776" s="1"/>
  <c r="G51" i="1776" s="1"/>
  <c r="H15" i="1775"/>
  <c r="H29" i="1775" s="1"/>
  <c r="G51" i="1775" s="1"/>
  <c r="C12" i="1767"/>
  <c r="C23" i="1763" l="1"/>
  <c r="C20" i="1763"/>
  <c r="C12" i="1763"/>
  <c r="C21" i="1763"/>
  <c r="L25" i="1761" l="1"/>
  <c r="C19" i="1760"/>
  <c r="H16" i="1761"/>
  <c r="H44" i="1761"/>
  <c r="H16" i="1760"/>
  <c r="H16" i="1757" l="1"/>
  <c r="H16" i="1753" l="1"/>
  <c r="H16" i="1752"/>
  <c r="H16" i="1751"/>
  <c r="C23" i="1753"/>
  <c r="C21" i="1752"/>
  <c r="L26" i="1751"/>
  <c r="L25" i="1751"/>
  <c r="C21" i="1751"/>
  <c r="H16" i="1736" l="1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D36" i="1773"/>
  <c r="R35" i="1773"/>
  <c r="H35" i="1773"/>
  <c r="D35" i="1773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D34" i="1772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D34" i="177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R34" i="1769"/>
  <c r="H34" i="1769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D34" i="1768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D34" i="1763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R34" i="1761"/>
  <c r="L12" i="1761" s="1"/>
  <c r="D12" i="1761" s="1"/>
  <c r="H34" i="176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D25" i="176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R52" i="1760"/>
  <c r="R51" i="1760"/>
  <c r="D50" i="1760"/>
  <c r="R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D34" i="1759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54" i="1773" l="1"/>
  <c r="H14" i="1773" s="1"/>
  <c r="D54" i="1772"/>
  <c r="H14" i="1772" s="1"/>
  <c r="D54" i="1771"/>
  <c r="H14" i="1771" s="1"/>
  <c r="G49" i="1773"/>
  <c r="G49" i="1772"/>
  <c r="G49" i="1771"/>
  <c r="G49" i="1769"/>
  <c r="G49" i="1768"/>
  <c r="G49" i="1767"/>
  <c r="D54" i="1769"/>
  <c r="H14" i="1769" s="1"/>
  <c r="D54" i="1768"/>
  <c r="H14" i="1768" s="1"/>
  <c r="D54" i="1767"/>
  <c r="H14" i="1767" s="1"/>
  <c r="G49" i="1764"/>
  <c r="G49" i="1763"/>
  <c r="D54" i="1764"/>
  <c r="H14" i="1764" s="1"/>
  <c r="D54" i="1763"/>
  <c r="H14" i="1763" s="1"/>
  <c r="D54" i="1761"/>
  <c r="H14" i="1761" s="1"/>
  <c r="D54" i="1760"/>
  <c r="H14" i="1760" s="1"/>
  <c r="D54" i="1759"/>
  <c r="H14" i="1759" s="1"/>
  <c r="G49" i="1761"/>
  <c r="G49" i="1760"/>
  <c r="G49" i="1759"/>
  <c r="D54" i="1757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D29" i="1772"/>
  <c r="H13" i="1772" s="1"/>
  <c r="D29" i="1771"/>
  <c r="H13" i="1771" s="1"/>
  <c r="D29" i="1770"/>
  <c r="H13" i="1770" s="1"/>
  <c r="H15" i="1770" s="1"/>
  <c r="H29" i="1770" s="1"/>
  <c r="G51" i="1770" s="1"/>
  <c r="D29" i="1769"/>
  <c r="H13" i="1769" s="1"/>
  <c r="D29" i="1768"/>
  <c r="H13" i="1768" s="1"/>
  <c r="H15" i="1768" s="1"/>
  <c r="H29" i="1768" s="1"/>
  <c r="D29" i="1767"/>
  <c r="H13" i="1767" s="1"/>
  <c r="D29" i="1766"/>
  <c r="H13" i="1766" s="1"/>
  <c r="H15" i="1766" s="1"/>
  <c r="H29" i="1766" s="1"/>
  <c r="G51" i="1766" s="1"/>
  <c r="G51" i="1765"/>
  <c r="D29" i="1764"/>
  <c r="H13" i="1764" s="1"/>
  <c r="D29" i="1763"/>
  <c r="H13" i="1763" s="1"/>
  <c r="D29" i="1762"/>
  <c r="H13" i="1762" s="1"/>
  <c r="H15" i="1762" s="1"/>
  <c r="H29" i="1762" s="1"/>
  <c r="G51" i="1762" s="1"/>
  <c r="D29" i="1761"/>
  <c r="H13" i="1761" s="1"/>
  <c r="D29" i="1760"/>
  <c r="H13" i="1760" s="1"/>
  <c r="D29" i="1759"/>
  <c r="H13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73" l="1"/>
  <c r="H29" i="1773" s="1"/>
  <c r="G51" i="1773" s="1"/>
  <c r="H15" i="1772"/>
  <c r="H29" i="1772" s="1"/>
  <c r="G51" i="1772" s="1"/>
  <c r="H15" i="1771"/>
  <c r="H29" i="1771" s="1"/>
  <c r="G51" i="1771" s="1"/>
  <c r="G51" i="1768"/>
  <c r="H15" i="1769"/>
  <c r="H29" i="1769" s="1"/>
  <c r="G51" i="1769" s="1"/>
  <c r="H15" i="1767"/>
  <c r="H29" i="1767" s="1"/>
  <c r="G51" i="1767" s="1"/>
  <c r="H15" i="1764"/>
  <c r="H29" i="1764" s="1"/>
  <c r="G51" i="1764" s="1"/>
  <c r="H15" i="1763"/>
  <c r="H29" i="1763" s="1"/>
  <c r="G51" i="1763" s="1"/>
  <c r="H15" i="1761"/>
  <c r="H29" i="1761" s="1"/>
  <c r="G51" i="1761" s="1"/>
  <c r="H15" i="1760"/>
  <c r="H29" i="1760" s="1"/>
  <c r="G51" i="1760" s="1"/>
  <c r="H15" i="1759"/>
  <c r="H29" i="1759" s="1"/>
  <c r="G51" i="1759" s="1"/>
  <c r="H15" i="1757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<sst xmlns="http://schemas.openxmlformats.org/spreadsheetml/2006/main" count="7675" uniqueCount="196">
  <si>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</si>
  <si>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</si>
  <si>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</si>
  <si>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</si>
  <si>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</si>
  <si>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</si>
  <si>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</si>
  <si>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</si>
  <si>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</si>
  <si>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</si>
  <si>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</si>
  <si>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</si>
  <si>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</si>
  <si>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</si>
  <si>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</si>
  <si>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</si>
  <si>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</si>
  <si>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</si>
  <si>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</si>
  <si>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</si>
  <si>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</si>
  <si>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</si>
  <si>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</si>
  <si>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</si>
  <si>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</si>
  <si>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</si>
  <si>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</si>
  <si>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</si>
  <si>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</si>
  <si>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</si>
  <si>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</si>
  <si>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</si>
  <si>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</si>
  <si>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</si>
  <si>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</si>
  <si>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</si>
  <si>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</si>
  <si>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</si>
  <si>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</si>
  <si>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</si>
  <si>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</si>
  <si>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</si>
  <si>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</si>
  <si>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</si>
  <si>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</si>
  <si>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</si>
  <si>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</si>
  <si>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</si>
  <si>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</si>
  <si>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</si>
  <si>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</si>
  <si>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</si>
  <si>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</si>
  <si>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</si>
  <si>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</si>
  <si>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</si>
  <si>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</si>
  <si>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</si>
  <si>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</si>
  <si>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</si>
  <si>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</si>
  <si>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</si>
  <si>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</si>
  <si>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</si>
  <si>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</si>
  <si>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</si>
  <si>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</si>
  <si>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</si>
  <si>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</si>
  <si>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</si>
  <si>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</si>
  <si>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</si>
  <si>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</si>
  <si>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</si>
  <si>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</si>
  <si>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</si>
  <si>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</si>
  <si>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</si>
  <si>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</si>
  <si>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</si>
  <si>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</si>
  <si>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</si>
  <si>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</si>
  <si>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</si>
  <si>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</si>
  <si>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</si>
  <si>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</si>
  <si>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</si>
  <si>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</si>
  <si>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</si>
  <si>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</si>
  <si>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</si>
  <si>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</si>
  <si>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</si>
  <si>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</si>
  <si>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</si>
  <si>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</si>
  <si>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</si>
  <si>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</si>
  <si>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</si>
  <si>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</si>
  <si>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</si>
  <si>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</si>
  <si>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</si>
  <si>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</si>
  <si>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</si>
  <si>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</si>
  <si>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</si>
  <si>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</si>
  <si>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</si>
  <si>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</si>
  <si>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</si>
  <si>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</si>
  <si>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</si>
  <si>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</si>
  <si>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</si>
  <si>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</si>
  <si>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</si>
  <si>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</si>
  <si>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</si>
  <si>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</si>
  <si>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</si>
  <si>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</si>
  <si>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</si>
  <si>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</si>
  <si>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</si>
  <si>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</si>
  <si>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</si>
  <si>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</si>
  <si>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</si>
  <si>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</si>
  <si>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</si>
  <si>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</si>
  <si>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</si>
  <si>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</si>
  <si>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</si>
  <si>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</si>
  <si>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</si>
  <si>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</si>
  <si>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</si>
  <si>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</si>
  <si>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</si>
  <si>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</si>
  <si>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</si>
  <si>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</si>
  <si>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</si>
  <si>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</si>
  <si>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</si>
  <si>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</si>
  <si>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</si>
  <si>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</si>
  <si>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</si>
  <si>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</si>
  <si>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</si>
  <si>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</si>
  <si>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</si>
  <si>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</si>
  <si>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</si>
  <si>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</si>
  <si>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</si>
  <si>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PSBC</t>
  </si>
  <si>
    <t>2120012839</t>
  </si>
  <si>
    <t>146923</t>
  </si>
  <si>
    <t>2000007261</t>
  </si>
  <si>
    <t>2000005779</t>
  </si>
  <si>
    <t>PAMC/CBC/CLC</t>
  </si>
  <si>
    <t>FBLYC/FBAC/FBLC</t>
  </si>
  <si>
    <t>PP BOTT.</t>
  </si>
  <si>
    <t>CLC/SDC/CBC</t>
  </si>
  <si>
    <t>SML500C/PP500C</t>
  </si>
  <si>
    <t>130458</t>
  </si>
  <si>
    <t>BANK ACCOUNT</t>
  </si>
  <si>
    <t>2130016745</t>
  </si>
  <si>
    <t>2778</t>
  </si>
  <si>
    <t>147172</t>
  </si>
  <si>
    <t>ELIZABETH HENSON</t>
  </si>
  <si>
    <t>PODIOTAN, AIR JOHN</t>
  </si>
  <si>
    <t>MGYZ</t>
  </si>
  <si>
    <t>2120012846</t>
  </si>
  <si>
    <t>147483</t>
  </si>
  <si>
    <t>37670</t>
  </si>
  <si>
    <t>5089363</t>
  </si>
  <si>
    <t>BANK TRANSFER</t>
  </si>
  <si>
    <t>146556</t>
  </si>
  <si>
    <t>BALWARTE</t>
  </si>
  <si>
    <t>LOPEZ, GINA GRACE</t>
  </si>
  <si>
    <t>42972</t>
  </si>
  <si>
    <t>147500</t>
  </si>
  <si>
    <t>147503</t>
  </si>
  <si>
    <t>132727</t>
  </si>
  <si>
    <t xml:space="preserve">SHORT / OVER </t>
  </si>
  <si>
    <t>42975</t>
  </si>
  <si>
    <t>RHL BOTT.</t>
  </si>
  <si>
    <t>2120012862</t>
  </si>
  <si>
    <t>143445</t>
  </si>
  <si>
    <t>2000007285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</si>
</sst>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49" fontId="9" fillId="0" borderId="16" xfId="0" applyNumberFormat="1" applyFont="1" applyBorder="1" applyAlignment="1">
      <alignment horizontal="right"/>
    </xf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A331B-1B43-4D5A-9D6F-11C173367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368B24-6204-47D3-885D-430467C61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C842D-C3FE-4E46-A67C-20D45BFD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06349D-5FBB-4278-8024-C8F694711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9B4FE9-D4A2-4A6F-8DB2-2DB558DFC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66BCAB-2AFF-4879-A391-42D0B1B28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B6258E-390B-4197-B691-BEAA230895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264ED2-BB4C-4503-95B3-5CBE2A270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92D6D-08D1-433E-9544-22E1ABE49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EEF2F-FC77-416C-9380-7EA8A52F6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D8A63E-D80E-4F48-9DCE-E978CBC7B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D0744-7F5F-44A1-B4FC-87EED2E6C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512F5C-3498-4471-9A9B-6431B7BEF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764FFA-47FB-40F4-BE2F-7B5FEA8F07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87129-E4C7-44B8-B222-E21B0C49F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B3B236-EA64-427D-A13F-344E620C2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21F0A5-C9B4-4E4B-A2EA-DB4843A7D5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6CB722-7DA0-43C7-BAF0-BA6EF8565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A5FF40-1162-4ADC-8995-1C18F19FD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484B4-DD3B-4F6F-A332-8E11C97CF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B01701-28AA-4CD2-87F9-49365CB90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B05F71-6B92-4593-8429-EACF651E1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0A936-F7FA-4360-B34F-57397B007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97156C-0C2D-4708-9153-7A0E4932B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B29E-1C69-4A93-B2D1-629D546D47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626647-1A03-4076-A61E-1B3885E7E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5DB615-A9F7-459D-B1CA-79F6FB42C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A141A0-06B6-4CE7-8719-A331F7AB4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D42E4-9EB6-4274-93DD-B86F8D157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87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46055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283</v>
      </c>
      <c r="D6" s="13">
        <f t="shared" ref="D6:D28" si="1">C6*L6</f>
        <v>215363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10</v>
      </c>
      <c r="D7" s="13">
        <f t="shared" si="1"/>
        <v>7810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118</v>
      </c>
      <c r="D9" s="13">
        <f t="shared" si="1"/>
        <v>86494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14</v>
      </c>
      <c r="D13" s="48">
        <f t="shared" si="1"/>
        <v>4298</v>
      </c>
      <c r="F13" s="247" t="s">
        <v>36</v>
      </c>
      <c r="G13" s="211"/>
      <c r="H13" s="202">
        <f>D29</f>
        <v>314042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7</v>
      </c>
      <c r="D14" s="31">
        <f t="shared" si="1"/>
        <v>77</v>
      </c>
      <c r="F14" s="205" t="s">
        <v>39</v>
      </c>
      <c r="G14" s="206"/>
      <c r="H14" s="207">
        <f>D54</f>
        <v>21381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292661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324*6</f>
        <v>1944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0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87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314042</v>
      </c>
      <c r="F29" s="119" t="s">
        <v>55</v>
      </c>
      <c r="G29" s="181"/>
      <c r="H29" s="141">
        <f>H15-H16-H17-H18-H19-H20-H22-H23-H24+H26+H27+H28</f>
        <v>290717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163">
        <f t="shared" ref="H34:H39" si="2">F34*G34</f>
        <v>35000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63">
        <f t="shared" si="2"/>
        <v>9500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163">
        <f t="shared" si="2"/>
        <v>5800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163">
        <f t="shared" si="2"/>
        <v>700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101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158">
        <v>233510.5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146</v>
      </c>
      <c r="G45" s="62"/>
      <c r="H45" s="158">
        <v>5935.5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3</v>
      </c>
      <c r="D49" s="12">
        <f>C49*42</f>
        <v>126</v>
      </c>
      <c r="F49" s="139" t="s">
        <v>86</v>
      </c>
      <c r="G49" s="141">
        <f>H34+H35+H36+H37+H38+H39+H40+H41+G42+H44+H45+H46</f>
        <v>290547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34</v>
      </c>
      <c r="D50" s="12">
        <f>C50*1.5</f>
        <v>51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-170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46055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458</v>
      </c>
      <c r="D6" s="13">
        <f t="shared" ref="D6:D28" si="1">C6*L6</f>
        <v>348538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11</v>
      </c>
      <c r="D7" s="13">
        <f t="shared" si="1"/>
        <v>8591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53</v>
      </c>
      <c r="D9" s="13">
        <f t="shared" si="1"/>
        <v>38849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20</v>
      </c>
      <c r="D13" s="48">
        <f t="shared" si="1"/>
        <v>6140</v>
      </c>
      <c r="F13" s="247" t="s">
        <v>36</v>
      </c>
      <c r="G13" s="211"/>
      <c r="H13" s="202">
        <f>D29</f>
        <v>403660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22</v>
      </c>
      <c r="D14" s="31">
        <f t="shared" si="1"/>
        <v>242</v>
      </c>
      <c r="F14" s="205" t="s">
        <v>39</v>
      </c>
      <c r="G14" s="206"/>
      <c r="H14" s="207">
        <f>D54</f>
        <v>63054.75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340605.25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492*6</f>
        <v>2952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87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403660</v>
      </c>
      <c r="F29" s="119" t="s">
        <v>55</v>
      </c>
      <c r="G29" s="181"/>
      <c r="H29" s="141">
        <f>H15-H16-H17-H18-H19-H20-H22-H23-H24+H26+H27</f>
        <v>337653.25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63">
        <f>F34*G34</f>
        <v>154000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163">
        <f t="shared" ref="H35:H39" si="2">F35*G35</f>
        <v>154500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3">
        <f>F36*G36</f>
        <v>400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163">
        <f t="shared" si="2"/>
        <v>18700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163">
        <f t="shared" si="2"/>
        <v>10100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3">
        <v>66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89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21</v>
      </c>
      <c r="D49" s="12">
        <f>C49*42</f>
        <v>882</v>
      </c>
      <c r="F49" s="139" t="s">
        <v>86</v>
      </c>
      <c r="G49" s="141">
        <f>H34+H35+H36+H37+H38+H39+H40+H41+G42+H44+H45+H46</f>
        <v>337766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18</v>
      </c>
      <c r="D50" s="12">
        <f>C50*1.5</f>
        <v>27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112.75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46055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330</v>
      </c>
      <c r="D6" s="13">
        <f t="shared" ref="D6:D28" si="1">C6*L6</f>
        <v>251130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7</v>
      </c>
      <c r="D7" s="13">
        <f t="shared" si="1"/>
        <v>5467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40</v>
      </c>
      <c r="D9" s="13">
        <f t="shared" si="1"/>
        <v>29320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7</v>
      </c>
      <c r="D13" s="48">
        <f t="shared" si="1"/>
        <v>2149</v>
      </c>
      <c r="F13" s="247" t="s">
        <v>36</v>
      </c>
      <c r="G13" s="211"/>
      <c r="H13" s="202">
        <f>D29</f>
        <v>293070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4</v>
      </c>
      <c r="D14" s="31">
        <f t="shared" si="1"/>
        <v>44</v>
      </c>
      <c r="F14" s="205" t="s">
        <v>39</v>
      </c>
      <c r="G14" s="206"/>
      <c r="H14" s="207">
        <f>D54</f>
        <v>43414.5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249655.5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648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87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293070</v>
      </c>
      <c r="F29" s="119" t="s">
        <v>55</v>
      </c>
      <c r="G29" s="181"/>
      <c r="H29" s="141">
        <f>H15-H16-H17-H18-H19-H20-H22-H23-H24+H26+H27</f>
        <v>249007.5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163">
        <f>F34*G34</f>
        <v>144000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163">
        <f>F35*G35</f>
        <v>28500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163">
        <f t="shared" si="2"/>
        <v>9200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163">
        <f t="shared" si="2"/>
        <v>350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119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0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158">
        <v>67807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</v>
      </c>
      <c r="D49" s="12">
        <f>C49*42</f>
        <v>84</v>
      </c>
      <c r="F49" s="139" t="s">
        <v>86</v>
      </c>
      <c r="G49" s="141">
        <f>H34+H35+H36+H37+H38+H39+H40+H41+G42+H44+H45+H46</f>
        <v>250016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7</v>
      </c>
      <c r="D50" s="12">
        <f>C50*1.5</f>
        <v>10.5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1008.5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46056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307</v>
      </c>
      <c r="D6" s="13">
        <f t="shared" ref="D6:D28" si="1">C6*L6</f>
        <v>233627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8</v>
      </c>
      <c r="D7" s="13">
        <f t="shared" si="1"/>
        <v>6248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20</v>
      </c>
      <c r="D9" s="13">
        <f t="shared" si="1"/>
        <v>14660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</v>
      </c>
      <c r="D13" s="48">
        <f t="shared" si="1"/>
        <v>614</v>
      </c>
      <c r="F13" s="247" t="s">
        <v>36</v>
      </c>
      <c r="G13" s="211"/>
      <c r="H13" s="202">
        <f>D29</f>
        <v>263815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2</v>
      </c>
      <c r="D14" s="31">
        <f t="shared" si="1"/>
        <v>22</v>
      </c>
      <c r="F14" s="205" t="s">
        <v>39</v>
      </c>
      <c r="G14" s="206"/>
      <c r="H14" s="207">
        <f>D54</f>
        <v>36288.75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227526.25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6*6</f>
        <v>36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2">
        <v>50</v>
      </c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151</v>
      </c>
      <c r="C26" s="84">
        <v>12</v>
      </c>
      <c r="D26" s="48">
        <f t="shared" si="1"/>
        <v>454</v>
      </c>
      <c r="F26" s="75"/>
      <c r="G26" s="65"/>
      <c r="H26" s="158"/>
      <c r="I26" s="158"/>
      <c r="J26" s="158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5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5</v>
      </c>
      <c r="D28" s="48">
        <f t="shared" si="1"/>
        <v>4055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263815</v>
      </c>
      <c r="F29" s="119" t="s">
        <v>55</v>
      </c>
      <c r="G29" s="181"/>
      <c r="H29" s="141">
        <f>H15-H16-H17-H18-H19-H20-H22-H23-H24+H26+H27+H28</f>
        <v>227440.25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163">
        <f t="shared" ref="H34:H39" si="2">F34*G34</f>
        <v>191000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163">
        <f t="shared" si="2"/>
        <v>33500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163">
        <f t="shared" si="2"/>
        <v>2600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3">
        <v>19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/>
      <c r="G44" s="85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2</v>
      </c>
      <c r="D45" s="12">
        <f>C45*84</f>
        <v>168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20</v>
      </c>
      <c r="D46" s="12">
        <f>C46*1.5</f>
        <v>30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227219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10</v>
      </c>
      <c r="D50" s="12">
        <f>C50*1.5</f>
        <v>15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-221.25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46056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242</v>
      </c>
      <c r="D6" s="13">
        <f t="shared" ref="D6:D28" si="1">C6*L6</f>
        <v>184162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7</v>
      </c>
      <c r="D7" s="13">
        <f t="shared" si="1"/>
        <v>5467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33</v>
      </c>
      <c r="D9" s="13">
        <f t="shared" si="1"/>
        <v>24189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4</v>
      </c>
      <c r="D13" s="48">
        <f t="shared" si="1"/>
        <v>1228</v>
      </c>
      <c r="F13" s="247" t="s">
        <v>36</v>
      </c>
      <c r="G13" s="211"/>
      <c r="H13" s="202">
        <f>D29</f>
        <v>216897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9</v>
      </c>
      <c r="D14" s="31">
        <f t="shared" si="1"/>
        <v>99</v>
      </c>
      <c r="F14" s="205" t="s">
        <v>39</v>
      </c>
      <c r="G14" s="206"/>
      <c r="H14" s="207">
        <f>D54</f>
        <v>35701.5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181195.5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140*6</f>
        <v>840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216897</v>
      </c>
      <c r="F29" s="119" t="s">
        <v>55</v>
      </c>
      <c r="G29" s="181"/>
      <c r="H29" s="141">
        <f>H15-H16-H17-H18-H19-H20-H22-H23-H24+H26+H27</f>
        <v>180355.5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163">
        <f>F34*G34</f>
        <v>154000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163">
        <f t="shared" ref="H35:H39" si="2">F35*G35</f>
        <v>25500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163">
        <f t="shared" si="2"/>
        <v>700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12</v>
      </c>
      <c r="D42" s="12">
        <f>C42*2.25</f>
        <v>27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94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</v>
      </c>
      <c r="D49" s="12">
        <f>C49*42</f>
        <v>84</v>
      </c>
      <c r="F49" s="139" t="s">
        <v>86</v>
      </c>
      <c r="G49" s="141">
        <f>H34+H35+H36+H37+H38+H39+H40+H41+G42+H44+H45+H46</f>
        <v>180250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4</v>
      </c>
      <c r="D50" s="12">
        <f>C50*1.5</f>
        <v>6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248">
        <f>G49-H29</f>
        <v>-105.5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46056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414</v>
      </c>
      <c r="D6" s="13">
        <f t="shared" ref="D6:D28" si="1">C6*L6</f>
        <v>315054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4</v>
      </c>
      <c r="D7" s="13">
        <f t="shared" si="1"/>
        <v>3124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35</v>
      </c>
      <c r="D9" s="13">
        <f t="shared" si="1"/>
        <v>25655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154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3</v>
      </c>
      <c r="D12" s="48">
        <f t="shared" si="1"/>
        <v>2976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12</v>
      </c>
      <c r="D13" s="48">
        <f t="shared" si="1"/>
        <v>3684</v>
      </c>
      <c r="F13" s="247" t="s">
        <v>36</v>
      </c>
      <c r="G13" s="211"/>
      <c r="H13" s="202">
        <f>D29</f>
        <v>355427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4</v>
      </c>
      <c r="D14" s="31">
        <f t="shared" si="1"/>
        <v>44</v>
      </c>
      <c r="F14" s="205" t="s">
        <v>39</v>
      </c>
      <c r="G14" s="206"/>
      <c r="H14" s="207">
        <f>D54</f>
        <v>51192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304235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329*6+50*6</f>
        <v>2274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355427</v>
      </c>
      <c r="F29" s="119" t="s">
        <v>55</v>
      </c>
      <c r="G29" s="181"/>
      <c r="H29" s="141">
        <f>H15-H16-H17-H18-H19-H20-H22-H23-H24+H26+H27</f>
        <v>301961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163">
        <f>F34*G34</f>
        <v>54000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63">
        <f>F35*G35</f>
        <v>21000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3">
        <f t="shared" ref="H36:H39" si="2">F36*G36</f>
        <v>600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163">
        <f t="shared" si="2"/>
        <v>8300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163">
        <f t="shared" si="2"/>
        <v>550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6</v>
      </c>
      <c r="D42" s="12">
        <f>C42*2.25</f>
        <v>13.5</v>
      </c>
      <c r="F42" s="39" t="s">
        <v>79</v>
      </c>
      <c r="G42" s="163">
        <v>480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158">
        <v>216552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23</v>
      </c>
      <c r="D46" s="12">
        <f>C46*1.5</f>
        <v>34.5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7</v>
      </c>
      <c r="D49" s="12">
        <f>C49*42</f>
        <v>294</v>
      </c>
      <c r="F49" s="139" t="s">
        <v>86</v>
      </c>
      <c r="G49" s="141">
        <f>H34+H35+H36+H37+H38+H39+H40+H41+G42+H44+H45+H46</f>
        <v>301482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20</v>
      </c>
      <c r="D50" s="12">
        <f>C50*1.5</f>
        <v>30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-479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46057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235</v>
      </c>
      <c r="D6" s="13">
        <f t="shared" ref="D6:D28" si="1">C6*L6</f>
        <v>178835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2</v>
      </c>
      <c r="D7" s="13">
        <f t="shared" si="1"/>
        <v>1562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22</v>
      </c>
      <c r="D9" s="13">
        <f t="shared" si="1"/>
        <v>16126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5</v>
      </c>
      <c r="D13" s="48">
        <f t="shared" si="1"/>
        <v>1535</v>
      </c>
      <c r="F13" s="247" t="s">
        <v>36</v>
      </c>
      <c r="G13" s="211"/>
      <c r="H13" s="202">
        <f>D29</f>
        <v>198091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3</v>
      </c>
      <c r="D14" s="31">
        <f t="shared" si="1"/>
        <v>33</v>
      </c>
      <c r="F14" s="205" t="s">
        <v>39</v>
      </c>
      <c r="G14" s="206"/>
      <c r="H14" s="207">
        <f>D54</f>
        <v>31146.75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166944.25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5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198091</v>
      </c>
      <c r="F29" s="119" t="s">
        <v>55</v>
      </c>
      <c r="G29" s="181"/>
      <c r="H29" s="141">
        <f>H15-H16-H17-H18-H19-H20-H22-H23-H24+H26+H27+H28</f>
        <v>166944.25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63">
        <f t="shared" ref="H34:H39" si="2">F34*G34</f>
        <v>120000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163">
        <f t="shared" si="2"/>
        <v>16000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 t="shared" si="2"/>
        <v>200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163">
        <f t="shared" si="2"/>
        <v>500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163">
        <f t="shared" si="2"/>
        <v>200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5</v>
      </c>
      <c r="D42" s="12">
        <f>C42*2.25</f>
        <v>11.25</v>
      </c>
      <c r="F42" s="39" t="s">
        <v>79</v>
      </c>
      <c r="G42" s="163">
        <v>25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157</v>
      </c>
      <c r="G44" s="85"/>
      <c r="H44" s="158">
        <v>30000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166925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43</v>
      </c>
      <c r="D50" s="12">
        <f>C50*1.5</f>
        <v>64.5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-19.25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46057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203</v>
      </c>
      <c r="D6" s="13">
        <f t="shared" ref="D6:D28" si="1">C6*L6</f>
        <v>154483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3905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18</v>
      </c>
      <c r="D9" s="13">
        <f t="shared" si="1"/>
        <v>13194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176482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</v>
      </c>
      <c r="D14" s="31">
        <f t="shared" si="1"/>
        <v>11</v>
      </c>
      <c r="F14" s="205" t="s">
        <v>39</v>
      </c>
      <c r="G14" s="206"/>
      <c r="H14" s="207">
        <f>D54</f>
        <v>26237.25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150244.75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3</v>
      </c>
      <c r="D28" s="48">
        <f t="shared" si="1"/>
        <v>2433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176482</v>
      </c>
      <c r="F29" s="119" t="s">
        <v>55</v>
      </c>
      <c r="G29" s="181"/>
      <c r="H29" s="141">
        <f>H15-H16-H17-H18-H19-H20-H22-H23-H24+H26+H27</f>
        <v>150244.75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163">
        <f>F34*G34</f>
        <v>129000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163">
        <f t="shared" ref="H35:H39" si="2">F35*G35</f>
        <v>12000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63">
        <f>F36*G36</f>
        <v>400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163">
        <f t="shared" si="2"/>
        <v>7100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163">
        <f t="shared" si="2"/>
        <v>1850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3">
        <v>110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</v>
      </c>
      <c r="D46" s="12">
        <f>C46*1.5</f>
        <v>3</v>
      </c>
      <c r="F46" s="37"/>
      <c r="G46" s="94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150460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3</v>
      </c>
      <c r="D50" s="12">
        <f>C50*1.5</f>
        <v>4.5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215.25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46057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474</v>
      </c>
      <c r="D6" s="13">
        <f t="shared" ref="D6:D28" si="1">C6*L6</f>
        <v>360714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20</v>
      </c>
      <c r="D7" s="13">
        <f t="shared" si="1"/>
        <v>15620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2</v>
      </c>
      <c r="D8" s="13">
        <f t="shared" si="1"/>
        <v>2186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143</v>
      </c>
      <c r="D9" s="13">
        <f t="shared" si="1"/>
        <v>104819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3</v>
      </c>
      <c r="D10" s="13">
        <f t="shared" si="1"/>
        <v>3096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505520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73287.75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432232.25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144*6+329*6+121*6</f>
        <v>3564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>
        <v>50</v>
      </c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4</v>
      </c>
      <c r="D28" s="48">
        <f t="shared" si="1"/>
        <v>3244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505520</v>
      </c>
      <c r="F29" s="119" t="s">
        <v>55</v>
      </c>
      <c r="G29" s="181"/>
      <c r="H29" s="141">
        <f>H15-H16-H17-H18-H19-H20-H22-H23-H24+H26+H27</f>
        <v>428618.25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163">
        <f>F34*G34</f>
        <v>184000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163">
        <f>F35*G35</f>
        <v>30000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163">
        <f t="shared" si="2"/>
        <v>3600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163">
        <f t="shared" si="2"/>
        <v>1050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3</v>
      </c>
      <c r="D42" s="12">
        <f>C42*2.25</f>
        <v>6.75</v>
      </c>
      <c r="F42" s="39" t="s">
        <v>79</v>
      </c>
      <c r="G42" s="163">
        <v>106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158">
        <v>209026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6</v>
      </c>
      <c r="D45" s="12">
        <f>C45*84</f>
        <v>504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22</v>
      </c>
      <c r="D46" s="12">
        <f>C46*1.5</f>
        <v>33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5</v>
      </c>
      <c r="D49" s="12">
        <f>C49*42</f>
        <v>210</v>
      </c>
      <c r="F49" s="139" t="s">
        <v>86</v>
      </c>
      <c r="G49" s="141">
        <f>H34+H35+H36+H37+H38+H39+H40+H41+G42+H44+H45+H46</f>
        <v>427982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23</v>
      </c>
      <c r="D50" s="12">
        <f>C50*1.5</f>
        <v>34.5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159</v>
      </c>
      <c r="G51" s="248">
        <f>G49-H29</f>
        <v>-636.25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46058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207</v>
      </c>
      <c r="D6" s="13">
        <f t="shared" ref="D6:D28" si="1">C6*L6</f>
        <v>157527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</v>
      </c>
      <c r="D7" s="13">
        <f t="shared" si="1"/>
        <v>781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33</v>
      </c>
      <c r="D9" s="13">
        <f t="shared" si="1"/>
        <v>24189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4</v>
      </c>
      <c r="D13" s="48">
        <f t="shared" si="1"/>
        <v>1228</v>
      </c>
      <c r="F13" s="247" t="s">
        <v>36</v>
      </c>
      <c r="G13" s="211"/>
      <c r="H13" s="202">
        <f>D29</f>
        <v>194843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6</v>
      </c>
      <c r="D14" s="31">
        <f t="shared" si="1"/>
        <v>66</v>
      </c>
      <c r="F14" s="205" t="s">
        <v>39</v>
      </c>
      <c r="G14" s="206"/>
      <c r="H14" s="207">
        <f>D54</f>
        <v>28632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>
        <v>1</v>
      </c>
      <c r="D15" s="31">
        <f t="shared" si="1"/>
        <v>620</v>
      </c>
      <c r="F15" s="210" t="s">
        <v>40</v>
      </c>
      <c r="G15" s="211"/>
      <c r="H15" s="212">
        <f>H13-H14</f>
        <v>166211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>
        <v>1</v>
      </c>
      <c r="D19" s="48">
        <f t="shared" si="1"/>
        <v>1102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v>4</v>
      </c>
      <c r="D21" s="48">
        <f t="shared" si="1"/>
        <v>2600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83" t="s">
        <v>165</v>
      </c>
      <c r="C22" s="84">
        <v>3</v>
      </c>
      <c r="D22" s="48">
        <f t="shared" si="1"/>
        <v>4746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5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194843</v>
      </c>
      <c r="F29" s="119" t="s">
        <v>55</v>
      </c>
      <c r="G29" s="181"/>
      <c r="H29" s="141">
        <f>H15-H16-H17-H18-H19-H20-H22-H23-H24+H26+H27+H28</f>
        <v>166211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66</v>
      </c>
      <c r="H34" s="163">
        <f t="shared" ref="H34:H39" si="2">F34*G34</f>
        <v>66000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163">
        <f t="shared" si="2"/>
        <v>9500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232</v>
      </c>
      <c r="D37" s="12">
        <f>C37*111</f>
        <v>25752</v>
      </c>
      <c r="F37" s="12">
        <v>100</v>
      </c>
      <c r="G37" s="39">
        <v>31</v>
      </c>
      <c r="H37" s="163">
        <f t="shared" si="2"/>
        <v>3100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30</v>
      </c>
      <c r="H38" s="163">
        <f t="shared" si="2"/>
        <v>1500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49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3</v>
      </c>
      <c r="D44" s="12">
        <f>C44*120</f>
        <v>360</v>
      </c>
      <c r="F44" s="37" t="s">
        <v>160</v>
      </c>
      <c r="G44" s="99" t="s">
        <v>161</v>
      </c>
      <c r="H44" s="158">
        <v>85702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7</v>
      </c>
      <c r="D46" s="12">
        <f>C46*1.5</f>
        <v>10.5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165891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5</v>
      </c>
      <c r="D50" s="12">
        <f>C50*1.5</f>
        <v>7.5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-320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28632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46058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205</v>
      </c>
      <c r="D6" s="13">
        <f t="shared" ref="D6:D28" si="1">C6*L6</f>
        <v>156005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29</v>
      </c>
      <c r="D9" s="13">
        <f t="shared" si="1"/>
        <v>21257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2064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187600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2</v>
      </c>
      <c r="D14" s="31">
        <f t="shared" si="1"/>
        <v>22</v>
      </c>
      <c r="F14" s="205" t="s">
        <v>39</v>
      </c>
      <c r="G14" s="206"/>
      <c r="H14" s="207">
        <f>D54</f>
        <v>23733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163867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192*6</f>
        <v>1152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00" t="s">
        <v>166</v>
      </c>
      <c r="C19" s="10">
        <f>1+1</f>
        <v>2</v>
      </c>
      <c r="D19" s="48">
        <f t="shared" si="1"/>
        <v>2204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187600</v>
      </c>
      <c r="F29" s="119" t="s">
        <v>55</v>
      </c>
      <c r="G29" s="181"/>
      <c r="H29" s="141">
        <f>H15-H16-H17-H18-H19-H20-H22-H23-H24+H26+H27</f>
        <v>162715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28</v>
      </c>
      <c r="H34" s="163">
        <f>F34*G34</f>
        <v>28000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3">
        <f t="shared" ref="H35:H39" si="2">F35*G35</f>
        <v>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196</v>
      </c>
      <c r="D37" s="12">
        <f>C37*111</f>
        <v>21756</v>
      </c>
      <c r="F37" s="12">
        <v>100</v>
      </c>
      <c r="G37" s="39">
        <v>2</v>
      </c>
      <c r="H37" s="163">
        <f t="shared" si="2"/>
        <v>200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150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162</v>
      </c>
      <c r="H44" s="158">
        <v>134176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94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9</v>
      </c>
      <c r="D49" s="12">
        <f>C49*42</f>
        <v>378</v>
      </c>
      <c r="F49" s="139" t="s">
        <v>86</v>
      </c>
      <c r="G49" s="141">
        <f>H34+H35+H36+H37+H38+H39+H40+H41+G42+H44+H45+H46</f>
        <v>163026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4</v>
      </c>
      <c r="D50" s="12">
        <f>C50*1.5</f>
        <v>6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311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23733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46058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248</v>
      </c>
      <c r="D6" s="13">
        <f t="shared" ref="D6:D28" si="1">C6*L6</f>
        <v>188728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</v>
      </c>
      <c r="D9" s="13">
        <f t="shared" si="1"/>
        <v>4398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>
        <v>4</v>
      </c>
      <c r="D11" s="13">
        <f t="shared" si="1"/>
        <v>4680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3</v>
      </c>
      <c r="D12" s="48">
        <f t="shared" si="1"/>
        <v>2976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10</v>
      </c>
      <c r="D13" s="48">
        <f t="shared" si="1"/>
        <v>3070</v>
      </c>
      <c r="F13" s="247" t="s">
        <v>36</v>
      </c>
      <c r="G13" s="211"/>
      <c r="H13" s="202">
        <f>D29</f>
        <v>206767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9</v>
      </c>
      <c r="D14" s="31">
        <f t="shared" si="1"/>
        <v>99</v>
      </c>
      <c r="F14" s="205" t="s">
        <v>39</v>
      </c>
      <c r="G14" s="206"/>
      <c r="H14" s="207">
        <f>D54</f>
        <v>50062.5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v>1</v>
      </c>
      <c r="D15" s="31">
        <f t="shared" si="1"/>
        <v>620</v>
      </c>
      <c r="F15" s="210" t="s">
        <v>40</v>
      </c>
      <c r="G15" s="211"/>
      <c r="H15" s="212">
        <f>H13-H14</f>
        <v>156704.5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103*6+108*6</f>
        <v>1266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>
        <v>1</v>
      </c>
      <c r="D20" s="13">
        <f t="shared" si="1"/>
        <v>1102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167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206767</v>
      </c>
      <c r="F29" s="119" t="s">
        <v>55</v>
      </c>
      <c r="G29" s="181"/>
      <c r="H29" s="141">
        <f>H15-H16-H17-H18-H19-H20-H22-H23-H24+H26+H27</f>
        <v>155438.5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>
        <v>36</v>
      </c>
      <c r="H34" s="163">
        <f>F34*G34</f>
        <v>36000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63">
        <f>F35*G35</f>
        <v>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14</v>
      </c>
      <c r="D44" s="12">
        <f>C44*120</f>
        <v>1680</v>
      </c>
      <c r="F44" s="37" t="s">
        <v>146</v>
      </c>
      <c r="G44" s="76" t="s">
        <v>163</v>
      </c>
      <c r="H44" s="158">
        <f>56380</f>
        <v>56380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164</v>
      </c>
      <c r="H45" s="158">
        <v>62596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23</v>
      </c>
      <c r="D46" s="12">
        <f>C46*1.5</f>
        <v>34.5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155476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37.5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50062.5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46059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57</v>
      </c>
      <c r="D6" s="13">
        <f t="shared" ref="D6:D28" si="1">C6*L6</f>
        <v>43377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25</v>
      </c>
      <c r="D7" s="13">
        <f t="shared" si="1"/>
        <v>19525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10</v>
      </c>
      <c r="D8" s="13">
        <f t="shared" si="1"/>
        <v>10930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7</v>
      </c>
      <c r="D9" s="13">
        <f t="shared" si="1"/>
        <v>5131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50+5</f>
        <v>55</v>
      </c>
      <c r="D12" s="48">
        <f t="shared" si="1"/>
        <v>54560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</v>
      </c>
      <c r="D13" s="48">
        <f t="shared" si="1"/>
        <v>614</v>
      </c>
      <c r="F13" s="247" t="s">
        <v>36</v>
      </c>
      <c r="G13" s="211"/>
      <c r="H13" s="202">
        <f>D29</f>
        <v>175949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11</v>
      </c>
      <c r="D14" s="31">
        <f t="shared" si="1"/>
        <v>121</v>
      </c>
      <c r="F14" s="205" t="s">
        <v>39</v>
      </c>
      <c r="G14" s="206"/>
      <c r="H14" s="207">
        <f>D54</f>
        <v>27286.5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>
        <v>5</v>
      </c>
      <c r="D15" s="31">
        <f t="shared" si="1"/>
        <v>3100</v>
      </c>
      <c r="F15" s="210" t="s">
        <v>40</v>
      </c>
      <c r="G15" s="211"/>
      <c r="H15" s="212">
        <f>H13-H14</f>
        <v>148662.5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>
        <v>1</v>
      </c>
      <c r="D16" s="48">
        <f t="shared" si="1"/>
        <v>1702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168</v>
      </c>
      <c r="C17" s="84">
        <v>1</v>
      </c>
      <c r="D17" s="48">
        <f t="shared" si="1"/>
        <v>1582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10</v>
      </c>
      <c r="D18" s="48">
        <f t="shared" si="1"/>
        <v>6200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>
        <v>2</v>
      </c>
      <c r="D19" s="48">
        <f t="shared" si="1"/>
        <v>2204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>
        <f>2+5</f>
        <v>7</v>
      </c>
      <c r="D20" s="13">
        <f t="shared" si="1"/>
        <v>8225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f>5+1</f>
        <v>6</v>
      </c>
      <c r="D21" s="48">
        <f t="shared" si="1"/>
        <v>3900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00" t="s">
        <v>169</v>
      </c>
      <c r="C23" s="84">
        <f>2+2</f>
        <v>4</v>
      </c>
      <c r="D23" s="48">
        <f t="shared" si="1"/>
        <v>6668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5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>
        <v>10</v>
      </c>
      <c r="D28" s="48">
        <f t="shared" si="1"/>
        <v>8110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175949</v>
      </c>
      <c r="F29" s="119" t="s">
        <v>55</v>
      </c>
      <c r="G29" s="181"/>
      <c r="H29" s="141">
        <f>H15-H16-H17-H18-H19-H20-H22-H23-H24+H26+H27+H28</f>
        <v>148662.5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40</v>
      </c>
      <c r="H34" s="163">
        <f t="shared" ref="H34:H39" si="2">F34*G34</f>
        <v>40000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1</v>
      </c>
      <c r="H35" s="163">
        <f t="shared" si="2"/>
        <v>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69</v>
      </c>
      <c r="D37" s="12">
        <f>C37*111</f>
        <v>7659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158</v>
      </c>
      <c r="D38" s="12">
        <f>C38*84</f>
        <v>13272</v>
      </c>
      <c r="F38" s="30">
        <v>50</v>
      </c>
      <c r="G38" s="39">
        <v>2</v>
      </c>
      <c r="H38" s="163">
        <f t="shared" si="2"/>
        <v>100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14</v>
      </c>
      <c r="D41" s="12">
        <f>C41*84</f>
        <v>1176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128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58">
        <v>107519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46</v>
      </c>
      <c r="D45" s="12">
        <f>C45*84</f>
        <v>3864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148547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8</v>
      </c>
      <c r="D50" s="12">
        <f>C50*1.5</f>
        <v>12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-115.5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27286.5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46059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180</v>
      </c>
      <c r="D6" s="13">
        <f t="shared" ref="D6:D28" si="1">C6*L6</f>
        <v>136980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7</v>
      </c>
      <c r="D7" s="13">
        <f t="shared" si="1"/>
        <v>5467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54</v>
      </c>
      <c r="D9" s="13">
        <f t="shared" si="1"/>
        <v>39582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</v>
      </c>
      <c r="D10" s="13">
        <f t="shared" si="1"/>
        <v>1032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7</v>
      </c>
      <c r="D13" s="48">
        <f t="shared" si="1"/>
        <v>2149</v>
      </c>
      <c r="F13" s="247" t="s">
        <v>36</v>
      </c>
      <c r="G13" s="211"/>
      <c r="H13" s="202">
        <f>D29</f>
        <v>191902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10</v>
      </c>
      <c r="D14" s="31">
        <f t="shared" si="1"/>
        <v>110</v>
      </c>
      <c r="F14" s="205" t="s">
        <v>39</v>
      </c>
      <c r="G14" s="206"/>
      <c r="H14" s="207">
        <f>D54</f>
        <v>27573.75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164328.25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72">
        <v>20</v>
      </c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2</v>
      </c>
      <c r="D28" s="48">
        <f t="shared" si="1"/>
        <v>1622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191902</v>
      </c>
      <c r="F29" s="119" t="s">
        <v>55</v>
      </c>
      <c r="G29" s="181"/>
      <c r="H29" s="141">
        <f>H15-H16-H17-H18-H19-H20-H22-H23-H24+H26+H27</f>
        <v>164308.25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146</v>
      </c>
      <c r="H34" s="163">
        <f>F34*G34</f>
        <v>146000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163">
        <f t="shared" ref="H35:H39" si="2">F35*G35</f>
        <v>17000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228</v>
      </c>
      <c r="D37" s="12">
        <f>C37*111</f>
        <v>25308</v>
      </c>
      <c r="F37" s="12">
        <v>100</v>
      </c>
      <c r="G37" s="39">
        <v>10</v>
      </c>
      <c r="H37" s="163">
        <f t="shared" si="2"/>
        <v>1000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4</v>
      </c>
      <c r="H38" s="163">
        <f t="shared" si="2"/>
        <v>200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3">
        <v>109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</v>
      </c>
      <c r="D46" s="12">
        <f>C46*1.5</f>
        <v>3</v>
      </c>
      <c r="F46" s="37"/>
      <c r="G46" s="94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164309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</v>
      </c>
      <c r="D50" s="12">
        <f>C50*1.5</f>
        <v>1.5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0.75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27573.75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46059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159</v>
      </c>
      <c r="D6" s="13">
        <f t="shared" ref="D6:D28" si="1">C6*L6</f>
        <v>120999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5</v>
      </c>
      <c r="D7" s="13">
        <f t="shared" si="1"/>
        <v>3905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15</v>
      </c>
      <c r="D8" s="13">
        <f t="shared" si="1"/>
        <v>16395</v>
      </c>
      <c r="F8" s="234" t="s">
        <v>21</v>
      </c>
      <c r="G8" s="235" t="s">
        <v>126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22</v>
      </c>
      <c r="D9" s="13">
        <f t="shared" si="1"/>
        <v>16126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4</v>
      </c>
      <c r="D10" s="13">
        <f t="shared" si="1"/>
        <v>4128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2</v>
      </c>
      <c r="D11" s="13">
        <f t="shared" si="1"/>
        <v>2340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f>1+2</f>
        <v>3</v>
      </c>
      <c r="D12" s="48">
        <f t="shared" si="1"/>
        <v>2976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</v>
      </c>
      <c r="D13" s="48">
        <f t="shared" si="1"/>
        <v>307</v>
      </c>
      <c r="F13" s="247" t="s">
        <v>36</v>
      </c>
      <c r="G13" s="211"/>
      <c r="H13" s="202">
        <f>D29</f>
        <v>173376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14</v>
      </c>
      <c r="D14" s="31">
        <f t="shared" si="1"/>
        <v>154</v>
      </c>
      <c r="F14" s="205" t="s">
        <v>39</v>
      </c>
      <c r="G14" s="206"/>
      <c r="H14" s="207">
        <f>D54</f>
        <v>23477.25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149898.75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>
        <v>3</v>
      </c>
      <c r="D17" s="48">
        <f t="shared" si="1"/>
        <v>4746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2">
        <v>50</v>
      </c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5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173376</v>
      </c>
      <c r="F29" s="119" t="s">
        <v>55</v>
      </c>
      <c r="G29" s="181"/>
      <c r="H29" s="141">
        <f>H15-H16-H17-H18-H19-H20-H22-H23-H24+H26+H27+H28</f>
        <v>149848.75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120</v>
      </c>
      <c r="H34" s="163">
        <f t="shared" ref="H34:H39" si="2">F34*G34</f>
        <v>120000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63">
        <f t="shared" si="2"/>
        <v>15000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7</v>
      </c>
      <c r="H37" s="163">
        <f t="shared" si="2"/>
        <v>700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163">
        <f t="shared" si="2"/>
        <v>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3</v>
      </c>
      <c r="H39" s="163">
        <f t="shared" si="2"/>
        <v>60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15</v>
      </c>
      <c r="D42" s="12">
        <f>C42*2.25</f>
        <v>33.75</v>
      </c>
      <c r="F42" s="39" t="s">
        <v>79</v>
      </c>
      <c r="G42" s="163">
        <v>13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11</v>
      </c>
      <c r="D44" s="12">
        <f>C44*120</f>
        <v>1320</v>
      </c>
      <c r="F44" s="97" t="s">
        <v>171</v>
      </c>
      <c r="G44" s="85"/>
      <c r="H44" s="158">
        <v>14000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4</v>
      </c>
      <c r="D45" s="12">
        <f>C45*84</f>
        <v>336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149823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5</v>
      </c>
      <c r="D50" s="12">
        <f>C50*1.5</f>
        <v>7.5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-25.75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23477.25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333</v>
      </c>
      <c r="D6" s="13">
        <f t="shared" ref="D6:D28" si="1">C6*L6</f>
        <v>253413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11</v>
      </c>
      <c r="D7" s="13">
        <f t="shared" si="1"/>
        <v>8591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</v>
      </c>
      <c r="D9" s="13">
        <f t="shared" si="1"/>
        <v>2199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11</v>
      </c>
      <c r="D13" s="48">
        <f t="shared" si="1"/>
        <v>3377</v>
      </c>
      <c r="F13" s="247" t="s">
        <v>36</v>
      </c>
      <c r="G13" s="211"/>
      <c r="H13" s="202">
        <f>D29</f>
        <v>267745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15</v>
      </c>
      <c r="D14" s="31">
        <f t="shared" si="1"/>
        <v>165</v>
      </c>
      <c r="F14" s="205" t="s">
        <v>39</v>
      </c>
      <c r="G14" s="206"/>
      <c r="H14" s="207">
        <f>D54</f>
        <v>57427.5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210317.5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241*6</f>
        <v>1446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267745</v>
      </c>
      <c r="F29" s="119" t="s">
        <v>55</v>
      </c>
      <c r="G29" s="181"/>
      <c r="H29" s="141">
        <f>H15-H16-H17-H18-H19-H20-H22-H23-H24+H26+H27</f>
        <v>208871.5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63">
        <f>F34*G34</f>
        <v>41000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63">
        <f t="shared" ref="H35:H39" si="2">F35*G35</f>
        <v>20500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3">
        <f>F36*G36</f>
        <v>600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458</v>
      </c>
      <c r="D37" s="12">
        <f>C37*111</f>
        <v>50838</v>
      </c>
      <c r="F37" s="12">
        <v>100</v>
      </c>
      <c r="G37" s="39">
        <v>75</v>
      </c>
      <c r="H37" s="163">
        <f t="shared" si="2"/>
        <v>7500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9</v>
      </c>
      <c r="H38" s="163">
        <f t="shared" si="2"/>
        <v>450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34</v>
      </c>
      <c r="D40" s="12">
        <f>C40*111</f>
        <v>3774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2</v>
      </c>
      <c r="D42" s="12">
        <f>C42*2.25</f>
        <v>4.5</v>
      </c>
      <c r="F42" s="39" t="s">
        <v>79</v>
      </c>
      <c r="G42" s="163">
        <v>30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160</v>
      </c>
      <c r="G44" s="96" t="s">
        <v>172</v>
      </c>
      <c r="H44" s="158">
        <v>138760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94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10</v>
      </c>
      <c r="D49" s="12">
        <f>C49*42</f>
        <v>420</v>
      </c>
      <c r="F49" s="139" t="s">
        <v>86</v>
      </c>
      <c r="G49" s="141">
        <f>H34+H35+H36+H37+H38+H39+H40+H41+G42+H44+H45+H46</f>
        <v>208840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14</v>
      </c>
      <c r="D50" s="12">
        <f>C50*1.5</f>
        <v>21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248">
        <f>G49-H29</f>
        <v>-31.5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57427.5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358</v>
      </c>
      <c r="D6" s="13">
        <f t="shared" ref="D6:D28" si="1">C6*L6</f>
        <v>272438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10</v>
      </c>
      <c r="D7" s="13">
        <f t="shared" si="1"/>
        <v>7810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16</v>
      </c>
      <c r="D9" s="13">
        <f t="shared" si="1"/>
        <v>11728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3</v>
      </c>
      <c r="D13" s="48">
        <f t="shared" si="1"/>
        <v>921</v>
      </c>
      <c r="F13" s="247" t="s">
        <v>36</v>
      </c>
      <c r="G13" s="211"/>
      <c r="H13" s="202">
        <f>D29</f>
        <v>294192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5</v>
      </c>
      <c r="D14" s="31">
        <f t="shared" si="1"/>
        <v>55</v>
      </c>
      <c r="F14" s="205" t="s">
        <v>39</v>
      </c>
      <c r="G14" s="206"/>
      <c r="H14" s="207">
        <f>D54</f>
        <v>44824.5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v>2</v>
      </c>
      <c r="D15" s="31">
        <f t="shared" si="1"/>
        <v>1240</v>
      </c>
      <c r="F15" s="210" t="s">
        <v>40</v>
      </c>
      <c r="G15" s="211"/>
      <c r="H15" s="212">
        <f>H13-H14</f>
        <v>249367.5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50*6+184*6</f>
        <v>1404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294192</v>
      </c>
      <c r="F29" s="119" t="s">
        <v>55</v>
      </c>
      <c r="G29" s="181"/>
      <c r="H29" s="141">
        <f>H15-H16-H17-H18-H19-H20-H22-H23-H24+H26+H27</f>
        <v>247963.5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163">
        <f>F34*G34</f>
        <v>84000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63">
        <f>F35*G35</f>
        <v>39000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358</v>
      </c>
      <c r="D37" s="12">
        <f>C37*111</f>
        <v>39738</v>
      </c>
      <c r="F37" s="12">
        <v>100</v>
      </c>
      <c r="G37" s="39">
        <v>19</v>
      </c>
      <c r="H37" s="163">
        <f t="shared" si="2"/>
        <v>1900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21</v>
      </c>
      <c r="H38" s="163">
        <f t="shared" si="2"/>
        <v>1050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24</v>
      </c>
      <c r="D40" s="12">
        <f>C40*111</f>
        <v>2664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4</v>
      </c>
      <c r="D42" s="12">
        <f>C42*2.25</f>
        <v>9</v>
      </c>
      <c r="F42" s="39" t="s">
        <v>79</v>
      </c>
      <c r="G42" s="163">
        <v>56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146</v>
      </c>
      <c r="G44" s="76" t="s">
        <v>173</v>
      </c>
      <c r="H44" s="158">
        <v>121864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8</v>
      </c>
      <c r="D46" s="12">
        <f>C46*1.5</f>
        <v>12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7</v>
      </c>
      <c r="D49" s="12">
        <f>C49*42</f>
        <v>294</v>
      </c>
      <c r="F49" s="139" t="s">
        <v>86</v>
      </c>
      <c r="G49" s="141">
        <f>H34+H35+H36+H37+H38+H39+H40+H41+G42+H44+H45+H46</f>
        <v>247890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</v>
      </c>
      <c r="D50" s="12">
        <f>C50*1.5</f>
        <v>3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-73.5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44824.5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92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350</v>
      </c>
      <c r="D6" s="13">
        <f t="shared" ref="D6:D28" si="1">C6*L6</f>
        <v>266350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11</v>
      </c>
      <c r="D7" s="13">
        <f t="shared" si="1"/>
        <v>8591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14</v>
      </c>
      <c r="D9" s="13">
        <f t="shared" si="1"/>
        <v>10262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10</v>
      </c>
      <c r="D10" s="13">
        <f t="shared" si="1"/>
        <v>10320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5</v>
      </c>
      <c r="D11" s="13">
        <f t="shared" si="1"/>
        <v>5850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10</v>
      </c>
      <c r="D13" s="48">
        <f t="shared" si="1"/>
        <v>3070</v>
      </c>
      <c r="F13" s="247" t="s">
        <v>36</v>
      </c>
      <c r="G13" s="211"/>
      <c r="H13" s="202">
        <f>D29</f>
        <v>305952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19</v>
      </c>
      <c r="D14" s="31">
        <f t="shared" si="1"/>
        <v>209</v>
      </c>
      <c r="F14" s="205" t="s">
        <v>39</v>
      </c>
      <c r="G14" s="206"/>
      <c r="H14" s="207">
        <f>D54</f>
        <v>50665.5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255286.5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231*6</f>
        <v>1386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95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305952</v>
      </c>
      <c r="F29" s="119" t="s">
        <v>55</v>
      </c>
      <c r="G29" s="181"/>
      <c r="H29" s="141">
        <f>H15-H16-H17-H18-H19-H20-H22-H23-H24+H26+H27+H28</f>
        <v>253900.5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74</v>
      </c>
      <c r="H34" s="163">
        <f t="shared" ref="H34:H39" si="2">F34*G34</f>
        <v>74000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163">
        <f t="shared" si="2"/>
        <v>25000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6</v>
      </c>
      <c r="H36" s="163">
        <f t="shared" si="2"/>
        <v>1200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29</v>
      </c>
      <c r="H37" s="163">
        <f t="shared" si="2"/>
        <v>2900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163">
        <f t="shared" si="2"/>
        <v>200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3">
        <v>7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145</v>
      </c>
      <c r="G44" s="62" t="s">
        <v>174</v>
      </c>
      <c r="H44" s="158">
        <v>150599.5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10</v>
      </c>
      <c r="D46" s="12">
        <f>C46*1.5</f>
        <v>15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9</v>
      </c>
      <c r="D49" s="12">
        <f>C49*42</f>
        <v>378</v>
      </c>
      <c r="F49" s="139" t="s">
        <v>86</v>
      </c>
      <c r="G49" s="141">
        <f>H34+H35+H36+H37+H38+H39+H40+H41+G42+H44+H45+H46</f>
        <v>253906.5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14</v>
      </c>
      <c r="D50" s="12">
        <f>C50*1.5</f>
        <v>21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6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50665.5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328</v>
      </c>
      <c r="D6" s="13">
        <f t="shared" ref="D6:D28" si="1">C6*L6</f>
        <v>249608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106</v>
      </c>
      <c r="D9" s="13">
        <f t="shared" si="1"/>
        <v>77698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176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f>1+1</f>
        <v>2</v>
      </c>
      <c r="D12" s="48">
        <f t="shared" si="1"/>
        <v>1984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21</v>
      </c>
      <c r="D13" s="48">
        <f t="shared" si="1"/>
        <v>6447</v>
      </c>
      <c r="F13" s="247" t="s">
        <v>36</v>
      </c>
      <c r="G13" s="211"/>
      <c r="H13" s="202">
        <f>D29</f>
        <v>336387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52480.5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283906.5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434*6</f>
        <v>2604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336387</v>
      </c>
      <c r="F29" s="119" t="s">
        <v>55</v>
      </c>
      <c r="G29" s="181"/>
      <c r="H29" s="141">
        <f>H15-H16-H17-H18-H19-H20-H22-H23-H24+H26+H27</f>
        <v>281302.5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163">
        <f>F34*G34</f>
        <v>31000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502</v>
      </c>
      <c r="H35" s="163">
        <f t="shared" ref="H35:H39" si="2">F35*G35</f>
        <v>251000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460</v>
      </c>
      <c r="D37" s="12">
        <f>C37*111</f>
        <v>51060</v>
      </c>
      <c r="F37" s="12">
        <v>100</v>
      </c>
      <c r="G37" s="39">
        <v>1</v>
      </c>
      <c r="H37" s="163">
        <f t="shared" si="2"/>
        <v>100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41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94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16</v>
      </c>
      <c r="D49" s="12">
        <f>C49*42</f>
        <v>672</v>
      </c>
      <c r="F49" s="139" t="s">
        <v>86</v>
      </c>
      <c r="G49" s="141">
        <f>H34+H35+H36+H37+H38+H39+H40+H41+G42+H44+H45+H46</f>
        <v>282141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</v>
      </c>
      <c r="D50" s="12">
        <f>C50*1.5</f>
        <v>3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838.5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52480.5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46062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305</v>
      </c>
      <c r="D6" s="13">
        <f t="shared" ref="D6:D28" si="1">C6*L6</f>
        <v>232105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10</v>
      </c>
      <c r="D7" s="13">
        <f t="shared" si="1"/>
        <v>7810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1093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85</v>
      </c>
      <c r="D9" s="13">
        <f t="shared" si="1"/>
        <v>62305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</v>
      </c>
      <c r="D10" s="13">
        <f t="shared" si="1"/>
        <v>2064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13</v>
      </c>
      <c r="D13" s="48">
        <f t="shared" si="1"/>
        <v>3991</v>
      </c>
      <c r="F13" s="247" t="s">
        <v>36</v>
      </c>
      <c r="G13" s="211"/>
      <c r="H13" s="202">
        <f>D29</f>
        <v>309916.5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4</v>
      </c>
      <c r="D14" s="31">
        <f t="shared" si="1"/>
        <v>44</v>
      </c>
      <c r="F14" s="205" t="s">
        <v>39</v>
      </c>
      <c r="G14" s="206"/>
      <c r="H14" s="207">
        <f>D54</f>
        <v>42118.5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267798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106" t="s">
        <v>175</v>
      </c>
      <c r="G22" s="73">
        <v>8925</v>
      </c>
      <c r="H22" s="188">
        <v>141180</v>
      </c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10">
        <v>12</v>
      </c>
      <c r="D24" s="48">
        <f t="shared" si="1"/>
        <v>504.5</v>
      </c>
      <c r="F24" s="38"/>
      <c r="G24" s="37"/>
      <c r="H24" s="189"/>
      <c r="I24" s="158"/>
      <c r="J24" s="158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92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309916.5</v>
      </c>
      <c r="F29" s="119" t="s">
        <v>55</v>
      </c>
      <c r="G29" s="181"/>
      <c r="H29" s="141">
        <f>H15-H16-H17-H18-H19-H20-H22-H23-H24+H26+H27</f>
        <v>126618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69</v>
      </c>
      <c r="H34" s="163">
        <f>F34*G34</f>
        <v>69000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90</v>
      </c>
      <c r="H35" s="163">
        <f>F35*G35</f>
        <v>45000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124</v>
      </c>
      <c r="H37" s="163">
        <f t="shared" si="2"/>
        <v>12400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</v>
      </c>
      <c r="H38" s="163">
        <f t="shared" si="2"/>
        <v>250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18</v>
      </c>
      <c r="D42" s="12">
        <f>C42*2.25</f>
        <v>40.5</v>
      </c>
      <c r="F42" s="39" t="s">
        <v>79</v>
      </c>
      <c r="G42" s="163">
        <v>69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95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/>
      <c r="G44" s="76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17</v>
      </c>
      <c r="D46" s="12">
        <f>C46*1.5</f>
        <v>25.5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11</v>
      </c>
      <c r="D49" s="12">
        <f>C49*42</f>
        <v>462</v>
      </c>
      <c r="F49" s="139" t="s">
        <v>86</v>
      </c>
      <c r="G49" s="141">
        <f>H34+H35+H36+H37+H38+H39+H40+H41+G42+H44+H45+H46</f>
        <v>126719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5</v>
      </c>
      <c r="D50" s="12">
        <f>C50*1.5</f>
        <v>7.5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101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42118.5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6BEF1-3EAE-459A-9EA5-8569780E69D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2F3F-6634-4A65-810F-9DA276D44C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229</v>
      </c>
      <c r="D6" s="13">
        <f t="shared" ref="D6:D28" si="1">C6*L6</f>
        <v>174269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4</v>
      </c>
      <c r="D7" s="13">
        <f t="shared" si="1"/>
        <v>3124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25</v>
      </c>
      <c r="D9" s="13">
        <f t="shared" si="1"/>
        <v>18325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</v>
      </c>
      <c r="D13" s="48">
        <f t="shared" si="1"/>
        <v>614</v>
      </c>
      <c r="F13" s="247" t="s">
        <v>36</v>
      </c>
      <c r="G13" s="211"/>
      <c r="H13" s="202">
        <f>D29</f>
        <v>197103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11</v>
      </c>
      <c r="D14" s="31">
        <f t="shared" si="1"/>
        <v>121</v>
      </c>
      <c r="F14" s="205" t="s">
        <v>39</v>
      </c>
      <c r="G14" s="206"/>
      <c r="H14" s="207">
        <f>D54</f>
        <v>29223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167880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2">
        <v>214.28</v>
      </c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1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197103</v>
      </c>
      <c r="F29" s="119" t="s">
        <v>55</v>
      </c>
      <c r="G29" s="181"/>
      <c r="H29" s="141">
        <f>H15-H16-H17-H18-H19-H20-H22-H23-H24+H26+H27+H28</f>
        <v>167665.72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83</v>
      </c>
      <c r="H34" s="163">
        <f t="shared" ref="H34:H39" si="2">F34*G34</f>
        <v>83000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163">
        <f t="shared" si="2"/>
        <v>11500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255</v>
      </c>
      <c r="D37" s="12">
        <f>C37*111</f>
        <v>28305</v>
      </c>
      <c r="F37" s="12">
        <v>100</v>
      </c>
      <c r="G37" s="39">
        <v>27</v>
      </c>
      <c r="H37" s="163">
        <f t="shared" si="2"/>
        <v>2700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6</v>
      </c>
      <c r="H38" s="163">
        <f t="shared" si="2"/>
        <v>300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76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160</v>
      </c>
      <c r="G44" s="96" t="s">
        <v>178</v>
      </c>
      <c r="H44" s="158">
        <f>69966</f>
        <v>69966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35</v>
      </c>
      <c r="D46" s="12">
        <f>C46*1.5</f>
        <v>52.5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167542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13</v>
      </c>
      <c r="D50" s="12">
        <f>C50*1.5</f>
        <v>19.5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-123.72000000000116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29223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00AD5-F941-475F-B94A-40DBD7ADC5A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231</v>
      </c>
      <c r="D6" s="13">
        <f t="shared" ref="D6:D28" si="1">C6*L6</f>
        <v>175791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4</v>
      </c>
      <c r="D7" s="13">
        <f t="shared" si="1"/>
        <v>3124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22</v>
      </c>
      <c r="D9" s="13">
        <f t="shared" si="1"/>
        <v>16126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176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9</v>
      </c>
      <c r="D13" s="48">
        <f t="shared" si="1"/>
        <v>2763</v>
      </c>
      <c r="F13" s="247" t="s">
        <v>36</v>
      </c>
      <c r="G13" s="211"/>
      <c r="H13" s="202">
        <f>D29</f>
        <v>205618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15</v>
      </c>
      <c r="D14" s="31">
        <f t="shared" si="1"/>
        <v>165</v>
      </c>
      <c r="F14" s="205" t="s">
        <v>39</v>
      </c>
      <c r="G14" s="206"/>
      <c r="H14" s="207">
        <f>D54</f>
        <v>27680.25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177937.75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180*6</f>
        <v>1080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>
        <v>6</v>
      </c>
      <c r="D21" s="48">
        <f t="shared" si="1"/>
        <v>3900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177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205618</v>
      </c>
      <c r="F29" s="119" t="s">
        <v>55</v>
      </c>
      <c r="G29" s="181"/>
      <c r="H29" s="141">
        <f>H15-H16-H17-H18-H19-H20-H22-H23-H24+H26+H27</f>
        <v>176857.75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163">
        <f>F34*G34</f>
        <v>37000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163">
        <f t="shared" ref="H35:H39" si="2">F35*G35</f>
        <v>4000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63">
        <f>F36*G36</f>
        <v>600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63</v>
      </c>
      <c r="H37" s="163">
        <f t="shared" si="2"/>
        <v>6300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16</v>
      </c>
      <c r="H38" s="163">
        <f t="shared" si="2"/>
        <v>800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163">
        <f t="shared" si="2"/>
        <v>40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3</v>
      </c>
      <c r="D42" s="12">
        <f>C42*2.25</f>
        <v>6.75</v>
      </c>
      <c r="F42" s="39" t="s">
        <v>79</v>
      </c>
      <c r="G42" s="163">
        <v>720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179</v>
      </c>
      <c r="H44" s="158">
        <v>126833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7</v>
      </c>
      <c r="D49" s="12">
        <f>C49*42</f>
        <v>294</v>
      </c>
      <c r="F49" s="139" t="s">
        <v>86</v>
      </c>
      <c r="G49" s="141">
        <f>H34+H35+H36+H37+H38+H39+H40+H41+G42+H44+H45+H46</f>
        <v>176293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6</v>
      </c>
      <c r="D50" s="12">
        <f>C50*1.5</f>
        <v>9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248">
        <f>G49-H29</f>
        <v>-564.75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27680.25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8D229-A7B5-4355-82D2-C48C29245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46063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327</v>
      </c>
      <c r="D6" s="13">
        <f t="shared" ref="D6:D28" si="1">C6*L6</f>
        <v>248847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35</v>
      </c>
      <c r="D7" s="13">
        <f t="shared" si="1"/>
        <v>27335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10</v>
      </c>
      <c r="D8" s="13">
        <f t="shared" si="1"/>
        <v>10930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10</v>
      </c>
      <c r="D10" s="13">
        <f t="shared" si="1"/>
        <v>10320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317068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6</v>
      </c>
      <c r="D14" s="31">
        <f t="shared" si="1"/>
        <v>66</v>
      </c>
      <c r="F14" s="205" t="s">
        <v>39</v>
      </c>
      <c r="G14" s="206"/>
      <c r="H14" s="207">
        <f>D54</f>
        <v>40029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277039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>
        <v>10</v>
      </c>
      <c r="D21" s="48">
        <f t="shared" si="1"/>
        <v>6500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112" t="s">
        <v>175</v>
      </c>
      <c r="G26" s="59">
        <v>8925</v>
      </c>
      <c r="H26" s="193">
        <v>141180</v>
      </c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10</v>
      </c>
      <c r="D28" s="48">
        <f t="shared" si="1"/>
        <v>8110</v>
      </c>
      <c r="F28" s="10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317068</v>
      </c>
      <c r="F29" s="119" t="s">
        <v>55</v>
      </c>
      <c r="G29" s="181"/>
      <c r="H29" s="141">
        <f>H15-H16-H17-H18-H19-H20-H22-H23-H24+H26+H27</f>
        <v>418219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</v>
      </c>
      <c r="H34" s="163">
        <f>F34*G34</f>
        <v>13000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2</v>
      </c>
      <c r="H35" s="163">
        <f>F35*G35</f>
        <v>1000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13</v>
      </c>
      <c r="D36" s="12">
        <f>C36*1.5</f>
        <v>19.5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116</v>
      </c>
      <c r="D37" s="12">
        <f>C37*111</f>
        <v>12876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226</v>
      </c>
      <c r="D38" s="12">
        <f>C38*84</f>
        <v>18984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29</v>
      </c>
      <c r="D41" s="12">
        <f>C41*84</f>
        <v>2436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10</v>
      </c>
      <c r="D42" s="12">
        <f>C42*2.25</f>
        <v>22.5</v>
      </c>
      <c r="F42" s="39" t="s">
        <v>79</v>
      </c>
      <c r="G42" s="163">
        <v>40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180</v>
      </c>
      <c r="H44" s="158">
        <v>264377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48</v>
      </c>
      <c r="D45" s="12">
        <f>C45*84</f>
        <v>4032</v>
      </c>
      <c r="F45" s="97" t="s">
        <v>148</v>
      </c>
      <c r="G45" s="76" t="s">
        <v>181</v>
      </c>
      <c r="H45" s="158">
        <v>139920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16</v>
      </c>
      <c r="D46" s="12">
        <f>C46*1.5</f>
        <v>24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418337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118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40029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A3607-8A51-4BDE-B781-5004E482AD1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04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41782-0EFB-460B-AA97-D7679BD220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815</v>
      </c>
      <c r="D6" s="13">
        <f t="shared" ref="D6:D28" si="1">C6*L6</f>
        <v>620215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>
        <v>48</v>
      </c>
      <c r="D7" s="13">
        <f t="shared" si="1"/>
        <v>37488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108</v>
      </c>
      <c r="D9" s="13">
        <f t="shared" si="1"/>
        <v>79164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>
        <v>30</v>
      </c>
      <c r="D10" s="13">
        <f t="shared" si="1"/>
        <v>30960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10</v>
      </c>
      <c r="D11" s="13">
        <f t="shared" si="1"/>
        <v>11700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52</v>
      </c>
      <c r="D13" s="48">
        <f t="shared" si="1"/>
        <v>15964</v>
      </c>
      <c r="F13" s="247" t="s">
        <v>36</v>
      </c>
      <c r="G13" s="211"/>
      <c r="H13" s="202">
        <f>D29</f>
        <v>809196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5</v>
      </c>
      <c r="D14" s="31">
        <f t="shared" si="1"/>
        <v>55</v>
      </c>
      <c r="F14" s="205" t="s">
        <v>39</v>
      </c>
      <c r="G14" s="206"/>
      <c r="H14" s="207">
        <f>D54</f>
        <v>111525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697671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325*6+520*6+54</f>
        <v>5124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v>21</v>
      </c>
      <c r="D21" s="48">
        <f t="shared" si="1"/>
        <v>13650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 t="s">
        <v>184</v>
      </c>
      <c r="G22" s="73">
        <v>9073</v>
      </c>
      <c r="H22" s="188">
        <v>96418</v>
      </c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 t="s">
        <v>184</v>
      </c>
      <c r="G26" s="65">
        <v>8809</v>
      </c>
      <c r="H26" s="158">
        <v>108268</v>
      </c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1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809196</v>
      </c>
      <c r="F29" s="119" t="s">
        <v>55</v>
      </c>
      <c r="G29" s="181"/>
      <c r="H29" s="141">
        <f>H15-H16-H17-H18-H19-H20-H22-H23-H24+H26+H27+H28</f>
        <v>704397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146</v>
      </c>
      <c r="H34" s="163">
        <f t="shared" ref="H34:H39" si="2">F34*G34</f>
        <v>146000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63">
        <f t="shared" si="2"/>
        <v>46500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9</v>
      </c>
      <c r="H36" s="163">
        <f t="shared" si="2"/>
        <v>1800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966</v>
      </c>
      <c r="D37" s="12">
        <f>C37*111</f>
        <v>107226</v>
      </c>
      <c r="F37" s="12">
        <v>100</v>
      </c>
      <c r="G37" s="39">
        <v>374</v>
      </c>
      <c r="H37" s="163">
        <f t="shared" si="2"/>
        <v>37400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>
        <v>211</v>
      </c>
      <c r="H38" s="163">
        <f t="shared" si="2"/>
        <v>10550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100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5</v>
      </c>
      <c r="D44" s="12">
        <f>C44*120</f>
        <v>600</v>
      </c>
      <c r="F44" s="37" t="s">
        <v>146</v>
      </c>
      <c r="G44" s="85" t="s">
        <v>182</v>
      </c>
      <c r="H44" s="158">
        <v>108268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 t="s">
        <v>145</v>
      </c>
      <c r="G45" s="62" t="s">
        <v>183</v>
      </c>
      <c r="H45" s="158">
        <v>353553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21</v>
      </c>
      <c r="D49" s="12">
        <f>C49*42</f>
        <v>882</v>
      </c>
      <c r="F49" s="139" t="s">
        <v>86</v>
      </c>
      <c r="G49" s="141">
        <f>H34+H35+H36+H37+H38+H39+H40+H41+G42+H44+H45+H46</f>
        <v>704171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6</v>
      </c>
      <c r="D50" s="12">
        <f>C50*1.5</f>
        <v>9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-226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111525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E220F-95C3-4B00-9ED2-D9830D7B403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191</v>
      </c>
      <c r="D6" s="13">
        <f t="shared" ref="D6:D28" si="1">C6*L6</f>
        <v>145351</v>
      </c>
      <c r="F6" s="226" t="s">
        <v>16</v>
      </c>
      <c r="G6" s="228" t="s">
        <v>185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30</v>
      </c>
      <c r="D9" s="13">
        <f t="shared" si="1"/>
        <v>21990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170729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11</v>
      </c>
      <c r="D14" s="31">
        <f t="shared" si="1"/>
        <v>121</v>
      </c>
      <c r="F14" s="205" t="s">
        <v>39</v>
      </c>
      <c r="G14" s="206"/>
      <c r="H14" s="207">
        <f>D54</f>
        <v>25408.5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145320.5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103*6</f>
        <v>618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>
        <v>1</v>
      </c>
      <c r="D28" s="48">
        <f t="shared" si="1"/>
        <v>811</v>
      </c>
      <c r="F28" s="10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170729</v>
      </c>
      <c r="F29" s="119" t="s">
        <v>55</v>
      </c>
      <c r="G29" s="181"/>
      <c r="H29" s="141">
        <f>H15-H16-H17-H18-H19-H20-H22-H23-H24+H26+H27</f>
        <v>144702.5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163">
        <f>F34*G34</f>
        <v>104000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163">
        <f t="shared" ref="H35:H39" si="2">F35*G35</f>
        <v>39000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12</v>
      </c>
      <c r="H37" s="163">
        <f t="shared" si="2"/>
        <v>1200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>
        <v>8</v>
      </c>
      <c r="H38" s="163">
        <f t="shared" si="2"/>
        <v>400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32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10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6</v>
      </c>
      <c r="D49" s="12">
        <f>C49*42</f>
        <v>252</v>
      </c>
      <c r="F49" s="139" t="s">
        <v>86</v>
      </c>
      <c r="G49" s="141">
        <f>H34+H35+H36+H37+H38+H39+H40+H41+G42+H44+H45+H46</f>
        <v>144652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16</v>
      </c>
      <c r="D50" s="12">
        <f>C50*1.5</f>
        <v>24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248">
        <f>G49-H29</f>
        <v>-50.5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25408.5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6F15-010A-4314-AA01-AF466A85FD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46064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331</v>
      </c>
      <c r="D6" s="13">
        <f t="shared" ref="D6:D28" si="1">C6*L6</f>
        <v>251891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10</v>
      </c>
      <c r="D7" s="13">
        <f t="shared" si="1"/>
        <v>7810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36</v>
      </c>
      <c r="D9" s="13">
        <f t="shared" si="1"/>
        <v>26388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3</v>
      </c>
      <c r="D10" s="13">
        <f t="shared" si="1"/>
        <v>3096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1</v>
      </c>
      <c r="D12" s="48">
        <f t="shared" si="1"/>
        <v>992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9</v>
      </c>
      <c r="D13" s="48">
        <f t="shared" si="1"/>
        <v>2763</v>
      </c>
      <c r="F13" s="247" t="s">
        <v>36</v>
      </c>
      <c r="G13" s="211"/>
      <c r="H13" s="202">
        <f>D29</f>
        <v>295569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14</v>
      </c>
      <c r="D14" s="31">
        <f t="shared" si="1"/>
        <v>154</v>
      </c>
      <c r="F14" s="205" t="s">
        <v>39</v>
      </c>
      <c r="G14" s="206"/>
      <c r="H14" s="207">
        <f>D54</f>
        <v>44308.5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251260.5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251*6+65*6+61*6</f>
        <v>2262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72">
        <v>50</v>
      </c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18" t="s">
        <v>153</v>
      </c>
      <c r="C23" s="10">
        <f>1</f>
        <v>1</v>
      </c>
      <c r="D23" s="48">
        <f t="shared" si="1"/>
        <v>1175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0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295569</v>
      </c>
      <c r="F29" s="119" t="s">
        <v>55</v>
      </c>
      <c r="G29" s="181"/>
      <c r="H29" s="141">
        <f>H15-H16-H17-H18-H19-H20-H22-H23-H24+H26+H27</f>
        <v>248948.5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163">
        <f>F34*G34</f>
        <v>51000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163">
        <f>F35*G35</f>
        <v>20500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135</v>
      </c>
      <c r="H37" s="163">
        <f t="shared" si="2"/>
        <v>13500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2</v>
      </c>
      <c r="D42" s="12">
        <f>C42*2.25</f>
        <v>4.5</v>
      </c>
      <c r="F42" s="39" t="s">
        <v>79</v>
      </c>
      <c r="G42" s="163">
        <v>366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1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186</v>
      </c>
      <c r="H44" s="158">
        <v>163030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3</v>
      </c>
      <c r="D45" s="12">
        <f>C45*84</f>
        <v>252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22</v>
      </c>
      <c r="D48" s="12">
        <f>C48*78</f>
        <v>1716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6</v>
      </c>
      <c r="D49" s="12">
        <f>C49*42</f>
        <v>252</v>
      </c>
      <c r="F49" s="139" t="s">
        <v>86</v>
      </c>
      <c r="G49" s="141">
        <f>H34+H35+H36+H37+H38+H39+H40+H41+G42+H44+H45+H46</f>
        <v>248396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7</v>
      </c>
      <c r="D50" s="12">
        <f>C50*1.5</f>
        <v>10.5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-552.5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44308.5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EE804-9DD9-4165-89CB-7CF0A5AC68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E973-EE9C-4873-949E-FE1D92105B0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355</v>
      </c>
      <c r="D6" s="13">
        <f t="shared" ref="D6:D28" si="1">C6*L6</f>
        <v>270155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10</v>
      </c>
      <c r="D9" s="13">
        <f t="shared" si="1"/>
        <v>7330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10</v>
      </c>
      <c r="D13" s="48">
        <f t="shared" si="1"/>
        <v>3070</v>
      </c>
      <c r="F13" s="247" t="s">
        <v>36</v>
      </c>
      <c r="G13" s="211"/>
      <c r="H13" s="202">
        <f>D29</f>
        <v>280577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2</v>
      </c>
      <c r="D14" s="31">
        <f t="shared" si="1"/>
        <v>22</v>
      </c>
      <c r="F14" s="205" t="s">
        <v>39</v>
      </c>
      <c r="G14" s="206"/>
      <c r="H14" s="207">
        <f>D54</f>
        <v>40954.5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239622.5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324*6</f>
        <v>1944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7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0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280577</v>
      </c>
      <c r="F29" s="119" t="s">
        <v>55</v>
      </c>
      <c r="G29" s="181"/>
      <c r="H29" s="141">
        <f>H15-H16-H17-H18-H19-H20-H22-H23-H24+H26+H27+H28</f>
        <v>237678.5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169</v>
      </c>
      <c r="H34" s="163">
        <f t="shared" ref="H34:H39" si="2">F34*G34</f>
        <v>169000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137</v>
      </c>
      <c r="H35" s="163">
        <f t="shared" si="2"/>
        <v>68500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359</v>
      </c>
      <c r="D37" s="12">
        <f>C37*111</f>
        <v>39849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>
        <v>4</v>
      </c>
      <c r="H39" s="163">
        <f t="shared" si="2"/>
        <v>80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22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85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8</v>
      </c>
      <c r="D49" s="12">
        <f>C49*42</f>
        <v>336</v>
      </c>
      <c r="F49" s="139" t="s">
        <v>86</v>
      </c>
      <c r="G49" s="141">
        <f>H34+H35+H36+H37+H38+H39+H40+H41+G42+H44+H45+H46</f>
        <v>237602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3</v>
      </c>
      <c r="D50" s="12">
        <f>C50*1.5</f>
        <v>4.5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-76.5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40954.5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9C806-BC95-48E2-8F63-36E38F7C2898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212</v>
      </c>
      <c r="D6" s="13">
        <f t="shared" ref="D6:D28" si="1">C6*L6</f>
        <v>161332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20</v>
      </c>
      <c r="D8" s="13">
        <f t="shared" si="1"/>
        <v>21860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30</v>
      </c>
      <c r="D9" s="13">
        <f t="shared" si="1"/>
        <v>21990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20</v>
      </c>
      <c r="D10" s="13">
        <f t="shared" si="1"/>
        <v>20640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233825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10</v>
      </c>
      <c r="D14" s="31">
        <f t="shared" si="1"/>
        <v>110</v>
      </c>
      <c r="F14" s="205" t="s">
        <v>39</v>
      </c>
      <c r="G14" s="206"/>
      <c r="H14" s="207">
        <f>D54</f>
        <v>10731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223094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20*6+200*6</f>
        <v>1320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>
        <v>8</v>
      </c>
      <c r="D21" s="48">
        <f t="shared" si="1"/>
        <v>5200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167</v>
      </c>
      <c r="C26" s="10">
        <v>6</v>
      </c>
      <c r="D26" s="48">
        <f t="shared" si="1"/>
        <v>237</v>
      </c>
      <c r="F26" s="64"/>
      <c r="G26" s="10"/>
      <c r="H26" s="193"/>
      <c r="I26" s="194"/>
      <c r="J26" s="195"/>
      <c r="L26" s="7">
        <f>912/24+1.5</f>
        <v>39.5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0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233825</v>
      </c>
      <c r="F29" s="119" t="s">
        <v>55</v>
      </c>
      <c r="G29" s="181"/>
      <c r="H29" s="141">
        <f>H15-H16-H17-H18-H19-H20-H22-H23-H24+H26+H27</f>
        <v>221774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163">
        <f>F34*G34</f>
        <v>37000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6</v>
      </c>
      <c r="H35" s="163">
        <f t="shared" ref="H35:H39" si="2">F35*G35</f>
        <v>3000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95</v>
      </c>
      <c r="D37" s="12">
        <f>C37*111</f>
        <v>10545</v>
      </c>
      <c r="F37" s="12">
        <v>100</v>
      </c>
      <c r="G37" s="39">
        <v>3</v>
      </c>
      <c r="H37" s="163">
        <f t="shared" si="2"/>
        <v>300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19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 t="s">
        <v>145</v>
      </c>
      <c r="G44" s="62" t="s">
        <v>187</v>
      </c>
      <c r="H44" s="158">
        <v>160045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 t="s">
        <v>145</v>
      </c>
      <c r="G45" s="62" t="s">
        <v>188</v>
      </c>
      <c r="H45" s="158">
        <v>21040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08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221404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10</v>
      </c>
      <c r="D50" s="12">
        <f>C50*1.5</f>
        <v>15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155</v>
      </c>
      <c r="G51" s="248">
        <f>G49-H29</f>
        <v>-370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10731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B6855-9169-429C-8D8C-54BCAB25E7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46065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204</v>
      </c>
      <c r="D6" s="13">
        <f t="shared" ref="D6:D28" si="1">C6*L6</f>
        <v>155244</v>
      </c>
      <c r="F6" s="226" t="s">
        <v>16</v>
      </c>
      <c r="G6" s="228" t="s">
        <v>185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12</v>
      </c>
      <c r="D7" s="13">
        <f t="shared" si="1"/>
        <v>9372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30</v>
      </c>
      <c r="D9" s="13">
        <f t="shared" si="1"/>
        <v>21990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5</v>
      </c>
      <c r="D13" s="48">
        <f t="shared" si="1"/>
        <v>1535</v>
      </c>
      <c r="F13" s="247" t="s">
        <v>36</v>
      </c>
      <c r="G13" s="211"/>
      <c r="H13" s="202">
        <f>D29</f>
        <v>188141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29342.25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158798.75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50*6+50*6</f>
        <v>600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0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188141</v>
      </c>
      <c r="F29" s="119" t="s">
        <v>55</v>
      </c>
      <c r="G29" s="181"/>
      <c r="H29" s="141">
        <f>H15-H16-H17-H18-H19-H20-H22-H23-H24+H26+H27</f>
        <v>158198.75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116</v>
      </c>
      <c r="H34" s="163">
        <f>F34*G34</f>
        <v>116000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77</v>
      </c>
      <c r="H35" s="163">
        <f>F35*G35</f>
        <v>38500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 t="shared" ref="H36:H39" si="2">F36*G36</f>
        <v>200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242</v>
      </c>
      <c r="D37" s="12">
        <f>C37*111</f>
        <v>26862</v>
      </c>
      <c r="F37" s="12">
        <v>100</v>
      </c>
      <c r="G37" s="39">
        <v>19</v>
      </c>
      <c r="H37" s="163">
        <f t="shared" si="2"/>
        <v>1900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20</v>
      </c>
      <c r="H38" s="163">
        <f t="shared" si="2"/>
        <v>1000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4</v>
      </c>
      <c r="D41" s="12">
        <f>C41*84</f>
        <v>336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9</v>
      </c>
      <c r="D42" s="12">
        <f>C42*2.25</f>
        <v>20.25</v>
      </c>
      <c r="F42" s="39" t="s">
        <v>79</v>
      </c>
      <c r="G42" s="163">
        <v>1104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4</v>
      </c>
      <c r="D46" s="12">
        <f>C46*1.5</f>
        <v>6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158704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</v>
      </c>
      <c r="D50" s="12">
        <f>C50*1.5</f>
        <v>3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505.25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29342.25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F7D75-7D32-4829-9924-C070FCE9C49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0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919AD-FF90-466F-B057-11ECD60505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111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07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0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85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E20B-2060-482A-BB29-BFD7DE4C3D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150</v>
      </c>
      <c r="D6" s="13">
        <f t="shared" ref="D6:D28" si="1">C6*L6</f>
        <v>114150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5</v>
      </c>
      <c r="D8" s="13">
        <f t="shared" si="1"/>
        <v>5465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50</v>
      </c>
      <c r="D9" s="13">
        <f t="shared" si="1"/>
        <v>36650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>
        <v>5</v>
      </c>
      <c r="D10" s="13">
        <f t="shared" si="1"/>
        <v>5160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163881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31509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132372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210*6</f>
        <v>1260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0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163881</v>
      </c>
      <c r="F29" s="119" t="s">
        <v>55</v>
      </c>
      <c r="G29" s="181"/>
      <c r="H29" s="141">
        <f>H15-H16-H17-H18-H19-H20-H22-H23-H24+H26+H27</f>
        <v>131112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253</v>
      </c>
      <c r="D37" s="12">
        <f>C37*111</f>
        <v>28083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20</v>
      </c>
      <c r="D38" s="12">
        <f>C38*84</f>
        <v>1680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189</v>
      </c>
      <c r="H44" s="158">
        <v>131112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5</v>
      </c>
      <c r="D46" s="12">
        <f>C46*1.5</f>
        <v>7.5</v>
      </c>
      <c r="F46" s="37"/>
      <c r="G46" s="108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131112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19</v>
      </c>
      <c r="D50" s="12">
        <f>C50*1.5</f>
        <v>28.5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190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31509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8CC24-E10E-43E0-8365-664FBB40AC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46066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237</v>
      </c>
      <c r="D6" s="13">
        <f t="shared" ref="D6:D28" si="1">C6*L6</f>
        <v>180357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3905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6</v>
      </c>
      <c r="D9" s="13">
        <f t="shared" si="1"/>
        <v>4398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7</v>
      </c>
      <c r="D13" s="48">
        <f t="shared" si="1"/>
        <v>2149</v>
      </c>
      <c r="F13" s="247" t="s">
        <v>36</v>
      </c>
      <c r="G13" s="211"/>
      <c r="H13" s="202">
        <f>D29</f>
        <v>195791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2</v>
      </c>
      <c r="D14" s="31">
        <f t="shared" si="1"/>
        <v>22</v>
      </c>
      <c r="F14" s="205" t="s">
        <v>39</v>
      </c>
      <c r="G14" s="206"/>
      <c r="H14" s="207">
        <f>D54</f>
        <v>24539.25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171251.75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116*6+100*6</f>
        <v>1296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72">
        <v>50</v>
      </c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0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195791</v>
      </c>
      <c r="F29" s="119" t="s">
        <v>55</v>
      </c>
      <c r="G29" s="181"/>
      <c r="H29" s="141">
        <f>H15-H16-H17-H18-H19-H20-H22-H23-H24+H26+H27</f>
        <v>169905.75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67</v>
      </c>
      <c r="H34" s="163">
        <f>F34*G34</f>
        <v>67000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163">
        <f>F35*G35</f>
        <v>15000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190</v>
      </c>
      <c r="D37" s="12">
        <f>C37*111</f>
        <v>21090</v>
      </c>
      <c r="F37" s="12">
        <v>100</v>
      </c>
      <c r="G37" s="39">
        <v>64</v>
      </c>
      <c r="H37" s="163">
        <f t="shared" si="2"/>
        <v>6400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11</v>
      </c>
      <c r="D38" s="12">
        <f>C38*84</f>
        <v>924</v>
      </c>
      <c r="F38" s="30">
        <v>50</v>
      </c>
      <c r="G38" s="39">
        <v>94</v>
      </c>
      <c r="H38" s="163">
        <f t="shared" si="2"/>
        <v>4700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1</v>
      </c>
      <c r="H39" s="163">
        <f t="shared" si="2"/>
        <v>20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14</v>
      </c>
      <c r="D40" s="12">
        <f>C40*111</f>
        <v>1554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63">
        <v>20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0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191</v>
      </c>
      <c r="H44" s="158">
        <v>76694.5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1</v>
      </c>
      <c r="D46" s="12">
        <f>C46*1.5</f>
        <v>1.5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7</v>
      </c>
      <c r="D49" s="12">
        <f>C49*42</f>
        <v>294</v>
      </c>
      <c r="F49" s="139" t="s">
        <v>86</v>
      </c>
      <c r="G49" s="141">
        <f>H34+H35+H36+H37+H38+H39+H40+H41+G42+H44+H45+H46</f>
        <v>169834.5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</v>
      </c>
      <c r="D50" s="12">
        <f>C50*1.5</f>
        <v>3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-71.25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24539.25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1863D-4E44-4ED9-A9B2-787A90D8C4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4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50BE-690F-4CD6-BE8E-194C644FC3D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>
        <v>323</v>
      </c>
      <c r="D6" s="13">
        <f t="shared" ref="D6:D28" si="1">C6*L6</f>
        <v>245803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>
        <v>61</v>
      </c>
      <c r="D8" s="13">
        <f t="shared" si="1"/>
        <v>66673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>
        <v>40</v>
      </c>
      <c r="D9" s="13">
        <f t="shared" si="1"/>
        <v>29320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>
        <v>3</v>
      </c>
      <c r="D11" s="13">
        <f t="shared" si="1"/>
        <v>3510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>
        <v>5</v>
      </c>
      <c r="D12" s="48">
        <f t="shared" si="1"/>
        <v>4960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>
        <v>2</v>
      </c>
      <c r="D13" s="48">
        <f t="shared" si="1"/>
        <v>614</v>
      </c>
      <c r="F13" s="247" t="s">
        <v>36</v>
      </c>
      <c r="G13" s="211"/>
      <c r="H13" s="202">
        <f>D29</f>
        <v>354408.66666666669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>
        <v>13</v>
      </c>
      <c r="D14" s="31">
        <f t="shared" si="1"/>
        <v>143</v>
      </c>
      <c r="F14" s="205" t="s">
        <v>39</v>
      </c>
      <c r="G14" s="206"/>
      <c r="H14" s="207">
        <f>D54</f>
        <v>50364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>
        <v>1</v>
      </c>
      <c r="D15" s="31">
        <f t="shared" si="1"/>
        <v>620</v>
      </c>
      <c r="F15" s="210" t="s">
        <v>40</v>
      </c>
      <c r="G15" s="211"/>
      <c r="H15" s="212">
        <f>H13-H14</f>
        <v>304044.66666666669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2">
        <v>50</v>
      </c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192</v>
      </c>
      <c r="C24" s="84">
        <v>2</v>
      </c>
      <c r="D24" s="48">
        <f t="shared" si="1"/>
        <v>225.66666666666666</v>
      </c>
      <c r="F24" s="77"/>
      <c r="G24" s="79"/>
      <c r="H24" s="254"/>
      <c r="I24" s="255"/>
      <c r="J24" s="255"/>
      <c r="L24" s="47">
        <f>650/6+4.5</f>
        <v>112.83333333333333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7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354408.66666666669</v>
      </c>
      <c r="F29" s="119" t="s">
        <v>55</v>
      </c>
      <c r="G29" s="181"/>
      <c r="H29" s="141">
        <f>H15-H16-H17-H18-H19-H20-H22-H23-H24+H26+H27+H28</f>
        <v>303994.66666666669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145</v>
      </c>
      <c r="H34" s="163">
        <f t="shared" ref="H34:H39" si="2">F34*G34</f>
        <v>145000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20</v>
      </c>
      <c r="H35" s="163">
        <f t="shared" si="2"/>
        <v>10000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369</v>
      </c>
      <c r="D37" s="12">
        <f>C37*111</f>
        <v>40959</v>
      </c>
      <c r="F37" s="12">
        <v>100</v>
      </c>
      <c r="G37" s="39">
        <v>7</v>
      </c>
      <c r="H37" s="163">
        <f t="shared" si="2"/>
        <v>700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>
        <v>15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62</v>
      </c>
      <c r="D44" s="12">
        <f>C44*120</f>
        <v>7440</v>
      </c>
      <c r="F44" s="37" t="s">
        <v>146</v>
      </c>
      <c r="G44" s="85" t="s">
        <v>182</v>
      </c>
      <c r="H44" s="158">
        <v>76502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10</v>
      </c>
      <c r="D45" s="12">
        <f>C45*84</f>
        <v>840</v>
      </c>
      <c r="F45" s="37" t="s">
        <v>160</v>
      </c>
      <c r="G45" s="96" t="s">
        <v>193</v>
      </c>
      <c r="H45" s="158">
        <v>71750</v>
      </c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22</v>
      </c>
      <c r="D46" s="12">
        <f>C46*1.5</f>
        <v>33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303967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23</v>
      </c>
      <c r="D50" s="12">
        <f>C50*1.5</f>
        <v>34.5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-27.666666666686069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50364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8917B-09A1-4587-AA32-31A51FAA31C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309</v>
      </c>
      <c r="D6" s="13">
        <f t="shared" ref="D6:D28" si="1">C6*L6</f>
        <v>235149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5</v>
      </c>
      <c r="D7" s="13">
        <f t="shared" si="1"/>
        <v>3905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>
        <v>1</v>
      </c>
      <c r="D8" s="13">
        <f t="shared" si="1"/>
        <v>1093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6</v>
      </c>
      <c r="D13" s="48">
        <f t="shared" si="1"/>
        <v>1842</v>
      </c>
      <c r="F13" s="247" t="s">
        <v>36</v>
      </c>
      <c r="G13" s="211"/>
      <c r="H13" s="202">
        <f>D29</f>
        <v>242774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15</v>
      </c>
      <c r="D14" s="31">
        <f t="shared" si="1"/>
        <v>165</v>
      </c>
      <c r="F14" s="205" t="s">
        <v>39</v>
      </c>
      <c r="G14" s="206"/>
      <c r="H14" s="207">
        <f>D54</f>
        <v>33110.25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>
        <v>1</v>
      </c>
      <c r="D15" s="31">
        <f t="shared" si="1"/>
        <v>620</v>
      </c>
      <c r="F15" s="210" t="s">
        <v>40</v>
      </c>
      <c r="G15" s="211"/>
      <c r="H15" s="212">
        <f>H13-H14</f>
        <v>209663.75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216*6</f>
        <v>1296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242774</v>
      </c>
      <c r="F29" s="119" t="s">
        <v>55</v>
      </c>
      <c r="G29" s="181"/>
      <c r="H29" s="141">
        <f>H15-H16-H17-H18-H19-H20-H22-H23-H24+H26+H27</f>
        <v>208367.75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50</v>
      </c>
      <c r="H34" s="163">
        <f>F34*G34</f>
        <v>50000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25</v>
      </c>
      <c r="H35" s="163">
        <f t="shared" ref="H35:H39" si="2">F35*G35</f>
        <v>12500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63">
        <f>F36*G36</f>
        <v>200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286</v>
      </c>
      <c r="D37" s="12">
        <f>C37*111</f>
        <v>31746</v>
      </c>
      <c r="F37" s="12">
        <v>100</v>
      </c>
      <c r="G37" s="39">
        <v>26</v>
      </c>
      <c r="H37" s="163">
        <f t="shared" si="2"/>
        <v>2600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8</v>
      </c>
      <c r="H38" s="163">
        <f t="shared" si="2"/>
        <v>400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3">
        <v>5</v>
      </c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194</v>
      </c>
      <c r="H44" s="158">
        <v>142807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6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1</v>
      </c>
      <c r="D49" s="12">
        <f>C49*42</f>
        <v>42</v>
      </c>
      <c r="F49" s="139" t="s">
        <v>86</v>
      </c>
      <c r="G49" s="141">
        <f>H34+H35+H36+H37+H38+H39+H40+H41+G42+H44+H45+H46</f>
        <v>208512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15</v>
      </c>
      <c r="D50" s="12">
        <f>C50*1.5</f>
        <v>22.5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144.25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33110.25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4CC24-2C4D-4035-B95B-AD3D0CC178DC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46067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>
        <v>328</v>
      </c>
      <c r="D6" s="13">
        <f t="shared" ref="D6:D28" si="1">C6*L6</f>
        <v>249608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>
        <v>8</v>
      </c>
      <c r="D7" s="13">
        <f t="shared" si="1"/>
        <v>6248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>
        <v>30</v>
      </c>
      <c r="D9" s="13">
        <f t="shared" si="1"/>
        <v>21990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>
        <v>3</v>
      </c>
      <c r="D12" s="48">
        <f t="shared" si="1"/>
        <v>2976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>
        <v>8</v>
      </c>
      <c r="D13" s="48">
        <f t="shared" si="1"/>
        <v>2456</v>
      </c>
      <c r="F13" s="247" t="s">
        <v>36</v>
      </c>
      <c r="G13" s="211"/>
      <c r="H13" s="202">
        <f>D29</f>
        <v>283410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>
        <v>12</v>
      </c>
      <c r="D14" s="31">
        <f t="shared" si="1"/>
        <v>132</v>
      </c>
      <c r="F14" s="205" t="s">
        <v>39</v>
      </c>
      <c r="G14" s="206"/>
      <c r="H14" s="207">
        <f>D54</f>
        <v>45153.75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238256.25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138*6+50*6+108*6</f>
        <v>1776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283410</v>
      </c>
      <c r="F29" s="119" t="s">
        <v>55</v>
      </c>
      <c r="G29" s="181"/>
      <c r="H29" s="141">
        <f>H15-H16-H17-H18-H19-H20-H22-H23-H24+H26+H27</f>
        <v>236480.25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109</v>
      </c>
      <c r="H34" s="163">
        <f>F34*G34</f>
        <v>109000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>
        <v>112</v>
      </c>
      <c r="H35" s="163">
        <f>F35*G35</f>
        <v>56000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>
        <v>387</v>
      </c>
      <c r="D37" s="12">
        <f>C37*111</f>
        <v>42957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>
        <v>1</v>
      </c>
      <c r="D44" s="12">
        <f>C44*120</f>
        <v>120</v>
      </c>
      <c r="F44" s="37" t="s">
        <v>146</v>
      </c>
      <c r="G44" s="76" t="s">
        <v>195</v>
      </c>
      <c r="H44" s="158">
        <v>70468</v>
      </c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>
        <v>1</v>
      </c>
      <c r="D45" s="12">
        <f>C45*84</f>
        <v>84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>
        <v>9</v>
      </c>
      <c r="D46" s="12">
        <f>C46*1.5</f>
        <v>13.5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>
        <v>3</v>
      </c>
      <c r="D49" s="12">
        <f>C49*42</f>
        <v>126</v>
      </c>
      <c r="F49" s="139" t="s">
        <v>86</v>
      </c>
      <c r="G49" s="141">
        <f>H34+H35+H36+H37+H38+H39+H40+H41+G42+H44+H45+H46</f>
        <v>235468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>
        <v>11</v>
      </c>
      <c r="D50" s="12">
        <f>C50*1.5</f>
        <v>16.5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-1012.25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45153.75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1D08-8380-493E-98F1-20EE02AD07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4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DBD59-7E14-457D-A573-6773418C2521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46069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144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7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85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FDF5B-7085-4B1C-B7E8-53C859FB26CA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46069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6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A34BA-DAD0-4841-8D3B-7E376C6151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46069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0588B-E0E6-47F0-B427-8EC7A13FED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4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E10BC-5765-49AE-9347-93B02498C9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1</v>
      </c>
      <c r="H4" s="220" t="s">
        <v>9</v>
      </c>
      <c r="I4" s="222">
        <v>46070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84"/>
      <c r="D6" s="13">
        <f t="shared" ref="D6:D28" si="1">C6*L6</f>
        <v>0</v>
      </c>
      <c r="F6" s="226" t="s">
        <v>16</v>
      </c>
      <c r="G6" s="228" t="s">
        <v>111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84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84"/>
      <c r="D8" s="13">
        <f t="shared" si="1"/>
        <v>0</v>
      </c>
      <c r="F8" s="234" t="s">
        <v>21</v>
      </c>
      <c r="G8" s="235" t="s">
        <v>111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84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84"/>
      <c r="D10" s="13">
        <f t="shared" si="1"/>
        <v>0</v>
      </c>
      <c r="F10" s="226" t="s">
        <v>26</v>
      </c>
      <c r="G10" s="241" t="s">
        <v>114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84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84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84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84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84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133</v>
      </c>
      <c r="C17" s="84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83"/>
      <c r="I19" s="183"/>
      <c r="J19" s="183"/>
      <c r="L19" s="6">
        <v>1102</v>
      </c>
      <c r="Q19" s="4"/>
      <c r="R19" s="5">
        <f t="shared" si="0"/>
        <v>0</v>
      </c>
    </row>
    <row r="20" spans="1:18" ht="15.75" x14ac:dyDescent="0.25">
      <c r="A20" s="161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124</v>
      </c>
      <c r="C22" s="84"/>
      <c r="D22" s="48">
        <f t="shared" si="1"/>
        <v>0</v>
      </c>
      <c r="F22" s="77"/>
      <c r="G22" s="73"/>
      <c r="H22" s="188"/>
      <c r="I22" s="188"/>
      <c r="J22" s="188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101</v>
      </c>
      <c r="C23" s="84"/>
      <c r="D23" s="48">
        <f t="shared" si="1"/>
        <v>0</v>
      </c>
      <c r="F23" s="77"/>
      <c r="G23" s="79"/>
      <c r="H23" s="254"/>
      <c r="I23" s="255"/>
      <c r="J23" s="255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118</v>
      </c>
      <c r="C24" s="84"/>
      <c r="D24" s="48">
        <f t="shared" si="1"/>
        <v>0</v>
      </c>
      <c r="F24" s="77"/>
      <c r="G24" s="79"/>
      <c r="H24" s="254"/>
      <c r="I24" s="255"/>
      <c r="J24" s="255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132</v>
      </c>
      <c r="C26" s="84"/>
      <c r="D26" s="48">
        <f t="shared" si="1"/>
        <v>0</v>
      </c>
      <c r="F26" s="75"/>
      <c r="G26" s="65"/>
      <c r="H26" s="158"/>
      <c r="I26" s="158"/>
      <c r="J26" s="158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110</v>
      </c>
      <c r="C27" s="84"/>
      <c r="D27" s="44">
        <f t="shared" si="1"/>
        <v>0</v>
      </c>
      <c r="F27" s="71"/>
      <c r="G27" s="117"/>
      <c r="H27" s="256"/>
      <c r="I27" s="257"/>
      <c r="J27" s="257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84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H15-H16-H17-H18-H19-H20-H22-H23-H24+H26+H27+H28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63">
        <f t="shared" ref="H34:H39" si="2"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si="2"/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si="2"/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85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8"/>
      <c r="I46" s="158"/>
      <c r="J46" s="158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128</v>
      </c>
      <c r="G51" s="248">
        <f>G49-H29</f>
        <v>0</v>
      </c>
      <c r="H51" s="249"/>
      <c r="I51" s="249"/>
      <c r="J51" s="250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251"/>
      <c r="H52" s="252"/>
      <c r="I52" s="252"/>
      <c r="J52" s="253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C6500-F270-49BF-BBB4-116CDFCAC50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2</v>
      </c>
      <c r="H4" s="220" t="s">
        <v>9</v>
      </c>
      <c r="I4" s="222">
        <v>46070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126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113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139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93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83"/>
      <c r="I20" s="183"/>
      <c r="J20" s="18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2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25"/>
      <c r="G23" s="37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120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10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14"/>
      <c r="G27" s="14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 t="shared" ref="H35:H39" si="2"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62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62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116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0082C-333E-445A-80B9-09922C258F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6" t="s">
        <v>7</v>
      </c>
      <c r="B4" s="167"/>
      <c r="C4" s="167"/>
      <c r="D4" s="168"/>
      <c r="F4" s="216" t="s">
        <v>8</v>
      </c>
      <c r="G4" s="218">
        <v>3</v>
      </c>
      <c r="H4" s="220" t="s">
        <v>9</v>
      </c>
      <c r="I4" s="222">
        <v>46070</v>
      </c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1"/>
      <c r="B6" s="16" t="s">
        <v>15</v>
      </c>
      <c r="C6" s="10"/>
      <c r="D6" s="13">
        <f t="shared" ref="D6:D28" si="1">C6*L6</f>
        <v>0</v>
      </c>
      <c r="F6" s="226" t="s">
        <v>16</v>
      </c>
      <c r="G6" s="228" t="s">
        <v>141</v>
      </c>
      <c r="H6" s="229"/>
      <c r="I6" s="229"/>
      <c r="J6" s="23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1"/>
      <c r="B7" s="16" t="s">
        <v>18</v>
      </c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1"/>
      <c r="B8" s="16" t="s">
        <v>20</v>
      </c>
      <c r="C8" s="10"/>
      <c r="D8" s="13">
        <f t="shared" si="1"/>
        <v>0</v>
      </c>
      <c r="F8" s="234" t="s">
        <v>21</v>
      </c>
      <c r="G8" s="235" t="s">
        <v>130</v>
      </c>
      <c r="H8" s="236"/>
      <c r="I8" s="236"/>
      <c r="J8" s="23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1"/>
      <c r="B9" s="16" t="s">
        <v>23</v>
      </c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1"/>
      <c r="B10" t="s">
        <v>25</v>
      </c>
      <c r="C10" s="10"/>
      <c r="D10" s="13">
        <f t="shared" si="1"/>
        <v>0</v>
      </c>
      <c r="F10" s="226" t="s">
        <v>26</v>
      </c>
      <c r="G10" s="241" t="s">
        <v>127</v>
      </c>
      <c r="H10" s="242"/>
      <c r="I10" s="242"/>
      <c r="J10" s="243"/>
      <c r="K10" s="8"/>
      <c r="L10" s="6">
        <f>R36</f>
        <v>1032</v>
      </c>
      <c r="P10" s="4"/>
      <c r="Q10" s="4"/>
      <c r="R10" s="5"/>
    </row>
    <row r="11" spans="1:18" ht="15.75" x14ac:dyDescent="0.25">
      <c r="A11" s="161"/>
      <c r="B11" s="17" t="s">
        <v>28</v>
      </c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1"/>
      <c r="B12" s="17" t="s">
        <v>30</v>
      </c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1"/>
      <c r="B13" s="17" t="s">
        <v>32</v>
      </c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1"/>
      <c r="B14" s="14" t="s">
        <v>35</v>
      </c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1"/>
      <c r="B15" s="14" t="s">
        <v>38</v>
      </c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1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B17" t="s">
        <v>112</v>
      </c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1"/>
      <c r="B22" s="46" t="s">
        <v>104</v>
      </c>
      <c r="C22" s="10"/>
      <c r="D22" s="48">
        <f t="shared" si="1"/>
        <v>0</v>
      </c>
      <c r="F22" s="77"/>
      <c r="G22" s="73"/>
      <c r="H22" s="188"/>
      <c r="I22" s="188"/>
      <c r="J22" s="188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 t="s">
        <v>107</v>
      </c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 t="s">
        <v>101</v>
      </c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 t="s">
        <v>105</v>
      </c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1"/>
      <c r="B27" s="14" t="s">
        <v>109</v>
      </c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 t="s">
        <v>97</v>
      </c>
      <c r="C28" s="10"/>
      <c r="D28" s="48">
        <f t="shared" si="1"/>
        <v>0</v>
      </c>
      <c r="F28" s="114"/>
      <c r="G28" s="61"/>
      <c r="H28" s="199"/>
      <c r="I28" s="200"/>
      <c r="J28" s="201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>
        <f>F34*G34</f>
        <v>0</v>
      </c>
      <c r="I34" s="164"/>
      <c r="J34" s="16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>
        <f>F35*G35</f>
        <v>0</v>
      </c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>
        <f t="shared" ref="H36:H39" si="2">F36*G36</f>
        <v>0</v>
      </c>
      <c r="I36" s="164"/>
      <c r="J36" s="16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>
        <f t="shared" si="2"/>
        <v>0</v>
      </c>
      <c r="I37" s="164"/>
      <c r="J37" s="16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>
        <f t="shared" si="2"/>
        <v>0</v>
      </c>
      <c r="I38" s="164"/>
      <c r="J38" s="16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>
        <f t="shared" si="2"/>
        <v>0</v>
      </c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O50" t="s">
        <v>137</v>
      </c>
      <c r="P50" s="4">
        <v>1204</v>
      </c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138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6FB04-77B0-4ABE-8DA7-1B37F31BF4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5" t="s">
        <v>1</v>
      </c>
      <c r="O1" s="215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6" t="s">
        <v>7</v>
      </c>
      <c r="B4" s="167"/>
      <c r="C4" s="167"/>
      <c r="D4" s="168"/>
      <c r="F4" s="216" t="s">
        <v>8</v>
      </c>
      <c r="G4" s="218"/>
      <c r="H4" s="220" t="s">
        <v>9</v>
      </c>
      <c r="I4" s="222"/>
      <c r="J4" s="22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0" t="s">
        <v>7</v>
      </c>
      <c r="B5" s="15" t="s">
        <v>11</v>
      </c>
      <c r="C5" s="9" t="s">
        <v>12</v>
      </c>
      <c r="D5" s="25" t="s">
        <v>13</v>
      </c>
      <c r="F5" s="217"/>
      <c r="G5" s="219"/>
      <c r="H5" s="221"/>
      <c r="I5" s="224"/>
      <c r="J5" s="22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1"/>
      <c r="B6" s="16"/>
      <c r="C6" s="10"/>
      <c r="D6" s="13">
        <f t="shared" ref="D6:D28" si="1">C6*L6</f>
        <v>0</v>
      </c>
      <c r="F6" s="226" t="s">
        <v>16</v>
      </c>
      <c r="G6" s="228"/>
      <c r="H6" s="229"/>
      <c r="I6" s="229"/>
      <c r="J6" s="23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1"/>
      <c r="B7" s="16"/>
      <c r="C7" s="10"/>
      <c r="D7" s="13">
        <f t="shared" si="1"/>
        <v>0</v>
      </c>
      <c r="F7" s="227"/>
      <c r="G7" s="231"/>
      <c r="H7" s="232"/>
      <c r="I7" s="232"/>
      <c r="J7" s="23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1"/>
      <c r="B8" s="16"/>
      <c r="C8" s="10"/>
      <c r="D8" s="13">
        <f t="shared" si="1"/>
        <v>0</v>
      </c>
      <c r="F8" s="234" t="s">
        <v>21</v>
      </c>
      <c r="G8" s="235"/>
      <c r="H8" s="236"/>
      <c r="I8" s="236"/>
      <c r="J8" s="23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1"/>
      <c r="B9" s="16"/>
      <c r="C9" s="10"/>
      <c r="D9" s="13">
        <f t="shared" si="1"/>
        <v>0</v>
      </c>
      <c r="F9" s="227"/>
      <c r="G9" s="238"/>
      <c r="H9" s="239"/>
      <c r="I9" s="239"/>
      <c r="J9" s="24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1"/>
      <c r="C10" s="10"/>
      <c r="D10" s="13">
        <f t="shared" si="1"/>
        <v>0</v>
      </c>
      <c r="F10" s="226" t="s">
        <v>26</v>
      </c>
      <c r="G10" s="241"/>
      <c r="H10" s="242"/>
      <c r="I10" s="242"/>
      <c r="J10" s="243"/>
      <c r="K10" s="8"/>
      <c r="L10" s="6">
        <f>R36</f>
        <v>972</v>
      </c>
      <c r="P10" s="4"/>
      <c r="Q10" s="4"/>
      <c r="R10" s="5"/>
    </row>
    <row r="11" spans="1:19" ht="15.75" x14ac:dyDescent="0.25">
      <c r="A11" s="161"/>
      <c r="B11" s="17"/>
      <c r="C11" s="10"/>
      <c r="D11" s="13">
        <f t="shared" si="1"/>
        <v>0</v>
      </c>
      <c r="F11" s="227"/>
      <c r="G11" s="238"/>
      <c r="H11" s="239"/>
      <c r="I11" s="239"/>
      <c r="J11" s="24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1"/>
      <c r="B12" s="17"/>
      <c r="C12" s="10"/>
      <c r="D12" s="48">
        <f t="shared" si="1"/>
        <v>0</v>
      </c>
      <c r="F12" s="244" t="s">
        <v>33</v>
      </c>
      <c r="G12" s="245"/>
      <c r="H12" s="245"/>
      <c r="I12" s="245"/>
      <c r="J12" s="24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1"/>
      <c r="B13" s="17"/>
      <c r="C13" s="10"/>
      <c r="D13" s="48">
        <f t="shared" si="1"/>
        <v>0</v>
      </c>
      <c r="F13" s="247" t="s">
        <v>36</v>
      </c>
      <c r="G13" s="211"/>
      <c r="H13" s="202">
        <f>D29</f>
        <v>0</v>
      </c>
      <c r="I13" s="203"/>
      <c r="J13" s="20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1"/>
      <c r="B14" s="14"/>
      <c r="C14" s="10"/>
      <c r="D14" s="31">
        <f t="shared" si="1"/>
        <v>0</v>
      </c>
      <c r="F14" s="205" t="s">
        <v>39</v>
      </c>
      <c r="G14" s="206"/>
      <c r="H14" s="207">
        <f>D54</f>
        <v>0</v>
      </c>
      <c r="I14" s="208"/>
      <c r="J14" s="20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1"/>
      <c r="B15" s="14"/>
      <c r="C15" s="10"/>
      <c r="D15" s="31">
        <f t="shared" si="1"/>
        <v>0</v>
      </c>
      <c r="F15" s="210" t="s">
        <v>40</v>
      </c>
      <c r="G15" s="211"/>
      <c r="H15" s="212">
        <f>H13-H14</f>
        <v>0</v>
      </c>
      <c r="I15" s="213"/>
      <c r="J15" s="21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1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1"/>
      <c r="C17" s="10"/>
      <c r="D17" s="48">
        <f t="shared" si="1"/>
        <v>0</v>
      </c>
      <c r="F17" s="56"/>
      <c r="G17" s="66" t="s">
        <v>45</v>
      </c>
      <c r="H17" s="183"/>
      <c r="I17" s="183"/>
      <c r="J17" s="18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1"/>
      <c r="B18" s="19"/>
      <c r="C18" s="10"/>
      <c r="D18" s="48">
        <f t="shared" si="1"/>
        <v>0</v>
      </c>
      <c r="F18" s="56"/>
      <c r="G18" s="66" t="s">
        <v>47</v>
      </c>
      <c r="H18" s="183"/>
      <c r="I18" s="183"/>
      <c r="J18" s="18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1"/>
      <c r="B19" s="14"/>
      <c r="C19" s="10"/>
      <c r="D19" s="48">
        <f t="shared" si="1"/>
        <v>0</v>
      </c>
      <c r="F19" s="56"/>
      <c r="G19" s="68" t="s">
        <v>50</v>
      </c>
      <c r="H19" s="184"/>
      <c r="I19" s="184"/>
      <c r="J19" s="18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1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61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85" t="s">
        <v>13</v>
      </c>
      <c r="I21" s="186"/>
      <c r="J21" s="187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1"/>
      <c r="B22" s="46"/>
      <c r="C22" s="10"/>
      <c r="D22" s="48">
        <f t="shared" si="1"/>
        <v>0</v>
      </c>
      <c r="F22" s="77"/>
      <c r="G22" s="73"/>
      <c r="H22" s="188"/>
      <c r="I22" s="188"/>
      <c r="J22" s="188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61"/>
      <c r="B23" s="14"/>
      <c r="C23" s="10"/>
      <c r="D23" s="48">
        <f t="shared" si="1"/>
        <v>0</v>
      </c>
      <c r="F23" s="78"/>
      <c r="G23" s="79"/>
      <c r="H23" s="189"/>
      <c r="I23" s="158"/>
      <c r="J23" s="158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61"/>
      <c r="B24" s="14"/>
      <c r="C24" s="10"/>
      <c r="D24" s="48">
        <f t="shared" si="1"/>
        <v>0</v>
      </c>
      <c r="F24" s="38"/>
      <c r="G24" s="37"/>
      <c r="H24" s="189"/>
      <c r="I24" s="158"/>
      <c r="J24" s="158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61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0" t="s">
        <v>13</v>
      </c>
      <c r="I25" s="191"/>
      <c r="J25" s="192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61"/>
      <c r="B26" s="14"/>
      <c r="C26" s="10"/>
      <c r="D26" s="48">
        <f t="shared" si="1"/>
        <v>0</v>
      </c>
      <c r="F26" s="64"/>
      <c r="G26" s="59"/>
      <c r="H26" s="193"/>
      <c r="I26" s="194"/>
      <c r="J26" s="195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1"/>
      <c r="B27" s="14"/>
      <c r="C27" s="10"/>
      <c r="D27" s="44">
        <f t="shared" si="1"/>
        <v>0</v>
      </c>
      <c r="F27" s="25"/>
      <c r="G27" s="80"/>
      <c r="H27" s="196"/>
      <c r="I27" s="197"/>
      <c r="J27" s="19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62"/>
      <c r="B28" s="46"/>
      <c r="C28" s="10"/>
      <c r="D28" s="48">
        <f t="shared" si="1"/>
        <v>0</v>
      </c>
      <c r="F28" s="114"/>
      <c r="G28" s="61"/>
      <c r="H28" s="199"/>
      <c r="I28" s="200"/>
      <c r="J28" s="201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19" t="s">
        <v>55</v>
      </c>
      <c r="G29" s="181"/>
      <c r="H29" s="141">
        <f>H15-H16-H17-H18-H19-H20-H22-H23-H24+H26+H27</f>
        <v>0</v>
      </c>
      <c r="I29" s="142"/>
      <c r="J29" s="143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22"/>
      <c r="G30" s="182"/>
      <c r="H30" s="144"/>
      <c r="I30" s="145"/>
      <c r="J30" s="14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6" t="s">
        <v>58</v>
      </c>
      <c r="B32" s="167"/>
      <c r="C32" s="167"/>
      <c r="D32" s="168"/>
      <c r="F32" s="169" t="s">
        <v>59</v>
      </c>
      <c r="G32" s="170"/>
      <c r="H32" s="170"/>
      <c r="I32" s="170"/>
      <c r="J32" s="171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169" t="s">
        <v>13</v>
      </c>
      <c r="I33" s="170"/>
      <c r="J33" s="171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0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63"/>
      <c r="I34" s="164"/>
      <c r="J34" s="16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1"/>
      <c r="B35" s="27" t="s">
        <v>68</v>
      </c>
      <c r="C35" s="52"/>
      <c r="D35" s="30">
        <f>C35*84</f>
        <v>0</v>
      </c>
      <c r="F35" s="58">
        <v>500</v>
      </c>
      <c r="G35" s="41"/>
      <c r="H35" s="163"/>
      <c r="I35" s="164"/>
      <c r="J35" s="16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62"/>
      <c r="B36" s="26" t="s">
        <v>70</v>
      </c>
      <c r="C36" s="10"/>
      <c r="D36" s="12">
        <f>C36*1.5</f>
        <v>0</v>
      </c>
      <c r="F36" s="12">
        <v>200</v>
      </c>
      <c r="G36" s="37"/>
      <c r="H36" s="163"/>
      <c r="I36" s="164"/>
      <c r="J36" s="16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0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63"/>
      <c r="I37" s="164"/>
      <c r="J37" s="16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1"/>
      <c r="B38" s="29" t="s">
        <v>68</v>
      </c>
      <c r="C38" s="54"/>
      <c r="D38" s="12">
        <f>C38*84</f>
        <v>0</v>
      </c>
      <c r="F38" s="30">
        <v>50</v>
      </c>
      <c r="G38" s="39"/>
      <c r="H38" s="163"/>
      <c r="I38" s="164"/>
      <c r="J38" s="16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2"/>
      <c r="B39" s="29" t="s">
        <v>70</v>
      </c>
      <c r="C39" s="52"/>
      <c r="D39" s="31">
        <f>C39*4.5</f>
        <v>0</v>
      </c>
      <c r="F39" s="12">
        <v>20</v>
      </c>
      <c r="G39" s="37"/>
      <c r="H39" s="163"/>
      <c r="I39" s="164"/>
      <c r="J39" s="16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60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63"/>
      <c r="I40" s="164"/>
      <c r="J40" s="16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1"/>
      <c r="B41" s="27" t="s">
        <v>68</v>
      </c>
      <c r="C41" s="10"/>
      <c r="D41" s="12">
        <f>C41*84</f>
        <v>0</v>
      </c>
      <c r="F41" s="12">
        <v>5</v>
      </c>
      <c r="G41" s="42"/>
      <c r="H41" s="163"/>
      <c r="I41" s="164"/>
      <c r="J41" s="16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2"/>
      <c r="B42" s="27" t="s">
        <v>70</v>
      </c>
      <c r="C42" s="11"/>
      <c r="D42" s="12">
        <f>C42*2.25</f>
        <v>0</v>
      </c>
      <c r="F42" s="39" t="s">
        <v>79</v>
      </c>
      <c r="G42" s="163"/>
      <c r="H42" s="164"/>
      <c r="I42" s="164"/>
      <c r="J42" s="16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3" t="s">
        <v>81</v>
      </c>
      <c r="C43" s="11"/>
      <c r="D43" s="12"/>
      <c r="F43" s="59" t="s">
        <v>82</v>
      </c>
      <c r="G43" s="117" t="s">
        <v>83</v>
      </c>
      <c r="H43" s="155" t="s">
        <v>13</v>
      </c>
      <c r="I43" s="156"/>
      <c r="J43" s="157"/>
      <c r="K43" s="21"/>
      <c r="P43" s="4"/>
      <c r="Q43" s="4"/>
      <c r="R43" s="5"/>
    </row>
    <row r="44" spans="1:18" ht="15.75" x14ac:dyDescent="0.25">
      <c r="A44" s="134"/>
      <c r="B44" s="27" t="s">
        <v>66</v>
      </c>
      <c r="C44" s="10"/>
      <c r="D44" s="12">
        <f>C44*120</f>
        <v>0</v>
      </c>
      <c r="F44" s="37"/>
      <c r="G44" s="76"/>
      <c r="H44" s="158"/>
      <c r="I44" s="158"/>
      <c r="J44" s="158"/>
      <c r="K44" s="21"/>
      <c r="P44" s="4"/>
      <c r="Q44" s="4"/>
      <c r="R44" s="5"/>
    </row>
    <row r="45" spans="1:18" ht="15.75" x14ac:dyDescent="0.25">
      <c r="A45" s="134"/>
      <c r="B45" s="27" t="s">
        <v>68</v>
      </c>
      <c r="C45" s="33"/>
      <c r="D45" s="12">
        <f>C45*84</f>
        <v>0</v>
      </c>
      <c r="F45" s="37"/>
      <c r="G45" s="76"/>
      <c r="H45" s="158"/>
      <c r="I45" s="158"/>
      <c r="J45" s="158"/>
      <c r="K45" s="21"/>
      <c r="P45" s="4"/>
      <c r="Q45" s="4"/>
      <c r="R45" s="5"/>
    </row>
    <row r="46" spans="1:18" ht="15.75" x14ac:dyDescent="0.25">
      <c r="A46" s="134"/>
      <c r="B46" s="49" t="s">
        <v>70</v>
      </c>
      <c r="C46" s="81"/>
      <c r="D46" s="12">
        <f>C46*1.5</f>
        <v>0</v>
      </c>
      <c r="F46" s="37"/>
      <c r="G46" s="62"/>
      <c r="H46" s="159"/>
      <c r="I46" s="159"/>
      <c r="J46" s="159"/>
      <c r="K46" s="21"/>
      <c r="P46" s="4"/>
      <c r="Q46" s="4"/>
      <c r="R46" s="5"/>
    </row>
    <row r="47" spans="1:18" ht="15.75" x14ac:dyDescent="0.25">
      <c r="A47" s="135"/>
      <c r="B47" s="27"/>
      <c r="C47" s="11"/>
      <c r="D47" s="12"/>
      <c r="F47" s="59"/>
      <c r="G47" s="59"/>
      <c r="H47" s="136"/>
      <c r="I47" s="137"/>
      <c r="J47" s="138"/>
      <c r="K47" s="21"/>
      <c r="P47" s="4"/>
      <c r="Q47" s="4"/>
      <c r="R47" s="5"/>
    </row>
    <row r="48" spans="1:18" ht="15" customHeight="1" x14ac:dyDescent="0.25">
      <c r="A48" s="133" t="s">
        <v>32</v>
      </c>
      <c r="B48" s="27" t="s">
        <v>66</v>
      </c>
      <c r="C48" s="10"/>
      <c r="D48" s="12">
        <f>C48*78</f>
        <v>0</v>
      </c>
      <c r="F48" s="59"/>
      <c r="G48" s="59"/>
      <c r="H48" s="136"/>
      <c r="I48" s="137"/>
      <c r="J48" s="138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34"/>
      <c r="B49" s="29" t="s">
        <v>68</v>
      </c>
      <c r="C49" s="33"/>
      <c r="D49" s="12">
        <f>C49*42</f>
        <v>0</v>
      </c>
      <c r="F49" s="139" t="s">
        <v>86</v>
      </c>
      <c r="G49" s="141">
        <f>H34+H35+H36+H37+H38+H39+H40+H41+G42+H44+H45+H46</f>
        <v>0</v>
      </c>
      <c r="H49" s="142"/>
      <c r="I49" s="142"/>
      <c r="J49" s="143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4"/>
      <c r="B50" s="32" t="s">
        <v>70</v>
      </c>
      <c r="C50" s="11"/>
      <c r="D50" s="12">
        <f>C50*1.5</f>
        <v>0</v>
      </c>
      <c r="F50" s="140"/>
      <c r="G50" s="144"/>
      <c r="H50" s="145"/>
      <c r="I50" s="145"/>
      <c r="J50" s="146"/>
      <c r="P50" s="4"/>
      <c r="Q50" s="4"/>
      <c r="R50" s="5"/>
    </row>
    <row r="51" spans="1:18" ht="15" customHeight="1" x14ac:dyDescent="0.25">
      <c r="A51" s="134"/>
      <c r="B51" s="27"/>
      <c r="C51" s="10"/>
      <c r="D51" s="31"/>
      <c r="F51" s="147" t="s">
        <v>125</v>
      </c>
      <c r="G51" s="149">
        <f>G49-H29</f>
        <v>0</v>
      </c>
      <c r="H51" s="150"/>
      <c r="I51" s="150"/>
      <c r="J51" s="151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4"/>
      <c r="B52" s="29"/>
      <c r="C52" s="33"/>
      <c r="D52" s="45"/>
      <c r="F52" s="148"/>
      <c r="G52" s="152"/>
      <c r="H52" s="153"/>
      <c r="I52" s="153"/>
      <c r="J52" s="154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5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19" t="s">
        <v>90</v>
      </c>
      <c r="B54" s="120"/>
      <c r="C54" s="121"/>
      <c r="D54" s="125">
        <f>SUM(D34:D53)</f>
        <v>0</v>
      </c>
      <c r="F54" s="21"/>
      <c r="J54" s="34"/>
    </row>
    <row r="55" spans="1:18" x14ac:dyDescent="0.25">
      <c r="A55" s="122"/>
      <c r="B55" s="123"/>
      <c r="C55" s="124"/>
      <c r="D55" s="12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7" t="s">
        <v>91</v>
      </c>
      <c r="B58" s="128"/>
      <c r="C58" s="128"/>
      <c r="D58" s="129"/>
      <c r="F58" s="127" t="s">
        <v>92</v>
      </c>
      <c r="G58" s="128"/>
      <c r="H58" s="128"/>
      <c r="I58" s="128"/>
      <c r="J58" s="129"/>
    </row>
    <row r="59" spans="1:18" x14ac:dyDescent="0.25">
      <c r="A59" s="130"/>
      <c r="B59" s="131"/>
      <c r="C59" s="131"/>
      <c r="D59" s="132"/>
      <c r="F59" s="130"/>
      <c r="G59" s="131"/>
      <c r="H59" s="131"/>
      <c r="I59" s="131"/>
      <c r="J59" s="13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58</vt:i4>
      </vt:variant>
      <vt:variant>
        <vt:lpstr>Named Ranges</vt:lpstr>
      </vt:variant>
      <vt:variant>
        <vt:i4>57</vt:i4>
      </vt:variant>
    </vt:vector>
  </HeadingPairs>
  <TitlesOfParts>
    <vt:vector size="115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 NO TRIP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(10)</vt:lpstr>
      <vt:lpstr>02,10 R1</vt:lpstr>
      <vt:lpstr>02,10 R2</vt:lpstr>
      <vt:lpstr>02,10 R3</vt:lpstr>
      <vt:lpstr>(11)</vt:lpstr>
      <vt:lpstr>02,11 R1</vt:lpstr>
      <vt:lpstr>02,11 R2</vt:lpstr>
      <vt:lpstr>02,11 R3</vt:lpstr>
      <vt:lpstr>(12)</vt:lpstr>
      <vt:lpstr>02,12 R1</vt:lpstr>
      <vt:lpstr>02,12 R2</vt:lpstr>
      <vt:lpstr>02,12 R3</vt:lpstr>
      <vt:lpstr>(13)</vt:lpstr>
      <vt:lpstr>02,13 R1 NO TRIP</vt:lpstr>
      <vt:lpstr>02,13 R2</vt:lpstr>
      <vt:lpstr>02,13 R3</vt:lpstr>
      <vt:lpstr>(14)</vt:lpstr>
      <vt:lpstr>02,14 R1</vt:lpstr>
      <vt:lpstr>02,14 R2</vt:lpstr>
      <vt:lpstr>02,14 R3</vt:lpstr>
      <vt:lpstr>(16)</vt:lpstr>
      <vt:lpstr>02,16 R1</vt:lpstr>
      <vt:lpstr>02,16 R2</vt:lpstr>
      <vt:lpstr>02,16 R3</vt:lpstr>
      <vt:lpstr>(17)</vt:lpstr>
      <vt:lpstr>02,17 R1</vt:lpstr>
      <vt:lpstr>02,17 R2</vt:lpstr>
      <vt:lpstr>02,17 R3</vt:lpstr>
      <vt:lpstr>(18)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 NO TRIP'!Print_Area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  <vt:lpstr>'02,10 R1'!Print_Area</vt:lpstr>
      <vt:lpstr>'02,10 R2'!Print_Area</vt:lpstr>
      <vt:lpstr>'02,10 R3'!Print_Area</vt:lpstr>
      <vt:lpstr>'02,11 R1'!Print_Area</vt:lpstr>
      <vt:lpstr>'02,11 R2'!Print_Area</vt:lpstr>
      <vt:lpstr>'02,11 R3'!Print_Area</vt:lpstr>
      <vt:lpstr>'02,12 R1'!Print_Area</vt:lpstr>
      <vt:lpstr>'02,12 R2'!Print_Area</vt:lpstr>
      <vt:lpstr>'02,12 R3'!Print_Area</vt:lpstr>
      <vt:lpstr>'02,13 R1 NO TRIP'!Print_Area</vt:lpstr>
      <vt:lpstr>'02,13 R2'!Print_Area</vt:lpstr>
      <vt:lpstr>'02,13 R3'!Print_Area</vt:lpstr>
      <vt:lpstr>'02,14 R1'!Print_Area</vt:lpstr>
      <vt:lpstr>'02,14 R2'!Print_Area</vt:lpstr>
      <vt:lpstr>'02,14 R3'!Print_Area</vt:lpstr>
      <vt:lpstr>'02,16 R1'!Print_Area</vt:lpstr>
      <vt:lpstr>'02,16 R2'!Print_Area</vt:lpstr>
      <vt:lpstr>'02,16 R3'!Print_Area</vt:lpstr>
      <vt:lpstr>'02,17 R1'!Print_Area</vt:lpstr>
      <vt:lpstr>'02,17 R2'!Print_Area</vt:lpstr>
      <vt:lpstr>'02,17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2026-02-16T00:48:58Z</cp:lastPrinted>
  <dcterms:created xsi:type="dcterms:W3CDTF">2024-09-01T23:36:50Z</dcterms:created>
  <dcterms:modified xsi:type="dcterms:W3CDTF">2026-02-16T01:15:29Z</dcterms:modified>
</cp:coreProperties>
</file>