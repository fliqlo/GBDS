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430A53B-130A-45FE-9CD9-AD91B5165B5E}" xr6:coauthVersionLast="45" xr6:coauthVersionMax="47" xr10:uidLastSave="{00000000-0000-0000-0000-000000000000}"/>
  <bookViews>
    <workbookView xWindow="-120" yWindow="-120" windowWidth="29040" windowHeight="15840" firstSheet="70" activeTab="76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 NO TRIP" sheetId="1819" r:id="rId75"/>
    <sheet name="02,23 R2 NO TRIP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 NO TRIP'!$A$1:$J$60</definedName>
    <definedName name="_xlnm.Print_Area" localSheetId="75">'02,23 R2 NO TRIP'!$A$1:$J$60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21" l="1"/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G49" i="1833" s="1"/>
  <c r="D34" i="1833"/>
  <c r="D54" i="1833" s="1"/>
  <c r="H14" i="1833" s="1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D54" i="1832"/>
  <c r="H14" i="1832" s="1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G49" i="1832" s="1"/>
  <c r="D36" i="1832"/>
  <c r="R35" i="1832"/>
  <c r="L19" i="1832" s="1"/>
  <c r="D19" i="1832" s="1"/>
  <c r="H35" i="1832"/>
  <c r="D35" i="1832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D54" i="1831"/>
  <c r="H14" i="1831" s="1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G49" i="1831" s="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29" i="1829" s="1"/>
  <c r="H13" i="1829" s="1"/>
  <c r="H15" i="1829" s="1"/>
  <c r="H29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D54" i="1829" s="1"/>
  <c r="H14" i="1829" s="1"/>
  <c r="R34" i="1829"/>
  <c r="L12" i="1829" s="1"/>
  <c r="D12" i="1829" s="1"/>
  <c r="H34" i="1829"/>
  <c r="G49" i="1829" s="1"/>
  <c r="G51" i="1829" s="1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G49" i="1828" s="1"/>
  <c r="D35" i="1828"/>
  <c r="R34" i="1828"/>
  <c r="H34" i="1828"/>
  <c r="D34" i="1828"/>
  <c r="D54" i="1828" s="1"/>
  <c r="H14" i="1828" s="1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L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G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D54" i="1827" s="1"/>
  <c r="H14" i="1827" s="1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D54" i="1824"/>
  <c r="H14" i="1824" s="1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G49" i="1824" s="1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G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D54" i="1823" s="1"/>
  <c r="H14" i="1823" s="1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D29" i="1841" l="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H15" i="1833" s="1"/>
  <c r="H29" i="1833" s="1"/>
  <c r="G51" i="1833"/>
  <c r="D29" i="1832"/>
  <c r="H13" i="1832" s="1"/>
  <c r="H15" i="1832" s="1"/>
  <c r="H29" i="1832" s="1"/>
  <c r="G51" i="1832" s="1"/>
  <c r="D29" i="1831"/>
  <c r="H13" i="1831" s="1"/>
  <c r="H15" i="1831" s="1"/>
  <c r="H29" i="1831" s="1"/>
  <c r="G51" i="1831"/>
  <c r="D29" i="1830"/>
  <c r="H13" i="1830" s="1"/>
  <c r="H15" i="1830" s="1"/>
  <c r="H29" i="1830" s="1"/>
  <c r="G51" i="1830" s="1"/>
  <c r="D29" i="1828"/>
  <c r="H13" i="1828" s="1"/>
  <c r="H15" i="1828" s="1"/>
  <c r="H29" i="1828" s="1"/>
  <c r="G51" i="1828" s="1"/>
  <c r="D29" i="1827"/>
  <c r="H13" i="1827" s="1"/>
  <c r="H15" i="1827" s="1"/>
  <c r="H29" i="1827" s="1"/>
  <c r="G51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H15" i="1824" s="1"/>
  <c r="H29" i="1824" s="1"/>
  <c r="G51" i="1824" s="1"/>
  <c r="D29" i="1823"/>
  <c r="H13" i="1823" s="1"/>
  <c r="H15" i="1823" s="1"/>
  <c r="H29" i="1823" s="1"/>
  <c r="G51" i="1823"/>
  <c r="G51" i="1822"/>
  <c r="H16" i="1816"/>
  <c r="H16" i="1815"/>
  <c r="L25" i="1816"/>
  <c r="L24" i="1816"/>
  <c r="H16" i="1813" l="1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21" l="1"/>
  <c r="D54" i="1821"/>
  <c r="H14" i="1821" s="1"/>
  <c r="G49" i="1817"/>
  <c r="G49" i="1816"/>
  <c r="G49" i="1815"/>
  <c r="D54" i="1817"/>
  <c r="H14" i="1817" s="1"/>
  <c r="D54" i="1815"/>
  <c r="H14" i="1815" s="1"/>
  <c r="D54" i="1816"/>
  <c r="H14" i="1816" s="1"/>
  <c r="D29" i="1821"/>
  <c r="H13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H15" i="1821" l="1"/>
  <c r="H29" i="1821" s="1"/>
  <c r="G51" i="1821" s="1"/>
  <c r="G51" i="1815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<sst xmlns="http://schemas.openxmlformats.org/spreadsheetml/2006/main" count="12963" uniqueCount="213">
  <si>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</si>
  <si>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</si>
  <si>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</si>
  <si>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</si>
  <si>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</si>
  <si>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</si>
  <si>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</si>
  <si>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</si>
  <si>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</si>
  <si>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</si>
  <si>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</si>
  <si>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</si>
  <si>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</si>
  <si>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</si>
  <si>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</si>
  <si>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</si>
  <si>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</si>
  <si>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</si>
  <si>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</si>
  <si>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</si>
  <si>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</si>
  <si>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</si>
  <si>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</si>
  <si>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</si>
  <si>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</si>
  <si>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</si>
  <si>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</si>
  <si>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</si>
  <si>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</si>
  <si>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</si>
  <si>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</si>
  <si>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</si>
  <si>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</si>
  <si>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</si>
  <si>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</si>
  <si>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</si>
  <si>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</si>
  <si>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</si>
  <si>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</si>
  <si>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</si>
  <si>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</si>
  <si>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</si>
  <si>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</si>
  <si>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</si>
  <si>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</si>
  <si>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</si>
  <si>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</si>
  <si>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</si>
  <si>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</si>
  <si>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</si>
  <si>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</si>
  <si>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</si>
  <si>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</si>
  <si>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</si>
  <si>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</si>
  <si>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</si>
  <si>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</si>
  <si>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</si>
  <si>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</si>
  <si>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</si>
  <si>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</si>
  <si>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</si>
  <si>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</si>
  <si>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</si>
  <si>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</si>
  <si>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</si>
  <si>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</si>
  <si>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</si>
  <si>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</si>
  <si>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</si>
  <si>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</si>
  <si>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</si>
  <si>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</si>
  <si>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</si>
  <si>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</si>
  <si>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</si>
  <si>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</si>
  <si>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</si>
  <si>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</si>
  <si>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</si>
  <si>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</si>
  <si>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</si>
  <si>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</si>
  <si>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</si>
  <si>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</si>
  <si>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</si>
  <si>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</si>
  <si>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</si>
  <si>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</si>
  <si>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</si>
  <si>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</si>
  <si>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</si>
  <si>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</si>
  <si>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</si>
  <si>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</si>
  <si>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</si>
  <si>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</si>
  <si>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</si>
  <si>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</si>
  <si>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</si>
  <si>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</si>
  <si>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</si>
  <si>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</si>
  <si>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</si>
  <si>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</si>
  <si>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</si>
  <si>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</si>
  <si>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</si>
  <si>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</si>
  <si>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</si>
  <si>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</si>
  <si>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</si>
  <si>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</si>
  <si>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</si>
  <si>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</si>
  <si>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</si>
  <si>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</si>
  <si>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</si>
  <si>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</si>
  <si>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</si>
  <si>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</si>
  <si>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</si>
  <si>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</si>
  <si>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</si>
  <si>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</si>
  <si>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</si>
  <si>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</si>
  <si>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</si>
  <si>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</si>
  <si>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</si>
  <si>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</si>
  <si>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</si>
  <si>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</si>
  <si>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</si>
  <si>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</si>
  <si>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</si>
  <si>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</si>
  <si>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</si>
  <si>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</si>
  <si>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</si>
  <si>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</si>
  <si>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</si>
  <si>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</si>
  <si>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</si>
  <si>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</si>
  <si>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</si>
  <si>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</si>
  <si>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</si>
  <si>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</si>
  <si>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</si>
  <si>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</si>
  <si>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</si>
  <si>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</si>
  <si>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</si>
  <si>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</si>
  <si>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</si>
  <si>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</si>
  <si>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</si>
  <si>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</si>
  <si>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</si>
  <si>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</si>
  <si>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</si>
  <si>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</si>
  <si>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</si>
  <si>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</si>
  <si>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</si>
  <si>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</si>
  <si>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</si>
  <si>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</si>
  <si>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</si>
  <si>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</si>
  <si>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</si>
  <si>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</si>
  <si>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</si>
  <si>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</si>
  <si>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</si>
  <si>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</si>
  <si>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</si>
  <si>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</si>
  <si>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</si>
  <si>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</si>
  <si>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</si>
  <si>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</si>
  <si>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</si>
  <si>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</si>
  <si>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</si>
  <si>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</si>
  <si>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</si>
  <si>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</si>
  <si>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</si>
  <si>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</si>
  <si>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</si>
  <si>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</si>
  <si>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</si>
  <si>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</si>
  <si>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</si>
  <si>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</si>
  <si>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</si>
  <si>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</si>
  <si>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</si>
  <si>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</si>
  <si>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</si>
  <si>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</si>
  <si>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</si>
  <si>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</si>
  <si>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</si>
  <si>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</si>
  <si>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</si>
  <si>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</si>
  <si>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</si>
  <si>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</si>
  <si>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</si>
  <si>
    <t>42983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</si>
</sst>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26DC0-07C0-482C-BBA6-A06A633C31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8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283</v>
      </c>
      <c r="D6" s="13">
        <f t="shared" ref="D6:D28" si="1">C6*L6</f>
        <v>215363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14</v>
      </c>
      <c r="D13" s="48">
        <f t="shared" si="1"/>
        <v>4298</v>
      </c>
      <c r="F13" s="268" t="s">
        <v>36</v>
      </c>
      <c r="G13" s="232"/>
      <c r="H13" s="223">
        <f>D29</f>
        <v>314042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7</v>
      </c>
      <c r="D14" s="31">
        <f t="shared" si="1"/>
        <v>77</v>
      </c>
      <c r="F14" s="226" t="s">
        <v>39</v>
      </c>
      <c r="G14" s="227"/>
      <c r="H14" s="228">
        <f>D54</f>
        <v>21381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292661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0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140" t="s">
        <v>55</v>
      </c>
      <c r="G29" s="202"/>
      <c r="H29" s="162">
        <f>H15-H16-H17-H18-H19-H20-H22-H23-H24+H26+H27+H28</f>
        <v>290717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84">
        <f t="shared" ref="H34:H39" si="2">F34*G34</f>
        <v>35000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84">
        <f t="shared" si="2"/>
        <v>5800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84">
        <f t="shared" si="2"/>
        <v>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9">
        <v>233510.5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62"/>
      <c r="H45" s="179">
        <v>5935.5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290547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34</v>
      </c>
      <c r="D50" s="12">
        <f>C50*1.5</f>
        <v>51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458</v>
      </c>
      <c r="D6" s="13">
        <f t="shared" ref="D6:D28" si="1">C6*L6</f>
        <v>348538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53</v>
      </c>
      <c r="D9" s="13">
        <f t="shared" si="1"/>
        <v>38849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20</v>
      </c>
      <c r="D13" s="48">
        <f t="shared" si="1"/>
        <v>6140</v>
      </c>
      <c r="F13" s="268" t="s">
        <v>36</v>
      </c>
      <c r="G13" s="232"/>
      <c r="H13" s="223">
        <f>D29</f>
        <v>403660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22</v>
      </c>
      <c r="D14" s="31">
        <f t="shared" si="1"/>
        <v>242</v>
      </c>
      <c r="F14" s="226" t="s">
        <v>39</v>
      </c>
      <c r="G14" s="227"/>
      <c r="H14" s="228">
        <f>D54</f>
        <v>63054.75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340605.25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140" t="s">
        <v>55</v>
      </c>
      <c r="G29" s="202"/>
      <c r="H29" s="162">
        <f>H15-H16-H17-H18-H19-H20-H22-H23-H24+H26+H27</f>
        <v>337653.25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84">
        <f t="shared" ref="H35:H39" si="2">F35*G35</f>
        <v>154500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84">
        <f t="shared" si="2"/>
        <v>18700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84">
        <f t="shared" si="2"/>
        <v>10100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89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337766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112.75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330</v>
      </c>
      <c r="D6" s="13">
        <f t="shared" ref="D6:D28" si="1">C6*L6</f>
        <v>251130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293070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43414.5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249655.5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140" t="s">
        <v>55</v>
      </c>
      <c r="G29" s="202"/>
      <c r="H29" s="162">
        <f>H15-H16-H17-H18-H19-H20-H22-H23-H24+H26+H27</f>
        <v>249007.5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84">
        <f>F34*G34</f>
        <v>144000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84">
        <f>F35*G35</f>
        <v>28500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84">
        <f t="shared" si="2"/>
        <v>9200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84">
        <f t="shared" si="2"/>
        <v>350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9">
        <v>67807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250016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1008.5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20</v>
      </c>
      <c r="D9" s="13">
        <f t="shared" si="1"/>
        <v>14660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263815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36288.75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227526.25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151</v>
      </c>
      <c r="C26" s="84">
        <v>12</v>
      </c>
      <c r="D26" s="48">
        <f t="shared" si="1"/>
        <v>454</v>
      </c>
      <c r="F26" s="75"/>
      <c r="G26" s="65"/>
      <c r="H26" s="179"/>
      <c r="I26" s="179"/>
      <c r="J26" s="17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5</v>
      </c>
      <c r="D28" s="48">
        <f t="shared" si="1"/>
        <v>4055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140" t="s">
        <v>55</v>
      </c>
      <c r="G29" s="202"/>
      <c r="H29" s="162">
        <f>H15-H16-H17-H18-H19-H20-H22-H23-H24+H26+H27+H28</f>
        <v>227440.25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84">
        <f t="shared" ref="H34:H39" si="2">F34*G34</f>
        <v>191000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84">
        <f t="shared" si="2"/>
        <v>33500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2</v>
      </c>
      <c r="D45" s="12">
        <f>C45*84</f>
        <v>168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20</v>
      </c>
      <c r="D46" s="12">
        <f>C46*1.5</f>
        <v>30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227219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242</v>
      </c>
      <c r="D6" s="13">
        <f t="shared" ref="D6:D28" si="1">C6*L6</f>
        <v>184162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4</v>
      </c>
      <c r="D13" s="48">
        <f t="shared" si="1"/>
        <v>1228</v>
      </c>
      <c r="F13" s="268" t="s">
        <v>36</v>
      </c>
      <c r="G13" s="232"/>
      <c r="H13" s="223">
        <f>D29</f>
        <v>216897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35701.5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181195.5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140" t="s">
        <v>55</v>
      </c>
      <c r="G29" s="202"/>
      <c r="H29" s="162">
        <f>H15-H16-H17-H18-H19-H20-H22-H23-H24+H26+H27</f>
        <v>180355.5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4">
        <f t="shared" ref="H35:H39" si="2">F35*G35</f>
        <v>25500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12</v>
      </c>
      <c r="D42" s="12">
        <f>C42*2.25</f>
        <v>27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180250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-105.5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414</v>
      </c>
      <c r="D6" s="13">
        <f t="shared" ref="D6:D28" si="1">C6*L6</f>
        <v>315054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35</v>
      </c>
      <c r="D9" s="13">
        <f t="shared" si="1"/>
        <v>25655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154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12</v>
      </c>
      <c r="D13" s="48">
        <f t="shared" si="1"/>
        <v>3684</v>
      </c>
      <c r="F13" s="268" t="s">
        <v>36</v>
      </c>
      <c r="G13" s="232"/>
      <c r="H13" s="223">
        <f>D29</f>
        <v>355427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51192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304235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140" t="s">
        <v>55</v>
      </c>
      <c r="G29" s="202"/>
      <c r="H29" s="162">
        <f>H15-H16-H17-H18-H19-H20-H22-H23-H24+H26+H27</f>
        <v>301961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84">
        <f>F34*G34</f>
        <v>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84">
        <f>F35*G35</f>
        <v>21000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 t="shared" ref="H36:H39" si="2"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84">
        <f t="shared" si="2"/>
        <v>8300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84">
        <f t="shared" si="2"/>
        <v>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480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9">
        <v>216552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301482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20</v>
      </c>
      <c r="D50" s="12">
        <f>C50*1.5</f>
        <v>30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-479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235</v>
      </c>
      <c r="D6" s="13">
        <f t="shared" ref="D6:D28" si="1">C6*L6</f>
        <v>178835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</v>
      </c>
      <c r="D13" s="48">
        <f t="shared" si="1"/>
        <v>1535</v>
      </c>
      <c r="F13" s="268" t="s">
        <v>36</v>
      </c>
      <c r="G13" s="232"/>
      <c r="H13" s="223">
        <f>D29</f>
        <v>198091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31146.75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166944.25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140" t="s">
        <v>55</v>
      </c>
      <c r="G29" s="202"/>
      <c r="H29" s="162">
        <f>H15-H16-H17-H18-H19-H20-H22-H23-H24+H26+H27+H28</f>
        <v>166944.25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4">
        <f t="shared" si="2"/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157</v>
      </c>
      <c r="G44" s="85"/>
      <c r="H44" s="179">
        <v>30000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166925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43</v>
      </c>
      <c r="D50" s="12">
        <f>C50*1.5</f>
        <v>64.5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-19.25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203</v>
      </c>
      <c r="D6" s="13">
        <f t="shared" ref="D6:D28" si="1">C6*L6</f>
        <v>154483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176482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</v>
      </c>
      <c r="D14" s="31">
        <f t="shared" si="1"/>
        <v>11</v>
      </c>
      <c r="F14" s="226" t="s">
        <v>39</v>
      </c>
      <c r="G14" s="227"/>
      <c r="H14" s="228">
        <f>D54</f>
        <v>26237.25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150244.75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140" t="s">
        <v>55</v>
      </c>
      <c r="G29" s="202"/>
      <c r="H29" s="162">
        <f>H15-H16-H17-H18-H19-H20-H22-H23-H24+H26+H27</f>
        <v>150244.75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84">
        <f>F34*G34</f>
        <v>129000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84">
        <f t="shared" ref="H35:H39" si="2">F35*G35</f>
        <v>12000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84">
        <f t="shared" si="2"/>
        <v>7100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84">
        <f t="shared" si="2"/>
        <v>1850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150460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474</v>
      </c>
      <c r="D6" s="13">
        <f t="shared" ref="D6:D28" si="1">C6*L6</f>
        <v>360714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143</v>
      </c>
      <c r="D9" s="13">
        <f t="shared" si="1"/>
        <v>104819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505520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73287.75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432232.25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4</v>
      </c>
      <c r="D28" s="48">
        <f t="shared" si="1"/>
        <v>3244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140" t="s">
        <v>55</v>
      </c>
      <c r="G29" s="202"/>
      <c r="H29" s="162">
        <f>H15-H16-H17-H18-H19-H20-H22-H23-H24+H26+H27</f>
        <v>428618.25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84">
        <f>F34*G34</f>
        <v>184000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84">
        <f>F35*G35</f>
        <v>30000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84">
        <f t="shared" si="2"/>
        <v>3600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106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9">
        <v>209026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6</v>
      </c>
      <c r="D45" s="12">
        <f>C45*84</f>
        <v>504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427982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159</v>
      </c>
      <c r="G51" s="269">
        <f>G49-H29</f>
        <v>-636.25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207</v>
      </c>
      <c r="D6" s="13">
        <f t="shared" ref="D6:D28" si="1">C6*L6</f>
        <v>157527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4</v>
      </c>
      <c r="D13" s="48">
        <f t="shared" si="1"/>
        <v>1228</v>
      </c>
      <c r="F13" s="268" t="s">
        <v>36</v>
      </c>
      <c r="G13" s="232"/>
      <c r="H13" s="223">
        <f>D29</f>
        <v>194843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6</v>
      </c>
      <c r="D14" s="31">
        <f t="shared" si="1"/>
        <v>66</v>
      </c>
      <c r="F14" s="226" t="s">
        <v>39</v>
      </c>
      <c r="G14" s="227"/>
      <c r="H14" s="228">
        <f>D54</f>
        <v>28632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166211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83" t="s">
        <v>165</v>
      </c>
      <c r="C22" s="84">
        <v>3</v>
      </c>
      <c r="D22" s="48">
        <f t="shared" si="1"/>
        <v>4746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140" t="s">
        <v>55</v>
      </c>
      <c r="G29" s="202"/>
      <c r="H29" s="162">
        <f>H15-H16-H17-H18-H19-H20-H22-H23-H24+H26+H27+H28</f>
        <v>166211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84">
        <f t="shared" ref="H34:H39" si="2">F34*G34</f>
        <v>66000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84">
        <f t="shared" si="2"/>
        <v>1500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79">
        <v>85702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7</v>
      </c>
      <c r="D46" s="12">
        <f>C46*1.5</f>
        <v>10.5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165891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-320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205</v>
      </c>
      <c r="D6" s="13">
        <f t="shared" ref="D6:D28" si="1">C6*L6</f>
        <v>156005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29</v>
      </c>
      <c r="D9" s="13">
        <f t="shared" si="1"/>
        <v>21257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187600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23733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163867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140" t="s">
        <v>55</v>
      </c>
      <c r="G29" s="202"/>
      <c r="H29" s="162">
        <f>H15-H16-H17-H18-H19-H20-H22-H23-H24+H26+H27</f>
        <v>162715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84">
        <f>F34*G34</f>
        <v>28000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 t="shared" ref="H35:H39" si="2"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150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79">
        <v>134176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163026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311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248</v>
      </c>
      <c r="D6" s="13">
        <f t="shared" ref="D6:D28" si="1">C6*L6</f>
        <v>188728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206767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50062.5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156704.5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140" t="s">
        <v>55</v>
      </c>
      <c r="G29" s="202"/>
      <c r="H29" s="162">
        <f>H15-H16-H17-H18-H19-H20-H22-H23-H24+H26+H27</f>
        <v>155438.5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84">
        <f>F34*G34</f>
        <v>36000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79">
        <f>56380</f>
        <v>56380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79">
        <v>62596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155476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37.5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57</v>
      </c>
      <c r="D6" s="13">
        <f t="shared" ref="D6:D28" si="1">C6*L6</f>
        <v>43377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25</v>
      </c>
      <c r="D7" s="13">
        <f t="shared" si="1"/>
        <v>19525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10</v>
      </c>
      <c r="D8" s="13">
        <f t="shared" si="1"/>
        <v>10930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7</v>
      </c>
      <c r="D9" s="13">
        <f t="shared" si="1"/>
        <v>5131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50+5</f>
        <v>55</v>
      </c>
      <c r="D12" s="48">
        <f t="shared" si="1"/>
        <v>54560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175949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27286.5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5</v>
      </c>
      <c r="D15" s="31">
        <f t="shared" si="1"/>
        <v>3100</v>
      </c>
      <c r="F15" s="231" t="s">
        <v>40</v>
      </c>
      <c r="G15" s="232"/>
      <c r="H15" s="233">
        <f>H13-H14</f>
        <v>148662.5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10</v>
      </c>
      <c r="D28" s="48">
        <f t="shared" si="1"/>
        <v>8110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140" t="s">
        <v>55</v>
      </c>
      <c r="G29" s="202"/>
      <c r="H29" s="162">
        <f>H15-H16-H17-H18-H19-H20-H22-H23-H24+H26+H27+H28</f>
        <v>148662.5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84">
        <f t="shared" ref="H34:H39" si="2">F34*G34</f>
        <v>40000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84">
        <f t="shared" si="2"/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128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9">
        <v>107519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46</v>
      </c>
      <c r="D45" s="12">
        <f>C45*84</f>
        <v>3864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148547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-115.5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180</v>
      </c>
      <c r="D6" s="13">
        <f t="shared" ref="D6:D28" si="1">C6*L6</f>
        <v>136980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54</v>
      </c>
      <c r="D9" s="13">
        <f t="shared" si="1"/>
        <v>39582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191902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27573.75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164328.25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140" t="s">
        <v>55</v>
      </c>
      <c r="G29" s="202"/>
      <c r="H29" s="162">
        <f>H15-H16-H17-H18-H19-H20-H22-H23-H24+H26+H27</f>
        <v>164308.25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84">
        <f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84">
        <f t="shared" ref="H35:H39" si="2">F35*G35</f>
        <v>17000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84">
        <f t="shared" si="2"/>
        <v>1000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109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164309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</v>
      </c>
      <c r="D50" s="12">
        <f>C50*1.5</f>
        <v>1.5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159</v>
      </c>
      <c r="D6" s="13">
        <f t="shared" ref="D6:D28" si="1">C6*L6</f>
        <v>120999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15</v>
      </c>
      <c r="D8" s="13">
        <f t="shared" si="1"/>
        <v>16395</v>
      </c>
      <c r="F8" s="255" t="s">
        <v>21</v>
      </c>
      <c r="G8" s="256" t="s">
        <v>126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4</v>
      </c>
      <c r="D10" s="13">
        <f t="shared" si="1"/>
        <v>4128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1+2</f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</v>
      </c>
      <c r="D13" s="48">
        <f t="shared" si="1"/>
        <v>307</v>
      </c>
      <c r="F13" s="268" t="s">
        <v>36</v>
      </c>
      <c r="G13" s="232"/>
      <c r="H13" s="223">
        <f>D29</f>
        <v>173376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23477.25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149898.75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140" t="s">
        <v>55</v>
      </c>
      <c r="G29" s="202"/>
      <c r="H29" s="162">
        <f>H15-H16-H17-H18-H19-H20-H22-H23-H24+H26+H27+H28</f>
        <v>149848.75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84">
        <f t="shared" si="2"/>
        <v>60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84">
        <v>13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79">
        <v>14000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</v>
      </c>
      <c r="D45" s="12">
        <f>C45*84</f>
        <v>336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149823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-25.75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333</v>
      </c>
      <c r="D6" s="13">
        <f t="shared" ref="D6:D28" si="1">C6*L6</f>
        <v>253413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</v>
      </c>
      <c r="D9" s="13">
        <f t="shared" si="1"/>
        <v>2199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267745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57427.5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210317.5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140" t="s">
        <v>55</v>
      </c>
      <c r="G29" s="202"/>
      <c r="H29" s="162">
        <f>H15-H16-H17-H18-H19-H20-H22-H23-H24+H26+H27</f>
        <v>208871.5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4">
        <f>F34*G34</f>
        <v>41000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 t="shared" ref="H35:H39" si="2"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84">
        <f t="shared" si="2"/>
        <v>7500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79">
        <v>138760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10</v>
      </c>
      <c r="D49" s="12">
        <f>C49*42</f>
        <v>420</v>
      </c>
      <c r="F49" s="160" t="s">
        <v>86</v>
      </c>
      <c r="G49" s="162">
        <f>H34+H35+H36+H37+H38+H39+H40+H41+G42+H44+H45+H46</f>
        <v>208840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358</v>
      </c>
      <c r="D6" s="13">
        <f t="shared" ref="D6:D28" si="1">C6*L6</f>
        <v>272438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3</v>
      </c>
      <c r="D13" s="48">
        <f t="shared" si="1"/>
        <v>921</v>
      </c>
      <c r="F13" s="268" t="s">
        <v>36</v>
      </c>
      <c r="G13" s="232"/>
      <c r="H13" s="223">
        <f>D29</f>
        <v>294192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5</v>
      </c>
      <c r="D14" s="31">
        <f t="shared" si="1"/>
        <v>55</v>
      </c>
      <c r="F14" s="226" t="s">
        <v>39</v>
      </c>
      <c r="G14" s="227"/>
      <c r="H14" s="228">
        <f>D54</f>
        <v>44824.5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249367.5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140" t="s">
        <v>55</v>
      </c>
      <c r="G29" s="202"/>
      <c r="H29" s="162">
        <f>H15-H16-H17-H18-H19-H20-H22-H23-H24+H26+H27</f>
        <v>247963.5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84">
        <f>F34*G34</f>
        <v>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79">
        <v>121864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8</v>
      </c>
      <c r="D46" s="12">
        <f>C46*1.5</f>
        <v>12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247890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-73.5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350</v>
      </c>
      <c r="D6" s="13">
        <f t="shared" ref="D6:D28" si="1">C6*L6</f>
        <v>266350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10</v>
      </c>
      <c r="D10" s="13">
        <f t="shared" si="1"/>
        <v>10320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5</v>
      </c>
      <c r="D11" s="13">
        <f t="shared" si="1"/>
        <v>5850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305952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19</v>
      </c>
      <c r="D14" s="31">
        <f t="shared" si="1"/>
        <v>209</v>
      </c>
      <c r="F14" s="226" t="s">
        <v>39</v>
      </c>
      <c r="G14" s="227"/>
      <c r="H14" s="228">
        <f>D54</f>
        <v>50665.5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255286.5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140" t="s">
        <v>55</v>
      </c>
      <c r="G29" s="202"/>
      <c r="H29" s="162">
        <f>H15-H16-H17-H18-H19-H20-H22-H23-H24+H26+H27+H28</f>
        <v>253900.5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84">
        <f t="shared" ref="H34:H39" si="2">F34*G34</f>
        <v>74000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84">
        <f t="shared" si="2"/>
        <v>25000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84">
        <f t="shared" si="2"/>
        <v>1200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7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79">
        <v>150599.5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253906.5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106</v>
      </c>
      <c r="D9" s="13">
        <f t="shared" si="1"/>
        <v>77698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21</v>
      </c>
      <c r="D13" s="48">
        <f t="shared" si="1"/>
        <v>6447</v>
      </c>
      <c r="F13" s="268" t="s">
        <v>36</v>
      </c>
      <c r="G13" s="232"/>
      <c r="H13" s="223">
        <f>D29</f>
        <v>336387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52480.5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283906.5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140" t="s">
        <v>55</v>
      </c>
      <c r="G29" s="202"/>
      <c r="H29" s="162">
        <f>H15-H16-H17-H18-H19-H20-H22-H23-H24+H26+H27</f>
        <v>281302.5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84">
        <f>F34*G34</f>
        <v>31000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84">
        <f t="shared" ref="H35:H39" si="2">F35*G35</f>
        <v>251000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16</v>
      </c>
      <c r="D49" s="12">
        <f>C49*42</f>
        <v>672</v>
      </c>
      <c r="F49" s="160" t="s">
        <v>86</v>
      </c>
      <c r="G49" s="162">
        <f>H34+H35+H36+H37+H38+H39+H40+H41+G42+H44+H45+H46</f>
        <v>282141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838.5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305</v>
      </c>
      <c r="D6" s="13">
        <f t="shared" ref="D6:D28" si="1">C6*L6</f>
        <v>232105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85</v>
      </c>
      <c r="D9" s="13">
        <f t="shared" si="1"/>
        <v>62305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309916.5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42118.5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267798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09">
        <v>141180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0"/>
      <c r="I24" s="179"/>
      <c r="J24" s="179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140" t="s">
        <v>55</v>
      </c>
      <c r="G29" s="202"/>
      <c r="H29" s="162">
        <f>H15-H16-H17-H18-H19-H20-H22-H23-H24+H26+H27</f>
        <v>126618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84">
        <f>F34*G34</f>
        <v>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84">
        <f>F35*G35</f>
        <v>45000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84">
        <f t="shared" si="2"/>
        <v>12400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69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17</v>
      </c>
      <c r="D46" s="12">
        <f>C46*1.5</f>
        <v>25.5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11</v>
      </c>
      <c r="D49" s="12">
        <f>C49*42</f>
        <v>462</v>
      </c>
      <c r="F49" s="160" t="s">
        <v>86</v>
      </c>
      <c r="G49" s="162">
        <f>H34+H35+H36+H37+H38+H39+H40+H41+G42+H44+H45+H46</f>
        <v>126719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229</v>
      </c>
      <c r="D6" s="13">
        <f t="shared" ref="D6:D28" si="1">C6*L6</f>
        <v>174269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25</v>
      </c>
      <c r="D9" s="13">
        <f t="shared" si="1"/>
        <v>18325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197103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29223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167880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140" t="s">
        <v>55</v>
      </c>
      <c r="G29" s="202"/>
      <c r="H29" s="162">
        <f>H15-H16-H17-H18-H19-H20-H22-H23-H24+H26+H27+H28</f>
        <v>167665.72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84">
        <f t="shared" ref="H34:H39" si="2">F34*G34</f>
        <v>83000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84">
        <f t="shared" si="2"/>
        <v>2700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84">
        <f t="shared" si="2"/>
        <v>300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76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79">
        <f>69966</f>
        <v>69966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35</v>
      </c>
      <c r="D46" s="12">
        <f>C46*1.5</f>
        <v>52.5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167542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-123.72000000000116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231</v>
      </c>
      <c r="D6" s="13">
        <f t="shared" ref="D6:D28" si="1">C6*L6</f>
        <v>175791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205618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27680.25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177937.75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140" t="s">
        <v>55</v>
      </c>
      <c r="G29" s="202"/>
      <c r="H29" s="162">
        <f>H15-H16-H17-H18-H19-H20-H22-H23-H24+H26+H27</f>
        <v>176857.75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 t="shared" ref="H35:H39" si="2"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84">
        <f t="shared" si="2"/>
        <v>6300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84">
        <f t="shared" si="2"/>
        <v>800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720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79">
        <v>126833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176293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-564.75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327</v>
      </c>
      <c r="D6" s="13">
        <f t="shared" ref="D6:D28" si="1">C6*L6</f>
        <v>248847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35</v>
      </c>
      <c r="D7" s="13">
        <f t="shared" si="1"/>
        <v>27335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10</v>
      </c>
      <c r="D8" s="13">
        <f t="shared" si="1"/>
        <v>10930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10</v>
      </c>
      <c r="D10" s="13">
        <f t="shared" si="1"/>
        <v>10320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317068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40029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277039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14">
        <v>141180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140" t="s">
        <v>55</v>
      </c>
      <c r="G29" s="202"/>
      <c r="H29" s="162">
        <f>H15-H16-H17-H18-H19-H20-H22-H23-H24+H26+H27</f>
        <v>418219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84">
        <f>F34*G34</f>
        <v>13000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84">
        <f>F35*G35</f>
        <v>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40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79">
        <v>264377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79">
        <v>139920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16</v>
      </c>
      <c r="D46" s="12">
        <f>C46*1.5</f>
        <v>24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418337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118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815</v>
      </c>
      <c r="D6" s="13">
        <f t="shared" ref="D6:D28" si="1">C6*L6</f>
        <v>620215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48</v>
      </c>
      <c r="D7" s="13">
        <f t="shared" si="1"/>
        <v>37488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108</v>
      </c>
      <c r="D9" s="13">
        <f t="shared" si="1"/>
        <v>79164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30</v>
      </c>
      <c r="D10" s="13">
        <f t="shared" si="1"/>
        <v>30960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10</v>
      </c>
      <c r="D11" s="13">
        <f t="shared" si="1"/>
        <v>11700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52</v>
      </c>
      <c r="D13" s="48">
        <f t="shared" si="1"/>
        <v>15964</v>
      </c>
      <c r="F13" s="268" t="s">
        <v>36</v>
      </c>
      <c r="G13" s="232"/>
      <c r="H13" s="223">
        <f>D29</f>
        <v>809196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5</v>
      </c>
      <c r="D14" s="31">
        <f t="shared" si="1"/>
        <v>55</v>
      </c>
      <c r="F14" s="226" t="s">
        <v>39</v>
      </c>
      <c r="G14" s="227"/>
      <c r="H14" s="228">
        <f>D54</f>
        <v>111525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697671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09">
        <v>96418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79">
        <v>108268</v>
      </c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140" t="s">
        <v>55</v>
      </c>
      <c r="G29" s="202"/>
      <c r="H29" s="162">
        <f>H15-H16-H17-H18-H19-H20-H22-H23-H24+H26+H27+H28</f>
        <v>704397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84">
        <f t="shared" ref="H34:H39" si="2"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4">
        <f t="shared" si="2"/>
        <v>46500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84">
        <f t="shared" si="2"/>
        <v>1800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84">
        <f t="shared" si="2"/>
        <v>37400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84">
        <f t="shared" si="2"/>
        <v>10550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79">
        <v>108268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79">
        <v>353553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704171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191</v>
      </c>
      <c r="D6" s="13">
        <f t="shared" ref="D6:D28" si="1">C6*L6</f>
        <v>145351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170729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25408.5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145320.5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</v>
      </c>
      <c r="D28" s="48">
        <f t="shared" si="1"/>
        <v>811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140" t="s">
        <v>55</v>
      </c>
      <c r="G29" s="202"/>
      <c r="H29" s="162">
        <f>H15-H16-H17-H18-H19-H20-H22-H23-H24+H26+H27</f>
        <v>144702.5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84">
        <f>F34*G34</f>
        <v>104000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 t="shared" ref="H35:H39" si="2"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144652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-50.5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331</v>
      </c>
      <c r="D6" s="13">
        <f t="shared" ref="D6:D28" si="1">C6*L6</f>
        <v>251891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36</v>
      </c>
      <c r="D9" s="13">
        <f t="shared" si="1"/>
        <v>26388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295569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14</v>
      </c>
      <c r="D14" s="31">
        <f t="shared" si="1"/>
        <v>154</v>
      </c>
      <c r="F14" s="226" t="s">
        <v>39</v>
      </c>
      <c r="G14" s="227"/>
      <c r="H14" s="228">
        <f>D54</f>
        <v>44308.5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251260.5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140" t="s">
        <v>55</v>
      </c>
      <c r="G29" s="202"/>
      <c r="H29" s="162">
        <f>H15-H16-H17-H18-H19-H20-H22-H23-H24+H26+H27</f>
        <v>248948.5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84">
        <f>F34*G34</f>
        <v>51000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84">
        <f t="shared" si="2"/>
        <v>13500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79">
        <v>163030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248396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-552.5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355</v>
      </c>
      <c r="D6" s="13">
        <f t="shared" ref="D6:D28" si="1">C6*L6</f>
        <v>270155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</v>
      </c>
      <c r="D9" s="13">
        <f t="shared" si="1"/>
        <v>7330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280577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40954.5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239622.5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140" t="s">
        <v>55</v>
      </c>
      <c r="G29" s="202"/>
      <c r="H29" s="162">
        <f>H15-H16-H17-H18-H19-H20-H22-H23-H24+H26+H27+H28</f>
        <v>237678.5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84">
        <f t="shared" ref="H34:H39" si="2">F34*G34</f>
        <v>169000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84">
        <f t="shared" si="2"/>
        <v>68500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84">
        <f t="shared" si="2"/>
        <v>80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22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237602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-76.5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212</v>
      </c>
      <c r="D6" s="13">
        <f t="shared" ref="D6:D28" si="1">C6*L6</f>
        <v>161332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20</v>
      </c>
      <c r="D8" s="13">
        <f t="shared" si="1"/>
        <v>21860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20</v>
      </c>
      <c r="D10" s="13">
        <f t="shared" si="1"/>
        <v>20640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233825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10731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223094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167</v>
      </c>
      <c r="C26" s="10">
        <v>6</v>
      </c>
      <c r="D26" s="48">
        <f t="shared" si="1"/>
        <v>237</v>
      </c>
      <c r="F26" s="64"/>
      <c r="G26" s="10"/>
      <c r="H26" s="214"/>
      <c r="I26" s="215"/>
      <c r="J26" s="216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140" t="s">
        <v>55</v>
      </c>
      <c r="G29" s="202"/>
      <c r="H29" s="162">
        <f>H15-H16-H17-H18-H19-H20-H22-H23-H24+H26+H27</f>
        <v>221774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79">
        <v>160045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79">
        <v>21040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221404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204</v>
      </c>
      <c r="D6" s="13">
        <f t="shared" ref="D6:D28" si="1">C6*L6</f>
        <v>155244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12</v>
      </c>
      <c r="D7" s="13">
        <f t="shared" si="1"/>
        <v>9372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5</v>
      </c>
      <c r="D13" s="48">
        <f t="shared" si="1"/>
        <v>1535</v>
      </c>
      <c r="F13" s="268" t="s">
        <v>36</v>
      </c>
      <c r="G13" s="232"/>
      <c r="H13" s="223">
        <f>D29</f>
        <v>188141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29342.25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158798.75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140" t="s">
        <v>55</v>
      </c>
      <c r="G29" s="202"/>
      <c r="H29" s="162">
        <f>H15-H16-H17-H18-H19-H20-H22-H23-H24+H26+H27</f>
        <v>158198.75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84">
        <f>F34*G34</f>
        <v>116000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84">
        <f>F35*G35</f>
        <v>38500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84">
        <f t="shared" si="2"/>
        <v>1000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158704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505.25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111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150</v>
      </c>
      <c r="D6" s="13">
        <f t="shared" ref="D6:D28" si="1">C6*L6</f>
        <v>114150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5</v>
      </c>
      <c r="D8" s="13">
        <f t="shared" si="1"/>
        <v>5465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50</v>
      </c>
      <c r="D9" s="13">
        <f t="shared" si="1"/>
        <v>36650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163881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31509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132372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140" t="s">
        <v>55</v>
      </c>
      <c r="G29" s="202"/>
      <c r="H29" s="162">
        <f>H15-H16-H17-H18-H19-H20-H22-H23-H24+H26+H27</f>
        <v>131112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79">
        <v>131112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131112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19</v>
      </c>
      <c r="D50" s="12">
        <f>C50*1.5</f>
        <v>28.5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190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237</v>
      </c>
      <c r="D6" s="13">
        <f t="shared" ref="D6:D28" si="1">C6*L6</f>
        <v>180357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195791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24539.25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171251.75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140" t="s">
        <v>55</v>
      </c>
      <c r="G29" s="202"/>
      <c r="H29" s="162">
        <f>H15-H16-H17-H18-H19-H20-H22-H23-H24+H26+H27</f>
        <v>169905.75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84">
        <f>F34*G34</f>
        <v>67000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>F35*G35</f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84">
        <f t="shared" si="2"/>
        <v>6400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84">
        <f t="shared" si="2"/>
        <v>4700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4">
        <v>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79">
        <v>76694.5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169834.5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323</v>
      </c>
      <c r="D6" s="13">
        <f t="shared" ref="D6:D28" si="1">C6*L6</f>
        <v>245803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61</v>
      </c>
      <c r="D8" s="13">
        <f t="shared" si="1"/>
        <v>66673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3</v>
      </c>
      <c r="D11" s="13">
        <f t="shared" si="1"/>
        <v>3510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354408.66666666669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13</v>
      </c>
      <c r="D14" s="31">
        <f t="shared" si="1"/>
        <v>143</v>
      </c>
      <c r="F14" s="226" t="s">
        <v>39</v>
      </c>
      <c r="G14" s="227"/>
      <c r="H14" s="228">
        <f>D54</f>
        <v>50364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304044.66666666669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75"/>
      <c r="I24" s="276"/>
      <c r="J24" s="276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140" t="s">
        <v>55</v>
      </c>
      <c r="G29" s="202"/>
      <c r="H29" s="162">
        <f>H15-H16-H17-H18-H19-H20-H22-H23-H24+H26+H27+H28</f>
        <v>303994.66666666669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84">
        <f t="shared" ref="H34:H39" si="2">F34*G34</f>
        <v>145000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84">
        <f t="shared" si="2"/>
        <v>10000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79">
        <v>76502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79">
        <v>71750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303967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-27.666666666686069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309</v>
      </c>
      <c r="D6" s="13">
        <f t="shared" ref="D6:D28" si="1">C6*L6</f>
        <v>235149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242774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33110.25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209663.75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140" t="s">
        <v>55</v>
      </c>
      <c r="G29" s="202"/>
      <c r="H29" s="162">
        <f>H15-H16-H17-H18-H19-H20-H22-H23-H24+H26+H27</f>
        <v>208367.75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4">
        <f t="shared" ref="H35:H39" si="2">F35*G35</f>
        <v>12500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79">
        <v>142807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208512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144.25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283410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12</v>
      </c>
      <c r="D14" s="31">
        <f t="shared" si="1"/>
        <v>132</v>
      </c>
      <c r="F14" s="226" t="s">
        <v>39</v>
      </c>
      <c r="G14" s="227"/>
      <c r="H14" s="228">
        <f>D54</f>
        <v>45153.75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238256.25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140" t="s">
        <v>55</v>
      </c>
      <c r="G29" s="202"/>
      <c r="H29" s="162">
        <f>H15-H16-H17-H18-H19-H20-H22-H23-H24+H26+H27</f>
        <v>236480.25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84">
        <f>F34*G34</f>
        <v>109000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84">
        <f>F35*G35</f>
        <v>56000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79">
        <v>70468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235468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11</v>
      </c>
      <c r="D50" s="12">
        <f>C50*1.5</f>
        <v>16.5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-1012.25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287</v>
      </c>
      <c r="D6" s="13">
        <f t="shared" ref="D6:D28" si="1">C6*L6</f>
        <v>218407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9</v>
      </c>
      <c r="D12" s="48">
        <f t="shared" si="1"/>
        <v>8928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13</v>
      </c>
      <c r="D13" s="48">
        <f t="shared" si="1"/>
        <v>3991</v>
      </c>
      <c r="F13" s="268" t="s">
        <v>36</v>
      </c>
      <c r="G13" s="232"/>
      <c r="H13" s="223">
        <f>D29</f>
        <v>324575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46686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277889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140" t="s">
        <v>55</v>
      </c>
      <c r="G29" s="202"/>
      <c r="H29" s="162">
        <f>H15-H16-H17-H18-H19-H20-H22-H23-H24+H26+H27+H28</f>
        <v>275813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84">
        <f t="shared" ref="H34:H39" si="2">F34*G34</f>
        <v>42000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79">
        <v>222536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11</v>
      </c>
      <c r="D46" s="12">
        <f>C46*1.5</f>
        <v>16.5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276469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656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439</v>
      </c>
      <c r="D6" s="13">
        <f t="shared" ref="D6:D28" si="1">C6*L6</f>
        <v>334079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341726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49630.5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292095.5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140" t="s">
        <v>55</v>
      </c>
      <c r="G29" s="202"/>
      <c r="H29" s="162">
        <f>H15-H16-H17-H18-H19-H20-H22-H23-H24+H26+H27</f>
        <v>289485.5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84">
        <f>F34*G34</f>
        <v>289000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12</v>
      </c>
      <c r="D49" s="12">
        <f>C49*42</f>
        <v>504</v>
      </c>
      <c r="F49" s="160" t="s">
        <v>86</v>
      </c>
      <c r="G49" s="162">
        <f>H34+H35+H36+H37+H38+H39+H40+H41+G42+H44+H45+H46</f>
        <v>289068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-417.5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303</v>
      </c>
      <c r="D6" s="13">
        <f t="shared" ref="D6:D28" si="1">C6*L6</f>
        <v>230583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45</v>
      </c>
      <c r="D9" s="13">
        <f t="shared" si="1"/>
        <v>32985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269624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39777.75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229846.25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140" t="s">
        <v>55</v>
      </c>
      <c r="G29" s="202"/>
      <c r="H29" s="162">
        <f>H15-H16-H17-H18-H19-H20-H22-H23-H24+H26+H27</f>
        <v>228836.25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79">
        <v>105096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79">
        <v>72320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228946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303</v>
      </c>
      <c r="D6" s="13">
        <f t="shared" ref="D6:D28" si="1">C6*L6</f>
        <v>230583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28</v>
      </c>
      <c r="D9" s="13">
        <f t="shared" si="1"/>
        <v>20524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256495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8</v>
      </c>
      <c r="D14" s="31">
        <f t="shared" si="1"/>
        <v>88</v>
      </c>
      <c r="F14" s="226" t="s">
        <v>39</v>
      </c>
      <c r="G14" s="227"/>
      <c r="H14" s="228">
        <f>D54</f>
        <v>37728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218767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140" t="s">
        <v>55</v>
      </c>
      <c r="G29" s="202"/>
      <c r="H29" s="162">
        <f>H15-H16-H17-H18-H19-H20-H22-H23-H24+H26+H27+H28</f>
        <v>218717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84">
        <f t="shared" ref="H34:H39" si="2">F34*G34</f>
        <v>85000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84">
        <f t="shared" si="2"/>
        <v>14500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84">
        <f t="shared" si="2"/>
        <v>10000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79">
        <v>64440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79">
        <v>44600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218742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17</v>
      </c>
      <c r="D50" s="12">
        <f>C50*1.5</f>
        <v>25.5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292</v>
      </c>
      <c r="D6" s="13">
        <f t="shared" ref="D6:D28" si="1">C6*L6</f>
        <v>222212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23</v>
      </c>
      <c r="D9" s="13">
        <f t="shared" si="1"/>
        <v>16859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245825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35950.5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209874.5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140" t="s">
        <v>55</v>
      </c>
      <c r="G29" s="202"/>
      <c r="H29" s="162">
        <f>H15-H16-H17-H18-H19-H20-H22-H23-H24+H26+H27</f>
        <v>209274.5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84">
        <f>F34*G34</f>
        <v>179000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84">
        <f t="shared" ref="H35:H39" si="2">F35*G35</f>
        <v>29000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353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208353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-921.5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372</v>
      </c>
      <c r="D6" s="13">
        <f t="shared" ref="D6:D28" si="1">C6*L6</f>
        <v>283092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52</v>
      </c>
      <c r="D9" s="13">
        <f t="shared" si="1"/>
        <v>38116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339942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63030.75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276911.25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140" t="s">
        <v>55</v>
      </c>
      <c r="G29" s="202"/>
      <c r="H29" s="162">
        <f>H15-H16-H17-H18-H19-H20-H22-H23-H24+H26+H27</f>
        <v>274247.25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84">
        <f>F34*G34</f>
        <v>25000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84">
        <f>F35*G35</f>
        <v>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79">
        <v>184558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79">
        <v>58480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24</v>
      </c>
      <c r="D46" s="12">
        <f>C46*1.5</f>
        <v>36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274303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55.75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9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280</v>
      </c>
      <c r="D6" s="13">
        <f t="shared" ref="D6:D28" si="1">C6*L6</f>
        <v>213080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9</v>
      </c>
      <c r="D7" s="13">
        <f t="shared" si="1"/>
        <v>7029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245809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38345.25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207463.75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09">
        <v>95803</v>
      </c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14">
        <f>96418</f>
        <v>96418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25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140" t="s">
        <v>55</v>
      </c>
      <c r="G29" s="202"/>
      <c r="H29" s="162">
        <f>H15-H16-H17-H18-H19-H20-H22-H23-H24+H26+H27</f>
        <v>208078.75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184">
        <f>F34*G34</f>
        <v>88000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4">
        <f t="shared" ref="H35:H39" si="2">F35*G35</f>
        <v>19500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184">
        <f>F36*G36</f>
        <v>1000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179">
        <f>96418</f>
        <v>96418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14</v>
      </c>
      <c r="D46" s="12">
        <f>C46*1.5</f>
        <v>21</v>
      </c>
      <c r="F46" s="37"/>
      <c r="G46" s="120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208200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121.25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250</v>
      </c>
      <c r="D6" s="13">
        <f t="shared" ref="D6:D28" si="1">C6*L6</f>
        <v>190250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94</v>
      </c>
      <c r="D9" s="13">
        <f t="shared" si="1"/>
        <v>68902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263794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37494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226300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140" t="s">
        <v>55</v>
      </c>
      <c r="G29" s="202"/>
      <c r="H29" s="162">
        <f>H15-H16-H17-H18-H19-H20-H22-H23-H24+H26+H27</f>
        <v>224294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184">
        <f>F34*G34</f>
        <v>48000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179">
        <v>174238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224298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4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374</v>
      </c>
      <c r="D6" s="13">
        <f t="shared" ref="D6:D28" si="1">C6*L6</f>
        <v>284614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11</v>
      </c>
      <c r="D13" s="48">
        <f t="shared" si="1"/>
        <v>3377</v>
      </c>
      <c r="F13" s="268" t="s">
        <v>36</v>
      </c>
      <c r="G13" s="232"/>
      <c r="H13" s="223">
        <f>D29</f>
        <v>300926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20</v>
      </c>
      <c r="D14" s="31">
        <f t="shared" si="1"/>
        <v>220</v>
      </c>
      <c r="F14" s="226" t="s">
        <v>39</v>
      </c>
      <c r="G14" s="227"/>
      <c r="H14" s="228">
        <f>D54</f>
        <v>45597.75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140" t="s">
        <v>55</v>
      </c>
      <c r="G29" s="202"/>
      <c r="H29" s="162">
        <f>H15-H16-H17-H18-H19-H20-H22-H23-H24+H26+H27+H28</f>
        <v>254068.25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184">
        <f t="shared" ref="H34:H39" si="2">F34*G34</f>
        <v>186000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4">
        <f t="shared" si="2"/>
        <v>27000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184">
        <f t="shared" si="2"/>
        <v>1400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362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179">
        <v>37750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252982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-1086.25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254</v>
      </c>
      <c r="D6" s="13">
        <f t="shared" ref="D6:D28" si="1">C6*L6</f>
        <v>193294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46</v>
      </c>
      <c r="D9" s="13">
        <f t="shared" si="1"/>
        <v>33718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243579.66666666666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42978.75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200600.91666666666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167</v>
      </c>
      <c r="C24" s="10">
        <v>12</v>
      </c>
      <c r="D24" s="48">
        <f t="shared" si="1"/>
        <v>474</v>
      </c>
      <c r="F24" s="38"/>
      <c r="G24" s="37"/>
      <c r="H24" s="210"/>
      <c r="I24" s="179"/>
      <c r="J24" s="17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14"/>
      <c r="I26" s="215"/>
      <c r="J26" s="216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140" t="s">
        <v>55</v>
      </c>
      <c r="G29" s="202"/>
      <c r="H29" s="162">
        <f>H15-H16-H17-H18-H19-H20-H22-H23-H24+H26+H27</f>
        <v>199400.91666666666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184">
        <f>F34*G34</f>
        <v>76000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45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179">
        <v>120172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199617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216.08333333334303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298</v>
      </c>
      <c r="D6" s="13">
        <f t="shared" ref="D6:D28" si="1">C6*L6</f>
        <v>226778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268991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19</v>
      </c>
      <c r="D14" s="31">
        <f t="shared" si="1"/>
        <v>209</v>
      </c>
      <c r="F14" s="226" t="s">
        <v>39</v>
      </c>
      <c r="G14" s="227"/>
      <c r="H14" s="228">
        <f>D54</f>
        <v>47673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221318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140" t="s">
        <v>55</v>
      </c>
      <c r="G29" s="202"/>
      <c r="H29" s="162">
        <f>H15-H16-H17-H18-H19-H20-H22-H23-H24+H26+H27</f>
        <v>220706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184">
        <f>F34*G34</f>
        <v>159000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184">
        <f>F35*G35</f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184">
        <f t="shared" si="2"/>
        <v>12900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184">
        <f t="shared" si="2"/>
        <v>4650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74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179">
        <v>28728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31</v>
      </c>
      <c r="D46" s="12">
        <f>C46*1.5</f>
        <v>46.5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221552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72</v>
      </c>
      <c r="D50" s="12">
        <f>C50*1.5</f>
        <v>108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846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415</v>
      </c>
      <c r="D6" s="13">
        <f t="shared" ref="D6:D28" si="1">C6*L6</f>
        <v>315815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15</v>
      </c>
      <c r="D13" s="48">
        <f t="shared" si="1"/>
        <v>4605</v>
      </c>
      <c r="F13" s="268" t="s">
        <v>36</v>
      </c>
      <c r="G13" s="232"/>
      <c r="H13" s="223">
        <f>D29</f>
        <v>341516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10</v>
      </c>
      <c r="D14" s="31">
        <f t="shared" si="1"/>
        <v>110</v>
      </c>
      <c r="F14" s="226" t="s">
        <v>39</v>
      </c>
      <c r="G14" s="227"/>
      <c r="H14" s="228">
        <f>D54</f>
        <v>71369.25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270146.75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140" t="s">
        <v>55</v>
      </c>
      <c r="G29" s="202"/>
      <c r="H29" s="162">
        <f>H15-H16-H17-H18-H19-H20-H22-H23-H24+H26+H27+H28</f>
        <v>268202.75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184">
        <f t="shared" ref="H34:H39" si="2">F34*G34</f>
        <v>68000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184">
        <f t="shared" si="2"/>
        <v>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184">
        <f t="shared" si="2"/>
        <v>1500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184">
        <f t="shared" si="2"/>
        <v>750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9">
        <v>192772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267598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63</v>
      </c>
      <c r="D50" s="12">
        <f>C50*1.5</f>
        <v>94.5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-604.75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171</v>
      </c>
      <c r="D6" s="13">
        <f t="shared" ref="D6:D28" si="1">C6*L6</f>
        <v>130131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13</v>
      </c>
      <c r="D9" s="13">
        <f t="shared" si="1"/>
        <v>9529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148182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21686.25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126495.75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140" t="s">
        <v>55</v>
      </c>
      <c r="G29" s="202"/>
      <c r="H29" s="162">
        <f>H15-H16-H17-H18-H19-H20-H22-H23-H24+H26+H27</f>
        <v>126495.75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4">
        <f>F34*G34</f>
        <v>100000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184">
        <f t="shared" ref="H35:H39" si="2">F35*G35</f>
        <v>23000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184">
        <f t="shared" si="2"/>
        <v>3300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84">
        <f t="shared" si="2"/>
        <v>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68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126518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22.25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375</v>
      </c>
      <c r="D6" s="13">
        <f t="shared" ref="D6:D28" si="1">C6*L6</f>
        <v>285375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91</v>
      </c>
      <c r="D9" s="13">
        <f t="shared" si="1"/>
        <v>66703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16</v>
      </c>
      <c r="D13" s="48">
        <f t="shared" si="1"/>
        <v>4912</v>
      </c>
      <c r="F13" s="268" t="s">
        <v>36</v>
      </c>
      <c r="G13" s="232"/>
      <c r="H13" s="223">
        <f>D29</f>
        <v>375047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58607.25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316439.75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140" t="s">
        <v>55</v>
      </c>
      <c r="G29" s="202"/>
      <c r="H29" s="162">
        <f>H15-H16-H17-H18-H19-H20-H22-H23-H24+H26+H27</f>
        <v>314567.75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184">
        <f>F34*G34</f>
        <v>233000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184">
        <f>F35*G35</f>
        <v>72500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184">
        <f t="shared" si="2"/>
        <v>6900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184">
        <f t="shared" si="2"/>
        <v>1600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753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314753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185.25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70</v>
      </c>
      <c r="D8" s="13">
        <f t="shared" si="1"/>
        <v>76510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</v>
      </c>
      <c r="D10" s="13">
        <f t="shared" si="1"/>
        <v>3096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9</v>
      </c>
      <c r="D13" s="48">
        <f t="shared" si="1"/>
        <v>2763</v>
      </c>
      <c r="F13" s="268" t="s">
        <v>36</v>
      </c>
      <c r="G13" s="232"/>
      <c r="H13" s="223">
        <f>D29</f>
        <v>329826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53295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276531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84">
        <v>12</v>
      </c>
      <c r="D24" s="48">
        <f t="shared" si="1"/>
        <v>268</v>
      </c>
      <c r="F24" s="77"/>
      <c r="G24" s="79"/>
      <c r="H24" s="275"/>
      <c r="I24" s="276"/>
      <c r="J24" s="276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140" t="s">
        <v>55</v>
      </c>
      <c r="G29" s="202"/>
      <c r="H29" s="162">
        <f>H15-H16-H17-H18-H19-H20-H22-H23-H24+H26+H27+H28</f>
        <v>275235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184">
        <f t="shared" ref="H34:H39" si="2">F34*G34</f>
        <v>127000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84">
        <f t="shared" si="2"/>
        <v>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12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179">
        <v>132652.25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275464.25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39</v>
      </c>
      <c r="D50" s="12">
        <f>C50*1.5</f>
        <v>58.5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229.25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322</v>
      </c>
      <c r="D6" s="13">
        <f t="shared" ref="D6:D28" si="1">C6*L6</f>
        <v>245042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1</v>
      </c>
      <c r="D11" s="13">
        <f t="shared" si="1"/>
        <v>1170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274902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37960.5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236941.5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140" t="s">
        <v>55</v>
      </c>
      <c r="G29" s="202"/>
      <c r="H29" s="162">
        <f>H15-H16-H17-H18-H19-H20-H22-H23-H24+H26+H27</f>
        <v>235567.5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184">
        <f>F34*G34</f>
        <v>75000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84">
        <f t="shared" ref="H35:H39" si="2">F35*G35</f>
        <v>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14</v>
      </c>
      <c r="D42" s="12">
        <f>C42*2.25</f>
        <v>31.5</v>
      </c>
      <c r="F42" s="39" t="s">
        <v>79</v>
      </c>
      <c r="G42" s="184">
        <v>31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179">
        <v>151828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</v>
      </c>
      <c r="D46" s="12">
        <f>C46*1.5</f>
        <v>4.5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26</v>
      </c>
      <c r="D49" s="12">
        <f>C49*42</f>
        <v>1092</v>
      </c>
      <c r="F49" s="160" t="s">
        <v>86</v>
      </c>
      <c r="G49" s="162">
        <f>H34+H35+H36+H37+H38+H39+H40+H41+G42+H44+H45+H46</f>
        <v>235659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91.5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373</v>
      </c>
      <c r="D6" s="13">
        <f t="shared" ref="D6:D28" si="1">C6*L6</f>
        <v>283853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21</v>
      </c>
      <c r="D9" s="13">
        <f t="shared" si="1"/>
        <v>15393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321122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53124.75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267997.25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09">
        <v>540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140" t="s">
        <v>55</v>
      </c>
      <c r="G29" s="202"/>
      <c r="H29" s="162">
        <f>H15-H16-H17-H18-H19-H20-H22-H23-H24+H26+H27</f>
        <v>265285.25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184">
        <f>F34*G34</f>
        <v>22000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36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179">
        <v>238559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267895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2609.75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404</v>
      </c>
      <c r="D6" s="13">
        <f t="shared" ref="D6:D28" si="1">C6*L6</f>
        <v>307444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97</v>
      </c>
      <c r="D9" s="13">
        <f t="shared" si="1"/>
        <v>71101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113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390982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13</v>
      </c>
      <c r="D14" s="31">
        <f t="shared" si="1"/>
        <v>143</v>
      </c>
      <c r="F14" s="226" t="s">
        <v>39</v>
      </c>
      <c r="G14" s="227"/>
      <c r="H14" s="228">
        <f>D54</f>
        <v>61594.5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329387.5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283*6</f>
        <v>1698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106" t="s">
        <v>175</v>
      </c>
      <c r="G22" s="73">
        <v>9196</v>
      </c>
      <c r="H22" s="209">
        <v>99564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390982</v>
      </c>
      <c r="F29" s="140" t="s">
        <v>55</v>
      </c>
      <c r="G29" s="202"/>
      <c r="H29" s="162">
        <f>H15-H16-H17-H18-H19-H20-H22-H23-H24+H26+H27</f>
        <v>228075.5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35</v>
      </c>
      <c r="H34" s="184">
        <f>F34*G34</f>
        <v>35000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</v>
      </c>
      <c r="H35" s="184">
        <f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76</v>
      </c>
      <c r="H37" s="184">
        <f t="shared" si="2"/>
        <v>7600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44</v>
      </c>
      <c r="H38" s="184">
        <f t="shared" si="2"/>
        <v>2200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212</v>
      </c>
      <c r="H44" s="179">
        <v>182197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21</v>
      </c>
      <c r="D46" s="12">
        <f>C46*1.5</f>
        <v>31.5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229997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1921.5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61594.5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 NO TRIP</vt:lpstr>
      <vt:lpstr>02,23 R2 NO TRIP</vt:lpstr>
      <vt:lpstr>02,23 R3</vt:lpstr>
      <vt:lpstr>(24)</vt:lpstr>
      <vt:lpstr>02,24 R1</vt:lpstr>
      <vt:lpstr>02,24 R2</vt:lpstr>
      <vt:lpstr>02,24 R3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 NO TRIP'!Print_Area</vt:lpstr>
      <vt:lpstr>'02,23 R2 NO TRIP'!Print_Area</vt:lpstr>
      <vt:lpstr>'02,23 R3'!Print_Area</vt:lpstr>
      <vt:lpstr>'02,24 R1'!Print_Area</vt:lpstr>
      <vt:lpstr>'02,24 R2'!Print_Area</vt:lpstr>
      <vt:lpstr>'02,24 R3'!Print_Area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2026-02-23T23:50:40Z</cp:lastPrinted>
  <dcterms:created xsi:type="dcterms:W3CDTF">2024-09-01T23:36:50Z</dcterms:created>
  <dcterms:modified xsi:type="dcterms:W3CDTF">2026-02-23T23:51:24Z</dcterms:modified>
</cp:coreProperties>
</file>