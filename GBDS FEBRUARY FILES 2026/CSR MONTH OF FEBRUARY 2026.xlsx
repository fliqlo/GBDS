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C4814E94-DDCC-40B9-8A47-84AF7CA5ADFA}" xr6:coauthVersionLast="45" xr6:coauthVersionMax="45" xr10:uidLastSave="{00000000-0000-0000-0000-000000000000}"/>
  <bookViews>
    <workbookView xWindow="-120" yWindow="-120" windowWidth="29040" windowHeight="15840" firstSheet="42" activeTab="48" xr2:uid="{67C3A74A-A57E-4AB5-8CD3-31B592A14032}"/>
  </bookViews>
  <sheets>
    <sheet name="CSR | FEBRUARY" sheetId="902" r:id="rId1"/>
    <sheet name="(2)" sheetId="1218" r:id="rId2"/>
    <sheet name="02-02 R1" sheetId="1324" r:id="rId3"/>
    <sheet name="02-02 R2" sheetId="1325" r:id="rId4"/>
    <sheet name="02-02 R3" sheetId="1326" r:id="rId5"/>
    <sheet name="(3)" sheetId="1352" r:id="rId6"/>
    <sheet name="02-03 R1" sheetId="1353" r:id="rId7"/>
    <sheet name="02-03 R2" sheetId="1354" r:id="rId8"/>
    <sheet name="02-03 R3" sheetId="1355" r:id="rId9"/>
    <sheet name="(4)" sheetId="1364" r:id="rId10"/>
    <sheet name="02-04 R1" sheetId="1365" r:id="rId11"/>
    <sheet name="02-04 R2" sheetId="1366" r:id="rId12"/>
    <sheet name="02-04 R3" sheetId="1367" r:id="rId13"/>
    <sheet name="(5)" sheetId="1368" r:id="rId14"/>
    <sheet name="02-05 R1" sheetId="1369" r:id="rId15"/>
    <sheet name="02-05 R2" sheetId="1370" r:id="rId16"/>
    <sheet name="02-05 R3" sheetId="1371" r:id="rId17"/>
    <sheet name="(6)" sheetId="1372" r:id="rId18"/>
    <sheet name="02-06 R1" sheetId="1373" r:id="rId19"/>
    <sheet name="02-06 R2" sheetId="1374" r:id="rId20"/>
    <sheet name="02-06 R3 NO TRIP" sheetId="1375" r:id="rId21"/>
    <sheet name="(7)" sheetId="1376" r:id="rId22"/>
    <sheet name="02-07 R1" sheetId="1378" r:id="rId23"/>
    <sheet name="02-07 R2" sheetId="1379" r:id="rId24"/>
    <sheet name="02-07 R3" sheetId="1377" r:id="rId25"/>
    <sheet name="(9)" sheetId="1380" r:id="rId26"/>
    <sheet name="02-09 R1" sheetId="1381" r:id="rId27"/>
    <sheet name="02-09 R2" sheetId="1382" r:id="rId28"/>
    <sheet name="02-09 R3" sheetId="1383" r:id="rId29"/>
    <sheet name="(10)" sheetId="1384" r:id="rId30"/>
    <sheet name="02-10 R1" sheetId="1385" r:id="rId31"/>
    <sheet name="02-10 R2" sheetId="1386" r:id="rId32"/>
    <sheet name="02-10 R3" sheetId="1387" r:id="rId33"/>
    <sheet name="(11)" sheetId="1388" r:id="rId34"/>
    <sheet name="02-11 R1" sheetId="1389" r:id="rId35"/>
    <sheet name="02-11 R2" sheetId="1390" r:id="rId36"/>
    <sheet name="02-11 R3" sheetId="1391" r:id="rId37"/>
    <sheet name="(12)" sheetId="1392" r:id="rId38"/>
    <sheet name="02-12 R1" sheetId="1393" r:id="rId39"/>
    <sheet name="02-12 R2" sheetId="1394" r:id="rId40"/>
    <sheet name="02-12 R3" sheetId="1395" r:id="rId41"/>
    <sheet name="(13)" sheetId="1396" r:id="rId42"/>
    <sheet name="02-13 R1 NO TRIP" sheetId="1397" r:id="rId43"/>
    <sheet name="02-13 R2" sheetId="1398" r:id="rId44"/>
    <sheet name="02-13 R3" sheetId="1399" r:id="rId45"/>
    <sheet name="(14)" sheetId="1400" r:id="rId46"/>
    <sheet name="02-14 R1" sheetId="1401" r:id="rId47"/>
    <sheet name="02-14 R2" sheetId="1402" r:id="rId48"/>
    <sheet name="02-14 R3" sheetId="1403" r:id="rId49"/>
    <sheet name="(16)" sheetId="1404" r:id="rId50"/>
    <sheet name="02-16 R1" sheetId="1405" r:id="rId51"/>
    <sheet name="02-16 R2" sheetId="1406" r:id="rId52"/>
    <sheet name="02-16 R3" sheetId="1407" r:id="rId53"/>
    <sheet name="(17)" sheetId="1408" r:id="rId54"/>
    <sheet name="02-17 R1" sheetId="1409" r:id="rId55"/>
    <sheet name="02-17 R2" sheetId="1410" r:id="rId56"/>
    <sheet name="02-17 R3" sheetId="1411" r:id="rId57"/>
  </sheets>
  <externalReferences>
    <externalReference r:id="rId58"/>
  </externalReferences>
  <definedNames>
    <definedName name="_xlnm.Print_Area" localSheetId="29">'(10)'!$A$1:$V$44</definedName>
    <definedName name="_xlnm.Print_Area" localSheetId="33">'(11)'!$A$1:$V$44</definedName>
    <definedName name="_xlnm.Print_Area" localSheetId="37">'(12)'!$A$1:$V$44</definedName>
    <definedName name="_xlnm.Print_Area" localSheetId="41">'(13)'!$A$1:$V$44</definedName>
    <definedName name="_xlnm.Print_Area" localSheetId="45">'(14)'!$A$1:$V$44</definedName>
    <definedName name="_xlnm.Print_Area" localSheetId="49">'(16)'!$A$1:$V$44</definedName>
    <definedName name="_xlnm.Print_Area" localSheetId="53">'(17)'!$A$1:$V$44</definedName>
    <definedName name="_xlnm.Print_Area" localSheetId="1">'(2)'!$A$1:$V$44</definedName>
    <definedName name="_xlnm.Print_Area" localSheetId="5">'(3)'!$A$1:$V$44</definedName>
    <definedName name="_xlnm.Print_Area" localSheetId="9">'(4)'!$A$1:$V$44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'(9)'!$A$1:$V$44</definedName>
    <definedName name="_xlnm.Print_Area" localSheetId="2">'02-02 R1'!$A$1:$Y$44</definedName>
    <definedName name="_xlnm.Print_Area" localSheetId="3">'02-02 R2'!$A$1:$V$44</definedName>
    <definedName name="_xlnm.Print_Area" localSheetId="4">'02-02 R3'!$A$1:$V$44</definedName>
    <definedName name="_xlnm.Print_Area" localSheetId="6">'02-03 R1'!$A$1:$Y$44</definedName>
    <definedName name="_xlnm.Print_Area" localSheetId="7">'02-03 R2'!$A$1:$V$44</definedName>
    <definedName name="_xlnm.Print_Area" localSheetId="8">'02-03 R3'!$A$1:$V$44</definedName>
    <definedName name="_xlnm.Print_Area" localSheetId="10">'02-04 R1'!$A$1:$Y$44</definedName>
    <definedName name="_xlnm.Print_Area" localSheetId="11">'02-04 R2'!$A$1:$V$44</definedName>
    <definedName name="_xlnm.Print_Area" localSheetId="12">'02-04 R3'!$A$1:$V$44</definedName>
    <definedName name="_xlnm.Print_Area" localSheetId="14">'02-05 R1'!$A$1:$Y$44</definedName>
    <definedName name="_xlnm.Print_Area" localSheetId="15">'02-05 R2'!$A$1:$V$44</definedName>
    <definedName name="_xlnm.Print_Area" localSheetId="16">'02-05 R3'!$A$1:$V$44</definedName>
    <definedName name="_xlnm.Print_Area" localSheetId="18">'02-06 R1'!$A$1:$Y$44</definedName>
    <definedName name="_xlnm.Print_Area" localSheetId="19">'02-06 R2'!$A$1:$V$44</definedName>
    <definedName name="_xlnm.Print_Area" localSheetId="20">'02-06 R3 NO TRIP'!$A$1:$V$44</definedName>
    <definedName name="_xlnm.Print_Area" localSheetId="22">'02-07 R1'!$A$1:$V$44</definedName>
    <definedName name="_xlnm.Print_Area" localSheetId="23">'02-07 R2'!$A$1:$V$44</definedName>
    <definedName name="_xlnm.Print_Area" localSheetId="24">'02-07 R3'!$A$1:$Y$44</definedName>
    <definedName name="_xlnm.Print_Area" localSheetId="26">'02-09 R1'!$A$1:$Y$44</definedName>
    <definedName name="_xlnm.Print_Area" localSheetId="27">'02-09 R2'!$A$1:$V$44</definedName>
    <definedName name="_xlnm.Print_Area" localSheetId="28">'02-09 R3'!$A$1:$V$44</definedName>
    <definedName name="_xlnm.Print_Area" localSheetId="30">'02-10 R1'!$A$1:$Y$44</definedName>
    <definedName name="_xlnm.Print_Area" localSheetId="31">'02-10 R2'!$A$1:$V$44</definedName>
    <definedName name="_xlnm.Print_Area" localSheetId="32">'02-10 R3'!$A$1:$V$44</definedName>
    <definedName name="_xlnm.Print_Area" localSheetId="34">'02-11 R1'!$A$1:$Y$44</definedName>
    <definedName name="_xlnm.Print_Area" localSheetId="35">'02-11 R2'!$A$1:$V$44</definedName>
    <definedName name="_xlnm.Print_Area" localSheetId="36">'02-11 R3'!$A$1:$V$44</definedName>
    <definedName name="_xlnm.Print_Area" localSheetId="38">'02-12 R1'!$A$1:$Y$44</definedName>
    <definedName name="_xlnm.Print_Area" localSheetId="39">'02-12 R2'!$A$1:$V$44</definedName>
    <definedName name="_xlnm.Print_Area" localSheetId="40">'02-12 R3'!$A$1:$V$44</definedName>
    <definedName name="_xlnm.Print_Area" localSheetId="42">'02-13 R1 NO TRIP'!$A$1:$Y$44</definedName>
    <definedName name="_xlnm.Print_Area" localSheetId="43">'02-13 R2'!$A$1:$V$44</definedName>
    <definedName name="_xlnm.Print_Area" localSheetId="44">'02-13 R3'!$A$1:$V$44</definedName>
    <definedName name="_xlnm.Print_Area" localSheetId="46">'02-14 R1'!$A$1:$Y$44</definedName>
    <definedName name="_xlnm.Print_Area" localSheetId="47">'02-14 R2'!$A$1:$V$44</definedName>
    <definedName name="_xlnm.Print_Area" localSheetId="48">'02-14 R3'!$A$1:$V$44</definedName>
    <definedName name="_xlnm.Print_Area" localSheetId="50">'02-16 R1'!$A$1:$Y$44</definedName>
    <definedName name="_xlnm.Print_Area" localSheetId="51">'02-16 R2'!$A$1:$V$44</definedName>
    <definedName name="_xlnm.Print_Area" localSheetId="52">'02-16 R3'!$A$1:$V$44</definedName>
    <definedName name="_xlnm.Print_Area" localSheetId="54">'02-17 R1'!$A$1:$Y$44</definedName>
    <definedName name="_xlnm.Print_Area" localSheetId="55">'02-17 R2'!$A$1:$V$44</definedName>
    <definedName name="_xlnm.Print_Area" localSheetId="56">'02-17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403" l="1"/>
  <c r="C45" i="1403"/>
  <c r="C45" i="1402"/>
  <c r="C44" i="1402"/>
  <c r="C45" i="1401"/>
  <c r="C44" i="1401"/>
  <c r="C45" i="1399" l="1"/>
  <c r="C44" i="1399"/>
  <c r="C44" i="1398" l="1"/>
  <c r="C44" i="1394" l="1"/>
  <c r="C45" i="1394"/>
  <c r="C44" i="1393"/>
  <c r="C45" i="1393"/>
  <c r="F21" i="1411" l="1"/>
  <c r="Y19" i="1411"/>
  <c r="W19" i="1411"/>
  <c r="V19" i="1411"/>
  <c r="U19" i="1411"/>
  <c r="T19" i="1411"/>
  <c r="P19" i="1411"/>
  <c r="O19" i="1411"/>
  <c r="N19" i="1411"/>
  <c r="M19" i="1411"/>
  <c r="L19" i="1411"/>
  <c r="K19" i="1411"/>
  <c r="J19" i="1411"/>
  <c r="I19" i="1411"/>
  <c r="H19" i="1411"/>
  <c r="G19" i="1411"/>
  <c r="F19" i="1411"/>
  <c r="E19" i="1411"/>
  <c r="D19" i="1411"/>
  <c r="C19" i="1411"/>
  <c r="Y18" i="1411"/>
  <c r="W18" i="1411"/>
  <c r="V18" i="1411"/>
  <c r="U18" i="1411"/>
  <c r="T18" i="1411"/>
  <c r="P18" i="1411"/>
  <c r="O18" i="1411"/>
  <c r="N18" i="1411"/>
  <c r="M18" i="1411"/>
  <c r="L18" i="1411"/>
  <c r="K18" i="1411"/>
  <c r="J18" i="1411"/>
  <c r="I18" i="1411"/>
  <c r="H18" i="1411"/>
  <c r="G18" i="1411"/>
  <c r="F18" i="1411"/>
  <c r="E18" i="1411"/>
  <c r="D18" i="1411"/>
  <c r="C18" i="1411"/>
  <c r="Y4" i="1411"/>
  <c r="W4" i="1411"/>
  <c r="V4" i="1411"/>
  <c r="U4" i="1411"/>
  <c r="T4" i="1411"/>
  <c r="P4" i="1411"/>
  <c r="O4" i="1411"/>
  <c r="N4" i="1411"/>
  <c r="M4" i="1411"/>
  <c r="L4" i="1411"/>
  <c r="K4" i="1411"/>
  <c r="J4" i="1411"/>
  <c r="I4" i="1411"/>
  <c r="H4" i="1411"/>
  <c r="G4" i="1411"/>
  <c r="F4" i="1411"/>
  <c r="E4" i="1411"/>
  <c r="D4" i="1411"/>
  <c r="C4" i="1411"/>
  <c r="Y3" i="1411"/>
  <c r="W3" i="1411"/>
  <c r="V3" i="1411"/>
  <c r="U3" i="1411"/>
  <c r="T3" i="1411"/>
  <c r="P3" i="1411"/>
  <c r="O3" i="1411"/>
  <c r="N3" i="1411"/>
  <c r="M3" i="1411"/>
  <c r="L3" i="1411"/>
  <c r="K3" i="1411"/>
  <c r="J3" i="1411"/>
  <c r="I3" i="1411"/>
  <c r="H3" i="1411"/>
  <c r="G3" i="1411"/>
  <c r="F3" i="1411"/>
  <c r="E3" i="1411"/>
  <c r="D3" i="1411"/>
  <c r="C3" i="1411"/>
  <c r="F21" i="1410"/>
  <c r="Y19" i="1410"/>
  <c r="W19" i="1410"/>
  <c r="V19" i="1410"/>
  <c r="U19" i="1410"/>
  <c r="T19" i="1410"/>
  <c r="P19" i="1410"/>
  <c r="O19" i="1410"/>
  <c r="N19" i="1410"/>
  <c r="M19" i="1410"/>
  <c r="L19" i="1410"/>
  <c r="K19" i="1410"/>
  <c r="J19" i="1410"/>
  <c r="I19" i="1410"/>
  <c r="H19" i="1410"/>
  <c r="G19" i="1410"/>
  <c r="F19" i="1410"/>
  <c r="E19" i="1410"/>
  <c r="D19" i="1410"/>
  <c r="C19" i="1410"/>
  <c r="Y18" i="1410"/>
  <c r="W18" i="1410"/>
  <c r="V18" i="1410"/>
  <c r="U18" i="1410"/>
  <c r="T18" i="1410"/>
  <c r="P18" i="1410"/>
  <c r="O18" i="1410"/>
  <c r="N18" i="1410"/>
  <c r="M18" i="1410"/>
  <c r="L18" i="1410"/>
  <c r="K18" i="1410"/>
  <c r="J18" i="1410"/>
  <c r="I18" i="1410"/>
  <c r="H18" i="1410"/>
  <c r="G18" i="1410"/>
  <c r="F18" i="1410"/>
  <c r="E18" i="1410"/>
  <c r="D18" i="1410"/>
  <c r="C18" i="1410"/>
  <c r="Y4" i="1410"/>
  <c r="W4" i="1410"/>
  <c r="V4" i="1410"/>
  <c r="U4" i="1410"/>
  <c r="T4" i="1410"/>
  <c r="P4" i="1410"/>
  <c r="O4" i="1410"/>
  <c r="N4" i="1410"/>
  <c r="M4" i="1410"/>
  <c r="L4" i="1410"/>
  <c r="K4" i="1410"/>
  <c r="J4" i="1410"/>
  <c r="I4" i="1410"/>
  <c r="H4" i="1410"/>
  <c r="G4" i="1410"/>
  <c r="F4" i="1410"/>
  <c r="E4" i="1410"/>
  <c r="D4" i="1410"/>
  <c r="C4" i="1410"/>
  <c r="Y3" i="1410"/>
  <c r="W3" i="1410"/>
  <c r="V3" i="1410"/>
  <c r="U3" i="1410"/>
  <c r="T3" i="1410"/>
  <c r="P3" i="1410"/>
  <c r="O3" i="1410"/>
  <c r="N3" i="1410"/>
  <c r="M3" i="1410"/>
  <c r="L3" i="1410"/>
  <c r="K3" i="1410"/>
  <c r="J3" i="1410"/>
  <c r="I3" i="1410"/>
  <c r="H3" i="1410"/>
  <c r="G3" i="1410"/>
  <c r="F3" i="1410"/>
  <c r="E3" i="1410"/>
  <c r="D3" i="1410"/>
  <c r="C3" i="1410"/>
  <c r="F21" i="1409"/>
  <c r="Y19" i="1409"/>
  <c r="W19" i="1409"/>
  <c r="V19" i="1409"/>
  <c r="U19" i="1409"/>
  <c r="T19" i="1409"/>
  <c r="P19" i="1409"/>
  <c r="O19" i="1409"/>
  <c r="N19" i="1409"/>
  <c r="M19" i="1409"/>
  <c r="L19" i="1409"/>
  <c r="K19" i="1409"/>
  <c r="J19" i="1409"/>
  <c r="I19" i="1409"/>
  <c r="H19" i="1409"/>
  <c r="G19" i="1409"/>
  <c r="F19" i="1409"/>
  <c r="E19" i="1409"/>
  <c r="D19" i="1409"/>
  <c r="C19" i="1409"/>
  <c r="Y18" i="1409"/>
  <c r="W18" i="1409"/>
  <c r="V18" i="1409"/>
  <c r="U18" i="1409"/>
  <c r="T18" i="1409"/>
  <c r="P18" i="1409"/>
  <c r="O18" i="1409"/>
  <c r="N18" i="1409"/>
  <c r="M18" i="1409"/>
  <c r="L18" i="1409"/>
  <c r="K18" i="1409"/>
  <c r="J18" i="1409"/>
  <c r="I18" i="1409"/>
  <c r="H18" i="1409"/>
  <c r="G18" i="1409"/>
  <c r="F18" i="1409"/>
  <c r="E18" i="1409"/>
  <c r="D18" i="1409"/>
  <c r="C18" i="1409"/>
  <c r="Y4" i="1409"/>
  <c r="W4" i="1409"/>
  <c r="V4" i="1409"/>
  <c r="U4" i="1409"/>
  <c r="T4" i="1409"/>
  <c r="P4" i="1409"/>
  <c r="O4" i="1409"/>
  <c r="N4" i="1409"/>
  <c r="M4" i="1409"/>
  <c r="L4" i="1409"/>
  <c r="K4" i="1409"/>
  <c r="J4" i="1409"/>
  <c r="I4" i="1409"/>
  <c r="H4" i="1409"/>
  <c r="G4" i="1409"/>
  <c r="F4" i="1409"/>
  <c r="E4" i="1409"/>
  <c r="D4" i="1409"/>
  <c r="C4" i="1409"/>
  <c r="Y3" i="1409"/>
  <c r="W3" i="1409"/>
  <c r="V3" i="1409"/>
  <c r="U3" i="1409"/>
  <c r="T3" i="1409"/>
  <c r="P3" i="1409"/>
  <c r="O3" i="1409"/>
  <c r="N3" i="1409"/>
  <c r="M3" i="1409"/>
  <c r="L3" i="1409"/>
  <c r="K3" i="1409"/>
  <c r="J3" i="1409"/>
  <c r="I3" i="1409"/>
  <c r="H3" i="1409"/>
  <c r="G3" i="1409"/>
  <c r="F3" i="1409"/>
  <c r="E3" i="1409"/>
  <c r="D3" i="1409"/>
  <c r="C3" i="1409"/>
  <c r="F21" i="1408"/>
  <c r="Y19" i="1408"/>
  <c r="W19" i="1408"/>
  <c r="V19" i="1408"/>
  <c r="U19" i="1408"/>
  <c r="T19" i="1408"/>
  <c r="P19" i="1408"/>
  <c r="O19" i="1408"/>
  <c r="N19" i="1408"/>
  <c r="M19" i="1408"/>
  <c r="L19" i="1408"/>
  <c r="K19" i="1408"/>
  <c r="J19" i="1408"/>
  <c r="I19" i="1408"/>
  <c r="H19" i="1408"/>
  <c r="G19" i="1408"/>
  <c r="F19" i="1408"/>
  <c r="E19" i="1408"/>
  <c r="D19" i="1408"/>
  <c r="C19" i="1408"/>
  <c r="Y18" i="1408"/>
  <c r="W18" i="1408"/>
  <c r="V18" i="1408"/>
  <c r="U18" i="1408"/>
  <c r="T18" i="1408"/>
  <c r="P18" i="1408"/>
  <c r="O18" i="1408"/>
  <c r="N18" i="1408"/>
  <c r="M18" i="1408"/>
  <c r="L18" i="1408"/>
  <c r="K18" i="1408"/>
  <c r="J18" i="1408"/>
  <c r="I18" i="1408"/>
  <c r="H18" i="1408"/>
  <c r="G18" i="1408"/>
  <c r="F18" i="1408"/>
  <c r="E18" i="1408"/>
  <c r="D18" i="1408"/>
  <c r="C18" i="1408"/>
  <c r="Y4" i="1408"/>
  <c r="W4" i="1408"/>
  <c r="V4" i="1408"/>
  <c r="U4" i="1408"/>
  <c r="T4" i="1408"/>
  <c r="P4" i="1408"/>
  <c r="O4" i="1408"/>
  <c r="N4" i="1408"/>
  <c r="M4" i="1408"/>
  <c r="L4" i="1408"/>
  <c r="K4" i="1408"/>
  <c r="J4" i="1408"/>
  <c r="I4" i="1408"/>
  <c r="H4" i="1408"/>
  <c r="G4" i="1408"/>
  <c r="F4" i="1408"/>
  <c r="E4" i="1408"/>
  <c r="D4" i="1408"/>
  <c r="C4" i="1408"/>
  <c r="Y3" i="1408"/>
  <c r="W3" i="1408"/>
  <c r="V3" i="1408"/>
  <c r="U3" i="1408"/>
  <c r="T3" i="1408"/>
  <c r="P3" i="1408"/>
  <c r="O3" i="1408"/>
  <c r="N3" i="1408"/>
  <c r="M3" i="1408"/>
  <c r="L3" i="1408"/>
  <c r="K3" i="1408"/>
  <c r="J3" i="1408"/>
  <c r="I3" i="1408"/>
  <c r="H3" i="1408"/>
  <c r="G3" i="1408"/>
  <c r="F3" i="1408"/>
  <c r="E3" i="1408"/>
  <c r="D3" i="1408"/>
  <c r="C3" i="1408"/>
  <c r="F21" i="1407"/>
  <c r="Y19" i="1407"/>
  <c r="W19" i="1407"/>
  <c r="V19" i="1407"/>
  <c r="U19" i="1407"/>
  <c r="T19" i="1407"/>
  <c r="P19" i="1407"/>
  <c r="O19" i="1407"/>
  <c r="N19" i="1407"/>
  <c r="M19" i="1407"/>
  <c r="L19" i="1407"/>
  <c r="K19" i="1407"/>
  <c r="J19" i="1407"/>
  <c r="I19" i="1407"/>
  <c r="H19" i="1407"/>
  <c r="G19" i="1407"/>
  <c r="F19" i="1407"/>
  <c r="E19" i="1407"/>
  <c r="D19" i="1407"/>
  <c r="C19" i="1407"/>
  <c r="Y18" i="1407"/>
  <c r="W18" i="1407"/>
  <c r="V18" i="1407"/>
  <c r="U18" i="1407"/>
  <c r="T18" i="1407"/>
  <c r="P18" i="1407"/>
  <c r="O18" i="1407"/>
  <c r="N18" i="1407"/>
  <c r="M18" i="1407"/>
  <c r="L18" i="1407"/>
  <c r="K18" i="1407"/>
  <c r="J18" i="1407"/>
  <c r="I18" i="1407"/>
  <c r="H18" i="1407"/>
  <c r="G18" i="1407"/>
  <c r="F18" i="1407"/>
  <c r="E18" i="1407"/>
  <c r="D18" i="1407"/>
  <c r="C18" i="1407"/>
  <c r="Y4" i="1407"/>
  <c r="W4" i="1407"/>
  <c r="V4" i="1407"/>
  <c r="U4" i="1407"/>
  <c r="T4" i="1407"/>
  <c r="P4" i="1407"/>
  <c r="O4" i="1407"/>
  <c r="N4" i="1407"/>
  <c r="M4" i="1407"/>
  <c r="L4" i="1407"/>
  <c r="K4" i="1407"/>
  <c r="J4" i="1407"/>
  <c r="I4" i="1407"/>
  <c r="H4" i="1407"/>
  <c r="G4" i="1407"/>
  <c r="F4" i="1407"/>
  <c r="E4" i="1407"/>
  <c r="D4" i="1407"/>
  <c r="C4" i="1407"/>
  <c r="Y3" i="1407"/>
  <c r="W3" i="1407"/>
  <c r="V3" i="1407"/>
  <c r="U3" i="1407"/>
  <c r="T3" i="1407"/>
  <c r="P3" i="1407"/>
  <c r="O3" i="1407"/>
  <c r="N3" i="1407"/>
  <c r="M3" i="1407"/>
  <c r="L3" i="1407"/>
  <c r="K3" i="1407"/>
  <c r="J3" i="1407"/>
  <c r="I3" i="1407"/>
  <c r="H3" i="1407"/>
  <c r="G3" i="1407"/>
  <c r="F3" i="1407"/>
  <c r="E3" i="1407"/>
  <c r="D3" i="1407"/>
  <c r="C3" i="1407"/>
  <c r="F21" i="1406"/>
  <c r="Y19" i="1406"/>
  <c r="W19" i="1406"/>
  <c r="V19" i="1406"/>
  <c r="U19" i="1406"/>
  <c r="T19" i="1406"/>
  <c r="P19" i="1406"/>
  <c r="O19" i="1406"/>
  <c r="N19" i="1406"/>
  <c r="M19" i="1406"/>
  <c r="L19" i="1406"/>
  <c r="K19" i="1406"/>
  <c r="J19" i="1406"/>
  <c r="I19" i="1406"/>
  <c r="H19" i="1406"/>
  <c r="G19" i="1406"/>
  <c r="F19" i="1406"/>
  <c r="E19" i="1406"/>
  <c r="D19" i="1406"/>
  <c r="C19" i="1406"/>
  <c r="Y18" i="1406"/>
  <c r="W18" i="1406"/>
  <c r="V18" i="1406"/>
  <c r="U18" i="1406"/>
  <c r="T18" i="1406"/>
  <c r="P18" i="1406"/>
  <c r="O18" i="1406"/>
  <c r="N18" i="1406"/>
  <c r="M18" i="1406"/>
  <c r="L18" i="1406"/>
  <c r="K18" i="1406"/>
  <c r="J18" i="1406"/>
  <c r="I18" i="1406"/>
  <c r="H18" i="1406"/>
  <c r="G18" i="1406"/>
  <c r="F18" i="1406"/>
  <c r="E18" i="1406"/>
  <c r="D18" i="1406"/>
  <c r="C18" i="1406"/>
  <c r="Y4" i="1406"/>
  <c r="W4" i="1406"/>
  <c r="V4" i="1406"/>
  <c r="U4" i="1406"/>
  <c r="T4" i="1406"/>
  <c r="P4" i="1406"/>
  <c r="O4" i="1406"/>
  <c r="N4" i="1406"/>
  <c r="M4" i="1406"/>
  <c r="L4" i="1406"/>
  <c r="K4" i="1406"/>
  <c r="J4" i="1406"/>
  <c r="I4" i="1406"/>
  <c r="H4" i="1406"/>
  <c r="G4" i="1406"/>
  <c r="F4" i="1406"/>
  <c r="E4" i="1406"/>
  <c r="D4" i="1406"/>
  <c r="C4" i="1406"/>
  <c r="Y3" i="1406"/>
  <c r="W3" i="1406"/>
  <c r="V3" i="1406"/>
  <c r="U3" i="1406"/>
  <c r="T3" i="1406"/>
  <c r="P3" i="1406"/>
  <c r="O3" i="1406"/>
  <c r="N3" i="1406"/>
  <c r="M3" i="1406"/>
  <c r="L3" i="1406"/>
  <c r="K3" i="1406"/>
  <c r="J3" i="1406"/>
  <c r="I3" i="1406"/>
  <c r="H3" i="1406"/>
  <c r="G3" i="1406"/>
  <c r="F3" i="1406"/>
  <c r="E3" i="1406"/>
  <c r="D3" i="1406"/>
  <c r="C3" i="1406"/>
  <c r="F21" i="1405"/>
  <c r="Y19" i="1405"/>
  <c r="W19" i="1405"/>
  <c r="V19" i="1405"/>
  <c r="U19" i="1405"/>
  <c r="T19" i="1405"/>
  <c r="P19" i="1405"/>
  <c r="O19" i="1405"/>
  <c r="N19" i="1405"/>
  <c r="M19" i="1405"/>
  <c r="L19" i="1405"/>
  <c r="K19" i="1405"/>
  <c r="J19" i="1405"/>
  <c r="I19" i="1405"/>
  <c r="H19" i="1405"/>
  <c r="G19" i="1405"/>
  <c r="F19" i="1405"/>
  <c r="E19" i="1405"/>
  <c r="D19" i="1405"/>
  <c r="C19" i="1405"/>
  <c r="Y18" i="1405"/>
  <c r="W18" i="1405"/>
  <c r="V18" i="1405"/>
  <c r="U18" i="1405"/>
  <c r="T18" i="1405"/>
  <c r="P18" i="1405"/>
  <c r="O18" i="1405"/>
  <c r="N18" i="1405"/>
  <c r="M18" i="1405"/>
  <c r="L18" i="1405"/>
  <c r="K18" i="1405"/>
  <c r="J18" i="1405"/>
  <c r="I18" i="1405"/>
  <c r="H18" i="1405"/>
  <c r="G18" i="1405"/>
  <c r="F18" i="1405"/>
  <c r="E18" i="1405"/>
  <c r="D18" i="1405"/>
  <c r="C18" i="1405"/>
  <c r="Y4" i="1405"/>
  <c r="W4" i="1405"/>
  <c r="V4" i="1405"/>
  <c r="U4" i="1405"/>
  <c r="T4" i="1405"/>
  <c r="P4" i="1405"/>
  <c r="O4" i="1405"/>
  <c r="N4" i="1405"/>
  <c r="M4" i="1405"/>
  <c r="L4" i="1405"/>
  <c r="K4" i="1405"/>
  <c r="J4" i="1405"/>
  <c r="I4" i="1405"/>
  <c r="H4" i="1405"/>
  <c r="G4" i="1405"/>
  <c r="F4" i="1405"/>
  <c r="E4" i="1405"/>
  <c r="D4" i="1405"/>
  <c r="C4" i="1405"/>
  <c r="Y3" i="1405"/>
  <c r="W3" i="1405"/>
  <c r="V3" i="1405"/>
  <c r="U3" i="1405"/>
  <c r="T3" i="1405"/>
  <c r="P3" i="1405"/>
  <c r="O3" i="1405"/>
  <c r="N3" i="1405"/>
  <c r="M3" i="1405"/>
  <c r="L3" i="1405"/>
  <c r="K3" i="1405"/>
  <c r="J3" i="1405"/>
  <c r="I3" i="1405"/>
  <c r="H3" i="1405"/>
  <c r="G3" i="1405"/>
  <c r="F3" i="1405"/>
  <c r="E3" i="1405"/>
  <c r="D3" i="1405"/>
  <c r="C3" i="1405"/>
  <c r="F21" i="1404"/>
  <c r="Y19" i="1404"/>
  <c r="W19" i="1404"/>
  <c r="V19" i="1404"/>
  <c r="U19" i="1404"/>
  <c r="T19" i="1404"/>
  <c r="P19" i="1404"/>
  <c r="O19" i="1404"/>
  <c r="N19" i="1404"/>
  <c r="M19" i="1404"/>
  <c r="L19" i="1404"/>
  <c r="K19" i="1404"/>
  <c r="J19" i="1404"/>
  <c r="I19" i="1404"/>
  <c r="H19" i="1404"/>
  <c r="G19" i="1404"/>
  <c r="F19" i="1404"/>
  <c r="E19" i="1404"/>
  <c r="D19" i="1404"/>
  <c r="C19" i="1404"/>
  <c r="Y18" i="1404"/>
  <c r="W18" i="1404"/>
  <c r="V18" i="1404"/>
  <c r="U18" i="1404"/>
  <c r="T18" i="1404"/>
  <c r="P18" i="1404"/>
  <c r="O18" i="1404"/>
  <c r="N18" i="1404"/>
  <c r="M18" i="1404"/>
  <c r="L18" i="1404"/>
  <c r="K18" i="1404"/>
  <c r="J18" i="1404"/>
  <c r="I18" i="1404"/>
  <c r="H18" i="1404"/>
  <c r="G18" i="1404"/>
  <c r="F18" i="1404"/>
  <c r="E18" i="1404"/>
  <c r="D18" i="1404"/>
  <c r="C18" i="1404"/>
  <c r="Y4" i="1404"/>
  <c r="W4" i="1404"/>
  <c r="V4" i="1404"/>
  <c r="U4" i="1404"/>
  <c r="T4" i="1404"/>
  <c r="P4" i="1404"/>
  <c r="O4" i="1404"/>
  <c r="N4" i="1404"/>
  <c r="M4" i="1404"/>
  <c r="L4" i="1404"/>
  <c r="K4" i="1404"/>
  <c r="J4" i="1404"/>
  <c r="I4" i="1404"/>
  <c r="H4" i="1404"/>
  <c r="G4" i="1404"/>
  <c r="F4" i="1404"/>
  <c r="E4" i="1404"/>
  <c r="D4" i="1404"/>
  <c r="C4" i="1404"/>
  <c r="Y3" i="1404"/>
  <c r="W3" i="1404"/>
  <c r="V3" i="1404"/>
  <c r="U3" i="1404"/>
  <c r="T3" i="1404"/>
  <c r="P3" i="1404"/>
  <c r="O3" i="1404"/>
  <c r="N3" i="1404"/>
  <c r="M3" i="1404"/>
  <c r="L3" i="1404"/>
  <c r="K3" i="1404"/>
  <c r="J3" i="1404"/>
  <c r="I3" i="1404"/>
  <c r="H3" i="1404"/>
  <c r="G3" i="1404"/>
  <c r="F3" i="1404"/>
  <c r="E3" i="1404"/>
  <c r="D3" i="1404"/>
  <c r="C3" i="1404"/>
  <c r="F21" i="1403"/>
  <c r="Y19" i="1403"/>
  <c r="W19" i="1403"/>
  <c r="V19" i="1403"/>
  <c r="U19" i="1403"/>
  <c r="T19" i="1403"/>
  <c r="P19" i="1403"/>
  <c r="O19" i="1403"/>
  <c r="N19" i="1403"/>
  <c r="M19" i="1403"/>
  <c r="L19" i="1403"/>
  <c r="K19" i="1403"/>
  <c r="J19" i="1403"/>
  <c r="I19" i="1403"/>
  <c r="H19" i="1403"/>
  <c r="G19" i="1403"/>
  <c r="F19" i="1403"/>
  <c r="E19" i="1403"/>
  <c r="D19" i="1403"/>
  <c r="C19" i="1403"/>
  <c r="Y18" i="1403"/>
  <c r="W18" i="1403"/>
  <c r="V18" i="1403"/>
  <c r="U18" i="1403"/>
  <c r="T18" i="1403"/>
  <c r="P18" i="1403"/>
  <c r="O18" i="1403"/>
  <c r="N18" i="1403"/>
  <c r="M18" i="1403"/>
  <c r="L18" i="1403"/>
  <c r="K18" i="1403"/>
  <c r="J18" i="1403"/>
  <c r="I18" i="1403"/>
  <c r="H18" i="1403"/>
  <c r="G18" i="1403"/>
  <c r="F18" i="1403"/>
  <c r="E18" i="1403"/>
  <c r="D18" i="1403"/>
  <c r="C18" i="1403"/>
  <c r="Y4" i="1403"/>
  <c r="W4" i="1403"/>
  <c r="V4" i="1403"/>
  <c r="U4" i="1403"/>
  <c r="T4" i="1403"/>
  <c r="P4" i="1403"/>
  <c r="O4" i="1403"/>
  <c r="N4" i="1403"/>
  <c r="M4" i="1403"/>
  <c r="L4" i="1403"/>
  <c r="K4" i="1403"/>
  <c r="J4" i="1403"/>
  <c r="I4" i="1403"/>
  <c r="H4" i="1403"/>
  <c r="G4" i="1403"/>
  <c r="F4" i="1403"/>
  <c r="E4" i="1403"/>
  <c r="D4" i="1403"/>
  <c r="C4" i="1403"/>
  <c r="Y3" i="1403"/>
  <c r="W3" i="1403"/>
  <c r="V3" i="1403"/>
  <c r="U3" i="1403"/>
  <c r="T3" i="1403"/>
  <c r="P3" i="1403"/>
  <c r="O3" i="1403"/>
  <c r="N3" i="1403"/>
  <c r="M3" i="1403"/>
  <c r="L3" i="1403"/>
  <c r="K3" i="1403"/>
  <c r="J3" i="1403"/>
  <c r="I3" i="1403"/>
  <c r="H3" i="1403"/>
  <c r="G3" i="1403"/>
  <c r="F3" i="1403"/>
  <c r="E3" i="1403"/>
  <c r="D3" i="1403"/>
  <c r="C3" i="1403"/>
  <c r="F21" i="1402"/>
  <c r="Y19" i="1402"/>
  <c r="W19" i="1402"/>
  <c r="V19" i="1402"/>
  <c r="U19" i="1402"/>
  <c r="T19" i="1402"/>
  <c r="P19" i="1402"/>
  <c r="O19" i="1402"/>
  <c r="N19" i="1402"/>
  <c r="M19" i="1402"/>
  <c r="L19" i="1402"/>
  <c r="K19" i="1402"/>
  <c r="J19" i="1402"/>
  <c r="I19" i="1402"/>
  <c r="H19" i="1402"/>
  <c r="G19" i="1402"/>
  <c r="F19" i="1402"/>
  <c r="E19" i="1402"/>
  <c r="D19" i="1402"/>
  <c r="C19" i="1402"/>
  <c r="Y18" i="1402"/>
  <c r="W18" i="1402"/>
  <c r="V18" i="1402"/>
  <c r="U18" i="1402"/>
  <c r="T18" i="1402"/>
  <c r="P18" i="1402"/>
  <c r="O18" i="1402"/>
  <c r="N18" i="1402"/>
  <c r="M18" i="1402"/>
  <c r="L18" i="1402"/>
  <c r="K18" i="1402"/>
  <c r="J18" i="1402"/>
  <c r="I18" i="1402"/>
  <c r="H18" i="1402"/>
  <c r="G18" i="1402"/>
  <c r="F18" i="1402"/>
  <c r="E18" i="1402"/>
  <c r="D18" i="1402"/>
  <c r="C18" i="1402"/>
  <c r="Y4" i="1402"/>
  <c r="W4" i="1402"/>
  <c r="V4" i="1402"/>
  <c r="U4" i="1402"/>
  <c r="T4" i="1402"/>
  <c r="P4" i="1402"/>
  <c r="O4" i="1402"/>
  <c r="N4" i="1402"/>
  <c r="M4" i="1402"/>
  <c r="L4" i="1402"/>
  <c r="K4" i="1402"/>
  <c r="J4" i="1402"/>
  <c r="I4" i="1402"/>
  <c r="H4" i="1402"/>
  <c r="G4" i="1402"/>
  <c r="F4" i="1402"/>
  <c r="E4" i="1402"/>
  <c r="D4" i="1402"/>
  <c r="C4" i="1402"/>
  <c r="Y3" i="1402"/>
  <c r="W3" i="1402"/>
  <c r="V3" i="1402"/>
  <c r="U3" i="1402"/>
  <c r="T3" i="1402"/>
  <c r="P3" i="1402"/>
  <c r="O3" i="1402"/>
  <c r="N3" i="1402"/>
  <c r="M3" i="1402"/>
  <c r="L3" i="1402"/>
  <c r="K3" i="1402"/>
  <c r="J3" i="1402"/>
  <c r="I3" i="1402"/>
  <c r="H3" i="1402"/>
  <c r="G3" i="1402"/>
  <c r="F3" i="1402"/>
  <c r="E3" i="1402"/>
  <c r="D3" i="1402"/>
  <c r="C3" i="1402"/>
  <c r="F21" i="1401"/>
  <c r="Y19" i="1401"/>
  <c r="W19" i="1401"/>
  <c r="V19" i="1401"/>
  <c r="U19" i="1401"/>
  <c r="T19" i="1401"/>
  <c r="P19" i="1401"/>
  <c r="O19" i="1401"/>
  <c r="N19" i="1401"/>
  <c r="M19" i="1401"/>
  <c r="L19" i="1401"/>
  <c r="K19" i="1401"/>
  <c r="J19" i="1401"/>
  <c r="I19" i="1401"/>
  <c r="H19" i="1401"/>
  <c r="G19" i="1401"/>
  <c r="F19" i="1401"/>
  <c r="E19" i="1401"/>
  <c r="D19" i="1401"/>
  <c r="C19" i="1401"/>
  <c r="Y18" i="1401"/>
  <c r="W18" i="1401"/>
  <c r="V18" i="1401"/>
  <c r="U18" i="1401"/>
  <c r="T18" i="1401"/>
  <c r="P18" i="1401"/>
  <c r="O18" i="1401"/>
  <c r="N18" i="1401"/>
  <c r="M18" i="1401"/>
  <c r="L18" i="1401"/>
  <c r="K18" i="1401"/>
  <c r="J18" i="1401"/>
  <c r="I18" i="1401"/>
  <c r="H18" i="1401"/>
  <c r="G18" i="1401"/>
  <c r="F18" i="1401"/>
  <c r="E18" i="1401"/>
  <c r="D18" i="1401"/>
  <c r="C18" i="1401"/>
  <c r="Y4" i="1401"/>
  <c r="W4" i="1401"/>
  <c r="V4" i="1401"/>
  <c r="U4" i="1401"/>
  <c r="T4" i="1401"/>
  <c r="P4" i="1401"/>
  <c r="O4" i="1401"/>
  <c r="N4" i="1401"/>
  <c r="M4" i="1401"/>
  <c r="L4" i="1401"/>
  <c r="K4" i="1401"/>
  <c r="J4" i="1401"/>
  <c r="I4" i="1401"/>
  <c r="H4" i="1401"/>
  <c r="G4" i="1401"/>
  <c r="F4" i="1401"/>
  <c r="E4" i="1401"/>
  <c r="D4" i="1401"/>
  <c r="C4" i="1401"/>
  <c r="Y3" i="1401"/>
  <c r="W3" i="1401"/>
  <c r="V3" i="1401"/>
  <c r="U3" i="1401"/>
  <c r="T3" i="1401"/>
  <c r="P3" i="1401"/>
  <c r="O3" i="1401"/>
  <c r="N3" i="1401"/>
  <c r="M3" i="1401"/>
  <c r="L3" i="1401"/>
  <c r="K3" i="1401"/>
  <c r="J3" i="1401"/>
  <c r="I3" i="1401"/>
  <c r="H3" i="1401"/>
  <c r="G3" i="1401"/>
  <c r="F3" i="1401"/>
  <c r="E3" i="1401"/>
  <c r="D3" i="1401"/>
  <c r="C3" i="1401"/>
  <c r="F21" i="1400"/>
  <c r="Y19" i="1400"/>
  <c r="W19" i="1400"/>
  <c r="V19" i="1400"/>
  <c r="U19" i="1400"/>
  <c r="T19" i="1400"/>
  <c r="P19" i="1400"/>
  <c r="O19" i="1400"/>
  <c r="N19" i="1400"/>
  <c r="M19" i="1400"/>
  <c r="L19" i="1400"/>
  <c r="K19" i="1400"/>
  <c r="J19" i="1400"/>
  <c r="I19" i="1400"/>
  <c r="H19" i="1400"/>
  <c r="G19" i="1400"/>
  <c r="F19" i="1400"/>
  <c r="E19" i="1400"/>
  <c r="D19" i="1400"/>
  <c r="C19" i="1400"/>
  <c r="Y18" i="1400"/>
  <c r="W18" i="1400"/>
  <c r="V18" i="1400"/>
  <c r="U18" i="1400"/>
  <c r="T18" i="1400"/>
  <c r="P18" i="1400"/>
  <c r="O18" i="1400"/>
  <c r="N18" i="1400"/>
  <c r="M18" i="1400"/>
  <c r="L18" i="1400"/>
  <c r="K18" i="1400"/>
  <c r="J18" i="1400"/>
  <c r="I18" i="1400"/>
  <c r="H18" i="1400"/>
  <c r="G18" i="1400"/>
  <c r="F18" i="1400"/>
  <c r="E18" i="1400"/>
  <c r="D18" i="1400"/>
  <c r="C18" i="1400"/>
  <c r="Y4" i="1400"/>
  <c r="W4" i="1400"/>
  <c r="V4" i="1400"/>
  <c r="U4" i="1400"/>
  <c r="T4" i="1400"/>
  <c r="P4" i="1400"/>
  <c r="O4" i="1400"/>
  <c r="N4" i="1400"/>
  <c r="M4" i="1400"/>
  <c r="L4" i="1400"/>
  <c r="K4" i="1400"/>
  <c r="J4" i="1400"/>
  <c r="I4" i="1400"/>
  <c r="H4" i="1400"/>
  <c r="G4" i="1400"/>
  <c r="F4" i="1400"/>
  <c r="E4" i="1400"/>
  <c r="D4" i="1400"/>
  <c r="C4" i="1400"/>
  <c r="Y3" i="1400"/>
  <c r="W3" i="1400"/>
  <c r="V3" i="1400"/>
  <c r="U3" i="1400"/>
  <c r="T3" i="1400"/>
  <c r="P3" i="1400"/>
  <c r="O3" i="1400"/>
  <c r="N3" i="1400"/>
  <c r="M3" i="1400"/>
  <c r="L3" i="1400"/>
  <c r="K3" i="1400"/>
  <c r="J3" i="1400"/>
  <c r="I3" i="1400"/>
  <c r="H3" i="1400"/>
  <c r="G3" i="1400"/>
  <c r="F3" i="1400"/>
  <c r="E3" i="1400"/>
  <c r="D3" i="1400"/>
  <c r="C3" i="1400"/>
  <c r="C45" i="1391" l="1"/>
  <c r="C44" i="1391"/>
  <c r="C45" i="1389"/>
  <c r="C44" i="1389"/>
  <c r="C45" i="1390"/>
  <c r="C44" i="1390"/>
  <c r="F21" i="1399"/>
  <c r="Y19" i="1399"/>
  <c r="W19" i="1399"/>
  <c r="V19" i="1399"/>
  <c r="U19" i="1399"/>
  <c r="T19" i="1399"/>
  <c r="P19" i="1399"/>
  <c r="O19" i="1399"/>
  <c r="N19" i="1399"/>
  <c r="M19" i="1399"/>
  <c r="L19" i="1399"/>
  <c r="K19" i="1399"/>
  <c r="J19" i="1399"/>
  <c r="I19" i="1399"/>
  <c r="H19" i="1399"/>
  <c r="G19" i="1399"/>
  <c r="F19" i="1399"/>
  <c r="E19" i="1399"/>
  <c r="D19" i="1399"/>
  <c r="C19" i="1399"/>
  <c r="Y18" i="1399"/>
  <c r="W18" i="1399"/>
  <c r="V18" i="1399"/>
  <c r="U18" i="1399"/>
  <c r="T18" i="1399"/>
  <c r="P18" i="1399"/>
  <c r="O18" i="1399"/>
  <c r="N18" i="1399"/>
  <c r="M18" i="1399"/>
  <c r="L18" i="1399"/>
  <c r="K18" i="1399"/>
  <c r="J18" i="1399"/>
  <c r="I18" i="1399"/>
  <c r="H18" i="1399"/>
  <c r="G18" i="1399"/>
  <c r="F18" i="1399"/>
  <c r="E18" i="1399"/>
  <c r="D18" i="1399"/>
  <c r="C18" i="1399"/>
  <c r="Y4" i="1399"/>
  <c r="W4" i="1399"/>
  <c r="V4" i="1399"/>
  <c r="U4" i="1399"/>
  <c r="T4" i="1399"/>
  <c r="P4" i="1399"/>
  <c r="O4" i="1399"/>
  <c r="N4" i="1399"/>
  <c r="M4" i="1399"/>
  <c r="L4" i="1399"/>
  <c r="K4" i="1399"/>
  <c r="J4" i="1399"/>
  <c r="I4" i="1399"/>
  <c r="H4" i="1399"/>
  <c r="G4" i="1399"/>
  <c r="F4" i="1399"/>
  <c r="E4" i="1399"/>
  <c r="D4" i="1399"/>
  <c r="C4" i="1399"/>
  <c r="Y3" i="1399"/>
  <c r="W3" i="1399"/>
  <c r="V3" i="1399"/>
  <c r="U3" i="1399"/>
  <c r="T3" i="1399"/>
  <c r="P3" i="1399"/>
  <c r="O3" i="1399"/>
  <c r="N3" i="1399"/>
  <c r="M3" i="1399"/>
  <c r="L3" i="1399"/>
  <c r="K3" i="1399"/>
  <c r="J3" i="1399"/>
  <c r="I3" i="1399"/>
  <c r="H3" i="1399"/>
  <c r="G3" i="1399"/>
  <c r="F3" i="1399"/>
  <c r="E3" i="1399"/>
  <c r="D3" i="1399"/>
  <c r="C3" i="1399"/>
  <c r="F21" i="1398"/>
  <c r="Y19" i="1398"/>
  <c r="W19" i="1398"/>
  <c r="V19" i="1398"/>
  <c r="U19" i="1398"/>
  <c r="T19" i="1398"/>
  <c r="P19" i="1398"/>
  <c r="O19" i="1398"/>
  <c r="N19" i="1398"/>
  <c r="M19" i="1398"/>
  <c r="L19" i="1398"/>
  <c r="K19" i="1398"/>
  <c r="J19" i="1398"/>
  <c r="I19" i="1398"/>
  <c r="H19" i="1398"/>
  <c r="G19" i="1398"/>
  <c r="F19" i="1398"/>
  <c r="E19" i="1398"/>
  <c r="D19" i="1398"/>
  <c r="C19" i="1398"/>
  <c r="Y18" i="1398"/>
  <c r="W18" i="1398"/>
  <c r="V18" i="1398"/>
  <c r="U18" i="1398"/>
  <c r="T18" i="1398"/>
  <c r="P18" i="1398"/>
  <c r="O18" i="1398"/>
  <c r="N18" i="1398"/>
  <c r="M18" i="1398"/>
  <c r="L18" i="1398"/>
  <c r="K18" i="1398"/>
  <c r="J18" i="1398"/>
  <c r="I18" i="1398"/>
  <c r="H18" i="1398"/>
  <c r="G18" i="1398"/>
  <c r="F18" i="1398"/>
  <c r="E18" i="1398"/>
  <c r="D18" i="1398"/>
  <c r="C18" i="1398"/>
  <c r="Y4" i="1398"/>
  <c r="W4" i="1398"/>
  <c r="V4" i="1398"/>
  <c r="U4" i="1398"/>
  <c r="T4" i="1398"/>
  <c r="P4" i="1398"/>
  <c r="O4" i="1398"/>
  <c r="N4" i="1398"/>
  <c r="M4" i="1398"/>
  <c r="L4" i="1398"/>
  <c r="K4" i="1398"/>
  <c r="J4" i="1398"/>
  <c r="I4" i="1398"/>
  <c r="H4" i="1398"/>
  <c r="G4" i="1398"/>
  <c r="F4" i="1398"/>
  <c r="E4" i="1398"/>
  <c r="D4" i="1398"/>
  <c r="C4" i="1398"/>
  <c r="Y3" i="1398"/>
  <c r="W3" i="1398"/>
  <c r="V3" i="1398"/>
  <c r="U3" i="1398"/>
  <c r="T3" i="1398"/>
  <c r="P3" i="1398"/>
  <c r="O3" i="1398"/>
  <c r="N3" i="1398"/>
  <c r="M3" i="1398"/>
  <c r="L3" i="1398"/>
  <c r="K3" i="1398"/>
  <c r="J3" i="1398"/>
  <c r="I3" i="1398"/>
  <c r="H3" i="1398"/>
  <c r="G3" i="1398"/>
  <c r="F3" i="1398"/>
  <c r="E3" i="1398"/>
  <c r="D3" i="1398"/>
  <c r="C3" i="1398"/>
  <c r="F21" i="1397"/>
  <c r="Y19" i="1397"/>
  <c r="W19" i="1397"/>
  <c r="V19" i="1397"/>
  <c r="U19" i="1397"/>
  <c r="T19" i="1397"/>
  <c r="P19" i="1397"/>
  <c r="O19" i="1397"/>
  <c r="N19" i="1397"/>
  <c r="M19" i="1397"/>
  <c r="L19" i="1397"/>
  <c r="K19" i="1397"/>
  <c r="J19" i="1397"/>
  <c r="I19" i="1397"/>
  <c r="H19" i="1397"/>
  <c r="G19" i="1397"/>
  <c r="F19" i="1397"/>
  <c r="E19" i="1397"/>
  <c r="D19" i="1397"/>
  <c r="C19" i="1397"/>
  <c r="Y18" i="1397"/>
  <c r="W18" i="1397"/>
  <c r="V18" i="1397"/>
  <c r="U18" i="1397"/>
  <c r="T18" i="1397"/>
  <c r="P18" i="1397"/>
  <c r="O18" i="1397"/>
  <c r="N18" i="1397"/>
  <c r="M18" i="1397"/>
  <c r="L18" i="1397"/>
  <c r="K18" i="1397"/>
  <c r="J18" i="1397"/>
  <c r="I18" i="1397"/>
  <c r="H18" i="1397"/>
  <c r="G18" i="1397"/>
  <c r="F18" i="1397"/>
  <c r="E18" i="1397"/>
  <c r="D18" i="1397"/>
  <c r="C18" i="1397"/>
  <c r="Y4" i="1397"/>
  <c r="W4" i="1397"/>
  <c r="V4" i="1397"/>
  <c r="U4" i="1397"/>
  <c r="T4" i="1397"/>
  <c r="P4" i="1397"/>
  <c r="O4" i="1397"/>
  <c r="N4" i="1397"/>
  <c r="M4" i="1397"/>
  <c r="L4" i="1397"/>
  <c r="K4" i="1397"/>
  <c r="J4" i="1397"/>
  <c r="I4" i="1397"/>
  <c r="H4" i="1397"/>
  <c r="G4" i="1397"/>
  <c r="F4" i="1397"/>
  <c r="E4" i="1397"/>
  <c r="D4" i="1397"/>
  <c r="C4" i="1397"/>
  <c r="Y3" i="1397"/>
  <c r="W3" i="1397"/>
  <c r="V3" i="1397"/>
  <c r="U3" i="1397"/>
  <c r="T3" i="1397"/>
  <c r="P3" i="1397"/>
  <c r="O3" i="1397"/>
  <c r="N3" i="1397"/>
  <c r="M3" i="1397"/>
  <c r="L3" i="1397"/>
  <c r="K3" i="1397"/>
  <c r="J3" i="1397"/>
  <c r="I3" i="1397"/>
  <c r="H3" i="1397"/>
  <c r="G3" i="1397"/>
  <c r="F3" i="1397"/>
  <c r="E3" i="1397"/>
  <c r="D3" i="1397"/>
  <c r="C3" i="1397"/>
  <c r="F21" i="1396"/>
  <c r="Y19" i="1396"/>
  <c r="W19" i="1396"/>
  <c r="V19" i="1396"/>
  <c r="U19" i="1396"/>
  <c r="T19" i="1396"/>
  <c r="P19" i="1396"/>
  <c r="O19" i="1396"/>
  <c r="N19" i="1396"/>
  <c r="M19" i="1396"/>
  <c r="L19" i="1396"/>
  <c r="K19" i="1396"/>
  <c r="J19" i="1396"/>
  <c r="I19" i="1396"/>
  <c r="H19" i="1396"/>
  <c r="G19" i="1396"/>
  <c r="F19" i="1396"/>
  <c r="E19" i="1396"/>
  <c r="D19" i="1396"/>
  <c r="C19" i="1396"/>
  <c r="Y18" i="1396"/>
  <c r="W18" i="1396"/>
  <c r="V18" i="1396"/>
  <c r="U18" i="1396"/>
  <c r="T18" i="1396"/>
  <c r="P18" i="1396"/>
  <c r="O18" i="1396"/>
  <c r="N18" i="1396"/>
  <c r="M18" i="1396"/>
  <c r="L18" i="1396"/>
  <c r="K18" i="1396"/>
  <c r="J18" i="1396"/>
  <c r="I18" i="1396"/>
  <c r="H18" i="1396"/>
  <c r="G18" i="1396"/>
  <c r="F18" i="1396"/>
  <c r="E18" i="1396"/>
  <c r="D18" i="1396"/>
  <c r="C18" i="1396"/>
  <c r="Y4" i="1396"/>
  <c r="W4" i="1396"/>
  <c r="V4" i="1396"/>
  <c r="U4" i="1396"/>
  <c r="T4" i="1396"/>
  <c r="P4" i="1396"/>
  <c r="O4" i="1396"/>
  <c r="N4" i="1396"/>
  <c r="M4" i="1396"/>
  <c r="L4" i="1396"/>
  <c r="K4" i="1396"/>
  <c r="J4" i="1396"/>
  <c r="I4" i="1396"/>
  <c r="H4" i="1396"/>
  <c r="G4" i="1396"/>
  <c r="F4" i="1396"/>
  <c r="E4" i="1396"/>
  <c r="D4" i="1396"/>
  <c r="C4" i="1396"/>
  <c r="Y3" i="1396"/>
  <c r="W3" i="1396"/>
  <c r="V3" i="1396"/>
  <c r="U3" i="1396"/>
  <c r="T3" i="1396"/>
  <c r="P3" i="1396"/>
  <c r="O3" i="1396"/>
  <c r="N3" i="1396"/>
  <c r="M3" i="1396"/>
  <c r="L3" i="1396"/>
  <c r="K3" i="1396"/>
  <c r="J3" i="1396"/>
  <c r="I3" i="1396"/>
  <c r="H3" i="1396"/>
  <c r="G3" i="1396"/>
  <c r="F3" i="1396"/>
  <c r="E3" i="1396"/>
  <c r="D3" i="1396"/>
  <c r="C3" i="1396"/>
  <c r="F21" i="1395"/>
  <c r="Y19" i="1395"/>
  <c r="W19" i="1395"/>
  <c r="V19" i="1395"/>
  <c r="U19" i="1395"/>
  <c r="T19" i="1395"/>
  <c r="P19" i="1395"/>
  <c r="O19" i="1395"/>
  <c r="N19" i="1395"/>
  <c r="M19" i="1395"/>
  <c r="L19" i="1395"/>
  <c r="K19" i="1395"/>
  <c r="J19" i="1395"/>
  <c r="I19" i="1395"/>
  <c r="H19" i="1395"/>
  <c r="G19" i="1395"/>
  <c r="F19" i="1395"/>
  <c r="E19" i="1395"/>
  <c r="D19" i="1395"/>
  <c r="C19" i="1395"/>
  <c r="Y18" i="1395"/>
  <c r="W18" i="1395"/>
  <c r="V18" i="1395"/>
  <c r="U18" i="1395"/>
  <c r="T18" i="1395"/>
  <c r="P18" i="1395"/>
  <c r="O18" i="1395"/>
  <c r="N18" i="1395"/>
  <c r="M18" i="1395"/>
  <c r="L18" i="1395"/>
  <c r="K18" i="1395"/>
  <c r="J18" i="1395"/>
  <c r="I18" i="1395"/>
  <c r="H18" i="1395"/>
  <c r="G18" i="1395"/>
  <c r="F18" i="1395"/>
  <c r="E18" i="1395"/>
  <c r="D18" i="1395"/>
  <c r="C18" i="1395"/>
  <c r="Y4" i="1395"/>
  <c r="W4" i="1395"/>
  <c r="V4" i="1395"/>
  <c r="U4" i="1395"/>
  <c r="T4" i="1395"/>
  <c r="P4" i="1395"/>
  <c r="O4" i="1395"/>
  <c r="N4" i="1395"/>
  <c r="M4" i="1395"/>
  <c r="L4" i="1395"/>
  <c r="K4" i="1395"/>
  <c r="J4" i="1395"/>
  <c r="I4" i="1395"/>
  <c r="H4" i="1395"/>
  <c r="G4" i="1395"/>
  <c r="F4" i="1395"/>
  <c r="E4" i="1395"/>
  <c r="D4" i="1395"/>
  <c r="C4" i="1395"/>
  <c r="Y3" i="1395"/>
  <c r="W3" i="1395"/>
  <c r="V3" i="1395"/>
  <c r="U3" i="1395"/>
  <c r="T3" i="1395"/>
  <c r="P3" i="1395"/>
  <c r="O3" i="1395"/>
  <c r="N3" i="1395"/>
  <c r="M3" i="1395"/>
  <c r="L3" i="1395"/>
  <c r="K3" i="1395"/>
  <c r="J3" i="1395"/>
  <c r="I3" i="1395"/>
  <c r="H3" i="1395"/>
  <c r="G3" i="1395"/>
  <c r="F3" i="1395"/>
  <c r="E3" i="1395"/>
  <c r="D3" i="1395"/>
  <c r="C3" i="1395"/>
  <c r="F21" i="1394"/>
  <c r="Y19" i="1394"/>
  <c r="W19" i="1394"/>
  <c r="V19" i="1394"/>
  <c r="U19" i="1394"/>
  <c r="T19" i="1394"/>
  <c r="P19" i="1394"/>
  <c r="O19" i="1394"/>
  <c r="N19" i="1394"/>
  <c r="M19" i="1394"/>
  <c r="L19" i="1394"/>
  <c r="K19" i="1394"/>
  <c r="J19" i="1394"/>
  <c r="I19" i="1394"/>
  <c r="H19" i="1394"/>
  <c r="G19" i="1394"/>
  <c r="F19" i="1394"/>
  <c r="E19" i="1394"/>
  <c r="D19" i="1394"/>
  <c r="C19" i="1394"/>
  <c r="Y18" i="1394"/>
  <c r="W18" i="1394"/>
  <c r="V18" i="1394"/>
  <c r="U18" i="1394"/>
  <c r="T18" i="1394"/>
  <c r="P18" i="1394"/>
  <c r="O18" i="1394"/>
  <c r="N18" i="1394"/>
  <c r="M18" i="1394"/>
  <c r="L18" i="1394"/>
  <c r="K18" i="1394"/>
  <c r="J18" i="1394"/>
  <c r="I18" i="1394"/>
  <c r="H18" i="1394"/>
  <c r="G18" i="1394"/>
  <c r="F18" i="1394"/>
  <c r="E18" i="1394"/>
  <c r="D18" i="1394"/>
  <c r="C18" i="1394"/>
  <c r="Y4" i="1394"/>
  <c r="W4" i="1394"/>
  <c r="V4" i="1394"/>
  <c r="U4" i="1394"/>
  <c r="T4" i="1394"/>
  <c r="P4" i="1394"/>
  <c r="O4" i="1394"/>
  <c r="N4" i="1394"/>
  <c r="M4" i="1394"/>
  <c r="L4" i="1394"/>
  <c r="K4" i="1394"/>
  <c r="J4" i="1394"/>
  <c r="I4" i="1394"/>
  <c r="H4" i="1394"/>
  <c r="G4" i="1394"/>
  <c r="F4" i="1394"/>
  <c r="E4" i="1394"/>
  <c r="D4" i="1394"/>
  <c r="C4" i="1394"/>
  <c r="Y3" i="1394"/>
  <c r="W3" i="1394"/>
  <c r="V3" i="1394"/>
  <c r="U3" i="1394"/>
  <c r="T3" i="1394"/>
  <c r="P3" i="1394"/>
  <c r="O3" i="1394"/>
  <c r="N3" i="1394"/>
  <c r="M3" i="1394"/>
  <c r="L3" i="1394"/>
  <c r="K3" i="1394"/>
  <c r="J3" i="1394"/>
  <c r="I3" i="1394"/>
  <c r="H3" i="1394"/>
  <c r="G3" i="1394"/>
  <c r="F3" i="1394"/>
  <c r="E3" i="1394"/>
  <c r="D3" i="1394"/>
  <c r="C3" i="1394"/>
  <c r="F21" i="1393"/>
  <c r="Y19" i="1393"/>
  <c r="W19" i="1393"/>
  <c r="V19" i="1393"/>
  <c r="U19" i="1393"/>
  <c r="T19" i="1393"/>
  <c r="P19" i="1393"/>
  <c r="O19" i="1393"/>
  <c r="N19" i="1393"/>
  <c r="M19" i="1393"/>
  <c r="L19" i="1393"/>
  <c r="K19" i="1393"/>
  <c r="J19" i="1393"/>
  <c r="I19" i="1393"/>
  <c r="H19" i="1393"/>
  <c r="G19" i="1393"/>
  <c r="F19" i="1393"/>
  <c r="E19" i="1393"/>
  <c r="D19" i="1393"/>
  <c r="C19" i="1393"/>
  <c r="Y18" i="1393"/>
  <c r="W18" i="1393"/>
  <c r="V18" i="1393"/>
  <c r="U18" i="1393"/>
  <c r="T18" i="1393"/>
  <c r="P18" i="1393"/>
  <c r="O18" i="1393"/>
  <c r="N18" i="1393"/>
  <c r="M18" i="1393"/>
  <c r="L18" i="1393"/>
  <c r="K18" i="1393"/>
  <c r="J18" i="1393"/>
  <c r="I18" i="1393"/>
  <c r="H18" i="1393"/>
  <c r="G18" i="1393"/>
  <c r="F18" i="1393"/>
  <c r="E18" i="1393"/>
  <c r="D18" i="1393"/>
  <c r="C18" i="1393"/>
  <c r="Y4" i="1393"/>
  <c r="W4" i="1393"/>
  <c r="V4" i="1393"/>
  <c r="U4" i="1393"/>
  <c r="T4" i="1393"/>
  <c r="P4" i="1393"/>
  <c r="O4" i="1393"/>
  <c r="N4" i="1393"/>
  <c r="M4" i="1393"/>
  <c r="L4" i="1393"/>
  <c r="K4" i="1393"/>
  <c r="J4" i="1393"/>
  <c r="I4" i="1393"/>
  <c r="H4" i="1393"/>
  <c r="G4" i="1393"/>
  <c r="F4" i="1393"/>
  <c r="E4" i="1393"/>
  <c r="D4" i="1393"/>
  <c r="C4" i="1393"/>
  <c r="Y3" i="1393"/>
  <c r="W3" i="1393"/>
  <c r="V3" i="1393"/>
  <c r="U3" i="1393"/>
  <c r="T3" i="1393"/>
  <c r="P3" i="1393"/>
  <c r="O3" i="1393"/>
  <c r="N3" i="1393"/>
  <c r="M3" i="1393"/>
  <c r="L3" i="1393"/>
  <c r="K3" i="1393"/>
  <c r="J3" i="1393"/>
  <c r="I3" i="1393"/>
  <c r="H3" i="1393"/>
  <c r="G3" i="1393"/>
  <c r="F3" i="1393"/>
  <c r="E3" i="1393"/>
  <c r="D3" i="1393"/>
  <c r="C3" i="1393"/>
  <c r="C45" i="1387" l="1"/>
  <c r="C44" i="1387"/>
  <c r="C45" i="1386"/>
  <c r="C44" i="1386"/>
  <c r="C45" i="1385"/>
  <c r="C44" i="1385"/>
  <c r="C45" i="1383" l="1"/>
  <c r="C44" i="1383"/>
  <c r="C44" i="1382"/>
  <c r="C45" i="1381"/>
  <c r="C44" i="1381"/>
  <c r="F21" i="1392" l="1"/>
  <c r="Y19" i="1392"/>
  <c r="W19" i="1392"/>
  <c r="V19" i="1392"/>
  <c r="U19" i="1392"/>
  <c r="T19" i="1392"/>
  <c r="P19" i="1392"/>
  <c r="O19" i="1392"/>
  <c r="N19" i="1392"/>
  <c r="M19" i="1392"/>
  <c r="L19" i="1392"/>
  <c r="K19" i="1392"/>
  <c r="J19" i="1392"/>
  <c r="I19" i="1392"/>
  <c r="H19" i="1392"/>
  <c r="G19" i="1392"/>
  <c r="F19" i="1392"/>
  <c r="E19" i="1392"/>
  <c r="D19" i="1392"/>
  <c r="C19" i="1392"/>
  <c r="Y18" i="1392"/>
  <c r="W18" i="1392"/>
  <c r="V18" i="1392"/>
  <c r="U18" i="1392"/>
  <c r="T18" i="1392"/>
  <c r="P18" i="1392"/>
  <c r="O18" i="1392"/>
  <c r="N18" i="1392"/>
  <c r="M18" i="1392"/>
  <c r="L18" i="1392"/>
  <c r="K18" i="1392"/>
  <c r="J18" i="1392"/>
  <c r="I18" i="1392"/>
  <c r="H18" i="1392"/>
  <c r="G18" i="1392"/>
  <c r="F18" i="1392"/>
  <c r="E18" i="1392"/>
  <c r="D18" i="1392"/>
  <c r="C18" i="1392"/>
  <c r="Y4" i="1392"/>
  <c r="W4" i="1392"/>
  <c r="V4" i="1392"/>
  <c r="U4" i="1392"/>
  <c r="T4" i="1392"/>
  <c r="P4" i="1392"/>
  <c r="O4" i="1392"/>
  <c r="N4" i="1392"/>
  <c r="M4" i="1392"/>
  <c r="L4" i="1392"/>
  <c r="K4" i="1392"/>
  <c r="J4" i="1392"/>
  <c r="I4" i="1392"/>
  <c r="H4" i="1392"/>
  <c r="G4" i="1392"/>
  <c r="F4" i="1392"/>
  <c r="E4" i="1392"/>
  <c r="D4" i="1392"/>
  <c r="C4" i="1392"/>
  <c r="Y3" i="1392"/>
  <c r="W3" i="1392"/>
  <c r="V3" i="1392"/>
  <c r="U3" i="1392"/>
  <c r="T3" i="1392"/>
  <c r="P3" i="1392"/>
  <c r="O3" i="1392"/>
  <c r="N3" i="1392"/>
  <c r="M3" i="1392"/>
  <c r="L3" i="1392"/>
  <c r="K3" i="1392"/>
  <c r="J3" i="1392"/>
  <c r="I3" i="1392"/>
  <c r="H3" i="1392"/>
  <c r="G3" i="1392"/>
  <c r="F3" i="1392"/>
  <c r="E3" i="1392"/>
  <c r="D3" i="1392"/>
  <c r="C3" i="1392"/>
  <c r="F21" i="1391"/>
  <c r="Y19" i="1391"/>
  <c r="W19" i="1391"/>
  <c r="V19" i="1391"/>
  <c r="U19" i="1391"/>
  <c r="T19" i="1391"/>
  <c r="P19" i="1391"/>
  <c r="O19" i="1391"/>
  <c r="N19" i="1391"/>
  <c r="M19" i="1391"/>
  <c r="L19" i="1391"/>
  <c r="K19" i="1391"/>
  <c r="J19" i="1391"/>
  <c r="I19" i="1391"/>
  <c r="H19" i="1391"/>
  <c r="G19" i="1391"/>
  <c r="F19" i="1391"/>
  <c r="E19" i="1391"/>
  <c r="D19" i="1391"/>
  <c r="C19" i="1391"/>
  <c r="Y18" i="1391"/>
  <c r="W18" i="1391"/>
  <c r="V18" i="1391"/>
  <c r="U18" i="1391"/>
  <c r="T18" i="1391"/>
  <c r="P18" i="1391"/>
  <c r="O18" i="1391"/>
  <c r="N18" i="1391"/>
  <c r="M18" i="1391"/>
  <c r="L18" i="1391"/>
  <c r="K18" i="1391"/>
  <c r="J18" i="1391"/>
  <c r="I18" i="1391"/>
  <c r="H18" i="1391"/>
  <c r="G18" i="1391"/>
  <c r="F18" i="1391"/>
  <c r="E18" i="1391"/>
  <c r="D18" i="1391"/>
  <c r="C18" i="1391"/>
  <c r="Y4" i="1391"/>
  <c r="W4" i="1391"/>
  <c r="V4" i="1391"/>
  <c r="U4" i="1391"/>
  <c r="T4" i="1391"/>
  <c r="P4" i="1391"/>
  <c r="O4" i="1391"/>
  <c r="N4" i="1391"/>
  <c r="M4" i="1391"/>
  <c r="L4" i="1391"/>
  <c r="K4" i="1391"/>
  <c r="J4" i="1391"/>
  <c r="I4" i="1391"/>
  <c r="H4" i="1391"/>
  <c r="G4" i="1391"/>
  <c r="F4" i="1391"/>
  <c r="E4" i="1391"/>
  <c r="D4" i="1391"/>
  <c r="C4" i="1391"/>
  <c r="Y3" i="1391"/>
  <c r="W3" i="1391"/>
  <c r="V3" i="1391"/>
  <c r="U3" i="1391"/>
  <c r="T3" i="1391"/>
  <c r="P3" i="1391"/>
  <c r="O3" i="1391"/>
  <c r="N3" i="1391"/>
  <c r="M3" i="1391"/>
  <c r="L3" i="1391"/>
  <c r="K3" i="1391"/>
  <c r="J3" i="1391"/>
  <c r="I3" i="1391"/>
  <c r="H3" i="1391"/>
  <c r="G3" i="1391"/>
  <c r="F3" i="1391"/>
  <c r="E3" i="1391"/>
  <c r="D3" i="1391"/>
  <c r="C3" i="1391"/>
  <c r="F21" i="1390"/>
  <c r="Y19" i="1390"/>
  <c r="W19" i="1390"/>
  <c r="V19" i="1390"/>
  <c r="U19" i="1390"/>
  <c r="T19" i="1390"/>
  <c r="P19" i="1390"/>
  <c r="O19" i="1390"/>
  <c r="N19" i="1390"/>
  <c r="M19" i="1390"/>
  <c r="L19" i="1390"/>
  <c r="K19" i="1390"/>
  <c r="J19" i="1390"/>
  <c r="I19" i="1390"/>
  <c r="H19" i="1390"/>
  <c r="G19" i="1390"/>
  <c r="F19" i="1390"/>
  <c r="E19" i="1390"/>
  <c r="D19" i="1390"/>
  <c r="C19" i="1390"/>
  <c r="Y18" i="1390"/>
  <c r="W18" i="1390"/>
  <c r="V18" i="1390"/>
  <c r="U18" i="1390"/>
  <c r="T18" i="1390"/>
  <c r="P18" i="1390"/>
  <c r="O18" i="1390"/>
  <c r="N18" i="1390"/>
  <c r="M18" i="1390"/>
  <c r="L18" i="1390"/>
  <c r="K18" i="1390"/>
  <c r="J18" i="1390"/>
  <c r="I18" i="1390"/>
  <c r="H18" i="1390"/>
  <c r="G18" i="1390"/>
  <c r="F18" i="1390"/>
  <c r="E18" i="1390"/>
  <c r="D18" i="1390"/>
  <c r="C18" i="1390"/>
  <c r="Y4" i="1390"/>
  <c r="W4" i="1390"/>
  <c r="V4" i="1390"/>
  <c r="U4" i="1390"/>
  <c r="T4" i="1390"/>
  <c r="P4" i="1390"/>
  <c r="O4" i="1390"/>
  <c r="N4" i="1390"/>
  <c r="M4" i="1390"/>
  <c r="L4" i="1390"/>
  <c r="K4" i="1390"/>
  <c r="J4" i="1390"/>
  <c r="I4" i="1390"/>
  <c r="H4" i="1390"/>
  <c r="G4" i="1390"/>
  <c r="F4" i="1390"/>
  <c r="E4" i="1390"/>
  <c r="D4" i="1390"/>
  <c r="C4" i="1390"/>
  <c r="Y3" i="1390"/>
  <c r="W3" i="1390"/>
  <c r="V3" i="1390"/>
  <c r="U3" i="1390"/>
  <c r="T3" i="1390"/>
  <c r="P3" i="1390"/>
  <c r="O3" i="1390"/>
  <c r="N3" i="1390"/>
  <c r="M3" i="1390"/>
  <c r="L3" i="1390"/>
  <c r="K3" i="1390"/>
  <c r="J3" i="1390"/>
  <c r="I3" i="1390"/>
  <c r="H3" i="1390"/>
  <c r="G3" i="1390"/>
  <c r="F3" i="1390"/>
  <c r="E3" i="1390"/>
  <c r="D3" i="1390"/>
  <c r="C3" i="1390"/>
  <c r="F21" i="1389"/>
  <c r="Y19" i="1389"/>
  <c r="W19" i="1389"/>
  <c r="V19" i="1389"/>
  <c r="U19" i="1389"/>
  <c r="T19" i="1389"/>
  <c r="P19" i="1389"/>
  <c r="O19" i="1389"/>
  <c r="N19" i="1389"/>
  <c r="M19" i="1389"/>
  <c r="L19" i="1389"/>
  <c r="K19" i="1389"/>
  <c r="J19" i="1389"/>
  <c r="I19" i="1389"/>
  <c r="H19" i="1389"/>
  <c r="G19" i="1389"/>
  <c r="F19" i="1389"/>
  <c r="E19" i="1389"/>
  <c r="D19" i="1389"/>
  <c r="C19" i="1389"/>
  <c r="Y18" i="1389"/>
  <c r="W18" i="1389"/>
  <c r="V18" i="1389"/>
  <c r="U18" i="1389"/>
  <c r="T18" i="1389"/>
  <c r="P18" i="1389"/>
  <c r="O18" i="1389"/>
  <c r="N18" i="1389"/>
  <c r="M18" i="1389"/>
  <c r="L18" i="1389"/>
  <c r="K18" i="1389"/>
  <c r="J18" i="1389"/>
  <c r="I18" i="1389"/>
  <c r="H18" i="1389"/>
  <c r="G18" i="1389"/>
  <c r="F18" i="1389"/>
  <c r="E18" i="1389"/>
  <c r="D18" i="1389"/>
  <c r="C18" i="1389"/>
  <c r="Y4" i="1389"/>
  <c r="W4" i="1389"/>
  <c r="V4" i="1389"/>
  <c r="U4" i="1389"/>
  <c r="T4" i="1389"/>
  <c r="P4" i="1389"/>
  <c r="O4" i="1389"/>
  <c r="N4" i="1389"/>
  <c r="M4" i="1389"/>
  <c r="L4" i="1389"/>
  <c r="K4" i="1389"/>
  <c r="J4" i="1389"/>
  <c r="I4" i="1389"/>
  <c r="H4" i="1389"/>
  <c r="G4" i="1389"/>
  <c r="F4" i="1389"/>
  <c r="E4" i="1389"/>
  <c r="D4" i="1389"/>
  <c r="C4" i="1389"/>
  <c r="Y3" i="1389"/>
  <c r="W3" i="1389"/>
  <c r="V3" i="1389"/>
  <c r="U3" i="1389"/>
  <c r="T3" i="1389"/>
  <c r="P3" i="1389"/>
  <c r="O3" i="1389"/>
  <c r="N3" i="1389"/>
  <c r="M3" i="1389"/>
  <c r="L3" i="1389"/>
  <c r="K3" i="1389"/>
  <c r="J3" i="1389"/>
  <c r="I3" i="1389"/>
  <c r="H3" i="1389"/>
  <c r="G3" i="1389"/>
  <c r="F3" i="1389"/>
  <c r="E3" i="1389"/>
  <c r="D3" i="1389"/>
  <c r="C3" i="1389"/>
  <c r="F21" i="1388"/>
  <c r="Y19" i="1388"/>
  <c r="W19" i="1388"/>
  <c r="V19" i="1388"/>
  <c r="U19" i="1388"/>
  <c r="T19" i="1388"/>
  <c r="P19" i="1388"/>
  <c r="O19" i="1388"/>
  <c r="N19" i="1388"/>
  <c r="M19" i="1388"/>
  <c r="L19" i="1388"/>
  <c r="K19" i="1388"/>
  <c r="J19" i="1388"/>
  <c r="I19" i="1388"/>
  <c r="H19" i="1388"/>
  <c r="G19" i="1388"/>
  <c r="F19" i="1388"/>
  <c r="E19" i="1388"/>
  <c r="D19" i="1388"/>
  <c r="C19" i="1388"/>
  <c r="Y18" i="1388"/>
  <c r="W18" i="1388"/>
  <c r="V18" i="1388"/>
  <c r="U18" i="1388"/>
  <c r="T18" i="1388"/>
  <c r="P18" i="1388"/>
  <c r="O18" i="1388"/>
  <c r="N18" i="1388"/>
  <c r="M18" i="1388"/>
  <c r="L18" i="1388"/>
  <c r="K18" i="1388"/>
  <c r="J18" i="1388"/>
  <c r="I18" i="1388"/>
  <c r="H18" i="1388"/>
  <c r="G18" i="1388"/>
  <c r="F18" i="1388"/>
  <c r="E18" i="1388"/>
  <c r="D18" i="1388"/>
  <c r="C18" i="1388"/>
  <c r="Y4" i="1388"/>
  <c r="W4" i="1388"/>
  <c r="V4" i="1388"/>
  <c r="U4" i="1388"/>
  <c r="T4" i="1388"/>
  <c r="P4" i="1388"/>
  <c r="O4" i="1388"/>
  <c r="N4" i="1388"/>
  <c r="M4" i="1388"/>
  <c r="L4" i="1388"/>
  <c r="K4" i="1388"/>
  <c r="J4" i="1388"/>
  <c r="I4" i="1388"/>
  <c r="H4" i="1388"/>
  <c r="G4" i="1388"/>
  <c r="F4" i="1388"/>
  <c r="E4" i="1388"/>
  <c r="D4" i="1388"/>
  <c r="C4" i="1388"/>
  <c r="Y3" i="1388"/>
  <c r="W3" i="1388"/>
  <c r="V3" i="1388"/>
  <c r="U3" i="1388"/>
  <c r="T3" i="1388"/>
  <c r="P3" i="1388"/>
  <c r="O3" i="1388"/>
  <c r="N3" i="1388"/>
  <c r="M3" i="1388"/>
  <c r="L3" i="1388"/>
  <c r="K3" i="1388"/>
  <c r="J3" i="1388"/>
  <c r="I3" i="1388"/>
  <c r="H3" i="1388"/>
  <c r="G3" i="1388"/>
  <c r="F3" i="1388"/>
  <c r="E3" i="1388"/>
  <c r="D3" i="1388"/>
  <c r="C3" i="1388"/>
  <c r="C45" i="1379" l="1"/>
  <c r="C44" i="1379"/>
  <c r="C45" i="1378"/>
  <c r="C44" i="1378"/>
  <c r="C45" i="1377"/>
  <c r="C44" i="1377"/>
  <c r="F21" i="1387"/>
  <c r="Y19" i="1387"/>
  <c r="W19" i="1387"/>
  <c r="V19" i="1387"/>
  <c r="U19" i="1387"/>
  <c r="T19" i="1387"/>
  <c r="P19" i="1387"/>
  <c r="O19" i="1387"/>
  <c r="N19" i="1387"/>
  <c r="M19" i="1387"/>
  <c r="L19" i="1387"/>
  <c r="K19" i="1387"/>
  <c r="J19" i="1387"/>
  <c r="I19" i="1387"/>
  <c r="H19" i="1387"/>
  <c r="G19" i="1387"/>
  <c r="F19" i="1387"/>
  <c r="E19" i="1387"/>
  <c r="D19" i="1387"/>
  <c r="C19" i="1387"/>
  <c r="Y18" i="1387"/>
  <c r="W18" i="1387"/>
  <c r="V18" i="1387"/>
  <c r="U18" i="1387"/>
  <c r="T18" i="1387"/>
  <c r="P18" i="1387"/>
  <c r="O18" i="1387"/>
  <c r="N18" i="1387"/>
  <c r="M18" i="1387"/>
  <c r="L18" i="1387"/>
  <c r="K18" i="1387"/>
  <c r="J18" i="1387"/>
  <c r="I18" i="1387"/>
  <c r="H18" i="1387"/>
  <c r="G18" i="1387"/>
  <c r="F18" i="1387"/>
  <c r="E18" i="1387"/>
  <c r="D18" i="1387"/>
  <c r="C18" i="1387"/>
  <c r="Y4" i="1387"/>
  <c r="W4" i="1387"/>
  <c r="V4" i="1387"/>
  <c r="U4" i="1387"/>
  <c r="T4" i="1387"/>
  <c r="P4" i="1387"/>
  <c r="O4" i="1387"/>
  <c r="N4" i="1387"/>
  <c r="M4" i="1387"/>
  <c r="L4" i="1387"/>
  <c r="K4" i="1387"/>
  <c r="J4" i="1387"/>
  <c r="I4" i="1387"/>
  <c r="H4" i="1387"/>
  <c r="G4" i="1387"/>
  <c r="F4" i="1387"/>
  <c r="E4" i="1387"/>
  <c r="D4" i="1387"/>
  <c r="C4" i="1387"/>
  <c r="Y3" i="1387"/>
  <c r="W3" i="1387"/>
  <c r="V3" i="1387"/>
  <c r="U3" i="1387"/>
  <c r="T3" i="1387"/>
  <c r="P3" i="1387"/>
  <c r="O3" i="1387"/>
  <c r="N3" i="1387"/>
  <c r="M3" i="1387"/>
  <c r="L3" i="1387"/>
  <c r="K3" i="1387"/>
  <c r="J3" i="1387"/>
  <c r="I3" i="1387"/>
  <c r="H3" i="1387"/>
  <c r="G3" i="1387"/>
  <c r="F3" i="1387"/>
  <c r="E3" i="1387"/>
  <c r="D3" i="1387"/>
  <c r="C3" i="1387"/>
  <c r="F21" i="1386"/>
  <c r="Y19" i="1386"/>
  <c r="W19" i="1386"/>
  <c r="V19" i="1386"/>
  <c r="U19" i="1386"/>
  <c r="T19" i="1386"/>
  <c r="P19" i="1386"/>
  <c r="O19" i="1386"/>
  <c r="N19" i="1386"/>
  <c r="M19" i="1386"/>
  <c r="L19" i="1386"/>
  <c r="K19" i="1386"/>
  <c r="J19" i="1386"/>
  <c r="I19" i="1386"/>
  <c r="H19" i="1386"/>
  <c r="G19" i="1386"/>
  <c r="F19" i="1386"/>
  <c r="E19" i="1386"/>
  <c r="D19" i="1386"/>
  <c r="C19" i="1386"/>
  <c r="Y18" i="1386"/>
  <c r="W18" i="1386"/>
  <c r="V18" i="1386"/>
  <c r="U18" i="1386"/>
  <c r="T18" i="1386"/>
  <c r="P18" i="1386"/>
  <c r="O18" i="1386"/>
  <c r="N18" i="1386"/>
  <c r="M18" i="1386"/>
  <c r="L18" i="1386"/>
  <c r="K18" i="1386"/>
  <c r="J18" i="1386"/>
  <c r="I18" i="1386"/>
  <c r="H18" i="1386"/>
  <c r="G18" i="1386"/>
  <c r="F18" i="1386"/>
  <c r="E18" i="1386"/>
  <c r="D18" i="1386"/>
  <c r="C18" i="1386"/>
  <c r="Y4" i="1386"/>
  <c r="W4" i="1386"/>
  <c r="V4" i="1386"/>
  <c r="U4" i="1386"/>
  <c r="T4" i="1386"/>
  <c r="P4" i="1386"/>
  <c r="O4" i="1386"/>
  <c r="N4" i="1386"/>
  <c r="M4" i="1386"/>
  <c r="L4" i="1386"/>
  <c r="K4" i="1386"/>
  <c r="J4" i="1386"/>
  <c r="I4" i="1386"/>
  <c r="H4" i="1386"/>
  <c r="G4" i="1386"/>
  <c r="F4" i="1386"/>
  <c r="E4" i="1386"/>
  <c r="D4" i="1386"/>
  <c r="C4" i="1386"/>
  <c r="Y3" i="1386"/>
  <c r="W3" i="1386"/>
  <c r="V3" i="1386"/>
  <c r="U3" i="1386"/>
  <c r="T3" i="1386"/>
  <c r="P3" i="1386"/>
  <c r="O3" i="1386"/>
  <c r="N3" i="1386"/>
  <c r="M3" i="1386"/>
  <c r="L3" i="1386"/>
  <c r="K3" i="1386"/>
  <c r="J3" i="1386"/>
  <c r="I3" i="1386"/>
  <c r="H3" i="1386"/>
  <c r="G3" i="1386"/>
  <c r="F3" i="1386"/>
  <c r="E3" i="1386"/>
  <c r="D3" i="1386"/>
  <c r="C3" i="1386"/>
  <c r="F21" i="1385"/>
  <c r="Y19" i="1385"/>
  <c r="W19" i="1385"/>
  <c r="V19" i="1385"/>
  <c r="U19" i="1385"/>
  <c r="T19" i="1385"/>
  <c r="P19" i="1385"/>
  <c r="O19" i="1385"/>
  <c r="N19" i="1385"/>
  <c r="M19" i="1385"/>
  <c r="L19" i="1385"/>
  <c r="K19" i="1385"/>
  <c r="J19" i="1385"/>
  <c r="I19" i="1385"/>
  <c r="H19" i="1385"/>
  <c r="G19" i="1385"/>
  <c r="F19" i="1385"/>
  <c r="E19" i="1385"/>
  <c r="D19" i="1385"/>
  <c r="C19" i="1385"/>
  <c r="Y18" i="1385"/>
  <c r="W18" i="1385"/>
  <c r="V18" i="1385"/>
  <c r="U18" i="1385"/>
  <c r="T18" i="1385"/>
  <c r="P18" i="1385"/>
  <c r="O18" i="1385"/>
  <c r="N18" i="1385"/>
  <c r="M18" i="1385"/>
  <c r="L18" i="1385"/>
  <c r="K18" i="1385"/>
  <c r="J18" i="1385"/>
  <c r="I18" i="1385"/>
  <c r="H18" i="1385"/>
  <c r="G18" i="1385"/>
  <c r="F18" i="1385"/>
  <c r="E18" i="1385"/>
  <c r="D18" i="1385"/>
  <c r="C18" i="1385"/>
  <c r="Y4" i="1385"/>
  <c r="W4" i="1385"/>
  <c r="V4" i="1385"/>
  <c r="U4" i="1385"/>
  <c r="T4" i="1385"/>
  <c r="P4" i="1385"/>
  <c r="O4" i="1385"/>
  <c r="N4" i="1385"/>
  <c r="M4" i="1385"/>
  <c r="L4" i="1385"/>
  <c r="K4" i="1385"/>
  <c r="J4" i="1385"/>
  <c r="I4" i="1385"/>
  <c r="H4" i="1385"/>
  <c r="G4" i="1385"/>
  <c r="F4" i="1385"/>
  <c r="E4" i="1385"/>
  <c r="D4" i="1385"/>
  <c r="C4" i="1385"/>
  <c r="Y3" i="1385"/>
  <c r="W3" i="1385"/>
  <c r="V3" i="1385"/>
  <c r="U3" i="1385"/>
  <c r="T3" i="1385"/>
  <c r="P3" i="1385"/>
  <c r="O3" i="1385"/>
  <c r="N3" i="1385"/>
  <c r="M3" i="1385"/>
  <c r="L3" i="1385"/>
  <c r="K3" i="1385"/>
  <c r="J3" i="1385"/>
  <c r="I3" i="1385"/>
  <c r="H3" i="1385"/>
  <c r="G3" i="1385"/>
  <c r="F3" i="1385"/>
  <c r="E3" i="1385"/>
  <c r="D3" i="1385"/>
  <c r="C3" i="1385"/>
  <c r="F21" i="1384"/>
  <c r="Y19" i="1384"/>
  <c r="W19" i="1384"/>
  <c r="V19" i="1384"/>
  <c r="U19" i="1384"/>
  <c r="T19" i="1384"/>
  <c r="P19" i="1384"/>
  <c r="O19" i="1384"/>
  <c r="N19" i="1384"/>
  <c r="M19" i="1384"/>
  <c r="L19" i="1384"/>
  <c r="K19" i="1384"/>
  <c r="J19" i="1384"/>
  <c r="I19" i="1384"/>
  <c r="H19" i="1384"/>
  <c r="G19" i="1384"/>
  <c r="F19" i="1384"/>
  <c r="E19" i="1384"/>
  <c r="D19" i="1384"/>
  <c r="C19" i="1384"/>
  <c r="Y18" i="1384"/>
  <c r="W18" i="1384"/>
  <c r="V18" i="1384"/>
  <c r="U18" i="1384"/>
  <c r="T18" i="1384"/>
  <c r="P18" i="1384"/>
  <c r="O18" i="1384"/>
  <c r="N18" i="1384"/>
  <c r="M18" i="1384"/>
  <c r="L18" i="1384"/>
  <c r="K18" i="1384"/>
  <c r="J18" i="1384"/>
  <c r="I18" i="1384"/>
  <c r="H18" i="1384"/>
  <c r="G18" i="1384"/>
  <c r="F18" i="1384"/>
  <c r="E18" i="1384"/>
  <c r="D18" i="1384"/>
  <c r="C18" i="1384"/>
  <c r="Y4" i="1384"/>
  <c r="W4" i="1384"/>
  <c r="V4" i="1384"/>
  <c r="U4" i="1384"/>
  <c r="T4" i="1384"/>
  <c r="P4" i="1384"/>
  <c r="O4" i="1384"/>
  <c r="N4" i="1384"/>
  <c r="M4" i="1384"/>
  <c r="L4" i="1384"/>
  <c r="K4" i="1384"/>
  <c r="J4" i="1384"/>
  <c r="I4" i="1384"/>
  <c r="H4" i="1384"/>
  <c r="G4" i="1384"/>
  <c r="F4" i="1384"/>
  <c r="E4" i="1384"/>
  <c r="D4" i="1384"/>
  <c r="C4" i="1384"/>
  <c r="Y3" i="1384"/>
  <c r="W3" i="1384"/>
  <c r="V3" i="1384"/>
  <c r="U3" i="1384"/>
  <c r="T3" i="1384"/>
  <c r="P3" i="1384"/>
  <c r="O3" i="1384"/>
  <c r="N3" i="1384"/>
  <c r="M3" i="1384"/>
  <c r="L3" i="1384"/>
  <c r="K3" i="1384"/>
  <c r="J3" i="1384"/>
  <c r="I3" i="1384"/>
  <c r="H3" i="1384"/>
  <c r="G3" i="1384"/>
  <c r="F3" i="1384"/>
  <c r="E3" i="1384"/>
  <c r="D3" i="1384"/>
  <c r="C3" i="1384"/>
  <c r="F21" i="1383"/>
  <c r="Y19" i="1383"/>
  <c r="W19" i="1383"/>
  <c r="V19" i="1383"/>
  <c r="U19" i="1383"/>
  <c r="T19" i="1383"/>
  <c r="P19" i="1383"/>
  <c r="O19" i="1383"/>
  <c r="N19" i="1383"/>
  <c r="M19" i="1383"/>
  <c r="L19" i="1383"/>
  <c r="K19" i="1383"/>
  <c r="J19" i="1383"/>
  <c r="I19" i="1383"/>
  <c r="H19" i="1383"/>
  <c r="G19" i="1383"/>
  <c r="F19" i="1383"/>
  <c r="E19" i="1383"/>
  <c r="D19" i="1383"/>
  <c r="C19" i="1383"/>
  <c r="Y18" i="1383"/>
  <c r="W18" i="1383"/>
  <c r="V18" i="1383"/>
  <c r="U18" i="1383"/>
  <c r="T18" i="1383"/>
  <c r="P18" i="1383"/>
  <c r="O18" i="1383"/>
  <c r="N18" i="1383"/>
  <c r="M18" i="1383"/>
  <c r="L18" i="1383"/>
  <c r="K18" i="1383"/>
  <c r="J18" i="1383"/>
  <c r="I18" i="1383"/>
  <c r="H18" i="1383"/>
  <c r="G18" i="1383"/>
  <c r="F18" i="1383"/>
  <c r="E18" i="1383"/>
  <c r="D18" i="1383"/>
  <c r="C18" i="1383"/>
  <c r="Y4" i="1383"/>
  <c r="W4" i="1383"/>
  <c r="V4" i="1383"/>
  <c r="U4" i="1383"/>
  <c r="T4" i="1383"/>
  <c r="P4" i="1383"/>
  <c r="O4" i="1383"/>
  <c r="N4" i="1383"/>
  <c r="M4" i="1383"/>
  <c r="L4" i="1383"/>
  <c r="K4" i="1383"/>
  <c r="J4" i="1383"/>
  <c r="I4" i="1383"/>
  <c r="H4" i="1383"/>
  <c r="G4" i="1383"/>
  <c r="F4" i="1383"/>
  <c r="E4" i="1383"/>
  <c r="D4" i="1383"/>
  <c r="C4" i="1383"/>
  <c r="Y3" i="1383"/>
  <c r="W3" i="1383"/>
  <c r="V3" i="1383"/>
  <c r="U3" i="1383"/>
  <c r="T3" i="1383"/>
  <c r="P3" i="1383"/>
  <c r="O3" i="1383"/>
  <c r="N3" i="1383"/>
  <c r="M3" i="1383"/>
  <c r="L3" i="1383"/>
  <c r="K3" i="1383"/>
  <c r="J3" i="1383"/>
  <c r="I3" i="1383"/>
  <c r="H3" i="1383"/>
  <c r="G3" i="1383"/>
  <c r="F3" i="1383"/>
  <c r="E3" i="1383"/>
  <c r="D3" i="1383"/>
  <c r="C3" i="1383"/>
  <c r="F21" i="1382"/>
  <c r="Y19" i="1382"/>
  <c r="W19" i="1382"/>
  <c r="V19" i="1382"/>
  <c r="U19" i="1382"/>
  <c r="T19" i="1382"/>
  <c r="P19" i="1382"/>
  <c r="O19" i="1382"/>
  <c r="N19" i="1382"/>
  <c r="M19" i="1382"/>
  <c r="L19" i="1382"/>
  <c r="K19" i="1382"/>
  <c r="J19" i="1382"/>
  <c r="I19" i="1382"/>
  <c r="H19" i="1382"/>
  <c r="G19" i="1382"/>
  <c r="F19" i="1382"/>
  <c r="E19" i="1382"/>
  <c r="D19" i="1382"/>
  <c r="C19" i="1382"/>
  <c r="Y18" i="1382"/>
  <c r="W18" i="1382"/>
  <c r="V18" i="1382"/>
  <c r="U18" i="1382"/>
  <c r="T18" i="1382"/>
  <c r="P18" i="1382"/>
  <c r="O18" i="1382"/>
  <c r="N18" i="1382"/>
  <c r="M18" i="1382"/>
  <c r="L18" i="1382"/>
  <c r="K18" i="1382"/>
  <c r="J18" i="1382"/>
  <c r="I18" i="1382"/>
  <c r="H18" i="1382"/>
  <c r="G18" i="1382"/>
  <c r="F18" i="1382"/>
  <c r="E18" i="1382"/>
  <c r="D18" i="1382"/>
  <c r="C18" i="1382"/>
  <c r="Y4" i="1382"/>
  <c r="W4" i="1382"/>
  <c r="V4" i="1382"/>
  <c r="U4" i="1382"/>
  <c r="T4" i="1382"/>
  <c r="P4" i="1382"/>
  <c r="O4" i="1382"/>
  <c r="N4" i="1382"/>
  <c r="M4" i="1382"/>
  <c r="L4" i="1382"/>
  <c r="K4" i="1382"/>
  <c r="J4" i="1382"/>
  <c r="I4" i="1382"/>
  <c r="H4" i="1382"/>
  <c r="G4" i="1382"/>
  <c r="F4" i="1382"/>
  <c r="E4" i="1382"/>
  <c r="D4" i="1382"/>
  <c r="C4" i="1382"/>
  <c r="Y3" i="1382"/>
  <c r="W3" i="1382"/>
  <c r="V3" i="1382"/>
  <c r="U3" i="1382"/>
  <c r="T3" i="1382"/>
  <c r="P3" i="1382"/>
  <c r="O3" i="1382"/>
  <c r="N3" i="1382"/>
  <c r="M3" i="1382"/>
  <c r="L3" i="1382"/>
  <c r="K3" i="1382"/>
  <c r="J3" i="1382"/>
  <c r="I3" i="1382"/>
  <c r="H3" i="1382"/>
  <c r="G3" i="1382"/>
  <c r="F3" i="1382"/>
  <c r="E3" i="1382"/>
  <c r="D3" i="1382"/>
  <c r="C3" i="1382"/>
  <c r="F21" i="1381"/>
  <c r="Y19" i="1381"/>
  <c r="W19" i="1381"/>
  <c r="V19" i="1381"/>
  <c r="U19" i="1381"/>
  <c r="T19" i="1381"/>
  <c r="P19" i="1381"/>
  <c r="O19" i="1381"/>
  <c r="N19" i="1381"/>
  <c r="M19" i="1381"/>
  <c r="L19" i="1381"/>
  <c r="K19" i="1381"/>
  <c r="J19" i="1381"/>
  <c r="I19" i="1381"/>
  <c r="H19" i="1381"/>
  <c r="G19" i="1381"/>
  <c r="F19" i="1381"/>
  <c r="E19" i="1381"/>
  <c r="D19" i="1381"/>
  <c r="C19" i="1381"/>
  <c r="Y18" i="1381"/>
  <c r="W18" i="1381"/>
  <c r="V18" i="1381"/>
  <c r="U18" i="1381"/>
  <c r="T18" i="1381"/>
  <c r="P18" i="1381"/>
  <c r="O18" i="1381"/>
  <c r="N18" i="1381"/>
  <c r="M18" i="1381"/>
  <c r="L18" i="1381"/>
  <c r="K18" i="1381"/>
  <c r="J18" i="1381"/>
  <c r="I18" i="1381"/>
  <c r="H18" i="1381"/>
  <c r="G18" i="1381"/>
  <c r="F18" i="1381"/>
  <c r="E18" i="1381"/>
  <c r="D18" i="1381"/>
  <c r="C18" i="1381"/>
  <c r="Y4" i="1381"/>
  <c r="W4" i="1381"/>
  <c r="V4" i="1381"/>
  <c r="U4" i="1381"/>
  <c r="T4" i="1381"/>
  <c r="P4" i="1381"/>
  <c r="O4" i="1381"/>
  <c r="N4" i="1381"/>
  <c r="M4" i="1381"/>
  <c r="L4" i="1381"/>
  <c r="K4" i="1381"/>
  <c r="J4" i="1381"/>
  <c r="I4" i="1381"/>
  <c r="H4" i="1381"/>
  <c r="G4" i="1381"/>
  <c r="F4" i="1381"/>
  <c r="E4" i="1381"/>
  <c r="D4" i="1381"/>
  <c r="C4" i="1381"/>
  <c r="Y3" i="1381"/>
  <c r="W3" i="1381"/>
  <c r="V3" i="1381"/>
  <c r="U3" i="1381"/>
  <c r="T3" i="1381"/>
  <c r="P3" i="1381"/>
  <c r="O3" i="1381"/>
  <c r="N3" i="1381"/>
  <c r="M3" i="1381"/>
  <c r="L3" i="1381"/>
  <c r="K3" i="1381"/>
  <c r="J3" i="1381"/>
  <c r="I3" i="1381"/>
  <c r="H3" i="1381"/>
  <c r="G3" i="1381"/>
  <c r="F3" i="1381"/>
  <c r="E3" i="1381"/>
  <c r="D3" i="1381"/>
  <c r="C3" i="1381"/>
  <c r="C45" i="1374" l="1"/>
  <c r="C44" i="1374"/>
  <c r="C45" i="1373"/>
  <c r="C44" i="1373"/>
  <c r="C46" i="1369" l="1"/>
  <c r="C45" i="1371" l="1"/>
  <c r="C44" i="1371"/>
  <c r="C45" i="1370"/>
  <c r="C44" i="1370"/>
  <c r="C44" i="1369"/>
  <c r="C44" i="1367" l="1"/>
  <c r="C45" i="1366"/>
  <c r="C44" i="1366"/>
  <c r="C44" i="1365"/>
  <c r="F21" i="1380" l="1"/>
  <c r="Y19" i="1380"/>
  <c r="W19" i="1380"/>
  <c r="V19" i="1380"/>
  <c r="U19" i="1380"/>
  <c r="T19" i="1380"/>
  <c r="P19" i="1380"/>
  <c r="O19" i="1380"/>
  <c r="N19" i="1380"/>
  <c r="M19" i="1380"/>
  <c r="L19" i="1380"/>
  <c r="K19" i="1380"/>
  <c r="J19" i="1380"/>
  <c r="I19" i="1380"/>
  <c r="H19" i="1380"/>
  <c r="G19" i="1380"/>
  <c r="F19" i="1380"/>
  <c r="E19" i="1380"/>
  <c r="D19" i="1380"/>
  <c r="C19" i="1380"/>
  <c r="Y18" i="1380"/>
  <c r="W18" i="1380"/>
  <c r="V18" i="1380"/>
  <c r="U18" i="1380"/>
  <c r="T18" i="1380"/>
  <c r="P18" i="1380"/>
  <c r="O18" i="1380"/>
  <c r="N18" i="1380"/>
  <c r="M18" i="1380"/>
  <c r="L18" i="1380"/>
  <c r="K18" i="1380"/>
  <c r="J18" i="1380"/>
  <c r="I18" i="1380"/>
  <c r="H18" i="1380"/>
  <c r="G18" i="1380"/>
  <c r="F18" i="1380"/>
  <c r="E18" i="1380"/>
  <c r="D18" i="1380"/>
  <c r="C18" i="1380"/>
  <c r="Y4" i="1380"/>
  <c r="W4" i="1380"/>
  <c r="V4" i="1380"/>
  <c r="U4" i="1380"/>
  <c r="T4" i="1380"/>
  <c r="P4" i="1380"/>
  <c r="O4" i="1380"/>
  <c r="N4" i="1380"/>
  <c r="M4" i="1380"/>
  <c r="L4" i="1380"/>
  <c r="K4" i="1380"/>
  <c r="J4" i="1380"/>
  <c r="I4" i="1380"/>
  <c r="H4" i="1380"/>
  <c r="G4" i="1380"/>
  <c r="F4" i="1380"/>
  <c r="E4" i="1380"/>
  <c r="D4" i="1380"/>
  <c r="C4" i="1380"/>
  <c r="Y3" i="1380"/>
  <c r="W3" i="1380"/>
  <c r="V3" i="1380"/>
  <c r="U3" i="1380"/>
  <c r="T3" i="1380"/>
  <c r="P3" i="1380"/>
  <c r="O3" i="1380"/>
  <c r="N3" i="1380"/>
  <c r="M3" i="1380"/>
  <c r="L3" i="1380"/>
  <c r="K3" i="1380"/>
  <c r="J3" i="1380"/>
  <c r="I3" i="1380"/>
  <c r="H3" i="1380"/>
  <c r="G3" i="1380"/>
  <c r="F3" i="1380"/>
  <c r="E3" i="1380"/>
  <c r="D3" i="1380"/>
  <c r="C3" i="1380"/>
  <c r="F21" i="1379"/>
  <c r="Y19" i="1379"/>
  <c r="W19" i="1379"/>
  <c r="V19" i="1379"/>
  <c r="U19" i="1379"/>
  <c r="T19" i="1379"/>
  <c r="P19" i="1379"/>
  <c r="O19" i="1379"/>
  <c r="N19" i="1379"/>
  <c r="M19" i="1379"/>
  <c r="L19" i="1379"/>
  <c r="K19" i="1379"/>
  <c r="J19" i="1379"/>
  <c r="I19" i="1379"/>
  <c r="H19" i="1379"/>
  <c r="G19" i="1379"/>
  <c r="F19" i="1379"/>
  <c r="E19" i="1379"/>
  <c r="D19" i="1379"/>
  <c r="C19" i="1379"/>
  <c r="Y18" i="1379"/>
  <c r="W18" i="1379"/>
  <c r="V18" i="1379"/>
  <c r="U18" i="1379"/>
  <c r="T18" i="1379"/>
  <c r="P18" i="1379"/>
  <c r="O18" i="1379"/>
  <c r="N18" i="1379"/>
  <c r="M18" i="1379"/>
  <c r="L18" i="1379"/>
  <c r="K18" i="1379"/>
  <c r="J18" i="1379"/>
  <c r="I18" i="1379"/>
  <c r="H18" i="1379"/>
  <c r="G18" i="1379"/>
  <c r="F18" i="1379"/>
  <c r="E18" i="1379"/>
  <c r="D18" i="1379"/>
  <c r="C18" i="1379"/>
  <c r="Y4" i="1379"/>
  <c r="W4" i="1379"/>
  <c r="V4" i="1379"/>
  <c r="U4" i="1379"/>
  <c r="T4" i="1379"/>
  <c r="P4" i="1379"/>
  <c r="O4" i="1379"/>
  <c r="N4" i="1379"/>
  <c r="M4" i="1379"/>
  <c r="L4" i="1379"/>
  <c r="K4" i="1379"/>
  <c r="J4" i="1379"/>
  <c r="I4" i="1379"/>
  <c r="H4" i="1379"/>
  <c r="G4" i="1379"/>
  <c r="F4" i="1379"/>
  <c r="E4" i="1379"/>
  <c r="D4" i="1379"/>
  <c r="C4" i="1379"/>
  <c r="Y3" i="1379"/>
  <c r="W3" i="1379"/>
  <c r="V3" i="1379"/>
  <c r="U3" i="1379"/>
  <c r="T3" i="1379"/>
  <c r="P3" i="1379"/>
  <c r="O3" i="1379"/>
  <c r="N3" i="1379"/>
  <c r="M3" i="1379"/>
  <c r="L3" i="1379"/>
  <c r="K3" i="1379"/>
  <c r="J3" i="1379"/>
  <c r="I3" i="1379"/>
  <c r="H3" i="1379"/>
  <c r="G3" i="1379"/>
  <c r="F3" i="1379"/>
  <c r="E3" i="1379"/>
  <c r="D3" i="1379"/>
  <c r="C3" i="1379"/>
  <c r="F21" i="1378"/>
  <c r="Y19" i="1378"/>
  <c r="W19" i="1378"/>
  <c r="V19" i="1378"/>
  <c r="U19" i="1378"/>
  <c r="T19" i="1378"/>
  <c r="P19" i="1378"/>
  <c r="O19" i="1378"/>
  <c r="N19" i="1378"/>
  <c r="M19" i="1378"/>
  <c r="L19" i="1378"/>
  <c r="K19" i="1378"/>
  <c r="J19" i="1378"/>
  <c r="I19" i="1378"/>
  <c r="H19" i="1378"/>
  <c r="G19" i="1378"/>
  <c r="F19" i="1378"/>
  <c r="E19" i="1378"/>
  <c r="D19" i="1378"/>
  <c r="C19" i="1378"/>
  <c r="Y18" i="1378"/>
  <c r="W18" i="1378"/>
  <c r="V18" i="1378"/>
  <c r="U18" i="1378"/>
  <c r="T18" i="1378"/>
  <c r="P18" i="1378"/>
  <c r="O18" i="1378"/>
  <c r="N18" i="1378"/>
  <c r="M18" i="1378"/>
  <c r="L18" i="1378"/>
  <c r="K18" i="1378"/>
  <c r="J18" i="1378"/>
  <c r="I18" i="1378"/>
  <c r="H18" i="1378"/>
  <c r="G18" i="1378"/>
  <c r="F18" i="1378"/>
  <c r="E18" i="1378"/>
  <c r="D18" i="1378"/>
  <c r="C18" i="1378"/>
  <c r="Y4" i="1378"/>
  <c r="W4" i="1378"/>
  <c r="V4" i="1378"/>
  <c r="U4" i="1378"/>
  <c r="T4" i="1378"/>
  <c r="P4" i="1378"/>
  <c r="O4" i="1378"/>
  <c r="N4" i="1378"/>
  <c r="M4" i="1378"/>
  <c r="L4" i="1378"/>
  <c r="K4" i="1378"/>
  <c r="J4" i="1378"/>
  <c r="I4" i="1378"/>
  <c r="H4" i="1378"/>
  <c r="G4" i="1378"/>
  <c r="F4" i="1378"/>
  <c r="E4" i="1378"/>
  <c r="D4" i="1378"/>
  <c r="C4" i="1378"/>
  <c r="Y3" i="1378"/>
  <c r="W3" i="1378"/>
  <c r="V3" i="1378"/>
  <c r="U3" i="1378"/>
  <c r="T3" i="1378"/>
  <c r="P3" i="1378"/>
  <c r="O3" i="1378"/>
  <c r="N3" i="1378"/>
  <c r="M3" i="1378"/>
  <c r="L3" i="1378"/>
  <c r="K3" i="1378"/>
  <c r="J3" i="1378"/>
  <c r="I3" i="1378"/>
  <c r="H3" i="1378"/>
  <c r="G3" i="1378"/>
  <c r="F3" i="1378"/>
  <c r="E3" i="1378"/>
  <c r="D3" i="1378"/>
  <c r="C3" i="1378"/>
  <c r="F21" i="1377"/>
  <c r="Y19" i="1377"/>
  <c r="W19" i="1377"/>
  <c r="V19" i="1377"/>
  <c r="U19" i="1377"/>
  <c r="T19" i="1377"/>
  <c r="P19" i="1377"/>
  <c r="O19" i="1377"/>
  <c r="N19" i="1377"/>
  <c r="M19" i="1377"/>
  <c r="L19" i="1377"/>
  <c r="K19" i="1377"/>
  <c r="J19" i="1377"/>
  <c r="I19" i="1377"/>
  <c r="H19" i="1377"/>
  <c r="G19" i="1377"/>
  <c r="F19" i="1377"/>
  <c r="E19" i="1377"/>
  <c r="D19" i="1377"/>
  <c r="C19" i="1377"/>
  <c r="Y18" i="1377"/>
  <c r="W18" i="1377"/>
  <c r="V18" i="1377"/>
  <c r="U18" i="1377"/>
  <c r="T18" i="1377"/>
  <c r="P18" i="1377"/>
  <c r="O18" i="1377"/>
  <c r="N18" i="1377"/>
  <c r="M18" i="1377"/>
  <c r="L18" i="1377"/>
  <c r="K18" i="1377"/>
  <c r="J18" i="1377"/>
  <c r="I18" i="1377"/>
  <c r="H18" i="1377"/>
  <c r="G18" i="1377"/>
  <c r="F18" i="1377"/>
  <c r="E18" i="1377"/>
  <c r="D18" i="1377"/>
  <c r="C18" i="1377"/>
  <c r="Y4" i="1377"/>
  <c r="W4" i="1377"/>
  <c r="V4" i="1377"/>
  <c r="U4" i="1377"/>
  <c r="T4" i="1377"/>
  <c r="P4" i="1377"/>
  <c r="O4" i="1377"/>
  <c r="N4" i="1377"/>
  <c r="M4" i="1377"/>
  <c r="L4" i="1377"/>
  <c r="K4" i="1377"/>
  <c r="J4" i="1377"/>
  <c r="I4" i="1377"/>
  <c r="H4" i="1377"/>
  <c r="G4" i="1377"/>
  <c r="F4" i="1377"/>
  <c r="E4" i="1377"/>
  <c r="D4" i="1377"/>
  <c r="C4" i="1377"/>
  <c r="Y3" i="1377"/>
  <c r="W3" i="1377"/>
  <c r="V3" i="1377"/>
  <c r="U3" i="1377"/>
  <c r="T3" i="1377"/>
  <c r="P3" i="1377"/>
  <c r="O3" i="1377"/>
  <c r="N3" i="1377"/>
  <c r="M3" i="1377"/>
  <c r="L3" i="1377"/>
  <c r="K3" i="1377"/>
  <c r="J3" i="1377"/>
  <c r="I3" i="1377"/>
  <c r="H3" i="1377"/>
  <c r="G3" i="1377"/>
  <c r="F3" i="1377"/>
  <c r="E3" i="1377"/>
  <c r="D3" i="1377"/>
  <c r="C3" i="1377"/>
  <c r="F21" i="1376"/>
  <c r="Y19" i="1376"/>
  <c r="W19" i="1376"/>
  <c r="V19" i="1376"/>
  <c r="U19" i="1376"/>
  <c r="T19" i="1376"/>
  <c r="P19" i="1376"/>
  <c r="O19" i="1376"/>
  <c r="N19" i="1376"/>
  <c r="M19" i="1376"/>
  <c r="L19" i="1376"/>
  <c r="K19" i="1376"/>
  <c r="J19" i="1376"/>
  <c r="I19" i="1376"/>
  <c r="H19" i="1376"/>
  <c r="G19" i="1376"/>
  <c r="F19" i="1376"/>
  <c r="E19" i="1376"/>
  <c r="D19" i="1376"/>
  <c r="C19" i="1376"/>
  <c r="Y18" i="1376"/>
  <c r="W18" i="1376"/>
  <c r="V18" i="1376"/>
  <c r="U18" i="1376"/>
  <c r="T18" i="1376"/>
  <c r="P18" i="1376"/>
  <c r="O18" i="1376"/>
  <c r="N18" i="1376"/>
  <c r="M18" i="1376"/>
  <c r="L18" i="1376"/>
  <c r="K18" i="1376"/>
  <c r="J18" i="1376"/>
  <c r="I18" i="1376"/>
  <c r="H18" i="1376"/>
  <c r="G18" i="1376"/>
  <c r="F18" i="1376"/>
  <c r="E18" i="1376"/>
  <c r="D18" i="1376"/>
  <c r="C18" i="1376"/>
  <c r="Y4" i="1376"/>
  <c r="W4" i="1376"/>
  <c r="V4" i="1376"/>
  <c r="U4" i="1376"/>
  <c r="T4" i="1376"/>
  <c r="P4" i="1376"/>
  <c r="O4" i="1376"/>
  <c r="N4" i="1376"/>
  <c r="M4" i="1376"/>
  <c r="L4" i="1376"/>
  <c r="K4" i="1376"/>
  <c r="J4" i="1376"/>
  <c r="I4" i="1376"/>
  <c r="H4" i="1376"/>
  <c r="G4" i="1376"/>
  <c r="F4" i="1376"/>
  <c r="E4" i="1376"/>
  <c r="D4" i="1376"/>
  <c r="C4" i="1376"/>
  <c r="Y3" i="1376"/>
  <c r="W3" i="1376"/>
  <c r="V3" i="1376"/>
  <c r="U3" i="1376"/>
  <c r="T3" i="1376"/>
  <c r="P3" i="1376"/>
  <c r="O3" i="1376"/>
  <c r="N3" i="1376"/>
  <c r="M3" i="1376"/>
  <c r="L3" i="1376"/>
  <c r="K3" i="1376"/>
  <c r="J3" i="1376"/>
  <c r="I3" i="1376"/>
  <c r="H3" i="1376"/>
  <c r="G3" i="1376"/>
  <c r="F3" i="1376"/>
  <c r="E3" i="1376"/>
  <c r="D3" i="1376"/>
  <c r="C3" i="1376"/>
  <c r="F21" i="1375"/>
  <c r="Y19" i="1375"/>
  <c r="W19" i="1375"/>
  <c r="V19" i="1375"/>
  <c r="U19" i="1375"/>
  <c r="T19" i="1375"/>
  <c r="P19" i="1375"/>
  <c r="O19" i="1375"/>
  <c r="N19" i="1375"/>
  <c r="M19" i="1375"/>
  <c r="L19" i="1375"/>
  <c r="K19" i="1375"/>
  <c r="J19" i="1375"/>
  <c r="I19" i="1375"/>
  <c r="H19" i="1375"/>
  <c r="G19" i="1375"/>
  <c r="F19" i="1375"/>
  <c r="E19" i="1375"/>
  <c r="D19" i="1375"/>
  <c r="C19" i="1375"/>
  <c r="Y18" i="1375"/>
  <c r="W18" i="1375"/>
  <c r="V18" i="1375"/>
  <c r="U18" i="1375"/>
  <c r="T18" i="1375"/>
  <c r="P18" i="1375"/>
  <c r="O18" i="1375"/>
  <c r="N18" i="1375"/>
  <c r="M18" i="1375"/>
  <c r="L18" i="1375"/>
  <c r="K18" i="1375"/>
  <c r="J18" i="1375"/>
  <c r="I18" i="1375"/>
  <c r="H18" i="1375"/>
  <c r="G18" i="1375"/>
  <c r="F18" i="1375"/>
  <c r="E18" i="1375"/>
  <c r="D18" i="1375"/>
  <c r="C18" i="1375"/>
  <c r="Y4" i="1375"/>
  <c r="W4" i="1375"/>
  <c r="V4" i="1375"/>
  <c r="U4" i="1375"/>
  <c r="T4" i="1375"/>
  <c r="P4" i="1375"/>
  <c r="O4" i="1375"/>
  <c r="N4" i="1375"/>
  <c r="M4" i="1375"/>
  <c r="L4" i="1375"/>
  <c r="K4" i="1375"/>
  <c r="J4" i="1375"/>
  <c r="I4" i="1375"/>
  <c r="H4" i="1375"/>
  <c r="G4" i="1375"/>
  <c r="F4" i="1375"/>
  <c r="E4" i="1375"/>
  <c r="D4" i="1375"/>
  <c r="C4" i="1375"/>
  <c r="Y3" i="1375"/>
  <c r="W3" i="1375"/>
  <c r="V3" i="1375"/>
  <c r="U3" i="1375"/>
  <c r="T3" i="1375"/>
  <c r="P3" i="1375"/>
  <c r="O3" i="1375"/>
  <c r="N3" i="1375"/>
  <c r="M3" i="1375"/>
  <c r="L3" i="1375"/>
  <c r="K3" i="1375"/>
  <c r="J3" i="1375"/>
  <c r="I3" i="1375"/>
  <c r="H3" i="1375"/>
  <c r="G3" i="1375"/>
  <c r="F3" i="1375"/>
  <c r="E3" i="1375"/>
  <c r="D3" i="1375"/>
  <c r="C3" i="1375"/>
  <c r="F21" i="1374"/>
  <c r="Y19" i="1374"/>
  <c r="W19" i="1374"/>
  <c r="V19" i="1374"/>
  <c r="U19" i="1374"/>
  <c r="T19" i="1374"/>
  <c r="P19" i="1374"/>
  <c r="O19" i="1374"/>
  <c r="N19" i="1374"/>
  <c r="M19" i="1374"/>
  <c r="L19" i="1374"/>
  <c r="K19" i="1374"/>
  <c r="J19" i="1374"/>
  <c r="I19" i="1374"/>
  <c r="H19" i="1374"/>
  <c r="G19" i="1374"/>
  <c r="F19" i="1374"/>
  <c r="E19" i="1374"/>
  <c r="D19" i="1374"/>
  <c r="C19" i="1374"/>
  <c r="Y18" i="1374"/>
  <c r="W18" i="1374"/>
  <c r="V18" i="1374"/>
  <c r="U18" i="1374"/>
  <c r="T18" i="1374"/>
  <c r="P18" i="1374"/>
  <c r="O18" i="1374"/>
  <c r="N18" i="1374"/>
  <c r="M18" i="1374"/>
  <c r="L18" i="1374"/>
  <c r="K18" i="1374"/>
  <c r="J18" i="1374"/>
  <c r="I18" i="1374"/>
  <c r="H18" i="1374"/>
  <c r="G18" i="1374"/>
  <c r="F18" i="1374"/>
  <c r="E18" i="1374"/>
  <c r="D18" i="1374"/>
  <c r="C18" i="1374"/>
  <c r="Y4" i="1374"/>
  <c r="W4" i="1374"/>
  <c r="V4" i="1374"/>
  <c r="U4" i="1374"/>
  <c r="T4" i="1374"/>
  <c r="P4" i="1374"/>
  <c r="O4" i="1374"/>
  <c r="N4" i="1374"/>
  <c r="M4" i="1374"/>
  <c r="L4" i="1374"/>
  <c r="K4" i="1374"/>
  <c r="J4" i="1374"/>
  <c r="I4" i="1374"/>
  <c r="H4" i="1374"/>
  <c r="G4" i="1374"/>
  <c r="F4" i="1374"/>
  <c r="E4" i="1374"/>
  <c r="D4" i="1374"/>
  <c r="C4" i="1374"/>
  <c r="Y3" i="1374"/>
  <c r="W3" i="1374"/>
  <c r="V3" i="1374"/>
  <c r="U3" i="1374"/>
  <c r="T3" i="1374"/>
  <c r="P3" i="1374"/>
  <c r="O3" i="1374"/>
  <c r="N3" i="1374"/>
  <c r="M3" i="1374"/>
  <c r="L3" i="1374"/>
  <c r="K3" i="1374"/>
  <c r="J3" i="1374"/>
  <c r="I3" i="1374"/>
  <c r="H3" i="1374"/>
  <c r="G3" i="1374"/>
  <c r="F3" i="1374"/>
  <c r="E3" i="1374"/>
  <c r="D3" i="1374"/>
  <c r="C3" i="1374"/>
  <c r="F21" i="1373"/>
  <c r="Y19" i="1373"/>
  <c r="W19" i="1373"/>
  <c r="V19" i="1373"/>
  <c r="U19" i="1373"/>
  <c r="T19" i="1373"/>
  <c r="P19" i="1373"/>
  <c r="O19" i="1373"/>
  <c r="N19" i="1373"/>
  <c r="M19" i="1373"/>
  <c r="L19" i="1373"/>
  <c r="K19" i="1373"/>
  <c r="J19" i="1373"/>
  <c r="I19" i="1373"/>
  <c r="H19" i="1373"/>
  <c r="G19" i="1373"/>
  <c r="F19" i="1373"/>
  <c r="E19" i="1373"/>
  <c r="D19" i="1373"/>
  <c r="C19" i="1373"/>
  <c r="Y18" i="1373"/>
  <c r="W18" i="1373"/>
  <c r="V18" i="1373"/>
  <c r="U18" i="1373"/>
  <c r="T18" i="1373"/>
  <c r="P18" i="1373"/>
  <c r="O18" i="1373"/>
  <c r="N18" i="1373"/>
  <c r="M18" i="1373"/>
  <c r="L18" i="1373"/>
  <c r="K18" i="1373"/>
  <c r="J18" i="1373"/>
  <c r="I18" i="1373"/>
  <c r="H18" i="1373"/>
  <c r="G18" i="1373"/>
  <c r="F18" i="1373"/>
  <c r="E18" i="1373"/>
  <c r="D18" i="1373"/>
  <c r="C18" i="1373"/>
  <c r="Y4" i="1373"/>
  <c r="W4" i="1373"/>
  <c r="V4" i="1373"/>
  <c r="U4" i="1373"/>
  <c r="T4" i="1373"/>
  <c r="P4" i="1373"/>
  <c r="O4" i="1373"/>
  <c r="N4" i="1373"/>
  <c r="M4" i="1373"/>
  <c r="L4" i="1373"/>
  <c r="K4" i="1373"/>
  <c r="J4" i="1373"/>
  <c r="I4" i="1373"/>
  <c r="H4" i="1373"/>
  <c r="G4" i="1373"/>
  <c r="F4" i="1373"/>
  <c r="E4" i="1373"/>
  <c r="D4" i="1373"/>
  <c r="C4" i="1373"/>
  <c r="Y3" i="1373"/>
  <c r="W3" i="1373"/>
  <c r="V3" i="1373"/>
  <c r="U3" i="1373"/>
  <c r="T3" i="1373"/>
  <c r="P3" i="1373"/>
  <c r="O3" i="1373"/>
  <c r="N3" i="1373"/>
  <c r="M3" i="1373"/>
  <c r="L3" i="1373"/>
  <c r="K3" i="1373"/>
  <c r="J3" i="1373"/>
  <c r="I3" i="1373"/>
  <c r="H3" i="1373"/>
  <c r="G3" i="1373"/>
  <c r="F3" i="1373"/>
  <c r="E3" i="1373"/>
  <c r="D3" i="1373"/>
  <c r="C3" i="1373"/>
  <c r="F21" i="1372"/>
  <c r="Y19" i="1372"/>
  <c r="W19" i="1372"/>
  <c r="V19" i="1372"/>
  <c r="U19" i="1372"/>
  <c r="T19" i="1372"/>
  <c r="P19" i="1372"/>
  <c r="O19" i="1372"/>
  <c r="N19" i="1372"/>
  <c r="M19" i="1372"/>
  <c r="L19" i="1372"/>
  <c r="K19" i="1372"/>
  <c r="J19" i="1372"/>
  <c r="I19" i="1372"/>
  <c r="H19" i="1372"/>
  <c r="G19" i="1372"/>
  <c r="F19" i="1372"/>
  <c r="E19" i="1372"/>
  <c r="D19" i="1372"/>
  <c r="C19" i="1372"/>
  <c r="Y18" i="1372"/>
  <c r="W18" i="1372"/>
  <c r="V18" i="1372"/>
  <c r="U18" i="1372"/>
  <c r="T18" i="1372"/>
  <c r="P18" i="1372"/>
  <c r="O18" i="1372"/>
  <c r="N18" i="1372"/>
  <c r="M18" i="1372"/>
  <c r="L18" i="1372"/>
  <c r="K18" i="1372"/>
  <c r="J18" i="1372"/>
  <c r="I18" i="1372"/>
  <c r="H18" i="1372"/>
  <c r="G18" i="1372"/>
  <c r="F18" i="1372"/>
  <c r="E18" i="1372"/>
  <c r="D18" i="1372"/>
  <c r="C18" i="1372"/>
  <c r="Y4" i="1372"/>
  <c r="W4" i="1372"/>
  <c r="V4" i="1372"/>
  <c r="U4" i="1372"/>
  <c r="T4" i="1372"/>
  <c r="P4" i="1372"/>
  <c r="O4" i="1372"/>
  <c r="N4" i="1372"/>
  <c r="M4" i="1372"/>
  <c r="L4" i="1372"/>
  <c r="K4" i="1372"/>
  <c r="J4" i="1372"/>
  <c r="I4" i="1372"/>
  <c r="H4" i="1372"/>
  <c r="G4" i="1372"/>
  <c r="F4" i="1372"/>
  <c r="E4" i="1372"/>
  <c r="D4" i="1372"/>
  <c r="C4" i="1372"/>
  <c r="Y3" i="1372"/>
  <c r="W3" i="1372"/>
  <c r="V3" i="1372"/>
  <c r="U3" i="1372"/>
  <c r="T3" i="1372"/>
  <c r="P3" i="1372"/>
  <c r="O3" i="1372"/>
  <c r="N3" i="1372"/>
  <c r="M3" i="1372"/>
  <c r="L3" i="1372"/>
  <c r="K3" i="1372"/>
  <c r="J3" i="1372"/>
  <c r="I3" i="1372"/>
  <c r="H3" i="1372"/>
  <c r="G3" i="1372"/>
  <c r="F3" i="1372"/>
  <c r="E3" i="1372"/>
  <c r="D3" i="1372"/>
  <c r="C3" i="1372"/>
  <c r="F21" i="1371"/>
  <c r="Y19" i="1371"/>
  <c r="W19" i="1371"/>
  <c r="V19" i="1371"/>
  <c r="U19" i="1371"/>
  <c r="T19" i="1371"/>
  <c r="P19" i="1371"/>
  <c r="O19" i="1371"/>
  <c r="N19" i="1371"/>
  <c r="M19" i="1371"/>
  <c r="L19" i="1371"/>
  <c r="K19" i="1371"/>
  <c r="J19" i="1371"/>
  <c r="I19" i="1371"/>
  <c r="H19" i="1371"/>
  <c r="G19" i="1371"/>
  <c r="F19" i="1371"/>
  <c r="E19" i="1371"/>
  <c r="D19" i="1371"/>
  <c r="C19" i="1371"/>
  <c r="Y18" i="1371"/>
  <c r="W18" i="1371"/>
  <c r="V18" i="1371"/>
  <c r="U18" i="1371"/>
  <c r="T18" i="1371"/>
  <c r="P18" i="1371"/>
  <c r="O18" i="1371"/>
  <c r="N18" i="1371"/>
  <c r="M18" i="1371"/>
  <c r="L18" i="1371"/>
  <c r="K18" i="1371"/>
  <c r="J18" i="1371"/>
  <c r="I18" i="1371"/>
  <c r="H18" i="1371"/>
  <c r="G18" i="1371"/>
  <c r="F18" i="1371"/>
  <c r="E18" i="1371"/>
  <c r="D18" i="1371"/>
  <c r="C18" i="1371"/>
  <c r="Y4" i="1371"/>
  <c r="W4" i="1371"/>
  <c r="V4" i="1371"/>
  <c r="U4" i="1371"/>
  <c r="T4" i="1371"/>
  <c r="P4" i="1371"/>
  <c r="O4" i="1371"/>
  <c r="N4" i="1371"/>
  <c r="M4" i="1371"/>
  <c r="L4" i="1371"/>
  <c r="K4" i="1371"/>
  <c r="J4" i="1371"/>
  <c r="I4" i="1371"/>
  <c r="H4" i="1371"/>
  <c r="G4" i="1371"/>
  <c r="F4" i="1371"/>
  <c r="E4" i="1371"/>
  <c r="D4" i="1371"/>
  <c r="C4" i="1371"/>
  <c r="Y3" i="1371"/>
  <c r="W3" i="1371"/>
  <c r="V3" i="1371"/>
  <c r="U3" i="1371"/>
  <c r="T3" i="1371"/>
  <c r="P3" i="1371"/>
  <c r="O3" i="1371"/>
  <c r="N3" i="1371"/>
  <c r="M3" i="1371"/>
  <c r="L3" i="1371"/>
  <c r="K3" i="1371"/>
  <c r="J3" i="1371"/>
  <c r="I3" i="1371"/>
  <c r="H3" i="1371"/>
  <c r="G3" i="1371"/>
  <c r="F3" i="1371"/>
  <c r="E3" i="1371"/>
  <c r="D3" i="1371"/>
  <c r="C3" i="1371"/>
  <c r="F21" i="1370"/>
  <c r="Y19" i="1370"/>
  <c r="W19" i="1370"/>
  <c r="V19" i="1370"/>
  <c r="U19" i="1370"/>
  <c r="T19" i="1370"/>
  <c r="P19" i="1370"/>
  <c r="O19" i="1370"/>
  <c r="N19" i="1370"/>
  <c r="M19" i="1370"/>
  <c r="L19" i="1370"/>
  <c r="K19" i="1370"/>
  <c r="J19" i="1370"/>
  <c r="I19" i="1370"/>
  <c r="H19" i="1370"/>
  <c r="G19" i="1370"/>
  <c r="F19" i="1370"/>
  <c r="E19" i="1370"/>
  <c r="D19" i="1370"/>
  <c r="C19" i="1370"/>
  <c r="Y18" i="1370"/>
  <c r="W18" i="1370"/>
  <c r="V18" i="1370"/>
  <c r="U18" i="1370"/>
  <c r="T18" i="1370"/>
  <c r="P18" i="1370"/>
  <c r="O18" i="1370"/>
  <c r="N18" i="1370"/>
  <c r="M18" i="1370"/>
  <c r="L18" i="1370"/>
  <c r="K18" i="1370"/>
  <c r="J18" i="1370"/>
  <c r="I18" i="1370"/>
  <c r="H18" i="1370"/>
  <c r="G18" i="1370"/>
  <c r="F18" i="1370"/>
  <c r="E18" i="1370"/>
  <c r="D18" i="1370"/>
  <c r="C18" i="1370"/>
  <c r="Y4" i="1370"/>
  <c r="W4" i="1370"/>
  <c r="V4" i="1370"/>
  <c r="U4" i="1370"/>
  <c r="T4" i="1370"/>
  <c r="P4" i="1370"/>
  <c r="O4" i="1370"/>
  <c r="N4" i="1370"/>
  <c r="M4" i="1370"/>
  <c r="L4" i="1370"/>
  <c r="K4" i="1370"/>
  <c r="J4" i="1370"/>
  <c r="I4" i="1370"/>
  <c r="H4" i="1370"/>
  <c r="G4" i="1370"/>
  <c r="F4" i="1370"/>
  <c r="E4" i="1370"/>
  <c r="D4" i="1370"/>
  <c r="C4" i="1370"/>
  <c r="Y3" i="1370"/>
  <c r="W3" i="1370"/>
  <c r="V3" i="1370"/>
  <c r="U3" i="1370"/>
  <c r="T3" i="1370"/>
  <c r="P3" i="1370"/>
  <c r="O3" i="1370"/>
  <c r="N3" i="1370"/>
  <c r="M3" i="1370"/>
  <c r="L3" i="1370"/>
  <c r="K3" i="1370"/>
  <c r="J3" i="1370"/>
  <c r="I3" i="1370"/>
  <c r="H3" i="1370"/>
  <c r="G3" i="1370"/>
  <c r="F3" i="1370"/>
  <c r="E3" i="1370"/>
  <c r="D3" i="1370"/>
  <c r="C3" i="1370"/>
  <c r="F21" i="1369"/>
  <c r="Y19" i="1369"/>
  <c r="W19" i="1369"/>
  <c r="V19" i="1369"/>
  <c r="U19" i="1369"/>
  <c r="T19" i="1369"/>
  <c r="P19" i="1369"/>
  <c r="O19" i="1369"/>
  <c r="N19" i="1369"/>
  <c r="M19" i="1369"/>
  <c r="L19" i="1369"/>
  <c r="K19" i="1369"/>
  <c r="J19" i="1369"/>
  <c r="I19" i="1369"/>
  <c r="H19" i="1369"/>
  <c r="G19" i="1369"/>
  <c r="F19" i="1369"/>
  <c r="E19" i="1369"/>
  <c r="D19" i="1369"/>
  <c r="C19" i="1369"/>
  <c r="Y18" i="1369"/>
  <c r="W18" i="1369"/>
  <c r="V18" i="1369"/>
  <c r="U18" i="1369"/>
  <c r="T18" i="1369"/>
  <c r="P18" i="1369"/>
  <c r="O18" i="1369"/>
  <c r="N18" i="1369"/>
  <c r="M18" i="1369"/>
  <c r="L18" i="1369"/>
  <c r="K18" i="1369"/>
  <c r="J18" i="1369"/>
  <c r="I18" i="1369"/>
  <c r="H18" i="1369"/>
  <c r="G18" i="1369"/>
  <c r="F18" i="1369"/>
  <c r="E18" i="1369"/>
  <c r="D18" i="1369"/>
  <c r="C18" i="1369"/>
  <c r="Y4" i="1369"/>
  <c r="W4" i="1369"/>
  <c r="V4" i="1369"/>
  <c r="U4" i="1369"/>
  <c r="T4" i="1369"/>
  <c r="P4" i="1369"/>
  <c r="O4" i="1369"/>
  <c r="N4" i="1369"/>
  <c r="M4" i="1369"/>
  <c r="L4" i="1369"/>
  <c r="K4" i="1369"/>
  <c r="J4" i="1369"/>
  <c r="I4" i="1369"/>
  <c r="H4" i="1369"/>
  <c r="G4" i="1369"/>
  <c r="F4" i="1369"/>
  <c r="E4" i="1369"/>
  <c r="D4" i="1369"/>
  <c r="C4" i="1369"/>
  <c r="Y3" i="1369"/>
  <c r="W3" i="1369"/>
  <c r="V3" i="1369"/>
  <c r="U3" i="1369"/>
  <c r="T3" i="1369"/>
  <c r="P3" i="1369"/>
  <c r="O3" i="1369"/>
  <c r="N3" i="1369"/>
  <c r="M3" i="1369"/>
  <c r="L3" i="1369"/>
  <c r="K3" i="1369"/>
  <c r="J3" i="1369"/>
  <c r="I3" i="1369"/>
  <c r="H3" i="1369"/>
  <c r="G3" i="1369"/>
  <c r="F3" i="1369"/>
  <c r="E3" i="1369"/>
  <c r="D3" i="1369"/>
  <c r="C3" i="1369"/>
  <c r="F21" i="1368"/>
  <c r="Y19" i="1368"/>
  <c r="W19" i="1368"/>
  <c r="V19" i="1368"/>
  <c r="U19" i="1368"/>
  <c r="T19" i="1368"/>
  <c r="P19" i="1368"/>
  <c r="O19" i="1368"/>
  <c r="N19" i="1368"/>
  <c r="M19" i="1368"/>
  <c r="L19" i="1368"/>
  <c r="K19" i="1368"/>
  <c r="J19" i="1368"/>
  <c r="I19" i="1368"/>
  <c r="H19" i="1368"/>
  <c r="G19" i="1368"/>
  <c r="F19" i="1368"/>
  <c r="E19" i="1368"/>
  <c r="D19" i="1368"/>
  <c r="C19" i="1368"/>
  <c r="Y18" i="1368"/>
  <c r="W18" i="1368"/>
  <c r="V18" i="1368"/>
  <c r="U18" i="1368"/>
  <c r="T18" i="1368"/>
  <c r="P18" i="1368"/>
  <c r="O18" i="1368"/>
  <c r="N18" i="1368"/>
  <c r="M18" i="1368"/>
  <c r="L18" i="1368"/>
  <c r="K18" i="1368"/>
  <c r="J18" i="1368"/>
  <c r="I18" i="1368"/>
  <c r="H18" i="1368"/>
  <c r="G18" i="1368"/>
  <c r="F18" i="1368"/>
  <c r="E18" i="1368"/>
  <c r="D18" i="1368"/>
  <c r="C18" i="1368"/>
  <c r="Y4" i="1368"/>
  <c r="W4" i="1368"/>
  <c r="V4" i="1368"/>
  <c r="U4" i="1368"/>
  <c r="T4" i="1368"/>
  <c r="P4" i="1368"/>
  <c r="O4" i="1368"/>
  <c r="N4" i="1368"/>
  <c r="M4" i="1368"/>
  <c r="L4" i="1368"/>
  <c r="K4" i="1368"/>
  <c r="J4" i="1368"/>
  <c r="I4" i="1368"/>
  <c r="H4" i="1368"/>
  <c r="G4" i="1368"/>
  <c r="F4" i="1368"/>
  <c r="E4" i="1368"/>
  <c r="D4" i="1368"/>
  <c r="C4" i="1368"/>
  <c r="Y3" i="1368"/>
  <c r="W3" i="1368"/>
  <c r="V3" i="1368"/>
  <c r="U3" i="1368"/>
  <c r="T3" i="1368"/>
  <c r="P3" i="1368"/>
  <c r="O3" i="1368"/>
  <c r="N3" i="1368"/>
  <c r="M3" i="1368"/>
  <c r="L3" i="1368"/>
  <c r="K3" i="1368"/>
  <c r="J3" i="1368"/>
  <c r="I3" i="1368"/>
  <c r="H3" i="1368"/>
  <c r="G3" i="1368"/>
  <c r="F3" i="1368"/>
  <c r="E3" i="1368"/>
  <c r="D3" i="1368"/>
  <c r="C3" i="1368"/>
  <c r="C45" i="1355"/>
  <c r="C44" i="1355"/>
  <c r="C45" i="1354"/>
  <c r="C44" i="1354"/>
  <c r="C45" i="1353"/>
  <c r="C44" i="1353"/>
  <c r="F21" i="1367"/>
  <c r="Y19" i="1367"/>
  <c r="W19" i="1367"/>
  <c r="V19" i="1367"/>
  <c r="U19" i="1367"/>
  <c r="T19" i="1367"/>
  <c r="P19" i="1367"/>
  <c r="O19" i="1367"/>
  <c r="N19" i="1367"/>
  <c r="M19" i="1367"/>
  <c r="L19" i="1367"/>
  <c r="K19" i="1367"/>
  <c r="J19" i="1367"/>
  <c r="I19" i="1367"/>
  <c r="H19" i="1367"/>
  <c r="G19" i="1367"/>
  <c r="F19" i="1367"/>
  <c r="E19" i="1367"/>
  <c r="D19" i="1367"/>
  <c r="C19" i="1367"/>
  <c r="Y18" i="1367"/>
  <c r="W18" i="1367"/>
  <c r="V18" i="1367"/>
  <c r="U18" i="1367"/>
  <c r="T18" i="1367"/>
  <c r="P18" i="1367"/>
  <c r="O18" i="1367"/>
  <c r="N18" i="1367"/>
  <c r="M18" i="1367"/>
  <c r="L18" i="1367"/>
  <c r="K18" i="1367"/>
  <c r="J18" i="1367"/>
  <c r="I18" i="1367"/>
  <c r="H18" i="1367"/>
  <c r="G18" i="1367"/>
  <c r="F18" i="1367"/>
  <c r="E18" i="1367"/>
  <c r="D18" i="1367"/>
  <c r="C18" i="1367"/>
  <c r="Y4" i="1367"/>
  <c r="W4" i="1367"/>
  <c r="V4" i="1367"/>
  <c r="U4" i="1367"/>
  <c r="T4" i="1367"/>
  <c r="P4" i="1367"/>
  <c r="O4" i="1367"/>
  <c r="N4" i="1367"/>
  <c r="M4" i="1367"/>
  <c r="L4" i="1367"/>
  <c r="K4" i="1367"/>
  <c r="J4" i="1367"/>
  <c r="I4" i="1367"/>
  <c r="H4" i="1367"/>
  <c r="G4" i="1367"/>
  <c r="F4" i="1367"/>
  <c r="E4" i="1367"/>
  <c r="D4" i="1367"/>
  <c r="C4" i="1367"/>
  <c r="Y3" i="1367"/>
  <c r="W3" i="1367"/>
  <c r="V3" i="1367"/>
  <c r="U3" i="1367"/>
  <c r="T3" i="1367"/>
  <c r="P3" i="1367"/>
  <c r="O3" i="1367"/>
  <c r="N3" i="1367"/>
  <c r="M3" i="1367"/>
  <c r="L3" i="1367"/>
  <c r="K3" i="1367"/>
  <c r="J3" i="1367"/>
  <c r="I3" i="1367"/>
  <c r="H3" i="1367"/>
  <c r="G3" i="1367"/>
  <c r="F3" i="1367"/>
  <c r="E3" i="1367"/>
  <c r="D3" i="1367"/>
  <c r="C3" i="1367"/>
  <c r="F21" i="1366"/>
  <c r="Y19" i="1366"/>
  <c r="W19" i="1366"/>
  <c r="V19" i="1366"/>
  <c r="U19" i="1366"/>
  <c r="T19" i="1366"/>
  <c r="P19" i="1366"/>
  <c r="O19" i="1366"/>
  <c r="N19" i="1366"/>
  <c r="M19" i="1366"/>
  <c r="L19" i="1366"/>
  <c r="K19" i="1366"/>
  <c r="J19" i="1366"/>
  <c r="I19" i="1366"/>
  <c r="H19" i="1366"/>
  <c r="G19" i="1366"/>
  <c r="F19" i="1366"/>
  <c r="E19" i="1366"/>
  <c r="D19" i="1366"/>
  <c r="C19" i="1366"/>
  <c r="Y18" i="1366"/>
  <c r="W18" i="1366"/>
  <c r="V18" i="1366"/>
  <c r="U18" i="1366"/>
  <c r="T18" i="1366"/>
  <c r="P18" i="1366"/>
  <c r="O18" i="1366"/>
  <c r="N18" i="1366"/>
  <c r="M18" i="1366"/>
  <c r="L18" i="1366"/>
  <c r="K18" i="1366"/>
  <c r="J18" i="1366"/>
  <c r="I18" i="1366"/>
  <c r="H18" i="1366"/>
  <c r="G18" i="1366"/>
  <c r="F18" i="1366"/>
  <c r="E18" i="1366"/>
  <c r="D18" i="1366"/>
  <c r="C18" i="1366"/>
  <c r="Y4" i="1366"/>
  <c r="W4" i="1366"/>
  <c r="V4" i="1366"/>
  <c r="U4" i="1366"/>
  <c r="T4" i="1366"/>
  <c r="P4" i="1366"/>
  <c r="O4" i="1366"/>
  <c r="N4" i="1366"/>
  <c r="M4" i="1366"/>
  <c r="L4" i="1366"/>
  <c r="K4" i="1366"/>
  <c r="J4" i="1366"/>
  <c r="I4" i="1366"/>
  <c r="H4" i="1366"/>
  <c r="G4" i="1366"/>
  <c r="F4" i="1366"/>
  <c r="E4" i="1366"/>
  <c r="D4" i="1366"/>
  <c r="C4" i="1366"/>
  <c r="Y3" i="1366"/>
  <c r="W3" i="1366"/>
  <c r="V3" i="1366"/>
  <c r="U3" i="1366"/>
  <c r="T3" i="1366"/>
  <c r="P3" i="1366"/>
  <c r="O3" i="1366"/>
  <c r="N3" i="1366"/>
  <c r="M3" i="1366"/>
  <c r="L3" i="1366"/>
  <c r="K3" i="1366"/>
  <c r="J3" i="1366"/>
  <c r="I3" i="1366"/>
  <c r="H3" i="1366"/>
  <c r="G3" i="1366"/>
  <c r="F3" i="1366"/>
  <c r="E3" i="1366"/>
  <c r="D3" i="1366"/>
  <c r="C3" i="1366"/>
  <c r="F21" i="1365"/>
  <c r="Y19" i="1365"/>
  <c r="W19" i="1365"/>
  <c r="V19" i="1365"/>
  <c r="U19" i="1365"/>
  <c r="T19" i="1365"/>
  <c r="P19" i="1365"/>
  <c r="O19" i="1365"/>
  <c r="N19" i="1365"/>
  <c r="M19" i="1365"/>
  <c r="L19" i="1365"/>
  <c r="K19" i="1365"/>
  <c r="J19" i="1365"/>
  <c r="I19" i="1365"/>
  <c r="H19" i="1365"/>
  <c r="G19" i="1365"/>
  <c r="F19" i="1365"/>
  <c r="E19" i="1365"/>
  <c r="D19" i="1365"/>
  <c r="C19" i="1365"/>
  <c r="Y18" i="1365"/>
  <c r="W18" i="1365"/>
  <c r="V18" i="1365"/>
  <c r="U18" i="1365"/>
  <c r="T18" i="1365"/>
  <c r="P18" i="1365"/>
  <c r="O18" i="1365"/>
  <c r="N18" i="1365"/>
  <c r="M18" i="1365"/>
  <c r="L18" i="1365"/>
  <c r="K18" i="1365"/>
  <c r="J18" i="1365"/>
  <c r="I18" i="1365"/>
  <c r="H18" i="1365"/>
  <c r="G18" i="1365"/>
  <c r="F18" i="1365"/>
  <c r="E18" i="1365"/>
  <c r="D18" i="1365"/>
  <c r="C18" i="1365"/>
  <c r="Y4" i="1365"/>
  <c r="W4" i="1365"/>
  <c r="V4" i="1365"/>
  <c r="U4" i="1365"/>
  <c r="T4" i="1365"/>
  <c r="P4" i="1365"/>
  <c r="O4" i="1365"/>
  <c r="N4" i="1365"/>
  <c r="M4" i="1365"/>
  <c r="L4" i="1365"/>
  <c r="K4" i="1365"/>
  <c r="J4" i="1365"/>
  <c r="I4" i="1365"/>
  <c r="H4" i="1365"/>
  <c r="G4" i="1365"/>
  <c r="F4" i="1365"/>
  <c r="E4" i="1365"/>
  <c r="D4" i="1365"/>
  <c r="C4" i="1365"/>
  <c r="Y3" i="1365"/>
  <c r="W3" i="1365"/>
  <c r="V3" i="1365"/>
  <c r="U3" i="1365"/>
  <c r="T3" i="1365"/>
  <c r="P3" i="1365"/>
  <c r="O3" i="1365"/>
  <c r="N3" i="1365"/>
  <c r="M3" i="1365"/>
  <c r="L3" i="1365"/>
  <c r="K3" i="1365"/>
  <c r="J3" i="1365"/>
  <c r="I3" i="1365"/>
  <c r="H3" i="1365"/>
  <c r="G3" i="1365"/>
  <c r="F3" i="1365"/>
  <c r="E3" i="1365"/>
  <c r="D3" i="1365"/>
  <c r="C3" i="1365"/>
  <c r="F21" i="1364"/>
  <c r="Y19" i="1364"/>
  <c r="W19" i="1364"/>
  <c r="V19" i="1364"/>
  <c r="U19" i="1364"/>
  <c r="T19" i="1364"/>
  <c r="P19" i="1364"/>
  <c r="O19" i="1364"/>
  <c r="N19" i="1364"/>
  <c r="M19" i="1364"/>
  <c r="L19" i="1364"/>
  <c r="K19" i="1364"/>
  <c r="J19" i="1364"/>
  <c r="I19" i="1364"/>
  <c r="H19" i="1364"/>
  <c r="G19" i="1364"/>
  <c r="F19" i="1364"/>
  <c r="E19" i="1364"/>
  <c r="D19" i="1364"/>
  <c r="C19" i="1364"/>
  <c r="Y18" i="1364"/>
  <c r="W18" i="1364"/>
  <c r="V18" i="1364"/>
  <c r="U18" i="1364"/>
  <c r="T18" i="1364"/>
  <c r="P18" i="1364"/>
  <c r="O18" i="1364"/>
  <c r="N18" i="1364"/>
  <c r="M18" i="1364"/>
  <c r="L18" i="1364"/>
  <c r="K18" i="1364"/>
  <c r="J18" i="1364"/>
  <c r="I18" i="1364"/>
  <c r="H18" i="1364"/>
  <c r="G18" i="1364"/>
  <c r="F18" i="1364"/>
  <c r="E18" i="1364"/>
  <c r="D18" i="1364"/>
  <c r="C18" i="1364"/>
  <c r="Y4" i="1364"/>
  <c r="W4" i="1364"/>
  <c r="V4" i="1364"/>
  <c r="U4" i="1364"/>
  <c r="T4" i="1364"/>
  <c r="P4" i="1364"/>
  <c r="O4" i="1364"/>
  <c r="N4" i="1364"/>
  <c r="M4" i="1364"/>
  <c r="L4" i="1364"/>
  <c r="K4" i="1364"/>
  <c r="J4" i="1364"/>
  <c r="I4" i="1364"/>
  <c r="H4" i="1364"/>
  <c r="G4" i="1364"/>
  <c r="F4" i="1364"/>
  <c r="E4" i="1364"/>
  <c r="D4" i="1364"/>
  <c r="C4" i="1364"/>
  <c r="Y3" i="1364"/>
  <c r="W3" i="1364"/>
  <c r="V3" i="1364"/>
  <c r="U3" i="1364"/>
  <c r="T3" i="1364"/>
  <c r="P3" i="1364"/>
  <c r="O3" i="1364"/>
  <c r="N3" i="1364"/>
  <c r="M3" i="1364"/>
  <c r="L3" i="1364"/>
  <c r="K3" i="1364"/>
  <c r="J3" i="1364"/>
  <c r="I3" i="1364"/>
  <c r="H3" i="1364"/>
  <c r="G3" i="1364"/>
  <c r="F3" i="1364"/>
  <c r="E3" i="1364"/>
  <c r="D3" i="1364"/>
  <c r="C3" i="1364"/>
  <c r="C44" i="1326"/>
  <c r="C44" i="1325"/>
  <c r="C44" i="1324"/>
  <c r="F21" i="1355" l="1"/>
  <c r="Y19" i="1355"/>
  <c r="W19" i="1355"/>
  <c r="V19" i="1355"/>
  <c r="U19" i="1355"/>
  <c r="T19" i="1355"/>
  <c r="P19" i="1355"/>
  <c r="O19" i="1355"/>
  <c r="N19" i="1355"/>
  <c r="M19" i="1355"/>
  <c r="L19" i="1355"/>
  <c r="K19" i="1355"/>
  <c r="J19" i="1355"/>
  <c r="I19" i="1355"/>
  <c r="H19" i="1355"/>
  <c r="G19" i="1355"/>
  <c r="F19" i="1355"/>
  <c r="E19" i="1355"/>
  <c r="D19" i="1355"/>
  <c r="C19" i="1355"/>
  <c r="Y18" i="1355"/>
  <c r="W18" i="1355"/>
  <c r="V18" i="1355"/>
  <c r="U18" i="1355"/>
  <c r="T18" i="1355"/>
  <c r="P18" i="1355"/>
  <c r="O18" i="1355"/>
  <c r="N18" i="1355"/>
  <c r="M18" i="1355"/>
  <c r="L18" i="1355"/>
  <c r="K18" i="1355"/>
  <c r="J18" i="1355"/>
  <c r="I18" i="1355"/>
  <c r="H18" i="1355"/>
  <c r="G18" i="1355"/>
  <c r="F18" i="1355"/>
  <c r="E18" i="1355"/>
  <c r="D18" i="1355"/>
  <c r="C18" i="1355"/>
  <c r="Y4" i="1355"/>
  <c r="W4" i="1355"/>
  <c r="V4" i="1355"/>
  <c r="U4" i="1355"/>
  <c r="T4" i="1355"/>
  <c r="P4" i="1355"/>
  <c r="O4" i="1355"/>
  <c r="N4" i="1355"/>
  <c r="M4" i="1355"/>
  <c r="L4" i="1355"/>
  <c r="K4" i="1355"/>
  <c r="J4" i="1355"/>
  <c r="I4" i="1355"/>
  <c r="H4" i="1355"/>
  <c r="G4" i="1355"/>
  <c r="F4" i="1355"/>
  <c r="E4" i="1355"/>
  <c r="D4" i="1355"/>
  <c r="C4" i="1355"/>
  <c r="Y3" i="1355"/>
  <c r="W3" i="1355"/>
  <c r="V3" i="1355"/>
  <c r="U3" i="1355"/>
  <c r="T3" i="1355"/>
  <c r="P3" i="1355"/>
  <c r="O3" i="1355"/>
  <c r="N3" i="1355"/>
  <c r="M3" i="1355"/>
  <c r="L3" i="1355"/>
  <c r="K3" i="1355"/>
  <c r="J3" i="1355"/>
  <c r="I3" i="1355"/>
  <c r="H3" i="1355"/>
  <c r="G3" i="1355"/>
  <c r="F3" i="1355"/>
  <c r="E3" i="1355"/>
  <c r="D3" i="1355"/>
  <c r="C3" i="1355"/>
  <c r="F21" i="1354"/>
  <c r="Y19" i="1354"/>
  <c r="W19" i="1354"/>
  <c r="V19" i="1354"/>
  <c r="U19" i="1354"/>
  <c r="T19" i="1354"/>
  <c r="P19" i="1354"/>
  <c r="O19" i="1354"/>
  <c r="N19" i="1354"/>
  <c r="M19" i="1354"/>
  <c r="L19" i="1354"/>
  <c r="K19" i="1354"/>
  <c r="J19" i="1354"/>
  <c r="I19" i="1354"/>
  <c r="H19" i="1354"/>
  <c r="G19" i="1354"/>
  <c r="F19" i="1354"/>
  <c r="E19" i="1354"/>
  <c r="D19" i="1354"/>
  <c r="C19" i="1354"/>
  <c r="Y18" i="1354"/>
  <c r="W18" i="1354"/>
  <c r="V18" i="1354"/>
  <c r="U18" i="1354"/>
  <c r="T18" i="1354"/>
  <c r="P18" i="1354"/>
  <c r="O18" i="1354"/>
  <c r="N18" i="1354"/>
  <c r="M18" i="1354"/>
  <c r="L18" i="1354"/>
  <c r="K18" i="1354"/>
  <c r="J18" i="1354"/>
  <c r="I18" i="1354"/>
  <c r="H18" i="1354"/>
  <c r="G18" i="1354"/>
  <c r="F18" i="1354"/>
  <c r="E18" i="1354"/>
  <c r="D18" i="1354"/>
  <c r="C18" i="1354"/>
  <c r="Y4" i="1354"/>
  <c r="W4" i="1354"/>
  <c r="V4" i="1354"/>
  <c r="U4" i="1354"/>
  <c r="T4" i="1354"/>
  <c r="P4" i="1354"/>
  <c r="O4" i="1354"/>
  <c r="N4" i="1354"/>
  <c r="M4" i="1354"/>
  <c r="L4" i="1354"/>
  <c r="K4" i="1354"/>
  <c r="J4" i="1354"/>
  <c r="I4" i="1354"/>
  <c r="H4" i="1354"/>
  <c r="G4" i="1354"/>
  <c r="F4" i="1354"/>
  <c r="E4" i="1354"/>
  <c r="D4" i="1354"/>
  <c r="C4" i="1354"/>
  <c r="Y3" i="1354"/>
  <c r="W3" i="1354"/>
  <c r="V3" i="1354"/>
  <c r="U3" i="1354"/>
  <c r="T3" i="1354"/>
  <c r="P3" i="1354"/>
  <c r="O3" i="1354"/>
  <c r="N3" i="1354"/>
  <c r="M3" i="1354"/>
  <c r="L3" i="1354"/>
  <c r="K3" i="1354"/>
  <c r="J3" i="1354"/>
  <c r="I3" i="1354"/>
  <c r="H3" i="1354"/>
  <c r="G3" i="1354"/>
  <c r="F3" i="1354"/>
  <c r="E3" i="1354"/>
  <c r="D3" i="1354"/>
  <c r="C3" i="1354"/>
  <c r="F21" i="1353"/>
  <c r="Y19" i="1353"/>
  <c r="W19" i="1353"/>
  <c r="V19" i="1353"/>
  <c r="U19" i="1353"/>
  <c r="T19" i="1353"/>
  <c r="P19" i="1353"/>
  <c r="O19" i="1353"/>
  <c r="N19" i="1353"/>
  <c r="M19" i="1353"/>
  <c r="L19" i="1353"/>
  <c r="K19" i="1353"/>
  <c r="J19" i="1353"/>
  <c r="I19" i="1353"/>
  <c r="H19" i="1353"/>
  <c r="G19" i="1353"/>
  <c r="F19" i="1353"/>
  <c r="E19" i="1353"/>
  <c r="D19" i="1353"/>
  <c r="C19" i="1353"/>
  <c r="Y18" i="1353"/>
  <c r="W18" i="1353"/>
  <c r="V18" i="1353"/>
  <c r="U18" i="1353"/>
  <c r="T18" i="1353"/>
  <c r="P18" i="1353"/>
  <c r="O18" i="1353"/>
  <c r="N18" i="1353"/>
  <c r="M18" i="1353"/>
  <c r="L18" i="1353"/>
  <c r="K18" i="1353"/>
  <c r="J18" i="1353"/>
  <c r="I18" i="1353"/>
  <c r="H18" i="1353"/>
  <c r="G18" i="1353"/>
  <c r="F18" i="1353"/>
  <c r="E18" i="1353"/>
  <c r="D18" i="1353"/>
  <c r="C18" i="1353"/>
  <c r="Y4" i="1353"/>
  <c r="W4" i="1353"/>
  <c r="V4" i="1353"/>
  <c r="U4" i="1353"/>
  <c r="T4" i="1353"/>
  <c r="P4" i="1353"/>
  <c r="O4" i="1353"/>
  <c r="N4" i="1353"/>
  <c r="M4" i="1353"/>
  <c r="L4" i="1353"/>
  <c r="K4" i="1353"/>
  <c r="J4" i="1353"/>
  <c r="I4" i="1353"/>
  <c r="H4" i="1353"/>
  <c r="G4" i="1353"/>
  <c r="F4" i="1353"/>
  <c r="E4" i="1353"/>
  <c r="D4" i="1353"/>
  <c r="C4" i="1353"/>
  <c r="Y3" i="1353"/>
  <c r="W3" i="1353"/>
  <c r="V3" i="1353"/>
  <c r="U3" i="1353"/>
  <c r="T3" i="1353"/>
  <c r="P3" i="1353"/>
  <c r="O3" i="1353"/>
  <c r="N3" i="1353"/>
  <c r="M3" i="1353"/>
  <c r="L3" i="1353"/>
  <c r="K3" i="1353"/>
  <c r="J3" i="1353"/>
  <c r="I3" i="1353"/>
  <c r="H3" i="1353"/>
  <c r="G3" i="1353"/>
  <c r="F3" i="1353"/>
  <c r="E3" i="1353"/>
  <c r="D3" i="1353"/>
  <c r="C3" i="1353"/>
  <c r="F21" i="1352"/>
  <c r="Y19" i="1352"/>
  <c r="W19" i="1352"/>
  <c r="V19" i="1352"/>
  <c r="U19" i="1352"/>
  <c r="T19" i="1352"/>
  <c r="P19" i="1352"/>
  <c r="O19" i="1352"/>
  <c r="N19" i="1352"/>
  <c r="M19" i="1352"/>
  <c r="L19" i="1352"/>
  <c r="K19" i="1352"/>
  <c r="J19" i="1352"/>
  <c r="I19" i="1352"/>
  <c r="H19" i="1352"/>
  <c r="G19" i="1352"/>
  <c r="F19" i="1352"/>
  <c r="E19" i="1352"/>
  <c r="D19" i="1352"/>
  <c r="C19" i="1352"/>
  <c r="Y18" i="1352"/>
  <c r="W18" i="1352"/>
  <c r="V18" i="1352"/>
  <c r="U18" i="1352"/>
  <c r="T18" i="1352"/>
  <c r="P18" i="1352"/>
  <c r="O18" i="1352"/>
  <c r="N18" i="1352"/>
  <c r="M18" i="1352"/>
  <c r="L18" i="1352"/>
  <c r="K18" i="1352"/>
  <c r="J18" i="1352"/>
  <c r="I18" i="1352"/>
  <c r="H18" i="1352"/>
  <c r="G18" i="1352"/>
  <c r="F18" i="1352"/>
  <c r="E18" i="1352"/>
  <c r="D18" i="1352"/>
  <c r="C18" i="1352"/>
  <c r="Y4" i="1352"/>
  <c r="W4" i="1352"/>
  <c r="V4" i="1352"/>
  <c r="U4" i="1352"/>
  <c r="T4" i="1352"/>
  <c r="P4" i="1352"/>
  <c r="O4" i="1352"/>
  <c r="N4" i="1352"/>
  <c r="M4" i="1352"/>
  <c r="L4" i="1352"/>
  <c r="K4" i="1352"/>
  <c r="J4" i="1352"/>
  <c r="I4" i="1352"/>
  <c r="H4" i="1352"/>
  <c r="G4" i="1352"/>
  <c r="F4" i="1352"/>
  <c r="E4" i="1352"/>
  <c r="D4" i="1352"/>
  <c r="C4" i="1352"/>
  <c r="Y3" i="1352"/>
  <c r="W3" i="1352"/>
  <c r="V3" i="1352"/>
  <c r="U3" i="1352"/>
  <c r="T3" i="1352"/>
  <c r="P3" i="1352"/>
  <c r="O3" i="1352"/>
  <c r="N3" i="1352"/>
  <c r="M3" i="1352"/>
  <c r="L3" i="1352"/>
  <c r="K3" i="1352"/>
  <c r="J3" i="1352"/>
  <c r="I3" i="1352"/>
  <c r="H3" i="1352"/>
  <c r="G3" i="1352"/>
  <c r="F3" i="1352"/>
  <c r="E3" i="1352"/>
  <c r="D3" i="1352"/>
  <c r="C3" i="1352"/>
  <c r="F21" i="1218" l="1"/>
  <c r="Y19" i="1218"/>
  <c r="W19" i="1218"/>
  <c r="V19" i="1218"/>
  <c r="U19" i="1218"/>
  <c r="T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Y18" i="1218"/>
  <c r="W18" i="1218"/>
  <c r="V18" i="1218"/>
  <c r="U18" i="1218"/>
  <c r="T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Y4" i="1218"/>
  <c r="W4" i="1218"/>
  <c r="V4" i="1218"/>
  <c r="U4" i="1218"/>
  <c r="T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Y3" i="1218"/>
  <c r="W3" i="1218"/>
  <c r="V3" i="1218"/>
  <c r="U3" i="1218"/>
  <c r="T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326"/>
  <c r="Y19" i="1326"/>
  <c r="W19" i="1326"/>
  <c r="V19" i="1326"/>
  <c r="U19" i="1326"/>
  <c r="T19" i="1326"/>
  <c r="P19" i="1326"/>
  <c r="O19" i="1326"/>
  <c r="N19" i="1326"/>
  <c r="M19" i="1326"/>
  <c r="L19" i="1326"/>
  <c r="K19" i="1326"/>
  <c r="J19" i="1326"/>
  <c r="I19" i="1326"/>
  <c r="H19" i="1326"/>
  <c r="G19" i="1326"/>
  <c r="F19" i="1326"/>
  <c r="E19" i="1326"/>
  <c r="D19" i="1326"/>
  <c r="C19" i="1326"/>
  <c r="Y18" i="1326"/>
  <c r="W18" i="1326"/>
  <c r="V18" i="1326"/>
  <c r="U18" i="1326"/>
  <c r="T18" i="1326"/>
  <c r="P18" i="1326"/>
  <c r="O18" i="1326"/>
  <c r="N18" i="1326"/>
  <c r="M18" i="1326"/>
  <c r="L18" i="1326"/>
  <c r="K18" i="1326"/>
  <c r="J18" i="1326"/>
  <c r="I18" i="1326"/>
  <c r="H18" i="1326"/>
  <c r="G18" i="1326"/>
  <c r="F18" i="1326"/>
  <c r="E18" i="1326"/>
  <c r="D18" i="1326"/>
  <c r="C18" i="1326"/>
  <c r="Y4" i="1326"/>
  <c r="W4" i="1326"/>
  <c r="V4" i="1326"/>
  <c r="U4" i="1326"/>
  <c r="T4" i="1326"/>
  <c r="P4" i="1326"/>
  <c r="O4" i="1326"/>
  <c r="N4" i="1326"/>
  <c r="M4" i="1326"/>
  <c r="L4" i="1326"/>
  <c r="K4" i="1326"/>
  <c r="J4" i="1326"/>
  <c r="I4" i="1326"/>
  <c r="H4" i="1326"/>
  <c r="G4" i="1326"/>
  <c r="F4" i="1326"/>
  <c r="E4" i="1326"/>
  <c r="D4" i="1326"/>
  <c r="C4" i="1326"/>
  <c r="Y3" i="1326"/>
  <c r="W3" i="1326"/>
  <c r="V3" i="1326"/>
  <c r="U3" i="1326"/>
  <c r="T3" i="1326"/>
  <c r="P3" i="1326"/>
  <c r="O3" i="1326"/>
  <c r="N3" i="1326"/>
  <c r="M3" i="1326"/>
  <c r="L3" i="1326"/>
  <c r="K3" i="1326"/>
  <c r="J3" i="1326"/>
  <c r="I3" i="1326"/>
  <c r="H3" i="1326"/>
  <c r="G3" i="1326"/>
  <c r="F3" i="1326"/>
  <c r="E3" i="1326"/>
  <c r="D3" i="1326"/>
  <c r="C3" i="1326"/>
  <c r="F21" i="1325"/>
  <c r="Y19" i="1325"/>
  <c r="W19" i="1325"/>
  <c r="V19" i="1325"/>
  <c r="U19" i="1325"/>
  <c r="T19" i="1325"/>
  <c r="P19" i="1325"/>
  <c r="O19" i="1325"/>
  <c r="N19" i="1325"/>
  <c r="M19" i="1325"/>
  <c r="L19" i="1325"/>
  <c r="K19" i="1325"/>
  <c r="J19" i="1325"/>
  <c r="I19" i="1325"/>
  <c r="H19" i="1325"/>
  <c r="G19" i="1325"/>
  <c r="F19" i="1325"/>
  <c r="E19" i="1325"/>
  <c r="D19" i="1325"/>
  <c r="C19" i="1325"/>
  <c r="Y18" i="1325"/>
  <c r="W18" i="1325"/>
  <c r="V18" i="1325"/>
  <c r="U18" i="1325"/>
  <c r="T18" i="1325"/>
  <c r="P18" i="1325"/>
  <c r="O18" i="1325"/>
  <c r="N18" i="1325"/>
  <c r="M18" i="1325"/>
  <c r="L18" i="1325"/>
  <c r="K18" i="1325"/>
  <c r="J18" i="1325"/>
  <c r="I18" i="1325"/>
  <c r="H18" i="1325"/>
  <c r="G18" i="1325"/>
  <c r="F18" i="1325"/>
  <c r="E18" i="1325"/>
  <c r="D18" i="1325"/>
  <c r="C18" i="1325"/>
  <c r="Y4" i="1325"/>
  <c r="W4" i="1325"/>
  <c r="V4" i="1325"/>
  <c r="U4" i="1325"/>
  <c r="T4" i="1325"/>
  <c r="P4" i="1325"/>
  <c r="O4" i="1325"/>
  <c r="N4" i="1325"/>
  <c r="M4" i="1325"/>
  <c r="L4" i="1325"/>
  <c r="K4" i="1325"/>
  <c r="J4" i="1325"/>
  <c r="I4" i="1325"/>
  <c r="H4" i="1325"/>
  <c r="G4" i="1325"/>
  <c r="F4" i="1325"/>
  <c r="E4" i="1325"/>
  <c r="D4" i="1325"/>
  <c r="C4" i="1325"/>
  <c r="Y3" i="1325"/>
  <c r="W3" i="1325"/>
  <c r="V3" i="1325"/>
  <c r="U3" i="1325"/>
  <c r="T3" i="1325"/>
  <c r="P3" i="1325"/>
  <c r="O3" i="1325"/>
  <c r="N3" i="1325"/>
  <c r="M3" i="1325"/>
  <c r="L3" i="1325"/>
  <c r="K3" i="1325"/>
  <c r="J3" i="1325"/>
  <c r="I3" i="1325"/>
  <c r="H3" i="1325"/>
  <c r="G3" i="1325"/>
  <c r="F3" i="1325"/>
  <c r="E3" i="1325"/>
  <c r="D3" i="1325"/>
  <c r="C3" i="1325"/>
  <c r="F21" i="1324" l="1"/>
  <c r="Y19" i="1324"/>
  <c r="W19" i="1324"/>
  <c r="V19" i="1324"/>
  <c r="U19" i="1324"/>
  <c r="T19" i="1324"/>
  <c r="P19" i="1324"/>
  <c r="O19" i="1324"/>
  <c r="N19" i="1324"/>
  <c r="M19" i="1324"/>
  <c r="L19" i="1324"/>
  <c r="K19" i="1324"/>
  <c r="J19" i="1324"/>
  <c r="I19" i="1324"/>
  <c r="H19" i="1324"/>
  <c r="G19" i="1324"/>
  <c r="F19" i="1324"/>
  <c r="E19" i="1324"/>
  <c r="D19" i="1324"/>
  <c r="C19" i="1324"/>
  <c r="Y18" i="1324"/>
  <c r="W18" i="1324"/>
  <c r="V18" i="1324"/>
  <c r="U18" i="1324"/>
  <c r="T18" i="1324"/>
  <c r="P18" i="1324"/>
  <c r="O18" i="1324"/>
  <c r="N18" i="1324"/>
  <c r="M18" i="1324"/>
  <c r="L18" i="1324"/>
  <c r="K18" i="1324"/>
  <c r="J18" i="1324"/>
  <c r="I18" i="1324"/>
  <c r="H18" i="1324"/>
  <c r="G18" i="1324"/>
  <c r="F18" i="1324"/>
  <c r="E18" i="1324"/>
  <c r="D18" i="1324"/>
  <c r="C18" i="1324"/>
  <c r="Y4" i="1324"/>
  <c r="W4" i="1324"/>
  <c r="V4" i="1324"/>
  <c r="U4" i="1324"/>
  <c r="T4" i="1324"/>
  <c r="P4" i="1324"/>
  <c r="O4" i="1324"/>
  <c r="N4" i="1324"/>
  <c r="M4" i="1324"/>
  <c r="L4" i="1324"/>
  <c r="K4" i="1324"/>
  <c r="J4" i="1324"/>
  <c r="I4" i="1324"/>
  <c r="H4" i="1324"/>
  <c r="G4" i="1324"/>
  <c r="F4" i="1324"/>
  <c r="E4" i="1324"/>
  <c r="D4" i="1324"/>
  <c r="C4" i="1324"/>
  <c r="Y3" i="1324"/>
  <c r="W3" i="1324"/>
  <c r="V3" i="1324"/>
  <c r="U3" i="1324"/>
  <c r="T3" i="1324"/>
  <c r="P3" i="1324"/>
  <c r="O3" i="1324"/>
  <c r="N3" i="1324"/>
  <c r="M3" i="1324"/>
  <c r="L3" i="1324"/>
  <c r="K3" i="1324"/>
  <c r="J3" i="1324"/>
  <c r="I3" i="1324"/>
  <c r="H3" i="1324"/>
  <c r="G3" i="1324"/>
  <c r="F3" i="1324"/>
  <c r="E3" i="1324"/>
  <c r="D3" i="1324"/>
  <c r="C3" i="1324"/>
</calcChain>
</file>

<file path=xl/sharedStrings.xml><?xml version="1.0" encoding="utf-8"?>
<sst xmlns="http://schemas.openxmlformats.org/spreadsheetml/2006/main" count="5092" uniqueCount="183">
  <si>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</si>
  <si>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</si>
  <si>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</si>
  <si>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</si>
  <si>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</si>
  <si>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</si>
  <si>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</si>
  <si>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</si>
  <si>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</si>
  <si>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</si>
  <si>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</si>
  <si>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</si>
  <si>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</si>
  <si>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</si>
  <si>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</si>
  <si>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</si>
  <si>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</si>
  <si>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</si>
  <si>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</si>
  <si>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</si>
  <si>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</si>
  <si>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</si>
  <si>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</si>
  <si>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</si>
  <si>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</si>
  <si>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</si>
  <si>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</si>
  <si>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</si>
  <si>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</si>
  <si>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</si>
  <si>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</si>
  <si>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</si>
  <si>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</si>
  <si>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</si>
  <si>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</si>
  <si>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</si>
  <si>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</si>
  <si>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</si>
  <si>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</si>
  <si>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</si>
  <si>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</si>
  <si>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</si>
  <si>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</si>
  <si>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</si>
  <si>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</si>
  <si>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</si>
  <si>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</si>
  <si>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</si>
  <si>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</si>
  <si>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</si>
  <si>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</si>
  <si>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</si>
  <si>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</si>
  <si>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</si>
  <si>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</si>
  <si>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</si>
  <si>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</si>
  <si>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</si>
  <si>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</si>
  <si>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</si>
  <si>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</si>
  <si>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</si>
  <si>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</si>
  <si>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</si>
  <si>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___________02/02/2026___________</t>
  </si>
  <si>
    <t>DATE ___________02/03/2026___________</t>
  </si>
  <si>
    <t>DATE ___________02/04/2026___________</t>
  </si>
  <si>
    <t>DATE ___________02/05/2026___________</t>
  </si>
  <si>
    <t>PP500C</t>
  </si>
  <si>
    <t>SML500C</t>
  </si>
  <si>
    <t>MGYZ</t>
  </si>
  <si>
    <t>DATE _____________________________________</t>
  </si>
  <si>
    <t>14/8B</t>
  </si>
  <si>
    <t>1B</t>
  </si>
  <si>
    <t>14/7B</t>
  </si>
  <si>
    <t>12B</t>
  </si>
  <si>
    <t>21/14B</t>
  </si>
  <si>
    <t>16B</t>
  </si>
  <si>
    <t>20/22B</t>
  </si>
  <si>
    <t>9/2B</t>
  </si>
  <si>
    <t>7/4B</t>
  </si>
  <si>
    <t>20/4B</t>
  </si>
  <si>
    <t>DATE _______________________________</t>
  </si>
  <si>
    <t>7/23B</t>
  </si>
  <si>
    <t>2/2B</t>
  </si>
  <si>
    <t>10/1B</t>
  </si>
  <si>
    <t>10/16B</t>
  </si>
  <si>
    <t>6/7B</t>
  </si>
  <si>
    <t>4/9B</t>
  </si>
  <si>
    <t>5/20B</t>
  </si>
  <si>
    <t>12/4B</t>
  </si>
  <si>
    <t>TOTAL SALES:</t>
  </si>
  <si>
    <t>TOTAL BOTTLES:</t>
  </si>
  <si>
    <t>DATE ___________02/06/2026___________</t>
  </si>
  <si>
    <t>DATE ___________02/07/2026___________</t>
  </si>
  <si>
    <t>5/3B</t>
  </si>
  <si>
    <t>2/20B</t>
  </si>
  <si>
    <t>8/1B</t>
  </si>
  <si>
    <t>2/6B</t>
  </si>
  <si>
    <t>10/7B</t>
  </si>
  <si>
    <t>6/2B</t>
  </si>
  <si>
    <t>15/20B</t>
  </si>
  <si>
    <t>3/12B</t>
  </si>
  <si>
    <t>1/12B</t>
  </si>
  <si>
    <t>12/20B</t>
  </si>
  <si>
    <t>8/14B</t>
  </si>
  <si>
    <t>4/6B</t>
  </si>
  <si>
    <t>10/6B</t>
  </si>
  <si>
    <t>2/4B</t>
  </si>
  <si>
    <t>8/2B</t>
  </si>
  <si>
    <t>10/9B</t>
  </si>
  <si>
    <t>2/11B</t>
  </si>
  <si>
    <t>1/2B</t>
  </si>
  <si>
    <t>PROMO:</t>
  </si>
  <si>
    <t>6/3B</t>
  </si>
  <si>
    <t>7/10B</t>
  </si>
  <si>
    <t>3/18B</t>
  </si>
  <si>
    <t>11/4B</t>
  </si>
  <si>
    <t>4/2B</t>
  </si>
  <si>
    <t>DATE ___________02/09/2026___________</t>
  </si>
  <si>
    <t>DATE ___________02/10/2026___________</t>
  </si>
  <si>
    <t>3/5B</t>
  </si>
  <si>
    <t>17/6B</t>
  </si>
  <si>
    <t>20/11B</t>
  </si>
  <si>
    <t>1/14B</t>
  </si>
  <si>
    <t>9/13B</t>
  </si>
  <si>
    <t>11/3B</t>
  </si>
  <si>
    <t>11/15B</t>
  </si>
  <si>
    <t>1/3B</t>
  </si>
  <si>
    <t>12/18B</t>
  </si>
  <si>
    <t>DATE ___________02/11/2026___________</t>
  </si>
  <si>
    <t>10/19B</t>
  </si>
  <si>
    <t>14/13B</t>
  </si>
  <si>
    <t>21/3B</t>
  </si>
  <si>
    <t>3B</t>
  </si>
  <si>
    <t>13/4B</t>
  </si>
  <si>
    <t>7/2B</t>
  </si>
  <si>
    <t>20/6B</t>
  </si>
  <si>
    <t>2/11b</t>
  </si>
  <si>
    <t>11/7b</t>
  </si>
  <si>
    <t>13/18b</t>
  </si>
  <si>
    <t>10/3b</t>
  </si>
  <si>
    <t>12b</t>
  </si>
  <si>
    <t>9/15b</t>
  </si>
  <si>
    <t>4/2b</t>
  </si>
  <si>
    <t>7/2b</t>
  </si>
  <si>
    <t>6/20b</t>
  </si>
  <si>
    <t>6b</t>
  </si>
  <si>
    <t>DATE ___________02/12/2026___________</t>
  </si>
  <si>
    <t>DATE ___________02/13/2026___________</t>
  </si>
  <si>
    <t>52/5B</t>
  </si>
  <si>
    <t>2B</t>
  </si>
  <si>
    <t>52/7B</t>
  </si>
  <si>
    <t>9/12B</t>
  </si>
  <si>
    <t>1/1B</t>
  </si>
  <si>
    <t>8/11B</t>
  </si>
  <si>
    <t>16/20B</t>
  </si>
  <si>
    <t>7/6B</t>
  </si>
  <si>
    <t>9/14B</t>
  </si>
  <si>
    <t>DATE ___________02/14/2026___________</t>
  </si>
  <si>
    <t>DATE ___________02/16/2026___________</t>
  </si>
  <si>
    <t>DATE ___________02/17/2026___________</t>
  </si>
  <si>
    <t>10/2b</t>
  </si>
  <si>
    <t>9/1b</t>
  </si>
  <si>
    <t>13b</t>
  </si>
  <si>
    <t>8/10b</t>
  </si>
  <si>
    <t>20/6b</t>
  </si>
  <si>
    <t>8/2b</t>
  </si>
  <si>
    <t>14/6b</t>
  </si>
  <si>
    <t>9/6b</t>
  </si>
  <si>
    <t>4/15b</t>
  </si>
  <si>
    <t>12/15b</t>
  </si>
  <si>
    <t>12/4b</t>
  </si>
  <si>
    <t>19/6b</t>
  </si>
  <si>
    <t>2/13B</t>
  </si>
  <si>
    <t>7/11B</t>
  </si>
  <si>
    <t>323/2B</t>
  </si>
  <si>
    <t>324/2B</t>
  </si>
  <si>
    <t>6/15B</t>
  </si>
  <si>
    <t>9/15B</t>
  </si>
  <si>
    <t>8/12B</t>
  </si>
  <si>
    <t>13/16B</t>
  </si>
  <si>
    <t>22/4B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</si>
</sst>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112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7" fillId="0" borderId="35" xfId="3" applyFont="1" applyBorder="1" applyAlignment="1">
      <alignment horizontal="center" vertical="center"/>
    </xf>
    <xf numFmtId="0" fontId="7" fillId="0" borderId="0" xfId="3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7" fillId="0" borderId="20" xfId="3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41" xfId="3" applyFont="1" applyBorder="1" applyAlignment="1">
      <alignment horizontal="center" vertical="center"/>
    </xf>
    <xf numFmtId="165" fontId="6" fillId="0" borderId="23" xfId="2" applyFont="1" applyFill="1" applyBorder="1" applyAlignment="1">
      <alignment horizontal="center" vertical="center"/>
    </xf>
    <xf numFmtId="0" fontId="7" fillId="0" borderId="43" xfId="3" applyFont="1" applyBorder="1" applyAlignment="1">
      <alignment horizontal="center" vertical="center"/>
    </xf>
    <xf numFmtId="0" fontId="7" fillId="0" borderId="42" xfId="3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0" borderId="2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Border="1" applyAlignment="1">
      <alignment horizontal="center" vertical="center"/>
    </xf>
    <xf numFmtId="3" fontId="4" fillId="0" borderId="15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61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E17F79-E7E5-4842-93BD-68C8981EDD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5394" y="5618529"/>
          <a:ext cx="2141312" cy="15506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EB2217-2F19-4504-9656-6BADDA3066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44955" y="5958499"/>
          <a:ext cx="1154905" cy="125837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6B31B6-8030-44A7-B9A1-7E293293D5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6796" y="6185527"/>
          <a:ext cx="2083595" cy="74271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1E698B-B365-480F-9CFF-3DF5547BCA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48541E-A550-42EE-BE57-282D9A65A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2710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2AD7B8-B964-4ACC-AF75-DE1D04A53E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F97957-AAB6-45FA-831C-017293AE6F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2226DA-4264-4A0F-93B0-172E34C54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C0CCD4-C24C-49C2-AF36-4B9F040ABC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72CA7-60DB-465F-B4B6-F9F00598F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42E7B1-22FA-4B15-A9E2-33A887D101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11FD9-8F06-4305-B584-3742D2BA4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DC9F1F-C474-4CB6-9BF6-D3CA0B2FA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49E5C-ACA4-4E71-B375-210B8F04E0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ADC6F-573D-4E24-9332-4F2153058C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8B2641-FFD1-4A74-BA24-89B8225C8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B81379-E462-4DF8-8016-3D5099ABE1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9CF16-5AA9-4821-B36E-D4E1689EC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9B33D7-04D3-48C8-A833-1AFAE704C2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52367E-04CA-435E-A680-98C12E45BF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AD5F31-C5D4-48B9-9F5F-89EF6DCD7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0FC719-123D-4F54-B67A-7ED9F6CA0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95F178-0EEF-4645-9D58-397BE75969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0AC007-7162-47F7-9F66-88394CD8B6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DA8230-58FA-436B-8343-C9CAF3A7B6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AC3807-D295-43AB-A742-A9455C762B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1043EF-79DC-4365-8024-00F99572CF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9249EA-051D-4627-96AB-BC50CB83DE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8B78FC-9F05-43AC-BCA0-6574F76E1D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082730-A106-49AF-8F3C-A93D1BD6B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0222DD-A0A4-470E-99F7-B103509A2A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DA5E76-413F-4C4F-B7CF-A12C5AC37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6E0BD5-CC07-462D-8229-D880AA62E8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B352C2-0337-4D5E-BD70-DEEADFCFCC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F02A86-1E4A-4AF3-BC9A-3097D9E21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A5180D-9E2A-4B72-AAAA-D9C70D999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D8C0B4-DA27-4A8B-A0C9-770F5D10B6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2FAA08-15A9-4C7D-86A0-4D8ACBF68A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BA15E4-251D-4A58-A588-38A9FA0A41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A295AA-B04E-479B-91A6-06EC01303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F03BE1-B17C-4B1C-AA74-ACD1280EC8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EF1522-5C6F-4FAE-97C9-EBFCC4DE93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D43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71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97" t="s">
        <v>47</v>
      </c>
      <c r="P34" s="98"/>
      <c r="Q34" s="98"/>
      <c r="R34" s="98"/>
      <c r="S34" s="98"/>
      <c r="T34" s="99"/>
      <c r="U34" s="100" t="s">
        <v>48</v>
      </c>
      <c r="V34" s="101"/>
      <c r="W34" s="101"/>
      <c r="X34" s="101"/>
      <c r="Y34" s="10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/>
      <c r="R35" s="58"/>
      <c r="S35" s="58"/>
      <c r="T35" s="58" t="s">
        <v>51</v>
      </c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68"/>
      <c r="R36" s="68"/>
      <c r="S36" s="68"/>
      <c r="T36" s="46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3"/>
      <c r="V41" s="43"/>
      <c r="W41" s="43"/>
      <c r="X41" s="43"/>
      <c r="Y41" s="4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68"/>
      <c r="R42" s="68"/>
      <c r="S42" s="68"/>
      <c r="T42" s="46"/>
      <c r="U42" s="103" t="s">
        <v>54</v>
      </c>
      <c r="V42" s="103"/>
      <c r="W42" s="103"/>
      <c r="X42" s="103"/>
      <c r="Y42" s="103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</sheetData>
  <mergeCells count="8">
    <mergeCell ref="O34:T34"/>
    <mergeCell ref="U34:Y34"/>
    <mergeCell ref="U42:Y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6E94E-3D0D-4574-89CA-EE2D8BA89441}">
  <dimension ref="B1:AD45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>
        <v>2</v>
      </c>
      <c r="D8" s="15"/>
      <c r="E8" s="15"/>
      <c r="F8" s="15"/>
      <c r="G8" s="15">
        <v>2</v>
      </c>
      <c r="H8" s="15" t="s">
        <v>72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>
        <v>2</v>
      </c>
      <c r="H15" s="24" t="s">
        <v>73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 t="s">
        <v>75</v>
      </c>
      <c r="V15" s="24"/>
      <c r="W15" s="24">
        <v>1</v>
      </c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0</v>
      </c>
      <c r="H16" s="67" t="s">
        <v>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 t="s">
        <v>75</v>
      </c>
      <c r="E24" s="15"/>
      <c r="F24" s="15"/>
      <c r="G24" s="15"/>
      <c r="H24" s="15"/>
      <c r="I24" s="15"/>
      <c r="J24" s="15">
        <v>128</v>
      </c>
      <c r="K24" s="15"/>
      <c r="L24" s="15"/>
      <c r="M24" s="15">
        <v>10</v>
      </c>
      <c r="N24" s="15">
        <v>330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 t="s">
        <v>75</v>
      </c>
      <c r="E31" s="24"/>
      <c r="F31" s="24"/>
      <c r="G31" s="24"/>
      <c r="H31" s="24"/>
      <c r="I31" s="24"/>
      <c r="J31" s="24">
        <v>10</v>
      </c>
      <c r="K31" s="24"/>
      <c r="L31" s="24"/>
      <c r="M31" s="24">
        <v>0</v>
      </c>
      <c r="N31" s="24">
        <v>47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118</v>
      </c>
      <c r="K32" s="29"/>
      <c r="L32" s="29"/>
      <c r="M32" s="29">
        <v>10</v>
      </c>
      <c r="N32" s="29">
        <v>283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21</v>
      </c>
      <c r="F36" s="45">
        <v>165</v>
      </c>
      <c r="G36" s="45">
        <v>13</v>
      </c>
      <c r="H36" s="45">
        <v>9</v>
      </c>
      <c r="I36" s="45">
        <v>9</v>
      </c>
      <c r="J36" s="45">
        <v>1</v>
      </c>
      <c r="K36" s="45"/>
      <c r="L36" s="45">
        <v>2</v>
      </c>
      <c r="M36" s="45"/>
      <c r="N36" s="45"/>
      <c r="O36" s="45">
        <v>1</v>
      </c>
      <c r="P36" s="45">
        <v>3</v>
      </c>
      <c r="Q36" s="46">
        <v>34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21</v>
      </c>
      <c r="F42" s="45">
        <v>165</v>
      </c>
      <c r="G42" s="45">
        <v>13</v>
      </c>
      <c r="H42" s="45">
        <v>9</v>
      </c>
      <c r="I42" s="45">
        <v>9</v>
      </c>
      <c r="J42" s="45">
        <v>1</v>
      </c>
      <c r="K42" s="45"/>
      <c r="L42" s="45">
        <v>2</v>
      </c>
      <c r="M42" s="45"/>
      <c r="N42" s="45"/>
      <c r="O42" s="45">
        <v>1</v>
      </c>
      <c r="P42" s="45">
        <v>3</v>
      </c>
      <c r="Q42" s="46">
        <v>34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14+118+10+283</f>
        <v>425</v>
      </c>
      <c r="D44" s="106"/>
      <c r="E44" s="106"/>
    </row>
    <row r="45" spans="2:26" x14ac:dyDescent="0.25">
      <c r="B45" s="90" t="s">
        <v>92</v>
      </c>
      <c r="C45" s="106">
        <v>7</v>
      </c>
      <c r="D45" s="106"/>
      <c r="E45" s="106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9A7BD-CB6E-40DD-B365-9A07E847A365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76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78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3</v>
      </c>
      <c r="I24" s="15"/>
      <c r="J24" s="15">
        <v>57</v>
      </c>
      <c r="K24" s="15"/>
      <c r="L24" s="15"/>
      <c r="M24" s="15">
        <v>11</v>
      </c>
      <c r="N24" s="15">
        <v>499</v>
      </c>
      <c r="O24" s="15"/>
      <c r="P24" s="15"/>
      <c r="Q24" s="15"/>
      <c r="R24" s="15"/>
      <c r="S24" s="15" t="s">
        <v>79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3</v>
      </c>
      <c r="I31" s="24"/>
      <c r="J31" s="24">
        <v>4</v>
      </c>
      <c r="K31" s="24"/>
      <c r="L31" s="24"/>
      <c r="M31" s="24">
        <v>0</v>
      </c>
      <c r="N31" s="24">
        <v>41</v>
      </c>
      <c r="O31" s="24"/>
      <c r="P31" s="24"/>
      <c r="Q31" s="24"/>
      <c r="R31" s="24"/>
      <c r="S31" s="24" t="s">
        <v>79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53</v>
      </c>
      <c r="K32" s="29"/>
      <c r="L32" s="29"/>
      <c r="M32" s="29">
        <v>11</v>
      </c>
      <c r="N32" s="29">
        <v>458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558</v>
      </c>
      <c r="G36" s="45">
        <v>1</v>
      </c>
      <c r="H36" s="45">
        <v>3</v>
      </c>
      <c r="I36" s="45"/>
      <c r="J36" s="45">
        <v>1</v>
      </c>
      <c r="K36" s="45">
        <v>11</v>
      </c>
      <c r="L36" s="45"/>
      <c r="M36" s="45"/>
      <c r="N36" s="45">
        <v>1</v>
      </c>
      <c r="O36" s="45"/>
      <c r="P36" s="45">
        <v>21</v>
      </c>
      <c r="Q36" s="46">
        <v>18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558</v>
      </c>
      <c r="G42" s="45">
        <v>1</v>
      </c>
      <c r="H42" s="45">
        <v>3</v>
      </c>
      <c r="I42" s="45"/>
      <c r="J42" s="45">
        <v>1</v>
      </c>
      <c r="K42" s="45">
        <v>11</v>
      </c>
      <c r="L42" s="45"/>
      <c r="M42" s="45"/>
      <c r="N42" s="45">
        <v>1</v>
      </c>
      <c r="O42" s="45"/>
      <c r="P42" s="45">
        <v>21</v>
      </c>
      <c r="Q42" s="46">
        <v>18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2+20+53+11+458</f>
        <v>544</v>
      </c>
      <c r="D44" s="106"/>
      <c r="E44" s="106"/>
    </row>
    <row r="45" spans="2:25" x14ac:dyDescent="0.25">
      <c r="B45" s="90" t="s">
        <v>92</v>
      </c>
      <c r="C45" s="106">
        <v>22</v>
      </c>
      <c r="D45" s="106"/>
      <c r="E45" s="106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009E0-597D-4C39-940A-242633E8273E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>
        <v>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80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75</v>
      </c>
      <c r="I24" s="15"/>
      <c r="J24" s="15">
        <v>75</v>
      </c>
      <c r="K24" s="15"/>
      <c r="L24" s="15" t="s">
        <v>75</v>
      </c>
      <c r="M24" s="15">
        <v>15</v>
      </c>
      <c r="N24" s="15">
        <v>426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75</v>
      </c>
      <c r="I31" s="24"/>
      <c r="J31" s="24">
        <v>35</v>
      </c>
      <c r="K31" s="24"/>
      <c r="L31" s="24" t="s">
        <v>75</v>
      </c>
      <c r="M31" s="24">
        <v>8</v>
      </c>
      <c r="N31" s="24">
        <v>96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7</v>
      </c>
      <c r="N32" s="29">
        <v>330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/>
      <c r="E36" s="45"/>
      <c r="F36" s="45">
        <v>367</v>
      </c>
      <c r="G36" s="45">
        <v>5</v>
      </c>
      <c r="H36" s="45">
        <v>2</v>
      </c>
      <c r="I36" s="45">
        <v>9</v>
      </c>
      <c r="J36" s="45"/>
      <c r="K36" s="45">
        <v>4</v>
      </c>
      <c r="L36" s="45">
        <v>4</v>
      </c>
      <c r="M36" s="45"/>
      <c r="N36" s="45"/>
      <c r="O36" s="45">
        <v>7</v>
      </c>
      <c r="P36" s="45">
        <v>2</v>
      </c>
      <c r="Q36" s="46">
        <v>7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367</v>
      </c>
      <c r="G42" s="45">
        <v>5</v>
      </c>
      <c r="H42" s="45">
        <v>2</v>
      </c>
      <c r="I42" s="45">
        <v>9</v>
      </c>
      <c r="J42" s="45"/>
      <c r="K42" s="45">
        <v>4</v>
      </c>
      <c r="L42" s="45">
        <v>4</v>
      </c>
      <c r="M42" s="45"/>
      <c r="N42" s="45"/>
      <c r="O42" s="45">
        <v>7</v>
      </c>
      <c r="P42" s="45">
        <v>2</v>
      </c>
      <c r="Q42" s="46">
        <v>7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06">
        <f>7+5+40+7+330</f>
        <v>389</v>
      </c>
      <c r="D44" s="106"/>
      <c r="E44" s="106"/>
    </row>
    <row r="45" spans="2:26" x14ac:dyDescent="0.25">
      <c r="B45" s="90" t="s">
        <v>92</v>
      </c>
      <c r="C45" s="106">
        <v>4</v>
      </c>
      <c r="D45" s="106"/>
      <c r="E45" s="106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070DC-9DCF-4263-AEB8-F0DFBDD9C605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AC19D-EFB5-413E-A88C-708B27B3E23B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65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2</v>
      </c>
      <c r="G8" s="15">
        <v>2</v>
      </c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 t="s">
        <v>75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>
        <v>2</v>
      </c>
      <c r="H16" s="67" t="s">
        <v>84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 t="s">
        <v>75</v>
      </c>
      <c r="V16" s="29"/>
      <c r="W16" s="59">
        <v>1</v>
      </c>
      <c r="X16" s="65"/>
      <c r="Y16" s="30" t="s">
        <v>75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20</v>
      </c>
      <c r="I24" s="15"/>
      <c r="J24" s="15"/>
      <c r="K24" s="15">
        <v>10</v>
      </c>
      <c r="L24" s="15">
        <v>327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/>
      <c r="K31" s="24">
        <v>2</v>
      </c>
      <c r="L31" s="24">
        <v>20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20</v>
      </c>
      <c r="I32" s="29"/>
      <c r="J32" s="29"/>
      <c r="K32" s="29">
        <v>8</v>
      </c>
      <c r="L32" s="29">
        <v>307</v>
      </c>
      <c r="M32" s="29"/>
      <c r="N32" s="29"/>
      <c r="O32" s="24"/>
      <c r="P32" s="29"/>
      <c r="Q32" s="29">
        <v>5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313</v>
      </c>
      <c r="G36" s="45">
        <v>2</v>
      </c>
      <c r="H36" s="45">
        <v>1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20</v>
      </c>
      <c r="O36" s="45">
        <v>5</v>
      </c>
      <c r="P36" s="45"/>
      <c r="Q36" s="46">
        <v>10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313</v>
      </c>
      <c r="G42" s="45">
        <v>2</v>
      </c>
      <c r="H42" s="45">
        <v>1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20</v>
      </c>
      <c r="O42" s="45">
        <v>5</v>
      </c>
      <c r="P42" s="45"/>
      <c r="Q42" s="46">
        <v>10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2+2+2+1+20+8+307+5</f>
        <v>347</v>
      </c>
      <c r="D44" s="106"/>
      <c r="E44" s="106"/>
    </row>
    <row r="45" spans="2:26" x14ac:dyDescent="0.25">
      <c r="B45" s="90" t="s">
        <v>92</v>
      </c>
      <c r="C45" s="106">
        <f>2+12+12</f>
        <v>26</v>
      </c>
      <c r="D45" s="106"/>
      <c r="E45" s="106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0E38C-D08F-4FAC-B490-EAE96DC7588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86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3</v>
      </c>
      <c r="G24" s="15"/>
      <c r="H24" s="15">
        <v>33</v>
      </c>
      <c r="I24" s="15"/>
      <c r="J24" s="15"/>
      <c r="K24" s="15">
        <v>10</v>
      </c>
      <c r="L24" s="15">
        <v>277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3</v>
      </c>
      <c r="G31" s="24"/>
      <c r="H31" s="24">
        <v>0</v>
      </c>
      <c r="I31" s="24"/>
      <c r="J31" s="24"/>
      <c r="K31" s="24">
        <v>3</v>
      </c>
      <c r="L31" s="24">
        <v>35</v>
      </c>
      <c r="M31" s="24"/>
      <c r="N31" s="24"/>
      <c r="O31" s="24"/>
      <c r="P31" s="24"/>
      <c r="Q31" s="24" t="s">
        <v>79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/>
      <c r="J32" s="29"/>
      <c r="K32" s="29">
        <v>7</v>
      </c>
      <c r="L32" s="29">
        <v>242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316</v>
      </c>
      <c r="G36" s="45">
        <v>3</v>
      </c>
      <c r="H36" s="45">
        <v>5</v>
      </c>
      <c r="I36" s="45"/>
      <c r="J36" s="45"/>
      <c r="K36" s="45">
        <v>12</v>
      </c>
      <c r="L36" s="45"/>
      <c r="M36" s="45"/>
      <c r="N36" s="45"/>
      <c r="O36" s="45">
        <v>3</v>
      </c>
      <c r="P36" s="45">
        <v>2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316</v>
      </c>
      <c r="G42" s="45">
        <v>3</v>
      </c>
      <c r="H42" s="45">
        <v>5</v>
      </c>
      <c r="I42" s="45"/>
      <c r="J42" s="45"/>
      <c r="K42" s="45">
        <v>12</v>
      </c>
      <c r="L42" s="45"/>
      <c r="M42" s="45"/>
      <c r="N42" s="45"/>
      <c r="O42" s="45">
        <v>3</v>
      </c>
      <c r="P42" s="45">
        <v>2</v>
      </c>
      <c r="Q42" s="46">
        <v>4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1+4+1+33+7+242</f>
        <v>288</v>
      </c>
      <c r="D44" s="106"/>
      <c r="E44" s="106"/>
    </row>
    <row r="45" spans="2:25" x14ac:dyDescent="0.25">
      <c r="B45" s="90" t="s">
        <v>92</v>
      </c>
      <c r="C45" s="106">
        <f>9</f>
        <v>9</v>
      </c>
      <c r="D45" s="106"/>
      <c r="E45" s="106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203-6764-4579-88F5-B53BF29644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3</v>
      </c>
      <c r="E8" s="15"/>
      <c r="F8" s="15">
        <v>2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>
        <v>1</v>
      </c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>
        <v>0</v>
      </c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>
        <v>2</v>
      </c>
      <c r="G16" s="29"/>
      <c r="H16" s="67" t="s">
        <v>90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>
        <v>1</v>
      </c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72</v>
      </c>
      <c r="I24" s="15">
        <v>1</v>
      </c>
      <c r="J24" s="15" t="s">
        <v>75</v>
      </c>
      <c r="K24" s="15">
        <v>15</v>
      </c>
      <c r="L24" s="15">
        <v>528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37</v>
      </c>
      <c r="I31" s="24">
        <v>0</v>
      </c>
      <c r="J31" s="24" t="s">
        <v>75</v>
      </c>
      <c r="K31" s="24">
        <v>11</v>
      </c>
      <c r="L31" s="24">
        <v>114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35</v>
      </c>
      <c r="I32" s="29">
        <v>1</v>
      </c>
      <c r="J32" s="29">
        <v>0</v>
      </c>
      <c r="K32" s="29">
        <v>4</v>
      </c>
      <c r="L32" s="29">
        <v>414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429</v>
      </c>
      <c r="G36" s="45">
        <v>17</v>
      </c>
      <c r="H36" s="45">
        <v>2</v>
      </c>
      <c r="I36" s="45">
        <v>8</v>
      </c>
      <c r="J36" s="45"/>
      <c r="K36" s="45">
        <v>6</v>
      </c>
      <c r="L36" s="45">
        <v>4</v>
      </c>
      <c r="M36" s="45">
        <v>1</v>
      </c>
      <c r="N36" s="45">
        <v>23</v>
      </c>
      <c r="O36" s="45">
        <v>4</v>
      </c>
      <c r="P36" s="45">
        <v>7</v>
      </c>
      <c r="Q36" s="46">
        <v>20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429</v>
      </c>
      <c r="G42" s="45">
        <v>17</v>
      </c>
      <c r="H42" s="45">
        <v>2</v>
      </c>
      <c r="I42" s="45">
        <v>8</v>
      </c>
      <c r="J42" s="45"/>
      <c r="K42" s="45">
        <v>6</v>
      </c>
      <c r="L42" s="45">
        <v>4</v>
      </c>
      <c r="M42" s="45">
        <v>1</v>
      </c>
      <c r="N42" s="45">
        <v>23</v>
      </c>
      <c r="O42" s="45">
        <v>4</v>
      </c>
      <c r="P42" s="45">
        <v>7</v>
      </c>
      <c r="Q42" s="46">
        <v>20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06">
        <f>2+2+12+1+3+35+1+4+414</f>
        <v>474</v>
      </c>
      <c r="D44" s="106"/>
      <c r="E44" s="106"/>
    </row>
    <row r="45" spans="2:26" x14ac:dyDescent="0.25">
      <c r="B45" s="90" t="s">
        <v>92</v>
      </c>
      <c r="C45" s="106">
        <f>4</f>
        <v>4</v>
      </c>
      <c r="D45" s="106"/>
      <c r="E45" s="106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120F-0C73-4F21-AC3E-2A9BA3691284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774FD-7EF4-4058-86F1-79DBCE942936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66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/>
      <c r="G8" s="15"/>
      <c r="H8" s="15" t="s">
        <v>83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36</v>
      </c>
      <c r="I24" s="15"/>
      <c r="J24" s="15"/>
      <c r="K24" s="15">
        <v>2</v>
      </c>
      <c r="L24" s="15">
        <v>236</v>
      </c>
      <c r="M24" s="15"/>
      <c r="N24" s="15"/>
      <c r="O24" s="15"/>
      <c r="P24" s="15"/>
      <c r="Q24" s="15">
        <v>5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14</v>
      </c>
      <c r="I31" s="24"/>
      <c r="J31" s="24"/>
      <c r="K31" s="24">
        <v>0</v>
      </c>
      <c r="L31" s="24">
        <v>1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22</v>
      </c>
      <c r="I32" s="29"/>
      <c r="J32" s="29"/>
      <c r="K32" s="29">
        <v>2</v>
      </c>
      <c r="L32" s="29">
        <v>235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273</v>
      </c>
      <c r="G36" s="45">
        <v>4</v>
      </c>
      <c r="H36" s="45">
        <v>2</v>
      </c>
      <c r="I36" s="45">
        <v>1</v>
      </c>
      <c r="J36" s="45"/>
      <c r="K36" s="45">
        <v>5</v>
      </c>
      <c r="L36" s="45"/>
      <c r="M36" s="45"/>
      <c r="N36" s="45"/>
      <c r="O36" s="45">
        <v>4</v>
      </c>
      <c r="P36" s="45"/>
      <c r="Q36" s="46">
        <v>43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273</v>
      </c>
      <c r="G42" s="45">
        <v>4</v>
      </c>
      <c r="H42" s="45">
        <v>2</v>
      </c>
      <c r="I42" s="45">
        <v>1</v>
      </c>
      <c r="J42" s="45"/>
      <c r="K42" s="45">
        <v>5</v>
      </c>
      <c r="L42" s="45"/>
      <c r="M42" s="45"/>
      <c r="N42" s="45"/>
      <c r="O42" s="45">
        <v>4</v>
      </c>
      <c r="P42" s="45"/>
      <c r="Q42" s="46">
        <v>43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5+22+2+235</f>
        <v>264</v>
      </c>
      <c r="D44" s="106"/>
      <c r="E44" s="106"/>
    </row>
    <row r="45" spans="2:26" x14ac:dyDescent="0.25">
      <c r="B45" s="90" t="s">
        <v>92</v>
      </c>
      <c r="C45" s="106">
        <v>3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5A93F-2CBF-4699-AE97-EA78989C7D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91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98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259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>
        <v>3</v>
      </c>
      <c r="G31" s="24"/>
      <c r="H31" s="24">
        <v>12</v>
      </c>
      <c r="I31" s="24"/>
      <c r="J31" s="24"/>
      <c r="K31" s="24">
        <v>5</v>
      </c>
      <c r="L31" s="24">
        <v>56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>
        <v>0</v>
      </c>
      <c r="G32" s="29"/>
      <c r="H32" s="29">
        <v>18</v>
      </c>
      <c r="I32" s="29"/>
      <c r="J32" s="29"/>
      <c r="K32" s="29">
        <v>5</v>
      </c>
      <c r="L32" s="29">
        <v>203</v>
      </c>
      <c r="M32" s="29"/>
      <c r="N32" s="29"/>
      <c r="O32" s="24"/>
      <c r="P32" s="29"/>
      <c r="Q32" s="29">
        <v>3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223</v>
      </c>
      <c r="G36" s="45">
        <v>4</v>
      </c>
      <c r="H36" s="45">
        <v>1</v>
      </c>
      <c r="I36" s="45">
        <v>4</v>
      </c>
      <c r="J36" s="45">
        <v>1</v>
      </c>
      <c r="K36" s="45">
        <v>9</v>
      </c>
      <c r="L36" s="45"/>
      <c r="M36" s="45"/>
      <c r="N36" s="45">
        <v>2</v>
      </c>
      <c r="O36" s="45">
        <v>7</v>
      </c>
      <c r="P36" s="45">
        <v>1</v>
      </c>
      <c r="Q36" s="46">
        <v>3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223</v>
      </c>
      <c r="G42" s="45">
        <v>4</v>
      </c>
      <c r="H42" s="45">
        <v>1</v>
      </c>
      <c r="I42" s="45">
        <v>4</v>
      </c>
      <c r="J42" s="45">
        <v>1</v>
      </c>
      <c r="K42" s="45">
        <v>9</v>
      </c>
      <c r="L42" s="45"/>
      <c r="M42" s="45"/>
      <c r="N42" s="45">
        <v>2</v>
      </c>
      <c r="O42" s="45">
        <v>7</v>
      </c>
      <c r="P42" s="45">
        <v>1</v>
      </c>
      <c r="Q42" s="46">
        <v>3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18+5+203+3+8</f>
        <v>237</v>
      </c>
      <c r="D44" s="106"/>
      <c r="E44" s="106"/>
    </row>
    <row r="45" spans="2:25" x14ac:dyDescent="0.25">
      <c r="B45" s="90" t="s">
        <v>92</v>
      </c>
      <c r="C45" s="106">
        <f>1</f>
        <v>1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847F-9B65-455B-A861-2E0772BE14B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>
        <v>7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>
        <v>0</v>
      </c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>
        <v>7</v>
      </c>
      <c r="G16" s="29"/>
      <c r="H16" s="67">
        <v>13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2</v>
      </c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102</v>
      </c>
      <c r="G24" s="15"/>
      <c r="H24" s="15">
        <v>145</v>
      </c>
      <c r="I24" s="15"/>
      <c r="J24" s="15" t="s">
        <v>102</v>
      </c>
      <c r="K24" s="15">
        <v>20</v>
      </c>
      <c r="L24" s="15">
        <v>546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2</v>
      </c>
      <c r="I31" s="24"/>
      <c r="J31" s="24" t="s">
        <v>103</v>
      </c>
      <c r="K31" s="24">
        <v>0</v>
      </c>
      <c r="L31" s="24">
        <v>72</v>
      </c>
      <c r="M31" s="24"/>
      <c r="N31" s="24"/>
      <c r="O31" s="24"/>
      <c r="P31" s="24"/>
      <c r="Q31" s="24">
        <v>6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143</v>
      </c>
      <c r="I32" s="29"/>
      <c r="J32" s="29">
        <v>2</v>
      </c>
      <c r="K32" s="29">
        <v>20</v>
      </c>
      <c r="L32" s="29">
        <v>474</v>
      </c>
      <c r="M32" s="29"/>
      <c r="N32" s="29"/>
      <c r="O32" s="24"/>
      <c r="P32" s="29"/>
      <c r="Q32" s="29">
        <v>4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17</v>
      </c>
      <c r="F36" s="45">
        <v>616</v>
      </c>
      <c r="G36" s="45">
        <v>8</v>
      </c>
      <c r="H36" s="45">
        <v>4</v>
      </c>
      <c r="I36" s="45">
        <v>8</v>
      </c>
      <c r="J36" s="45">
        <v>2</v>
      </c>
      <c r="K36" s="45">
        <v>3</v>
      </c>
      <c r="L36" s="45"/>
      <c r="M36" s="45">
        <v>6</v>
      </c>
      <c r="N36" s="45">
        <v>22</v>
      </c>
      <c r="O36" s="45">
        <v>26</v>
      </c>
      <c r="P36" s="45">
        <v>5</v>
      </c>
      <c r="Q36" s="46">
        <v>23</v>
      </c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17</v>
      </c>
      <c r="F42" s="45">
        <v>616</v>
      </c>
      <c r="G42" s="45">
        <v>8</v>
      </c>
      <c r="H42" s="45">
        <v>4</v>
      </c>
      <c r="I42" s="45">
        <v>8</v>
      </c>
      <c r="J42" s="45">
        <v>2</v>
      </c>
      <c r="K42" s="45">
        <v>3</v>
      </c>
      <c r="L42" s="45"/>
      <c r="M42" s="45">
        <v>6</v>
      </c>
      <c r="N42" s="45">
        <v>22</v>
      </c>
      <c r="O42" s="45">
        <v>26</v>
      </c>
      <c r="P42" s="45">
        <v>5</v>
      </c>
      <c r="Q42" s="46">
        <v>23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6">
        <f>1+7+13+2+5+3+143+2+20+474+4</f>
        <v>674</v>
      </c>
      <c r="D44" s="106"/>
      <c r="E44" s="106"/>
    </row>
    <row r="45" spans="2:26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948AA-97AC-48C7-816A-52596B0A2873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3BA77-BD9A-4D32-8E38-C99CA50308F5}">
  <dimension ref="B1:AD46"/>
  <sheetViews>
    <sheetView showGridLines="0" zoomScale="160" zoomScaleNormal="160" workbookViewId="0">
      <selection activeCell="K16" sqref="K16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67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4</v>
      </c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>
        <v>6</v>
      </c>
      <c r="S8" s="15"/>
      <c r="T8" s="15"/>
      <c r="U8" s="15">
        <v>2</v>
      </c>
      <c r="V8" s="15">
        <v>1</v>
      </c>
      <c r="W8" s="15">
        <v>2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/>
      <c r="E15" s="24"/>
      <c r="F15" s="24">
        <v>0</v>
      </c>
      <c r="G15" s="24"/>
      <c r="H15" s="24" t="s">
        <v>105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3</v>
      </c>
      <c r="S15" s="24"/>
      <c r="T15" s="24"/>
      <c r="U15" s="24">
        <v>2</v>
      </c>
      <c r="V15" s="24">
        <v>1</v>
      </c>
      <c r="W15" s="24">
        <v>0</v>
      </c>
      <c r="X15" s="64"/>
      <c r="Y15" s="25"/>
    </row>
    <row r="16" spans="2:30" ht="18" customHeight="1" thickBot="1" x14ac:dyDescent="0.3">
      <c r="B16" s="26" t="s">
        <v>26</v>
      </c>
      <c r="C16" s="60">
        <v>1</v>
      </c>
      <c r="D16" s="61"/>
      <c r="E16" s="28"/>
      <c r="F16" s="28">
        <v>4</v>
      </c>
      <c r="G16" s="29"/>
      <c r="H16" s="67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3</v>
      </c>
      <c r="S16" s="29"/>
      <c r="T16" s="29"/>
      <c r="U16" s="29">
        <v>0</v>
      </c>
      <c r="V16" s="29">
        <v>0</v>
      </c>
      <c r="W16" s="59">
        <v>2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2</v>
      </c>
      <c r="G24" s="15"/>
      <c r="H24" s="15">
        <v>34</v>
      </c>
      <c r="I24" s="15">
        <v>1</v>
      </c>
      <c r="J24" s="15"/>
      <c r="K24" s="15">
        <v>10</v>
      </c>
      <c r="L24" s="15">
        <v>216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2</v>
      </c>
      <c r="G31" s="24"/>
      <c r="H31" s="24">
        <v>1</v>
      </c>
      <c r="I31" s="24">
        <v>1</v>
      </c>
      <c r="J31" s="24"/>
      <c r="K31" s="24">
        <v>9</v>
      </c>
      <c r="L31" s="24">
        <v>9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>
        <v>0</v>
      </c>
      <c r="J32" s="29"/>
      <c r="K32" s="29">
        <v>1</v>
      </c>
      <c r="L32" s="29">
        <v>207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>
        <v>1</v>
      </c>
      <c r="E36" s="45">
        <v>16</v>
      </c>
      <c r="F36" s="45">
        <v>232</v>
      </c>
      <c r="G36" s="45">
        <v>9</v>
      </c>
      <c r="H36" s="45"/>
      <c r="I36" s="45">
        <v>8</v>
      </c>
      <c r="J36" s="45">
        <v>1</v>
      </c>
      <c r="K36" s="45"/>
      <c r="L36" s="45">
        <v>3</v>
      </c>
      <c r="M36" s="45"/>
      <c r="N36" s="45">
        <v>7</v>
      </c>
      <c r="O36" s="45">
        <v>7</v>
      </c>
      <c r="P36" s="45"/>
      <c r="Q36" s="46">
        <v>5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16</v>
      </c>
      <c r="F42" s="45">
        <v>232</v>
      </c>
      <c r="G42" s="45">
        <v>9</v>
      </c>
      <c r="H42" s="45"/>
      <c r="I42" s="45">
        <v>8</v>
      </c>
      <c r="J42" s="45">
        <v>1</v>
      </c>
      <c r="K42" s="45"/>
      <c r="L42" s="45">
        <v>3</v>
      </c>
      <c r="M42" s="45"/>
      <c r="N42" s="45">
        <v>7</v>
      </c>
      <c r="O42" s="45">
        <v>7</v>
      </c>
      <c r="P42" s="45"/>
      <c r="Q42" s="46">
        <v>5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1+4+4+3+2+1+33+10+1+207</f>
        <v>266</v>
      </c>
      <c r="D44" s="106"/>
      <c r="E44" s="106"/>
    </row>
    <row r="45" spans="2:26" x14ac:dyDescent="0.25">
      <c r="B45" s="90" t="s">
        <v>92</v>
      </c>
      <c r="C45" s="106">
        <v>6</v>
      </c>
      <c r="D45" s="106"/>
      <c r="E45" s="106"/>
    </row>
    <row r="46" spans="2:26" x14ac:dyDescent="0.25">
      <c r="B46" s="90" t="s">
        <v>113</v>
      </c>
      <c r="C46" s="106">
        <f>10*973</f>
        <v>9730</v>
      </c>
      <c r="D46" s="106"/>
      <c r="E46" s="106"/>
    </row>
  </sheetData>
  <mergeCells count="11">
    <mergeCell ref="C46:E46"/>
    <mergeCell ref="R34:U34"/>
    <mergeCell ref="R42:U42"/>
    <mergeCell ref="C44:E44"/>
    <mergeCell ref="C45:E45"/>
    <mergeCell ref="O34:Q34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6C5B-BA53-4DBE-8996-CF82EB3C9F6F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4</v>
      </c>
      <c r="G8" s="15"/>
      <c r="H8" s="15" t="s">
        <v>107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4</v>
      </c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272</v>
      </c>
      <c r="M24" s="15"/>
      <c r="N24" s="15"/>
      <c r="O24" s="15"/>
      <c r="P24" s="15"/>
      <c r="Q24" s="15" t="s">
        <v>100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>
        <v>1</v>
      </c>
      <c r="G31" s="24"/>
      <c r="H31" s="24">
        <v>1</v>
      </c>
      <c r="I31" s="24"/>
      <c r="J31" s="24"/>
      <c r="K31" s="24">
        <v>10</v>
      </c>
      <c r="L31" s="24">
        <v>67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>
        <v>2</v>
      </c>
      <c r="G32" s="29"/>
      <c r="H32" s="29">
        <v>29</v>
      </c>
      <c r="I32" s="29"/>
      <c r="J32" s="29"/>
      <c r="K32" s="29">
        <v>0</v>
      </c>
      <c r="L32" s="29">
        <v>205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5</v>
      </c>
      <c r="D36" s="44"/>
      <c r="E36" s="45"/>
      <c r="F36" s="45">
        <v>196</v>
      </c>
      <c r="G36" s="45">
        <v>2</v>
      </c>
      <c r="H36" s="45">
        <v>2</v>
      </c>
      <c r="I36" s="45">
        <v>3</v>
      </c>
      <c r="J36" s="45"/>
      <c r="K36" s="45">
        <v>4</v>
      </c>
      <c r="L36" s="45">
        <v>2</v>
      </c>
      <c r="M36" s="45"/>
      <c r="N36" s="45"/>
      <c r="O36" s="45">
        <v>3</v>
      </c>
      <c r="P36" s="45">
        <v>9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196</v>
      </c>
      <c r="G42" s="45">
        <v>2</v>
      </c>
      <c r="H42" s="45">
        <v>2</v>
      </c>
      <c r="I42" s="45">
        <v>3</v>
      </c>
      <c r="J42" s="45"/>
      <c r="K42" s="45">
        <v>4</v>
      </c>
      <c r="L42" s="45">
        <v>2</v>
      </c>
      <c r="M42" s="45"/>
      <c r="N42" s="45"/>
      <c r="O42" s="45">
        <v>3</v>
      </c>
      <c r="P42" s="45">
        <v>9</v>
      </c>
      <c r="Q42" s="46">
        <v>4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4+8+1+1+1+2+29+205</f>
        <v>251</v>
      </c>
      <c r="D44" s="106"/>
      <c r="E44" s="106"/>
    </row>
    <row r="45" spans="2:25" x14ac:dyDescent="0.25">
      <c r="B45" s="90" t="s">
        <v>92</v>
      </c>
      <c r="C45" s="106">
        <f>2</f>
        <v>2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3969A-201B-439C-BDCA-A790B110E4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4</v>
      </c>
      <c r="V8" s="15"/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4</v>
      </c>
      <c r="V16" s="29"/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110</v>
      </c>
      <c r="I24" s="15"/>
      <c r="J24" s="15" t="s">
        <v>112</v>
      </c>
      <c r="K24" s="15">
        <v>10</v>
      </c>
      <c r="L24" s="15">
        <v>396</v>
      </c>
      <c r="M24" s="15"/>
      <c r="N24" s="15"/>
      <c r="O24" s="15"/>
      <c r="P24" s="15"/>
      <c r="Q24" s="15">
        <v>10</v>
      </c>
      <c r="R24" s="15"/>
      <c r="S24" s="15">
        <v>1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104</v>
      </c>
      <c r="I31" s="24"/>
      <c r="J31" s="24" t="s">
        <v>103</v>
      </c>
      <c r="K31" s="24">
        <v>10</v>
      </c>
      <c r="L31" s="24">
        <v>148</v>
      </c>
      <c r="M31" s="24"/>
      <c r="N31" s="24"/>
      <c r="O31" s="24"/>
      <c r="P31" s="24"/>
      <c r="Q31" s="24">
        <v>10</v>
      </c>
      <c r="R31" s="24"/>
      <c r="S31" s="24">
        <v>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75</v>
      </c>
      <c r="G32" s="29"/>
      <c r="H32" s="29">
        <v>6</v>
      </c>
      <c r="I32" s="29"/>
      <c r="J32" s="29">
        <v>0</v>
      </c>
      <c r="K32" s="29">
        <v>0</v>
      </c>
      <c r="L32" s="29">
        <v>248</v>
      </c>
      <c r="M32" s="29"/>
      <c r="N32" s="29"/>
      <c r="O32" s="24"/>
      <c r="P32" s="29"/>
      <c r="Q32" s="29">
        <v>0</v>
      </c>
      <c r="R32" s="29"/>
      <c r="S32" s="29">
        <v>1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6</v>
      </c>
      <c r="D36" s="44"/>
      <c r="E36" s="45">
        <v>12</v>
      </c>
      <c r="F36" s="45">
        <v>409</v>
      </c>
      <c r="G36" s="45">
        <v>1</v>
      </c>
      <c r="H36" s="45">
        <v>4</v>
      </c>
      <c r="I36" s="45">
        <v>2</v>
      </c>
      <c r="J36" s="45"/>
      <c r="K36" s="45">
        <v>4</v>
      </c>
      <c r="L36" s="45">
        <v>14</v>
      </c>
      <c r="M36" s="45">
        <v>1</v>
      </c>
      <c r="N36" s="45">
        <v>23</v>
      </c>
      <c r="O36" s="45">
        <v>23</v>
      </c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6</v>
      </c>
      <c r="D42" s="44"/>
      <c r="E42" s="45">
        <v>12</v>
      </c>
      <c r="F42" s="45">
        <v>409</v>
      </c>
      <c r="G42" s="45">
        <v>1</v>
      </c>
      <c r="H42" s="45">
        <v>4</v>
      </c>
      <c r="I42" s="45">
        <v>2</v>
      </c>
      <c r="J42" s="45"/>
      <c r="K42" s="45">
        <v>4</v>
      </c>
      <c r="L42" s="45">
        <v>14</v>
      </c>
      <c r="M42" s="45">
        <v>1</v>
      </c>
      <c r="N42" s="45">
        <v>23</v>
      </c>
      <c r="O42" s="45">
        <v>23</v>
      </c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6">
        <f>1+1+10+4+3+6+248+1</f>
        <v>274</v>
      </c>
      <c r="D44" s="106"/>
      <c r="E44" s="106"/>
    </row>
    <row r="45" spans="2:26" x14ac:dyDescent="0.25">
      <c r="B45" s="90" t="s">
        <v>92</v>
      </c>
      <c r="C45" s="106">
        <f>9+12</f>
        <v>21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0B76B-5BDB-42CC-8FAB-1F65994671B6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B5A1A-B287-4BEE-A522-4E0BD273FEEA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93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6</v>
      </c>
      <c r="D8" s="15">
        <v>10</v>
      </c>
      <c r="E8" s="15"/>
      <c r="F8" s="15">
        <v>5</v>
      </c>
      <c r="G8" s="15">
        <v>1</v>
      </c>
      <c r="H8" s="15" t="s">
        <v>105</v>
      </c>
      <c r="I8" s="15"/>
      <c r="J8" s="15"/>
      <c r="K8" s="15"/>
      <c r="L8" s="15"/>
      <c r="M8" s="15">
        <v>1</v>
      </c>
      <c r="N8" s="15"/>
      <c r="O8" s="15"/>
      <c r="P8" s="15"/>
      <c r="Q8" s="15">
        <v>1</v>
      </c>
      <c r="R8" s="15">
        <v>3</v>
      </c>
      <c r="S8" s="15"/>
      <c r="T8" s="15"/>
      <c r="U8" s="15">
        <v>2</v>
      </c>
      <c r="V8" s="15">
        <v>2</v>
      </c>
      <c r="W8" s="15">
        <v>50</v>
      </c>
      <c r="X8" s="62"/>
      <c r="Y8" s="16">
        <v>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>
        <v>0</v>
      </c>
      <c r="H15" s="24" t="s">
        <v>114</v>
      </c>
      <c r="I15" s="24"/>
      <c r="J15" s="24"/>
      <c r="K15" s="24"/>
      <c r="L15" s="24"/>
      <c r="M15" s="24">
        <v>0</v>
      </c>
      <c r="N15" s="24"/>
      <c r="O15" s="24"/>
      <c r="P15" s="24"/>
      <c r="Q15" s="24">
        <v>0</v>
      </c>
      <c r="R15" s="24">
        <v>3</v>
      </c>
      <c r="S15" s="24"/>
      <c r="T15" s="24"/>
      <c r="U15" s="24">
        <v>2</v>
      </c>
      <c r="V15" s="24">
        <v>0</v>
      </c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5</v>
      </c>
      <c r="D16" s="61">
        <v>10</v>
      </c>
      <c r="E16" s="28"/>
      <c r="F16" s="28">
        <v>5</v>
      </c>
      <c r="G16" s="29">
        <v>1</v>
      </c>
      <c r="H16" s="67" t="s">
        <v>111</v>
      </c>
      <c r="I16" s="29"/>
      <c r="J16" s="29"/>
      <c r="K16" s="59"/>
      <c r="L16" s="29"/>
      <c r="M16" s="29">
        <v>1</v>
      </c>
      <c r="N16" s="29"/>
      <c r="O16" s="29"/>
      <c r="P16" s="29"/>
      <c r="Q16" s="29">
        <v>1</v>
      </c>
      <c r="R16" s="29">
        <v>0</v>
      </c>
      <c r="S16" s="29"/>
      <c r="T16" s="29"/>
      <c r="U16" s="29">
        <v>0</v>
      </c>
      <c r="V16" s="29">
        <v>2</v>
      </c>
      <c r="W16" s="59">
        <v>50</v>
      </c>
      <c r="X16" s="65"/>
      <c r="Y16" s="30">
        <v>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2</v>
      </c>
      <c r="G24" s="15"/>
      <c r="H24" s="15">
        <v>10</v>
      </c>
      <c r="I24" s="15">
        <v>5</v>
      </c>
      <c r="J24" s="15">
        <v>10</v>
      </c>
      <c r="K24" s="15">
        <v>28</v>
      </c>
      <c r="L24" s="15">
        <v>117</v>
      </c>
      <c r="M24" s="15"/>
      <c r="N24" s="15"/>
      <c r="O24" s="15">
        <v>2</v>
      </c>
      <c r="P24" s="15">
        <v>2</v>
      </c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0</v>
      </c>
      <c r="E31" s="24"/>
      <c r="F31" s="24">
        <v>2</v>
      </c>
      <c r="G31" s="24"/>
      <c r="H31" s="24">
        <v>3</v>
      </c>
      <c r="I31" s="24">
        <v>0</v>
      </c>
      <c r="J31" s="24">
        <v>0</v>
      </c>
      <c r="K31" s="24">
        <v>3</v>
      </c>
      <c r="L31" s="24">
        <v>60</v>
      </c>
      <c r="M31" s="24"/>
      <c r="N31" s="24"/>
      <c r="O31" s="24">
        <v>0</v>
      </c>
      <c r="P31" s="24">
        <v>0</v>
      </c>
      <c r="Q31" s="24">
        <v>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2</v>
      </c>
      <c r="E32" s="28"/>
      <c r="F32" s="28">
        <v>0</v>
      </c>
      <c r="G32" s="29"/>
      <c r="H32" s="29">
        <v>7</v>
      </c>
      <c r="I32" s="29">
        <v>5</v>
      </c>
      <c r="J32" s="29">
        <v>10</v>
      </c>
      <c r="K32" s="29">
        <v>25</v>
      </c>
      <c r="L32" s="29">
        <v>57</v>
      </c>
      <c r="M32" s="29"/>
      <c r="N32" s="29"/>
      <c r="O32" s="93">
        <v>2</v>
      </c>
      <c r="P32" s="29">
        <v>2</v>
      </c>
      <c r="Q32" s="29">
        <v>10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7</v>
      </c>
      <c r="E36" s="45"/>
      <c r="F36" s="45">
        <v>69</v>
      </c>
      <c r="G36" s="45">
        <v>158</v>
      </c>
      <c r="H36" s="45">
        <v>1</v>
      </c>
      <c r="I36" s="45">
        <v>5</v>
      </c>
      <c r="J36" s="45">
        <v>14</v>
      </c>
      <c r="K36" s="45"/>
      <c r="L36" s="45"/>
      <c r="M36" s="45">
        <v>46</v>
      </c>
      <c r="N36" s="45"/>
      <c r="O36" s="45">
        <v>2</v>
      </c>
      <c r="P36" s="45"/>
      <c r="Q36" s="46">
        <v>8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>
        <v>7</v>
      </c>
      <c r="E42" s="45"/>
      <c r="F42" s="45">
        <v>69</v>
      </c>
      <c r="G42" s="45">
        <v>158</v>
      </c>
      <c r="H42" s="45">
        <v>1</v>
      </c>
      <c r="I42" s="45">
        <v>5</v>
      </c>
      <c r="J42" s="45">
        <v>14</v>
      </c>
      <c r="K42" s="45"/>
      <c r="L42" s="45"/>
      <c r="M42" s="45">
        <v>46</v>
      </c>
      <c r="N42" s="45"/>
      <c r="O42" s="45">
        <v>2</v>
      </c>
      <c r="P42" s="45"/>
      <c r="Q42" s="46">
        <v>8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5+10+5+1+2+1+1+2+50+5+2+7+5+10+25+57+2+2+10</f>
        <v>202</v>
      </c>
      <c r="D44" s="106"/>
      <c r="E44" s="106"/>
    </row>
    <row r="45" spans="2:26" x14ac:dyDescent="0.25">
      <c r="B45" s="90" t="s">
        <v>92</v>
      </c>
      <c r="C45" s="106">
        <f>11</f>
        <v>11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0B9A-3F5E-4F7B-A02C-A423BF4FF86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7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115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60</v>
      </c>
      <c r="I24" s="15"/>
      <c r="J24" s="15"/>
      <c r="K24" s="15">
        <v>10</v>
      </c>
      <c r="L24" s="15">
        <v>283</v>
      </c>
      <c r="M24" s="15"/>
      <c r="N24" s="15"/>
      <c r="O24" s="15"/>
      <c r="P24" s="15"/>
      <c r="Q24" s="15" t="s">
        <v>100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6</v>
      </c>
      <c r="I31" s="24"/>
      <c r="J31" s="24"/>
      <c r="K31" s="24">
        <v>3</v>
      </c>
      <c r="L31" s="24">
        <v>103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</v>
      </c>
      <c r="G32" s="29"/>
      <c r="H32" s="29">
        <v>54</v>
      </c>
      <c r="I32" s="29"/>
      <c r="J32" s="29"/>
      <c r="K32" s="29">
        <v>7</v>
      </c>
      <c r="L32" s="29">
        <v>180</v>
      </c>
      <c r="M32" s="29"/>
      <c r="N32" s="29"/>
      <c r="O32" s="24"/>
      <c r="P32" s="29"/>
      <c r="Q32" s="29">
        <v>2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1</v>
      </c>
      <c r="D36" s="44"/>
      <c r="E36" s="45"/>
      <c r="F36" s="45">
        <v>228</v>
      </c>
      <c r="G36" s="45">
        <v>10</v>
      </c>
      <c r="H36" s="45">
        <v>8</v>
      </c>
      <c r="I36" s="45">
        <v>7</v>
      </c>
      <c r="J36" s="45"/>
      <c r="K36" s="45">
        <v>9</v>
      </c>
      <c r="L36" s="45"/>
      <c r="M36" s="45"/>
      <c r="N36" s="45">
        <v>2</v>
      </c>
      <c r="O36" s="45">
        <v>6</v>
      </c>
      <c r="P36" s="45"/>
      <c r="Q36" s="46">
        <v>1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228</v>
      </c>
      <c r="G42" s="45">
        <v>10</v>
      </c>
      <c r="H42" s="45">
        <v>8</v>
      </c>
      <c r="I42" s="45">
        <v>7</v>
      </c>
      <c r="J42" s="45"/>
      <c r="K42" s="45">
        <v>9</v>
      </c>
      <c r="L42" s="45"/>
      <c r="M42" s="45"/>
      <c r="N42" s="45">
        <v>2</v>
      </c>
      <c r="O42" s="45">
        <v>6</v>
      </c>
      <c r="P42" s="45"/>
      <c r="Q42" s="46">
        <v>1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7+5+1+54+7+180+2</f>
        <v>256</v>
      </c>
      <c r="D44" s="106"/>
      <c r="E44" s="106"/>
    </row>
    <row r="45" spans="2:25" x14ac:dyDescent="0.25">
      <c r="B45" s="90" t="s">
        <v>92</v>
      </c>
      <c r="C45" s="106">
        <f>10</f>
        <v>10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66228-0AC7-402F-90CB-C7930A1E65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6"/>
      <c r="D44" s="106"/>
      <c r="E44" s="106"/>
    </row>
    <row r="45" spans="2:26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82A00-3D10-4615-A796-9EEBD8EE5538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5FFD7-8934-4902-B79F-1E5B05460CA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126</v>
      </c>
      <c r="I8" s="15"/>
      <c r="J8" s="15"/>
      <c r="K8" s="15"/>
      <c r="L8" s="15"/>
      <c r="M8" s="15"/>
      <c r="N8" s="15"/>
      <c r="O8" s="15"/>
      <c r="P8" s="15"/>
      <c r="Q8" s="15"/>
      <c r="R8" s="15">
        <v>3</v>
      </c>
      <c r="S8" s="15"/>
      <c r="T8" s="15"/>
      <c r="U8" s="15">
        <v>2</v>
      </c>
      <c r="V8" s="15"/>
      <c r="W8" s="15">
        <v>1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125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0</v>
      </c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</v>
      </c>
      <c r="G16" s="29"/>
      <c r="H16" s="67" t="s">
        <v>124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3</v>
      </c>
      <c r="S16" s="29"/>
      <c r="T16" s="29"/>
      <c r="U16" s="29">
        <v>2</v>
      </c>
      <c r="V16" s="29"/>
      <c r="W16" s="59">
        <v>1</v>
      </c>
      <c r="X16" s="65"/>
      <c r="Y16" s="30">
        <v>2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4</v>
      </c>
      <c r="G24" s="15"/>
      <c r="H24" s="15">
        <v>39</v>
      </c>
      <c r="I24" s="15"/>
      <c r="J24" s="15">
        <v>15</v>
      </c>
      <c r="K24" s="15">
        <v>10</v>
      </c>
      <c r="L24" s="15">
        <v>222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17</v>
      </c>
      <c r="I31" s="24"/>
      <c r="J31" s="24">
        <v>0</v>
      </c>
      <c r="K31" s="24">
        <v>5</v>
      </c>
      <c r="L31" s="24">
        <v>63</v>
      </c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4</v>
      </c>
      <c r="G32" s="29"/>
      <c r="H32" s="29">
        <v>22</v>
      </c>
      <c r="I32" s="29"/>
      <c r="J32" s="29">
        <v>15</v>
      </c>
      <c r="K32" s="29">
        <v>5</v>
      </c>
      <c r="L32" s="29">
        <v>159</v>
      </c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2</v>
      </c>
      <c r="D36" s="44"/>
      <c r="E36" s="45"/>
      <c r="F36" s="45">
        <v>165</v>
      </c>
      <c r="G36" s="45">
        <v>25</v>
      </c>
      <c r="H36" s="45">
        <v>1</v>
      </c>
      <c r="I36" s="45">
        <v>9</v>
      </c>
      <c r="J36" s="45"/>
      <c r="K36" s="45">
        <v>15</v>
      </c>
      <c r="L36" s="45">
        <v>11</v>
      </c>
      <c r="M36" s="45">
        <v>4</v>
      </c>
      <c r="N36" s="45">
        <v>1</v>
      </c>
      <c r="O36" s="45">
        <v>1</v>
      </c>
      <c r="P36" s="45">
        <v>1</v>
      </c>
      <c r="Q36" s="46">
        <v>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165</v>
      </c>
      <c r="G42" s="45">
        <v>25</v>
      </c>
      <c r="H42" s="45">
        <v>1</v>
      </c>
      <c r="I42" s="45">
        <v>9</v>
      </c>
      <c r="J42" s="45"/>
      <c r="K42" s="45">
        <v>15</v>
      </c>
      <c r="L42" s="45">
        <v>11</v>
      </c>
      <c r="M42" s="45">
        <v>4</v>
      </c>
      <c r="N42" s="45">
        <v>1</v>
      </c>
      <c r="O42" s="45">
        <v>1</v>
      </c>
      <c r="P42" s="45">
        <v>1</v>
      </c>
      <c r="Q42" s="46">
        <v>5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2+1+3+2+1+2+4+22+15+5+159</f>
        <v>216</v>
      </c>
      <c r="D44" s="106"/>
      <c r="E44" s="106"/>
    </row>
    <row r="45" spans="2:25" x14ac:dyDescent="0.25">
      <c r="B45" s="90" t="s">
        <v>92</v>
      </c>
      <c r="C45" s="106">
        <f>14</f>
        <v>14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2CE8D-D027-4682-BD29-5FF1878601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129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128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30</v>
      </c>
      <c r="I24" s="15"/>
      <c r="J24" s="15"/>
      <c r="K24" s="15">
        <v>11</v>
      </c>
      <c r="L24" s="15">
        <v>427</v>
      </c>
      <c r="M24" s="15"/>
      <c r="N24" s="15"/>
      <c r="O24" s="15"/>
      <c r="P24" s="15"/>
      <c r="Q24" s="15" t="s">
        <v>118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27</v>
      </c>
      <c r="I31" s="24"/>
      <c r="J31" s="24"/>
      <c r="K31" s="24">
        <v>0</v>
      </c>
      <c r="L31" s="24">
        <v>94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</v>
      </c>
      <c r="I32" s="29"/>
      <c r="J32" s="29"/>
      <c r="K32" s="29">
        <v>11</v>
      </c>
      <c r="L32" s="29">
        <v>333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458</v>
      </c>
      <c r="G36" s="45">
        <v>25</v>
      </c>
      <c r="H36" s="45">
        <v>8</v>
      </c>
      <c r="I36" s="45">
        <v>34</v>
      </c>
      <c r="J36" s="45"/>
      <c r="K36" s="45">
        <v>2</v>
      </c>
      <c r="L36" s="45"/>
      <c r="M36" s="45"/>
      <c r="N36" s="45"/>
      <c r="O36" s="45">
        <v>3</v>
      </c>
      <c r="P36" s="45">
        <v>10</v>
      </c>
      <c r="Q36" s="46">
        <v>14</v>
      </c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458</v>
      </c>
      <c r="G42" s="45">
        <v>25</v>
      </c>
      <c r="H42" s="45">
        <v>8</v>
      </c>
      <c r="I42" s="45">
        <v>34</v>
      </c>
      <c r="J42" s="45"/>
      <c r="K42" s="45">
        <v>2</v>
      </c>
      <c r="L42" s="45"/>
      <c r="M42" s="45"/>
      <c r="N42" s="45"/>
      <c r="O42" s="45">
        <v>3</v>
      </c>
      <c r="P42" s="45">
        <v>10</v>
      </c>
      <c r="Q42" s="46">
        <v>14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6">
        <f>11+3+11+333</f>
        <v>358</v>
      </c>
      <c r="D44" s="106"/>
      <c r="E44" s="106"/>
    </row>
    <row r="45" spans="2:26" x14ac:dyDescent="0.25">
      <c r="B45" s="90" t="s">
        <v>92</v>
      </c>
      <c r="C45" s="106">
        <f>15</f>
        <v>15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6DE1-B213-4B61-A0A4-6E6AB8702F1D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/>
      <c r="G8" s="15"/>
      <c r="H8" s="15" t="s">
        <v>123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30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67" t="s">
        <v>121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104</v>
      </c>
      <c r="I24" s="15"/>
      <c r="J24" s="15" t="s">
        <v>103</v>
      </c>
      <c r="K24" s="15">
        <v>10</v>
      </c>
      <c r="L24" s="15">
        <v>430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88</v>
      </c>
      <c r="I31" s="24"/>
      <c r="J31" s="24" t="s">
        <v>103</v>
      </c>
      <c r="K31" s="24">
        <v>0</v>
      </c>
      <c r="L31" s="24">
        <v>72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16</v>
      </c>
      <c r="I32" s="29"/>
      <c r="J32" s="29">
        <v>0</v>
      </c>
      <c r="K32" s="29">
        <v>10</v>
      </c>
      <c r="L32" s="29">
        <v>358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358</v>
      </c>
      <c r="G36" s="45">
        <v>22</v>
      </c>
      <c r="H36" s="45">
        <v>5</v>
      </c>
      <c r="I36" s="45">
        <v>24</v>
      </c>
      <c r="J36" s="45"/>
      <c r="K36" s="45">
        <v>4</v>
      </c>
      <c r="L36" s="45"/>
      <c r="M36" s="45"/>
      <c r="N36" s="45">
        <v>8</v>
      </c>
      <c r="O36" s="45">
        <v>3</v>
      </c>
      <c r="P36" s="45">
        <v>7</v>
      </c>
      <c r="Q36" s="46">
        <v>2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358</v>
      </c>
      <c r="G42" s="45">
        <v>22</v>
      </c>
      <c r="H42" s="45">
        <v>5</v>
      </c>
      <c r="I42" s="45">
        <v>24</v>
      </c>
      <c r="J42" s="45"/>
      <c r="K42" s="45">
        <v>4</v>
      </c>
      <c r="L42" s="45"/>
      <c r="M42" s="45"/>
      <c r="N42" s="45">
        <v>8</v>
      </c>
      <c r="O42" s="45">
        <v>3</v>
      </c>
      <c r="P42" s="45">
        <v>7</v>
      </c>
      <c r="Q42" s="46">
        <v>2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2+3+16+10+358</f>
        <v>389</v>
      </c>
      <c r="D44" s="106"/>
      <c r="E44" s="106"/>
    </row>
    <row r="45" spans="2:26" x14ac:dyDescent="0.25">
      <c r="B45" s="90" t="s">
        <v>92</v>
      </c>
      <c r="C45" s="106">
        <f>5</f>
        <v>5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61290-4711-44AA-B457-6A5559B73B8E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8548-15FB-4D63-A81D-F026A1C48D01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119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5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</v>
      </c>
      <c r="G16" s="29"/>
      <c r="H16" s="67" t="s">
        <v>131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5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10</v>
      </c>
      <c r="G24" s="15"/>
      <c r="H24" s="15">
        <v>23</v>
      </c>
      <c r="I24" s="15"/>
      <c r="J24" s="15"/>
      <c r="K24" s="15">
        <v>13</v>
      </c>
      <c r="L24" s="15">
        <v>387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9</v>
      </c>
      <c r="I31" s="24"/>
      <c r="J31" s="24"/>
      <c r="K31" s="24">
        <v>2</v>
      </c>
      <c r="L31" s="24">
        <v>37</v>
      </c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10</v>
      </c>
      <c r="G32" s="29"/>
      <c r="H32" s="29">
        <v>14</v>
      </c>
      <c r="I32" s="29"/>
      <c r="J32" s="29"/>
      <c r="K32" s="29">
        <v>11</v>
      </c>
      <c r="L32" s="29">
        <v>350</v>
      </c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3</v>
      </c>
      <c r="D36" s="44"/>
      <c r="E36" s="45">
        <v>17</v>
      </c>
      <c r="F36" s="45">
        <v>426</v>
      </c>
      <c r="G36" s="45">
        <v>1</v>
      </c>
      <c r="H36" s="45">
        <v>1</v>
      </c>
      <c r="I36" s="45">
        <v>11</v>
      </c>
      <c r="J36" s="45">
        <v>3</v>
      </c>
      <c r="K36" s="45">
        <v>10</v>
      </c>
      <c r="L36" s="45">
        <v>5</v>
      </c>
      <c r="M36" s="45">
        <v>1</v>
      </c>
      <c r="N36" s="45">
        <v>10</v>
      </c>
      <c r="O36" s="45">
        <v>4</v>
      </c>
      <c r="P36" s="45">
        <v>9</v>
      </c>
      <c r="Q36" s="46">
        <v>14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>
        <v>3</v>
      </c>
      <c r="D42" s="44"/>
      <c r="E42" s="45">
        <v>17</v>
      </c>
      <c r="F42" s="45">
        <v>426</v>
      </c>
      <c r="G42" s="45">
        <v>1</v>
      </c>
      <c r="H42" s="45">
        <v>1</v>
      </c>
      <c r="I42" s="45">
        <v>11</v>
      </c>
      <c r="J42" s="45">
        <v>3</v>
      </c>
      <c r="K42" s="45">
        <v>10</v>
      </c>
      <c r="L42" s="45">
        <v>5</v>
      </c>
      <c r="M42" s="45">
        <v>1</v>
      </c>
      <c r="N42" s="45">
        <v>10</v>
      </c>
      <c r="O42" s="45">
        <v>4</v>
      </c>
      <c r="P42" s="45">
        <v>9</v>
      </c>
      <c r="Q42" s="46">
        <v>14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2+10+5+10+14+11+350</f>
        <v>402</v>
      </c>
      <c r="D44" s="106"/>
      <c r="E44" s="106"/>
    </row>
    <row r="45" spans="2:26" x14ac:dyDescent="0.25">
      <c r="B45" s="90" t="s">
        <v>92</v>
      </c>
      <c r="C45" s="106">
        <f>19</f>
        <v>19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57D0A-1B68-46AB-91E2-28DF93FF50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133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134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>
        <v>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125</v>
      </c>
      <c r="I24" s="15"/>
      <c r="J24" s="15"/>
      <c r="K24" s="15"/>
      <c r="L24" s="15">
        <v>332</v>
      </c>
      <c r="M24" s="15"/>
      <c r="N24" s="15"/>
      <c r="O24" s="15"/>
      <c r="P24" s="15"/>
      <c r="Q24" s="15" t="s">
        <v>118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29</v>
      </c>
      <c r="I31" s="24"/>
      <c r="J31" s="24"/>
      <c r="K31" s="24"/>
      <c r="L31" s="24">
        <v>4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106</v>
      </c>
      <c r="I32" s="29"/>
      <c r="J32" s="29"/>
      <c r="K32" s="29"/>
      <c r="L32" s="29">
        <v>328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460</v>
      </c>
      <c r="G36" s="45"/>
      <c r="H36" s="45"/>
      <c r="I36" s="45"/>
      <c r="J36" s="45"/>
      <c r="K36" s="45"/>
      <c r="L36" s="45">
        <v>1</v>
      </c>
      <c r="M36" s="45"/>
      <c r="N36" s="45">
        <v>1</v>
      </c>
      <c r="O36" s="45">
        <v>8</v>
      </c>
      <c r="P36" s="45">
        <v>16</v>
      </c>
      <c r="Q36" s="46">
        <v>2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460</v>
      </c>
      <c r="G42" s="45"/>
      <c r="H42" s="45"/>
      <c r="I42" s="45"/>
      <c r="J42" s="45"/>
      <c r="K42" s="45"/>
      <c r="L42" s="45">
        <v>1</v>
      </c>
      <c r="M42" s="45"/>
      <c r="N42" s="45">
        <v>1</v>
      </c>
      <c r="O42" s="45">
        <v>8</v>
      </c>
      <c r="P42" s="45">
        <v>16</v>
      </c>
      <c r="Q42" s="46">
        <v>2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1+21+1+1+106+328</f>
        <v>458</v>
      </c>
      <c r="D44" s="106"/>
      <c r="E44" s="106"/>
    </row>
    <row r="45" spans="2:25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EC128-BFE8-4D0D-A79F-E9A7DF4DAEBA}">
  <dimension ref="B1:AA45"/>
  <sheetViews>
    <sheetView showGridLines="0" zoomScale="160" zoomScaleNormal="160" workbookViewId="0">
      <selection activeCell="S7" sqref="S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137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136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91</v>
      </c>
      <c r="I24" s="15"/>
      <c r="J24" s="15" t="s">
        <v>103</v>
      </c>
      <c r="K24" s="15">
        <v>20</v>
      </c>
      <c r="L24" s="15">
        <v>504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6</v>
      </c>
      <c r="I31" s="24"/>
      <c r="J31" s="24">
        <v>0</v>
      </c>
      <c r="K31" s="24">
        <v>10</v>
      </c>
      <c r="L31" s="24">
        <v>199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2</v>
      </c>
      <c r="G32" s="29"/>
      <c r="H32" s="29">
        <v>85</v>
      </c>
      <c r="I32" s="29"/>
      <c r="J32" s="29" t="s">
        <v>103</v>
      </c>
      <c r="K32" s="29">
        <v>10</v>
      </c>
      <c r="L32" s="29">
        <v>305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18</v>
      </c>
      <c r="F36" s="45">
        <v>353</v>
      </c>
      <c r="G36" s="45">
        <v>5</v>
      </c>
      <c r="H36" s="45"/>
      <c r="I36" s="45">
        <v>5</v>
      </c>
      <c r="J36" s="45"/>
      <c r="K36" s="45">
        <v>18</v>
      </c>
      <c r="L36" s="45">
        <v>5</v>
      </c>
      <c r="M36" s="45">
        <v>1</v>
      </c>
      <c r="N36" s="45">
        <v>17</v>
      </c>
      <c r="O36" s="45">
        <v>5</v>
      </c>
      <c r="P36" s="45">
        <v>11</v>
      </c>
      <c r="Q36" s="46">
        <v>5</v>
      </c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18</v>
      </c>
      <c r="F42" s="45">
        <v>353</v>
      </c>
      <c r="G42" s="45">
        <v>5</v>
      </c>
      <c r="H42" s="45"/>
      <c r="I42" s="45">
        <v>5</v>
      </c>
      <c r="J42" s="45"/>
      <c r="K42" s="45">
        <v>18</v>
      </c>
      <c r="L42" s="45">
        <v>5</v>
      </c>
      <c r="M42" s="45">
        <v>1</v>
      </c>
      <c r="N42" s="45">
        <v>17</v>
      </c>
      <c r="O42" s="45">
        <v>5</v>
      </c>
      <c r="P42" s="45">
        <v>11</v>
      </c>
      <c r="Q42" s="46">
        <v>5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  <row r="44" spans="2:26" x14ac:dyDescent="0.25">
      <c r="B44" s="90" t="s">
        <v>91</v>
      </c>
      <c r="C44" s="106">
        <f>13+2+85+1+10+305</f>
        <v>416</v>
      </c>
      <c r="D44" s="106"/>
      <c r="E44" s="106"/>
    </row>
    <row r="45" spans="2:26" x14ac:dyDescent="0.25">
      <c r="B45" s="90" t="s">
        <v>92</v>
      </c>
      <c r="C45" s="106">
        <f>4+12</f>
        <v>16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19DFA-5A24-4BC8-A2AE-3E552BB7B1A9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64541-B7D6-4B23-8D32-3CFDFE9FF7C3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120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140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1</v>
      </c>
      <c r="G15" s="24"/>
      <c r="H15" s="24" t="s">
        <v>139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67" t="s">
        <v>138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56</v>
      </c>
      <c r="I24" s="15"/>
      <c r="J24" s="15"/>
      <c r="K24" s="15">
        <v>10</v>
      </c>
      <c r="L24" s="15">
        <v>230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31</v>
      </c>
      <c r="I31" s="24"/>
      <c r="J31" s="24"/>
      <c r="K31" s="24">
        <v>6</v>
      </c>
      <c r="L31" s="24">
        <v>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25</v>
      </c>
      <c r="I32" s="29"/>
      <c r="J32" s="29"/>
      <c r="K32" s="29">
        <v>4</v>
      </c>
      <c r="L32" s="29">
        <v>229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255</v>
      </c>
      <c r="G36" s="45">
        <v>2</v>
      </c>
      <c r="H36" s="45">
        <v>4</v>
      </c>
      <c r="I36" s="45">
        <v>2</v>
      </c>
      <c r="J36" s="45">
        <v>1</v>
      </c>
      <c r="K36" s="45"/>
      <c r="L36" s="45"/>
      <c r="M36" s="45"/>
      <c r="N36" s="45">
        <v>35</v>
      </c>
      <c r="O36" s="45">
        <v>4</v>
      </c>
      <c r="P36" s="45">
        <v>1</v>
      </c>
      <c r="Q36" s="46">
        <v>13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255</v>
      </c>
      <c r="G42" s="45">
        <v>2</v>
      </c>
      <c r="H42" s="45">
        <v>4</v>
      </c>
      <c r="I42" s="45">
        <v>2</v>
      </c>
      <c r="J42" s="45">
        <v>1</v>
      </c>
      <c r="K42" s="45"/>
      <c r="L42" s="45"/>
      <c r="M42" s="45"/>
      <c r="N42" s="45">
        <v>35</v>
      </c>
      <c r="O42" s="45">
        <v>4</v>
      </c>
      <c r="P42" s="45">
        <v>1</v>
      </c>
      <c r="Q42" s="46">
        <v>13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1+2+25+4+229</f>
        <v>261</v>
      </c>
      <c r="D44" s="106"/>
      <c r="E44" s="106"/>
    </row>
    <row r="45" spans="2:26" x14ac:dyDescent="0.25">
      <c r="B45" s="90" t="s">
        <v>92</v>
      </c>
      <c r="C45" s="106">
        <f>11</f>
        <v>11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22857-A341-48D1-B8D3-A06CD0AEB61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10</v>
      </c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>
        <v>1</v>
      </c>
      <c r="T8" s="15"/>
      <c r="U8" s="15">
        <v>2</v>
      </c>
      <c r="V8" s="15"/>
      <c r="W8" s="15">
        <v>1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4</v>
      </c>
      <c r="G15" s="24"/>
      <c r="H15" s="24" t="s">
        <v>142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>
        <v>0</v>
      </c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6</v>
      </c>
      <c r="G16" s="29"/>
      <c r="H16" s="67" t="s">
        <v>143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>
        <v>1</v>
      </c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29</v>
      </c>
      <c r="I24" s="15">
        <v>2</v>
      </c>
      <c r="J24" s="15"/>
      <c r="K24" s="15">
        <v>15</v>
      </c>
      <c r="L24" s="15">
        <v>271</v>
      </c>
      <c r="M24" s="15"/>
      <c r="N24" s="15"/>
      <c r="O24" s="15"/>
      <c r="P24" s="15"/>
      <c r="Q24" s="15" t="s">
        <v>144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7</v>
      </c>
      <c r="I31" s="24">
        <v>1</v>
      </c>
      <c r="J31" s="24"/>
      <c r="K31" s="24">
        <v>11</v>
      </c>
      <c r="L31" s="24">
        <v>40</v>
      </c>
      <c r="M31" s="24"/>
      <c r="N31" s="24"/>
      <c r="O31" s="24"/>
      <c r="P31" s="24"/>
      <c r="Q31" s="24" t="s">
        <v>144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22</v>
      </c>
      <c r="I32" s="29">
        <v>1</v>
      </c>
      <c r="J32" s="29"/>
      <c r="K32" s="29">
        <v>4</v>
      </c>
      <c r="L32" s="29">
        <v>231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6+9+1+1+22+1+4+231</f>
        <v>275</v>
      </c>
      <c r="D44" s="106"/>
      <c r="E44" s="106"/>
    </row>
    <row r="45" spans="2:25" x14ac:dyDescent="0.25">
      <c r="B45" s="90" t="s">
        <v>92</v>
      </c>
      <c r="C45" s="106">
        <f>15</f>
        <v>15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D1A5-0484-4FE5-A976-C673EB32F7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10</v>
      </c>
      <c r="G8" s="15"/>
      <c r="H8" s="15" t="s">
        <v>145</v>
      </c>
      <c r="I8" s="15"/>
      <c r="J8" s="15"/>
      <c r="K8" s="15"/>
      <c r="L8" s="15"/>
      <c r="M8" s="15"/>
      <c r="N8" s="15"/>
      <c r="O8" s="15">
        <v>1</v>
      </c>
      <c r="P8" s="15">
        <v>1</v>
      </c>
      <c r="Q8" s="15"/>
      <c r="R8" s="15"/>
      <c r="S8" s="15"/>
      <c r="T8" s="15">
        <v>2</v>
      </c>
      <c r="U8" s="15"/>
      <c r="V8" s="15"/>
      <c r="W8" s="15"/>
      <c r="X8" s="62">
        <v>5</v>
      </c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146</v>
      </c>
      <c r="I15" s="24"/>
      <c r="J15" s="24"/>
      <c r="K15" s="24"/>
      <c r="L15" s="24"/>
      <c r="M15" s="24"/>
      <c r="N15" s="24"/>
      <c r="O15" s="24">
        <v>1</v>
      </c>
      <c r="P15" s="24">
        <v>1</v>
      </c>
      <c r="Q15" s="24"/>
      <c r="R15" s="24"/>
      <c r="S15" s="24"/>
      <c r="T15" s="24">
        <v>2</v>
      </c>
      <c r="U15" s="24"/>
      <c r="V15" s="24"/>
      <c r="W15" s="24"/>
      <c r="X15" s="64">
        <v>0</v>
      </c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10</v>
      </c>
      <c r="G16" s="29"/>
      <c r="H16" s="67" t="s">
        <v>147</v>
      </c>
      <c r="I16" s="29"/>
      <c r="J16" s="29"/>
      <c r="K16" s="59"/>
      <c r="L16" s="29"/>
      <c r="M16" s="29"/>
      <c r="N16" s="29"/>
      <c r="O16" s="29">
        <v>0</v>
      </c>
      <c r="P16" s="29">
        <v>0</v>
      </c>
      <c r="Q16" s="29"/>
      <c r="R16" s="29"/>
      <c r="S16" s="29"/>
      <c r="T16" s="29">
        <v>0</v>
      </c>
      <c r="U16" s="29"/>
      <c r="V16" s="29"/>
      <c r="W16" s="59"/>
      <c r="X16" s="65">
        <v>5</v>
      </c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10</v>
      </c>
      <c r="G24" s="15"/>
      <c r="H24" s="15">
        <v>6</v>
      </c>
      <c r="I24" s="15"/>
      <c r="J24" s="15">
        <v>10</v>
      </c>
      <c r="K24" s="15">
        <v>35</v>
      </c>
      <c r="L24" s="15">
        <v>415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6</v>
      </c>
      <c r="I31" s="24"/>
      <c r="J31" s="24">
        <v>0</v>
      </c>
      <c r="K31" s="24">
        <v>0</v>
      </c>
      <c r="L31" s="24">
        <v>88</v>
      </c>
      <c r="M31" s="24"/>
      <c r="N31" s="24"/>
      <c r="O31" s="24"/>
      <c r="P31" s="24"/>
      <c r="Q31" s="24">
        <v>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10</v>
      </c>
      <c r="G32" s="29"/>
      <c r="H32" s="29">
        <v>0</v>
      </c>
      <c r="I32" s="29"/>
      <c r="J32" s="29">
        <v>10</v>
      </c>
      <c r="K32" s="29">
        <v>35</v>
      </c>
      <c r="L32" s="29">
        <v>327</v>
      </c>
      <c r="M32" s="29"/>
      <c r="N32" s="29"/>
      <c r="O32" s="24"/>
      <c r="P32" s="29"/>
      <c r="Q32" s="29">
        <v>10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10</v>
      </c>
      <c r="E36" s="45">
        <v>13</v>
      </c>
      <c r="F36" s="45">
        <v>116</v>
      </c>
      <c r="G36" s="45">
        <v>226</v>
      </c>
      <c r="H36" s="45"/>
      <c r="I36" s="45">
        <v>5</v>
      </c>
      <c r="J36" s="45">
        <v>29</v>
      </c>
      <c r="K36" s="45">
        <v>10</v>
      </c>
      <c r="L36" s="45">
        <v>2</v>
      </c>
      <c r="M36" s="45">
        <v>48</v>
      </c>
      <c r="N36" s="45">
        <v>16</v>
      </c>
      <c r="O36" s="45"/>
      <c r="P36" s="45"/>
      <c r="Q36" s="46"/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>
        <v>10</v>
      </c>
      <c r="E42" s="45">
        <v>13</v>
      </c>
      <c r="F42" s="45">
        <v>116</v>
      </c>
      <c r="G42" s="45">
        <v>226</v>
      </c>
      <c r="H42" s="45"/>
      <c r="I42" s="45">
        <v>5</v>
      </c>
      <c r="J42" s="45">
        <v>29</v>
      </c>
      <c r="K42" s="45">
        <v>10</v>
      </c>
      <c r="L42" s="45">
        <v>2</v>
      </c>
      <c r="M42" s="45">
        <v>48</v>
      </c>
      <c r="N42" s="45">
        <v>16</v>
      </c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  <row r="44" spans="2:26" x14ac:dyDescent="0.25">
      <c r="B44" s="90" t="s">
        <v>91</v>
      </c>
      <c r="C44" s="106">
        <f>10+5+10+10+35+327+10</f>
        <v>407</v>
      </c>
      <c r="D44" s="106"/>
      <c r="E44" s="106"/>
    </row>
    <row r="45" spans="2:26" x14ac:dyDescent="0.25">
      <c r="B45" s="90" t="s">
        <v>92</v>
      </c>
      <c r="C45" s="106">
        <f>6</f>
        <v>6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A812C-5522-4953-B0F5-194CDE067C97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DE330-501F-4E4A-8F81-08D6C306F9B9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130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21</v>
      </c>
      <c r="G8" s="15"/>
      <c r="H8" s="15" t="s">
        <v>152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10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151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21</v>
      </c>
      <c r="G16" s="29"/>
      <c r="H16" s="67" t="s">
        <v>150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10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30</v>
      </c>
      <c r="G24" s="15"/>
      <c r="H24" s="15">
        <v>108</v>
      </c>
      <c r="I24" s="15"/>
      <c r="J24" s="15"/>
      <c r="K24" s="15">
        <v>48</v>
      </c>
      <c r="L24" s="15">
        <v>847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0</v>
      </c>
      <c r="I31" s="24"/>
      <c r="J31" s="24"/>
      <c r="K31" s="24">
        <v>0</v>
      </c>
      <c r="L31" s="24">
        <v>32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30</v>
      </c>
      <c r="G32" s="29"/>
      <c r="H32" s="29">
        <v>108</v>
      </c>
      <c r="I32" s="29"/>
      <c r="J32" s="29"/>
      <c r="K32" s="29">
        <v>48</v>
      </c>
      <c r="L32" s="29">
        <v>815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4</v>
      </c>
      <c r="D36" s="44"/>
      <c r="E36" s="45">
        <v>22</v>
      </c>
      <c r="F36" s="45">
        <v>966</v>
      </c>
      <c r="G36" s="45"/>
      <c r="H36" s="45"/>
      <c r="I36" s="45">
        <v>15</v>
      </c>
      <c r="J36" s="45"/>
      <c r="K36" s="45"/>
      <c r="L36" s="45">
        <v>5</v>
      </c>
      <c r="M36" s="45">
        <v>1</v>
      </c>
      <c r="N36" s="45"/>
      <c r="O36" s="45">
        <v>7</v>
      </c>
      <c r="P36" s="45">
        <v>21</v>
      </c>
      <c r="Q36" s="46">
        <v>6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>
        <v>4</v>
      </c>
      <c r="D42" s="44"/>
      <c r="E42" s="45">
        <v>22</v>
      </c>
      <c r="F42" s="45">
        <v>966</v>
      </c>
      <c r="G42" s="45"/>
      <c r="H42" s="45"/>
      <c r="I42" s="45">
        <v>15</v>
      </c>
      <c r="J42" s="45"/>
      <c r="K42" s="45"/>
      <c r="L42" s="45">
        <v>5</v>
      </c>
      <c r="M42" s="45">
        <v>1</v>
      </c>
      <c r="N42" s="45"/>
      <c r="O42" s="45">
        <v>7</v>
      </c>
      <c r="P42" s="45">
        <v>21</v>
      </c>
      <c r="Q42" s="46">
        <v>6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21+52+10+30+108+48+815</f>
        <v>1084</v>
      </c>
      <c r="D44" s="106"/>
      <c r="E44" s="106"/>
    </row>
    <row r="45" spans="2:26" x14ac:dyDescent="0.25">
      <c r="B45" s="90" t="s">
        <v>92</v>
      </c>
      <c r="C45" s="106">
        <f>5</f>
        <v>5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05CFF-DDC0-4D65-93B1-8F4F803BC8E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153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154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 t="s">
        <v>155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30</v>
      </c>
      <c r="I24" s="15">
        <v>1</v>
      </c>
      <c r="J24" s="15"/>
      <c r="K24" s="15">
        <v>11</v>
      </c>
      <c r="L24" s="15">
        <v>256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0</v>
      </c>
      <c r="I31" s="24">
        <v>1</v>
      </c>
      <c r="J31" s="24"/>
      <c r="K31" s="24">
        <v>11</v>
      </c>
      <c r="L31" s="24">
        <v>65</v>
      </c>
      <c r="M31" s="24"/>
      <c r="N31" s="24"/>
      <c r="O31" s="24"/>
      <c r="P31" s="24"/>
      <c r="Q31" s="24" t="s">
        <v>109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30</v>
      </c>
      <c r="I32" s="29">
        <v>0</v>
      </c>
      <c r="J32" s="29"/>
      <c r="K32" s="29">
        <v>0</v>
      </c>
      <c r="L32" s="29">
        <v>191</v>
      </c>
      <c r="M32" s="29"/>
      <c r="N32" s="29"/>
      <c r="O32" s="24"/>
      <c r="P32" s="29"/>
      <c r="Q32" s="29">
        <v>1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225</v>
      </c>
      <c r="G36" s="45"/>
      <c r="H36" s="45"/>
      <c r="I36" s="45"/>
      <c r="J36" s="45"/>
      <c r="K36" s="45"/>
      <c r="L36" s="45"/>
      <c r="M36" s="45"/>
      <c r="N36" s="45">
        <v>1</v>
      </c>
      <c r="O36" s="45">
        <v>2</v>
      </c>
      <c r="P36" s="45">
        <v>6</v>
      </c>
      <c r="Q36" s="46">
        <v>16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4"/>
      <c r="W41" s="94"/>
      <c r="X41" s="94"/>
      <c r="Y41" s="94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225</v>
      </c>
      <c r="G42" s="45"/>
      <c r="H42" s="45"/>
      <c r="I42" s="45"/>
      <c r="J42" s="45"/>
      <c r="K42" s="45"/>
      <c r="L42" s="45"/>
      <c r="M42" s="45"/>
      <c r="N42" s="45">
        <v>1</v>
      </c>
      <c r="O42" s="45">
        <v>2</v>
      </c>
      <c r="P42" s="45">
        <v>6</v>
      </c>
      <c r="Q42" s="46">
        <v>16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8+30+191+1</f>
        <v>230</v>
      </c>
      <c r="D44" s="106"/>
      <c r="E44" s="106"/>
    </row>
    <row r="45" spans="2:25" x14ac:dyDescent="0.25">
      <c r="B45" s="90" t="s">
        <v>92</v>
      </c>
      <c r="C45" s="106">
        <f>11</f>
        <v>11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F38D1-D325-45FC-B3EE-00A71F5A0A1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1</v>
      </c>
      <c r="G15" s="24"/>
      <c r="H15" s="24" t="s">
        <v>157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158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37</v>
      </c>
      <c r="I24" s="15">
        <v>1</v>
      </c>
      <c r="J24" s="15">
        <v>2</v>
      </c>
      <c r="K24" s="15">
        <v>10</v>
      </c>
      <c r="L24" s="15">
        <v>468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</v>
      </c>
      <c r="I31" s="24">
        <v>0</v>
      </c>
      <c r="J31" s="24">
        <v>2</v>
      </c>
      <c r="K31" s="24">
        <v>0</v>
      </c>
      <c r="L31" s="24">
        <v>137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36</v>
      </c>
      <c r="I32" s="29">
        <v>1</v>
      </c>
      <c r="J32" s="29">
        <v>0</v>
      </c>
      <c r="K32" s="29">
        <v>10</v>
      </c>
      <c r="L32" s="29">
        <v>331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377</v>
      </c>
      <c r="G36" s="45">
        <v>1</v>
      </c>
      <c r="H36" s="45">
        <v>5</v>
      </c>
      <c r="I36" s="45"/>
      <c r="J36" s="45"/>
      <c r="K36" s="45">
        <v>2</v>
      </c>
      <c r="L36" s="45">
        <v>1</v>
      </c>
      <c r="M36" s="45">
        <v>3</v>
      </c>
      <c r="N36" s="45"/>
      <c r="O36" s="45">
        <v>22</v>
      </c>
      <c r="P36" s="45">
        <v>6</v>
      </c>
      <c r="Q36" s="46">
        <v>7</v>
      </c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377</v>
      </c>
      <c r="G42" s="45">
        <v>1</v>
      </c>
      <c r="H42" s="45">
        <v>5</v>
      </c>
      <c r="I42" s="45"/>
      <c r="J42" s="45"/>
      <c r="K42" s="45">
        <v>2</v>
      </c>
      <c r="L42" s="45">
        <v>1</v>
      </c>
      <c r="M42" s="45">
        <v>3</v>
      </c>
      <c r="N42" s="45"/>
      <c r="O42" s="45">
        <v>22</v>
      </c>
      <c r="P42" s="45">
        <v>6</v>
      </c>
      <c r="Q42" s="46">
        <v>7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  <row r="44" spans="2:26" x14ac:dyDescent="0.25">
      <c r="B44" s="90" t="s">
        <v>91</v>
      </c>
      <c r="C44" s="106">
        <f>2+9+1+3+36+1+10+331</f>
        <v>393</v>
      </c>
      <c r="D44" s="106"/>
      <c r="E44" s="106"/>
    </row>
    <row r="45" spans="2:26" x14ac:dyDescent="0.25">
      <c r="B45" s="90" t="s">
        <v>92</v>
      </c>
      <c r="C45" s="106">
        <f>14</f>
        <v>14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E2D8D-325F-4F9C-AE5D-164A76D6A351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08C6E-F593-4F62-8900-EB2710480B6F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148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162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10</v>
      </c>
      <c r="I24" s="15"/>
      <c r="J24" s="15"/>
      <c r="K24" s="15"/>
      <c r="L24" s="15">
        <v>355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/>
      <c r="K31" s="24"/>
      <c r="L31" s="24">
        <v>0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10</v>
      </c>
      <c r="I32" s="29"/>
      <c r="J32" s="29"/>
      <c r="K32" s="29"/>
      <c r="L32" s="29">
        <v>355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359</v>
      </c>
      <c r="G36" s="45">
        <v>5</v>
      </c>
      <c r="H36" s="45"/>
      <c r="I36" s="45">
        <v>1</v>
      </c>
      <c r="J36" s="45"/>
      <c r="K36" s="45"/>
      <c r="L36" s="45"/>
      <c r="M36" s="45"/>
      <c r="N36" s="45"/>
      <c r="O36" s="45">
        <v>3</v>
      </c>
      <c r="P36" s="45">
        <v>8</v>
      </c>
      <c r="Q36" s="46">
        <v>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359</v>
      </c>
      <c r="G42" s="45">
        <v>5</v>
      </c>
      <c r="H42" s="45"/>
      <c r="I42" s="45">
        <v>1</v>
      </c>
      <c r="J42" s="45"/>
      <c r="K42" s="45"/>
      <c r="L42" s="45"/>
      <c r="M42" s="45"/>
      <c r="N42" s="45"/>
      <c r="O42" s="45">
        <v>3</v>
      </c>
      <c r="P42" s="45">
        <v>8</v>
      </c>
      <c r="Q42" s="46">
        <v>3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10+10+355</f>
        <v>375</v>
      </c>
      <c r="D44" s="106"/>
      <c r="E44" s="106"/>
    </row>
    <row r="45" spans="2:26" x14ac:dyDescent="0.25">
      <c r="B45" s="90" t="s">
        <v>92</v>
      </c>
      <c r="C45" s="106">
        <f>2</f>
        <v>2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4EFFF-5CE8-4AAC-8ABA-BA7507C28F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8</v>
      </c>
      <c r="G8" s="15"/>
      <c r="H8" s="15" t="s">
        <v>163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164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8</v>
      </c>
      <c r="G16" s="29"/>
      <c r="H16" s="67" t="s">
        <v>165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166</v>
      </c>
      <c r="G24" s="15"/>
      <c r="H24" s="15">
        <v>30</v>
      </c>
      <c r="I24" s="15">
        <v>1</v>
      </c>
      <c r="J24" s="15">
        <v>20</v>
      </c>
      <c r="K24" s="15">
        <v>11</v>
      </c>
      <c r="L24" s="15">
        <v>281</v>
      </c>
      <c r="M24" s="15"/>
      <c r="N24" s="15"/>
      <c r="O24" s="15"/>
      <c r="P24" s="15"/>
      <c r="Q24" s="15" t="s">
        <v>167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0</v>
      </c>
      <c r="I31" s="24">
        <v>1</v>
      </c>
      <c r="J31" s="24">
        <v>0</v>
      </c>
      <c r="K31" s="24">
        <v>11</v>
      </c>
      <c r="L31" s="24">
        <v>69</v>
      </c>
      <c r="M31" s="24"/>
      <c r="N31" s="24"/>
      <c r="O31" s="24"/>
      <c r="P31" s="24"/>
      <c r="Q31" s="24" t="s">
        <v>167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166</v>
      </c>
      <c r="G32" s="29"/>
      <c r="H32" s="29">
        <v>30</v>
      </c>
      <c r="I32" s="29">
        <v>0</v>
      </c>
      <c r="J32" s="29">
        <v>20</v>
      </c>
      <c r="K32" s="29">
        <v>0</v>
      </c>
      <c r="L32" s="29">
        <v>212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95</v>
      </c>
      <c r="G36" s="45">
        <v>1</v>
      </c>
      <c r="H36" s="45">
        <v>2</v>
      </c>
      <c r="I36" s="45"/>
      <c r="J36" s="45"/>
      <c r="K36" s="45"/>
      <c r="L36" s="45"/>
      <c r="M36" s="45"/>
      <c r="N36" s="45"/>
      <c r="O36" s="45">
        <v>1</v>
      </c>
      <c r="P36" s="45"/>
      <c r="Q36" s="46">
        <v>10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95</v>
      </c>
      <c r="G42" s="45">
        <v>1</v>
      </c>
      <c r="H42" s="45">
        <v>2</v>
      </c>
      <c r="I42" s="45"/>
      <c r="J42" s="45"/>
      <c r="K42" s="45"/>
      <c r="L42" s="45"/>
      <c r="M42" s="45"/>
      <c r="N42" s="45"/>
      <c r="O42" s="45">
        <v>1</v>
      </c>
      <c r="P42" s="45"/>
      <c r="Q42" s="46">
        <v>10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8+8+20+30+20+212</f>
        <v>298</v>
      </c>
      <c r="D44" s="106"/>
      <c r="E44" s="106"/>
    </row>
    <row r="45" spans="2:25" x14ac:dyDescent="0.25">
      <c r="B45" s="90" t="s">
        <v>92</v>
      </c>
      <c r="C45" s="106">
        <f>10+6</f>
        <v>16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0A6BC-8E49-495F-BA19-547ACD1A74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168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1</v>
      </c>
      <c r="G15" s="24"/>
      <c r="H15" s="24" t="s">
        <v>169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>
        <v>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86</v>
      </c>
      <c r="I24" s="15"/>
      <c r="J24" s="15">
        <v>2</v>
      </c>
      <c r="K24" s="15">
        <v>15</v>
      </c>
      <c r="L24" s="15">
        <v>371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56</v>
      </c>
      <c r="I31" s="24"/>
      <c r="J31" s="24">
        <v>2</v>
      </c>
      <c r="K31" s="24">
        <v>3</v>
      </c>
      <c r="L31" s="24">
        <v>167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30</v>
      </c>
      <c r="I32" s="29"/>
      <c r="J32" s="29">
        <v>0</v>
      </c>
      <c r="K32" s="29">
        <v>12</v>
      </c>
      <c r="L32" s="29">
        <v>204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242</v>
      </c>
      <c r="G36" s="45">
        <v>8</v>
      </c>
      <c r="H36" s="45">
        <v>2</v>
      </c>
      <c r="I36" s="45">
        <v>8</v>
      </c>
      <c r="J36" s="45">
        <v>4</v>
      </c>
      <c r="K36" s="45">
        <v>9</v>
      </c>
      <c r="L36" s="45"/>
      <c r="M36" s="45"/>
      <c r="N36" s="45">
        <v>4</v>
      </c>
      <c r="O36" s="45">
        <v>7</v>
      </c>
      <c r="P36" s="45"/>
      <c r="Q36" s="46">
        <v>2</v>
      </c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242</v>
      </c>
      <c r="G42" s="45">
        <v>8</v>
      </c>
      <c r="H42" s="45">
        <v>2</v>
      </c>
      <c r="I42" s="45">
        <v>8</v>
      </c>
      <c r="J42" s="45">
        <v>4</v>
      </c>
      <c r="K42" s="45">
        <v>9</v>
      </c>
      <c r="L42" s="45"/>
      <c r="M42" s="45"/>
      <c r="N42" s="45">
        <v>4</v>
      </c>
      <c r="O42" s="45">
        <v>7</v>
      </c>
      <c r="P42" s="45"/>
      <c r="Q42" s="46">
        <v>2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  <row r="44" spans="2:26" x14ac:dyDescent="0.25">
      <c r="B44" s="90" t="s">
        <v>91</v>
      </c>
      <c r="C44" s="106"/>
      <c r="D44" s="106"/>
      <c r="E44" s="106"/>
    </row>
    <row r="45" spans="2:26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7D70F-65F5-4974-9C22-3AF559567443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62D7C-57F6-4A27-80CD-C6E8B34E330E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149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/>
      <c r="D44" s="106"/>
      <c r="E44" s="106"/>
    </row>
    <row r="45" spans="2:26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2DF20-ED1A-4B6F-8311-C1F63283E16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171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170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>
        <v>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5</v>
      </c>
      <c r="G24" s="15"/>
      <c r="H24" s="15">
        <v>68</v>
      </c>
      <c r="I24" s="15"/>
      <c r="J24" s="15">
        <v>5</v>
      </c>
      <c r="K24" s="15">
        <v>11</v>
      </c>
      <c r="L24" s="15">
        <v>285</v>
      </c>
      <c r="M24" s="15"/>
      <c r="N24" s="15"/>
      <c r="O24" s="15"/>
      <c r="P24" s="15"/>
      <c r="Q24" s="15" t="s">
        <v>167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18</v>
      </c>
      <c r="I31" s="24"/>
      <c r="J31" s="24">
        <v>0</v>
      </c>
      <c r="K31" s="24">
        <v>11</v>
      </c>
      <c r="L31" s="24">
        <v>135</v>
      </c>
      <c r="M31" s="24"/>
      <c r="N31" s="24"/>
      <c r="O31" s="24"/>
      <c r="P31" s="24"/>
      <c r="Q31" s="24" t="s">
        <v>167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5</v>
      </c>
      <c r="G32" s="29"/>
      <c r="H32" s="29">
        <v>50</v>
      </c>
      <c r="I32" s="29"/>
      <c r="J32" s="29">
        <v>5</v>
      </c>
      <c r="K32" s="29">
        <v>0</v>
      </c>
      <c r="L32" s="29">
        <v>150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6</v>
      </c>
      <c r="D36" s="44"/>
      <c r="E36" s="45"/>
      <c r="F36" s="45">
        <v>253</v>
      </c>
      <c r="G36" s="45">
        <v>20</v>
      </c>
      <c r="H36" s="45"/>
      <c r="I36" s="45"/>
      <c r="J36" s="45"/>
      <c r="K36" s="45"/>
      <c r="L36" s="45">
        <v>4</v>
      </c>
      <c r="M36" s="45"/>
      <c r="N36" s="45">
        <v>5</v>
      </c>
      <c r="O36" s="45">
        <v>6</v>
      </c>
      <c r="P36" s="45">
        <v>1</v>
      </c>
      <c r="Q36" s="46">
        <v>19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5" s="5" customFormat="1" ht="18" customHeight="1" thickBot="1" x14ac:dyDescent="0.3">
      <c r="B42" s="48" t="s">
        <v>53</v>
      </c>
      <c r="C42" s="49">
        <v>6</v>
      </c>
      <c r="D42" s="44"/>
      <c r="E42" s="45"/>
      <c r="F42" s="45">
        <v>253</v>
      </c>
      <c r="G42" s="45">
        <v>20</v>
      </c>
      <c r="H42" s="45"/>
      <c r="I42" s="45"/>
      <c r="J42" s="45"/>
      <c r="K42" s="45"/>
      <c r="L42" s="45">
        <v>4</v>
      </c>
      <c r="M42" s="45"/>
      <c r="N42" s="45">
        <v>5</v>
      </c>
      <c r="O42" s="45">
        <v>6</v>
      </c>
      <c r="P42" s="45">
        <v>1</v>
      </c>
      <c r="Q42" s="46">
        <v>19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8+5+50+5+150</f>
        <v>218</v>
      </c>
      <c r="D44" s="106"/>
      <c r="E44" s="106"/>
    </row>
    <row r="45" spans="2:25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1BE57-9988-4810-9689-8F240E25D2E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173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5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172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56</v>
      </c>
      <c r="I24" s="15"/>
      <c r="J24" s="15">
        <v>2</v>
      </c>
      <c r="K24" s="15">
        <v>15</v>
      </c>
      <c r="L24" s="15">
        <v>383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50</v>
      </c>
      <c r="I31" s="24"/>
      <c r="J31" s="24">
        <v>2</v>
      </c>
      <c r="K31" s="24">
        <v>10</v>
      </c>
      <c r="L31" s="24">
        <v>146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6</v>
      </c>
      <c r="I32" s="29"/>
      <c r="J32" s="29">
        <v>0</v>
      </c>
      <c r="K32" s="29">
        <v>5</v>
      </c>
      <c r="L32" s="29">
        <v>237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190</v>
      </c>
      <c r="G36" s="45">
        <v>11</v>
      </c>
      <c r="H36" s="45">
        <v>1</v>
      </c>
      <c r="I36" s="45">
        <v>14</v>
      </c>
      <c r="J36" s="45"/>
      <c r="K36" s="45">
        <v>17</v>
      </c>
      <c r="L36" s="45">
        <v>2</v>
      </c>
      <c r="M36" s="45"/>
      <c r="N36" s="45">
        <v>1</v>
      </c>
      <c r="O36" s="45">
        <v>5</v>
      </c>
      <c r="P36" s="45">
        <v>7</v>
      </c>
      <c r="Q36" s="46">
        <v>2</v>
      </c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190</v>
      </c>
      <c r="G42" s="45">
        <v>11</v>
      </c>
      <c r="H42" s="45">
        <v>1</v>
      </c>
      <c r="I42" s="45">
        <v>14</v>
      </c>
      <c r="J42" s="45"/>
      <c r="K42" s="45">
        <v>17</v>
      </c>
      <c r="L42" s="45">
        <v>2</v>
      </c>
      <c r="M42" s="45"/>
      <c r="N42" s="45">
        <v>1</v>
      </c>
      <c r="O42" s="45">
        <v>5</v>
      </c>
      <c r="P42" s="45">
        <v>7</v>
      </c>
      <c r="Q42" s="46">
        <v>2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  <row r="44" spans="2:26" x14ac:dyDescent="0.25">
      <c r="B44" s="90" t="s">
        <v>91</v>
      </c>
      <c r="C44" s="106">
        <f>7+5+6+5+237</f>
        <v>260</v>
      </c>
      <c r="D44" s="106"/>
      <c r="E44" s="106"/>
    </row>
    <row r="45" spans="2:26" x14ac:dyDescent="0.25">
      <c r="B45" s="90" t="s">
        <v>92</v>
      </c>
      <c r="C45" s="106">
        <f>2</f>
        <v>2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341D8-66EA-41A4-83CB-B11CEEFC84AE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A42CE-7D78-4765-BE8D-55244501BA2E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1" width="5.7109375" style="2" customWidth="1"/>
    <col min="12" max="12" width="8" style="2" bestFit="1" customWidth="1"/>
    <col min="1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159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3</v>
      </c>
      <c r="E8" s="15"/>
      <c r="F8" s="15">
        <v>2</v>
      </c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4</v>
      </c>
      <c r="V8" s="15"/>
      <c r="W8" s="15">
        <v>5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0</v>
      </c>
      <c r="D15" s="24">
        <v>1</v>
      </c>
      <c r="E15" s="24"/>
      <c r="F15" s="24">
        <v>0</v>
      </c>
      <c r="G15" s="24"/>
      <c r="H15" s="24" t="s">
        <v>175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1</v>
      </c>
      <c r="V15" s="24"/>
      <c r="W15" s="24">
        <v>0</v>
      </c>
      <c r="X15" s="64"/>
      <c r="Y15" s="25"/>
    </row>
    <row r="16" spans="2:30" ht="18" customHeight="1" thickBot="1" x14ac:dyDescent="0.3">
      <c r="B16" s="26" t="s">
        <v>26</v>
      </c>
      <c r="C16" s="60">
        <v>1</v>
      </c>
      <c r="D16" s="61">
        <v>2</v>
      </c>
      <c r="E16" s="28"/>
      <c r="F16" s="28">
        <v>2</v>
      </c>
      <c r="G16" s="29"/>
      <c r="H16" s="67" t="s">
        <v>174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3</v>
      </c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40</v>
      </c>
      <c r="I24" s="15"/>
      <c r="J24" s="15">
        <v>61</v>
      </c>
      <c r="K24" s="15"/>
      <c r="L24" s="15" t="s">
        <v>177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40</v>
      </c>
      <c r="I32" s="29"/>
      <c r="J32" s="29">
        <v>61</v>
      </c>
      <c r="K32" s="29"/>
      <c r="L32" s="29" t="s">
        <v>176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2</v>
      </c>
      <c r="F36" s="45">
        <v>369</v>
      </c>
      <c r="G36" s="45">
        <v>3</v>
      </c>
      <c r="H36" s="45">
        <v>5</v>
      </c>
      <c r="I36" s="45">
        <v>2</v>
      </c>
      <c r="J36" s="45"/>
      <c r="K36" s="45"/>
      <c r="L36" s="45">
        <v>62</v>
      </c>
      <c r="M36" s="45">
        <v>10</v>
      </c>
      <c r="N36" s="45">
        <v>22</v>
      </c>
      <c r="O36" s="45">
        <v>3</v>
      </c>
      <c r="P36" s="45"/>
      <c r="Q36" s="46">
        <v>23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</v>
      </c>
      <c r="F42" s="45">
        <v>369</v>
      </c>
      <c r="G42" s="45">
        <v>3</v>
      </c>
      <c r="H42" s="45">
        <v>5</v>
      </c>
      <c r="I42" s="45">
        <v>2</v>
      </c>
      <c r="J42" s="45"/>
      <c r="K42" s="45"/>
      <c r="L42" s="45">
        <v>62</v>
      </c>
      <c r="M42" s="45">
        <v>10</v>
      </c>
      <c r="N42" s="45">
        <v>22</v>
      </c>
      <c r="O42" s="45">
        <v>3</v>
      </c>
      <c r="P42" s="45"/>
      <c r="Q42" s="46">
        <v>23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1+2+2+2+3+5+40+61+323</f>
        <v>439</v>
      </c>
      <c r="D44" s="106"/>
      <c r="E44" s="106"/>
    </row>
    <row r="45" spans="2:26" x14ac:dyDescent="0.25">
      <c r="B45" s="90" t="s">
        <v>92</v>
      </c>
      <c r="C45" s="106">
        <f>13+2</f>
        <v>15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4C42E-96EC-4ABD-A3A0-D519F2A74D9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179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>
        <v>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67" t="s">
        <v>178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34</v>
      </c>
      <c r="I24" s="15"/>
      <c r="J24" s="15">
        <v>1</v>
      </c>
      <c r="K24" s="15">
        <v>11</v>
      </c>
      <c r="L24" s="15">
        <v>351</v>
      </c>
      <c r="M24" s="15"/>
      <c r="N24" s="15"/>
      <c r="O24" s="15"/>
      <c r="P24" s="15"/>
      <c r="Q24" s="15" t="s">
        <v>109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34</v>
      </c>
      <c r="I31" s="24"/>
      <c r="J31" s="24">
        <v>0</v>
      </c>
      <c r="K31" s="24">
        <v>6</v>
      </c>
      <c r="L31" s="24">
        <v>42</v>
      </c>
      <c r="M31" s="24"/>
      <c r="N31" s="24"/>
      <c r="O31" s="24"/>
      <c r="P31" s="24"/>
      <c r="Q31" s="24" t="s">
        <v>109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0</v>
      </c>
      <c r="I32" s="29"/>
      <c r="J32" s="29">
        <v>1</v>
      </c>
      <c r="K32" s="29">
        <v>5</v>
      </c>
      <c r="L32" s="29">
        <v>309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286</v>
      </c>
      <c r="G36" s="45">
        <v>1</v>
      </c>
      <c r="H36" s="45">
        <v>2</v>
      </c>
      <c r="I36" s="45">
        <v>6</v>
      </c>
      <c r="J36" s="45"/>
      <c r="K36" s="45">
        <v>11</v>
      </c>
      <c r="L36" s="45">
        <v>1</v>
      </c>
      <c r="M36" s="45">
        <v>1</v>
      </c>
      <c r="N36" s="45"/>
      <c r="O36" s="45">
        <v>4</v>
      </c>
      <c r="P36" s="45">
        <v>1</v>
      </c>
      <c r="Q36" s="46">
        <v>15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286</v>
      </c>
      <c r="G42" s="45">
        <v>1</v>
      </c>
      <c r="H42" s="45">
        <v>2</v>
      </c>
      <c r="I42" s="45">
        <v>6</v>
      </c>
      <c r="J42" s="45"/>
      <c r="K42" s="45">
        <v>11</v>
      </c>
      <c r="L42" s="45">
        <v>1</v>
      </c>
      <c r="M42" s="45">
        <v>1</v>
      </c>
      <c r="N42" s="45"/>
      <c r="O42" s="45">
        <v>4</v>
      </c>
      <c r="P42" s="45">
        <v>1</v>
      </c>
      <c r="Q42" s="46">
        <v>15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1+6+1+5+309</f>
        <v>322</v>
      </c>
      <c r="D44" s="106"/>
      <c r="E44" s="106"/>
    </row>
    <row r="45" spans="2:25" x14ac:dyDescent="0.25">
      <c r="B45" s="90" t="s">
        <v>92</v>
      </c>
      <c r="C45" s="106">
        <f>15</f>
        <v>15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B2912-0C78-4270-95A3-8492F7A093A1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182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3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180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3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50</v>
      </c>
      <c r="I24" s="15"/>
      <c r="J24" s="15">
        <v>2</v>
      </c>
      <c r="K24" s="15">
        <v>10</v>
      </c>
      <c r="L24" s="15">
        <v>469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20</v>
      </c>
      <c r="I31" s="24"/>
      <c r="J31" s="24">
        <v>2</v>
      </c>
      <c r="K31" s="24">
        <v>2</v>
      </c>
      <c r="L31" s="24">
        <v>141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30</v>
      </c>
      <c r="I32" s="29"/>
      <c r="J32" s="29">
        <v>0</v>
      </c>
      <c r="K32" s="29">
        <v>8</v>
      </c>
      <c r="L32" s="29">
        <v>328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387</v>
      </c>
      <c r="G36" s="45">
        <v>10</v>
      </c>
      <c r="H36" s="45">
        <v>2</v>
      </c>
      <c r="I36" s="45">
        <v>3</v>
      </c>
      <c r="J36" s="45">
        <v>1</v>
      </c>
      <c r="K36" s="45">
        <v>11</v>
      </c>
      <c r="L36" s="45">
        <v>1</v>
      </c>
      <c r="M36" s="45">
        <v>1</v>
      </c>
      <c r="N36" s="45">
        <v>9</v>
      </c>
      <c r="O36" s="45">
        <v>7</v>
      </c>
      <c r="P36" s="45">
        <v>3</v>
      </c>
      <c r="Q36" s="46">
        <v>11</v>
      </c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387</v>
      </c>
      <c r="G42" s="45">
        <v>10</v>
      </c>
      <c r="H42" s="45">
        <v>2</v>
      </c>
      <c r="I42" s="45">
        <v>3</v>
      </c>
      <c r="J42" s="45">
        <v>1</v>
      </c>
      <c r="K42" s="45">
        <v>11</v>
      </c>
      <c r="L42" s="45">
        <v>1</v>
      </c>
      <c r="M42" s="45">
        <v>1</v>
      </c>
      <c r="N42" s="45">
        <v>9</v>
      </c>
      <c r="O42" s="45">
        <v>7</v>
      </c>
      <c r="P42" s="45">
        <v>3</v>
      </c>
      <c r="Q42" s="46">
        <v>11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06">
        <f>8+3+30+8+328</f>
        <v>377</v>
      </c>
      <c r="D44" s="106"/>
      <c r="E44" s="106"/>
    </row>
    <row r="45" spans="2:26" x14ac:dyDescent="0.25">
      <c r="B45" s="90" t="s">
        <v>92</v>
      </c>
      <c r="C45" s="106">
        <f>12</f>
        <v>12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D0A94-0F87-4D0A-A465-7186B1BFDB66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A7920-81D6-47B6-B4F1-EE7B53DE39E0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160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/>
      <c r="D44" s="106"/>
      <c r="E44" s="106"/>
    </row>
    <row r="45" spans="2:26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6F24A-9786-4922-97EF-9A2ABC6360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/>
      <c r="D44" s="106"/>
      <c r="E44" s="106"/>
    </row>
    <row r="45" spans="2:25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4664F-D235-4C29-9E23-8E8432606D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06"/>
      <c r="D44" s="106"/>
      <c r="E44" s="106"/>
    </row>
    <row r="45" spans="2:26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B8E1-271B-445E-96F1-067FC19C5DB0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0EAC4-9A0A-499D-B3B9-D2082C91A596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161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/>
      <c r="D44" s="106"/>
      <c r="E44" s="106"/>
    </row>
    <row r="45" spans="2:26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A559E-413D-45ED-87E4-AF2D322D8F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/>
      <c r="D44" s="106"/>
      <c r="E44" s="106"/>
    </row>
    <row r="45" spans="2:25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23BCE-4B73-4409-9EB7-B065E47043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06"/>
      <c r="D44" s="106"/>
      <c r="E44" s="106"/>
    </row>
    <row r="45" spans="2:26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57</vt:i4>
      </vt:variant>
      <vt:variant>
        <vt:lpstr>Named Ranges</vt:lpstr>
      </vt:variant>
      <vt:variant>
        <vt:i4>56</vt:i4>
      </vt:variant>
    </vt:vector>
  </HeadingPairs>
  <TitlesOfParts>
    <vt:vector size="113" baseType="lpstr">
      <vt:lpstr>CSR | FEBRUARY</vt:lpstr>
      <vt:lpstr>(2)</vt:lpstr>
      <vt:lpstr>02-02 R1</vt:lpstr>
      <vt:lpstr>02-02 R2</vt:lpstr>
      <vt:lpstr>02-02 R3</vt:lpstr>
      <vt:lpstr>(3)</vt:lpstr>
      <vt:lpstr>02-03 R1</vt:lpstr>
      <vt:lpstr>02-03 R2</vt:lpstr>
      <vt:lpstr>02-03 R3</vt:lpstr>
      <vt:lpstr>(4)</vt:lpstr>
      <vt:lpstr>02-04 R1</vt:lpstr>
      <vt:lpstr>02-04 R2</vt:lpstr>
      <vt:lpstr>02-04 R3</vt:lpstr>
      <vt:lpstr>(5)</vt:lpstr>
      <vt:lpstr>02-05 R1</vt:lpstr>
      <vt:lpstr>02-05 R2</vt:lpstr>
      <vt:lpstr>02-05 R3</vt:lpstr>
      <vt:lpstr>(6)</vt:lpstr>
      <vt:lpstr>02-06 R1</vt:lpstr>
      <vt:lpstr>02-06 R2</vt:lpstr>
      <vt:lpstr>02-06 R3 NO TRIP</vt:lpstr>
      <vt:lpstr>(7)</vt:lpstr>
      <vt:lpstr>02-07 R1</vt:lpstr>
      <vt:lpstr>02-07 R2</vt:lpstr>
      <vt:lpstr>02-07 R3</vt:lpstr>
      <vt:lpstr>(9)</vt:lpstr>
      <vt:lpstr>02-09 R1</vt:lpstr>
      <vt:lpstr>02-09 R2</vt:lpstr>
      <vt:lpstr>02-09 R3</vt:lpstr>
      <vt:lpstr>(10)</vt:lpstr>
      <vt:lpstr>02-10 R1</vt:lpstr>
      <vt:lpstr>02-10 R2</vt:lpstr>
      <vt:lpstr>02-10 R3</vt:lpstr>
      <vt:lpstr>(11)</vt:lpstr>
      <vt:lpstr>02-11 R1</vt:lpstr>
      <vt:lpstr>02-11 R2</vt:lpstr>
      <vt:lpstr>02-11 R3</vt:lpstr>
      <vt:lpstr>(12)</vt:lpstr>
      <vt:lpstr>02-12 R1</vt:lpstr>
      <vt:lpstr>02-12 R2</vt:lpstr>
      <vt:lpstr>02-12 R3</vt:lpstr>
      <vt:lpstr>(13)</vt:lpstr>
      <vt:lpstr>02-13 R1 NO TRIP</vt:lpstr>
      <vt:lpstr>02-13 R2</vt:lpstr>
      <vt:lpstr>02-13 R3</vt:lpstr>
      <vt:lpstr>(14)</vt:lpstr>
      <vt:lpstr>02-14 R1</vt:lpstr>
      <vt:lpstr>02-14 R2</vt:lpstr>
      <vt:lpstr>02-14 R3</vt:lpstr>
      <vt:lpstr>(16)</vt:lpstr>
      <vt:lpstr>02-16 R1</vt:lpstr>
      <vt:lpstr>02-16 R2</vt:lpstr>
      <vt:lpstr>02-16 R3</vt:lpstr>
      <vt:lpstr>(17)</vt:lpstr>
      <vt:lpstr>02-17 R1</vt:lpstr>
      <vt:lpstr>02-17 R2</vt:lpstr>
      <vt:lpstr>02-17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'02-02 R1'!Print_Area</vt:lpstr>
      <vt:lpstr>'02-02 R2'!Print_Area</vt:lpstr>
      <vt:lpstr>'02-02 R3'!Print_Area</vt:lpstr>
      <vt:lpstr>'02-03 R1'!Print_Area</vt:lpstr>
      <vt:lpstr>'02-03 R2'!Print_Area</vt:lpstr>
      <vt:lpstr>'02-03 R3'!Print_Area</vt:lpstr>
      <vt:lpstr>'02-04 R1'!Print_Area</vt:lpstr>
      <vt:lpstr>'02-04 R2'!Print_Area</vt:lpstr>
      <vt:lpstr>'02-04 R3'!Print_Area</vt:lpstr>
      <vt:lpstr>'02-05 R1'!Print_Area</vt:lpstr>
      <vt:lpstr>'02-05 R2'!Print_Area</vt:lpstr>
      <vt:lpstr>'02-05 R3'!Print_Area</vt:lpstr>
      <vt:lpstr>'02-06 R1'!Print_Area</vt:lpstr>
      <vt:lpstr>'02-06 R2'!Print_Area</vt:lpstr>
      <vt:lpstr>'02-06 R3 NO TRIP'!Print_Area</vt:lpstr>
      <vt:lpstr>'02-07 R1'!Print_Area</vt:lpstr>
      <vt:lpstr>'02-07 R2'!Print_Area</vt:lpstr>
      <vt:lpstr>'02-07 R3'!Print_Area</vt:lpstr>
      <vt:lpstr>'02-09 R1'!Print_Area</vt:lpstr>
      <vt:lpstr>'02-09 R2'!Print_Area</vt:lpstr>
      <vt:lpstr>'02-09 R3'!Print_Area</vt:lpstr>
      <vt:lpstr>'02-10 R1'!Print_Area</vt:lpstr>
      <vt:lpstr>'02-10 R2'!Print_Area</vt:lpstr>
      <vt:lpstr>'02-10 R3'!Print_Area</vt:lpstr>
      <vt:lpstr>'02-11 R1'!Print_Area</vt:lpstr>
      <vt:lpstr>'02-11 R2'!Print_Area</vt:lpstr>
      <vt:lpstr>'02-11 R3'!Print_Area</vt:lpstr>
      <vt:lpstr>'02-12 R1'!Print_Area</vt:lpstr>
      <vt:lpstr>'02-12 R2'!Print_Area</vt:lpstr>
      <vt:lpstr>'02-12 R3'!Print_Area</vt:lpstr>
      <vt:lpstr>'02-13 R1 NO TRIP'!Print_Area</vt:lpstr>
      <vt:lpstr>'02-13 R2'!Print_Area</vt:lpstr>
      <vt:lpstr>'02-13 R3'!Print_Area</vt:lpstr>
      <vt:lpstr>'02-14 R1'!Print_Area</vt:lpstr>
      <vt:lpstr>'02-14 R2'!Print_Area</vt:lpstr>
      <vt:lpstr>'02-14 R3'!Print_Area</vt:lpstr>
      <vt:lpstr>'02-16 R1'!Print_Area</vt:lpstr>
      <vt:lpstr>'02-16 R2'!Print_Area</vt:lpstr>
      <vt:lpstr>'02-16 R3'!Print_Area</vt:lpstr>
      <vt:lpstr>'02-17 R1'!Print_Area</vt:lpstr>
      <vt:lpstr>'02-17 R2'!Print_Area</vt:lpstr>
      <vt:lpstr>'02-17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2026-02-02T09:03:39Z</cp:lastPrinted>
  <dcterms:created xsi:type="dcterms:W3CDTF">2024-09-01T22:48:10Z</dcterms:created>
  <dcterms:modified xsi:type="dcterms:W3CDTF">2026-02-15T23:31:39Z</dcterms:modified>
</cp:coreProperties>
</file>