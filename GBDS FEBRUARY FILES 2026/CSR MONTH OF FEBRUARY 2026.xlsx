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C8621C82-20D6-4112-B8D7-80BA5453BC39}" xr6:coauthVersionLast="45" xr6:coauthVersionMax="45" xr10:uidLastSave="{00000000-0000-0000-0000-000000000000}"/>
  <bookViews>
    <workbookView xWindow="-120" yWindow="-120" windowWidth="29040" windowHeight="15840" firstSheet="53" activeTab="60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  <sheet name="(18)" sheetId="1412" r:id="rId58"/>
    <sheet name="02-18 R1 NO TRIP" sheetId="1413" r:id="rId59"/>
    <sheet name="02-18 R2" sheetId="1414" r:id="rId60"/>
    <sheet name="02-18 R3" sheetId="1415" r:id="rId61"/>
    <sheet name="(19)" sheetId="1416" r:id="rId62"/>
    <sheet name="02-19 R1" sheetId="1417" r:id="rId63"/>
    <sheet name="02-19 R2" sheetId="1418" r:id="rId64"/>
    <sheet name="02-19 R3" sheetId="1419" r:id="rId65"/>
    <sheet name="(20)" sheetId="1420" r:id="rId66"/>
    <sheet name="02-20 R1" sheetId="1421" r:id="rId67"/>
    <sheet name="02-20 R2" sheetId="1422" r:id="rId68"/>
    <sheet name="02-20 R3" sheetId="1423" r:id="rId69"/>
    <sheet name="(21)" sheetId="1424" r:id="rId70"/>
    <sheet name="02-21 R1" sheetId="1425" r:id="rId71"/>
    <sheet name="02-21 R2" sheetId="1426" r:id="rId72"/>
    <sheet name="02-21 R3" sheetId="1427" r:id="rId73"/>
    <sheet name="(23)" sheetId="1428" r:id="rId74"/>
    <sheet name="02-23 R1" sheetId="1429" r:id="rId75"/>
    <sheet name="02-23 R2" sheetId="1430" r:id="rId76"/>
    <sheet name="02-23 R3" sheetId="1431" r:id="rId77"/>
  </sheets>
  <externalReferences>
    <externalReference r:id="rId7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57">'(18)'!$A$1:$Z$44</definedName>
    <definedName name="_xlnm.Print_Area" localSheetId="61">'(19)'!$A$1:$Z$44</definedName>
    <definedName name="_xlnm.Print_Area" localSheetId="1">'(2)'!$A$1:$V$44</definedName>
    <definedName name="_xlnm.Print_Area" localSheetId="65">'(20)'!$A$1:$Z$44</definedName>
    <definedName name="_xlnm.Print_Area" localSheetId="69">'(21)'!$A$1:$Z$44</definedName>
    <definedName name="_xlnm.Print_Area" localSheetId="73">'(23)'!$A$1:$Z$44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  <definedName name="_xlnm.Print_Area" localSheetId="58">'02-18 R1 NO TRIP'!$A$1:$Z$43</definedName>
    <definedName name="_xlnm.Print_Area" localSheetId="59">'02-18 R2'!$A$1:$V$44</definedName>
    <definedName name="_xlnm.Print_Area" localSheetId="60">'02-18 R3'!$A$1:$V$44</definedName>
    <definedName name="_xlnm.Print_Area" localSheetId="62">'02-19 R1'!$A$1:$Z$43</definedName>
    <definedName name="_xlnm.Print_Area" localSheetId="63">'02-19 R2'!$A$1:$V$44</definedName>
    <definedName name="_xlnm.Print_Area" localSheetId="64">'02-19 R3'!$A$1:$V$44</definedName>
    <definedName name="_xlnm.Print_Area" localSheetId="66">'02-20 R1'!$A$1:$Z$43</definedName>
    <definedName name="_xlnm.Print_Area" localSheetId="67">'02-20 R2'!$A$1:$V$44</definedName>
    <definedName name="_xlnm.Print_Area" localSheetId="68">'02-20 R3'!$A$1:$V$44</definedName>
    <definedName name="_xlnm.Print_Area" localSheetId="70">'02-21 R1'!$A$1:$Z$43</definedName>
    <definedName name="_xlnm.Print_Area" localSheetId="71">'02-21 R2'!$A$1:$V$44</definedName>
    <definedName name="_xlnm.Print_Area" localSheetId="72">'02-21 R3'!$A$1:$V$44</definedName>
    <definedName name="_xlnm.Print_Area" localSheetId="74">'02-23 R1'!$A$1:$Z$43</definedName>
    <definedName name="_xlnm.Print_Area" localSheetId="75">'02-23 R2'!$A$1:$V$44</definedName>
    <definedName name="_xlnm.Print_Area" localSheetId="76">'02-23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415" l="1"/>
  <c r="C45" i="1414"/>
  <c r="C44" i="1414"/>
  <c r="C45" i="1411" l="1"/>
  <c r="C44" i="1411"/>
  <c r="C45" i="1410"/>
  <c r="C44" i="1410"/>
  <c r="F21" i="1431" l="1"/>
  <c r="Y19" i="1431"/>
  <c r="W19" i="1431"/>
  <c r="V19" i="1431"/>
  <c r="U19" i="1431"/>
  <c r="T19" i="1431"/>
  <c r="P19" i="1431"/>
  <c r="O19" i="1431"/>
  <c r="N19" i="1431"/>
  <c r="M19" i="1431"/>
  <c r="L19" i="1431"/>
  <c r="K19" i="1431"/>
  <c r="J19" i="1431"/>
  <c r="I19" i="1431"/>
  <c r="H19" i="1431"/>
  <c r="G19" i="1431"/>
  <c r="F19" i="1431"/>
  <c r="E19" i="1431"/>
  <c r="D19" i="1431"/>
  <c r="C19" i="1431"/>
  <c r="Y18" i="1431"/>
  <c r="W18" i="1431"/>
  <c r="V18" i="1431"/>
  <c r="U18" i="1431"/>
  <c r="T18" i="1431"/>
  <c r="P18" i="1431"/>
  <c r="O18" i="1431"/>
  <c r="N18" i="1431"/>
  <c r="M18" i="1431"/>
  <c r="L18" i="1431"/>
  <c r="K18" i="1431"/>
  <c r="J18" i="1431"/>
  <c r="I18" i="1431"/>
  <c r="H18" i="1431"/>
  <c r="G18" i="1431"/>
  <c r="F18" i="1431"/>
  <c r="E18" i="1431"/>
  <c r="D18" i="1431"/>
  <c r="C18" i="1431"/>
  <c r="Y4" i="1431"/>
  <c r="W4" i="1431"/>
  <c r="V4" i="1431"/>
  <c r="U4" i="1431"/>
  <c r="T4" i="1431"/>
  <c r="P4" i="1431"/>
  <c r="O4" i="1431"/>
  <c r="N4" i="1431"/>
  <c r="M4" i="1431"/>
  <c r="L4" i="1431"/>
  <c r="K4" i="1431"/>
  <c r="J4" i="1431"/>
  <c r="I4" i="1431"/>
  <c r="H4" i="1431"/>
  <c r="G4" i="1431"/>
  <c r="F4" i="1431"/>
  <c r="E4" i="1431"/>
  <c r="D4" i="1431"/>
  <c r="C4" i="1431"/>
  <c r="Y3" i="1431"/>
  <c r="W3" i="1431"/>
  <c r="V3" i="1431"/>
  <c r="U3" i="1431"/>
  <c r="T3" i="1431"/>
  <c r="P3" i="1431"/>
  <c r="O3" i="1431"/>
  <c r="N3" i="1431"/>
  <c r="M3" i="1431"/>
  <c r="L3" i="1431"/>
  <c r="K3" i="1431"/>
  <c r="J3" i="1431"/>
  <c r="I3" i="1431"/>
  <c r="H3" i="1431"/>
  <c r="G3" i="1431"/>
  <c r="F3" i="1431"/>
  <c r="E3" i="1431"/>
  <c r="D3" i="1431"/>
  <c r="C3" i="1431"/>
  <c r="F21" i="1430"/>
  <c r="Y19" i="1430"/>
  <c r="W19" i="1430"/>
  <c r="V19" i="1430"/>
  <c r="U19" i="1430"/>
  <c r="T19" i="1430"/>
  <c r="P19" i="1430"/>
  <c r="O19" i="1430"/>
  <c r="N19" i="1430"/>
  <c r="M19" i="1430"/>
  <c r="L19" i="1430"/>
  <c r="K19" i="1430"/>
  <c r="J19" i="1430"/>
  <c r="I19" i="1430"/>
  <c r="H19" i="1430"/>
  <c r="G19" i="1430"/>
  <c r="F19" i="1430"/>
  <c r="E19" i="1430"/>
  <c r="D19" i="1430"/>
  <c r="C19" i="1430"/>
  <c r="Y18" i="1430"/>
  <c r="W18" i="1430"/>
  <c r="V18" i="1430"/>
  <c r="U18" i="1430"/>
  <c r="T18" i="1430"/>
  <c r="P18" i="1430"/>
  <c r="O18" i="1430"/>
  <c r="N18" i="1430"/>
  <c r="M18" i="1430"/>
  <c r="L18" i="1430"/>
  <c r="K18" i="1430"/>
  <c r="J18" i="1430"/>
  <c r="I18" i="1430"/>
  <c r="H18" i="1430"/>
  <c r="G18" i="1430"/>
  <c r="F18" i="1430"/>
  <c r="E18" i="1430"/>
  <c r="D18" i="1430"/>
  <c r="C18" i="1430"/>
  <c r="Y4" i="1430"/>
  <c r="W4" i="1430"/>
  <c r="V4" i="1430"/>
  <c r="U4" i="1430"/>
  <c r="T4" i="1430"/>
  <c r="P4" i="1430"/>
  <c r="O4" i="1430"/>
  <c r="N4" i="1430"/>
  <c r="M4" i="1430"/>
  <c r="L4" i="1430"/>
  <c r="K4" i="1430"/>
  <c r="J4" i="1430"/>
  <c r="I4" i="1430"/>
  <c r="H4" i="1430"/>
  <c r="G4" i="1430"/>
  <c r="F4" i="1430"/>
  <c r="E4" i="1430"/>
  <c r="D4" i="1430"/>
  <c r="C4" i="1430"/>
  <c r="Y3" i="1430"/>
  <c r="W3" i="1430"/>
  <c r="V3" i="1430"/>
  <c r="U3" i="1430"/>
  <c r="T3" i="1430"/>
  <c r="P3" i="1430"/>
  <c r="O3" i="1430"/>
  <c r="N3" i="1430"/>
  <c r="M3" i="1430"/>
  <c r="L3" i="1430"/>
  <c r="K3" i="1430"/>
  <c r="J3" i="1430"/>
  <c r="I3" i="1430"/>
  <c r="H3" i="1430"/>
  <c r="G3" i="1430"/>
  <c r="F3" i="1430"/>
  <c r="E3" i="1430"/>
  <c r="D3" i="1430"/>
  <c r="C3" i="1430"/>
  <c r="F21" i="1429"/>
  <c r="Y19" i="1429"/>
  <c r="W19" i="1429"/>
  <c r="V19" i="1429"/>
  <c r="U19" i="1429"/>
  <c r="T19" i="1429"/>
  <c r="P19" i="1429"/>
  <c r="O19" i="1429"/>
  <c r="N19" i="1429"/>
  <c r="M19" i="1429"/>
  <c r="L19" i="1429"/>
  <c r="K19" i="1429"/>
  <c r="J19" i="1429"/>
  <c r="I19" i="1429"/>
  <c r="H19" i="1429"/>
  <c r="G19" i="1429"/>
  <c r="F19" i="1429"/>
  <c r="E19" i="1429"/>
  <c r="D19" i="1429"/>
  <c r="C19" i="1429"/>
  <c r="Y18" i="1429"/>
  <c r="W18" i="1429"/>
  <c r="V18" i="1429"/>
  <c r="U18" i="1429"/>
  <c r="T18" i="1429"/>
  <c r="P18" i="1429"/>
  <c r="O18" i="1429"/>
  <c r="N18" i="1429"/>
  <c r="M18" i="1429"/>
  <c r="L18" i="1429"/>
  <c r="K18" i="1429"/>
  <c r="J18" i="1429"/>
  <c r="I18" i="1429"/>
  <c r="H18" i="1429"/>
  <c r="G18" i="1429"/>
  <c r="F18" i="1429"/>
  <c r="E18" i="1429"/>
  <c r="D18" i="1429"/>
  <c r="C18" i="1429"/>
  <c r="Y4" i="1429"/>
  <c r="W4" i="1429"/>
  <c r="V4" i="1429"/>
  <c r="U4" i="1429"/>
  <c r="T4" i="1429"/>
  <c r="P4" i="1429"/>
  <c r="O4" i="1429"/>
  <c r="N4" i="1429"/>
  <c r="M4" i="1429"/>
  <c r="L4" i="1429"/>
  <c r="K4" i="1429"/>
  <c r="J4" i="1429"/>
  <c r="I4" i="1429"/>
  <c r="H4" i="1429"/>
  <c r="G4" i="1429"/>
  <c r="F4" i="1429"/>
  <c r="E4" i="1429"/>
  <c r="D4" i="1429"/>
  <c r="C4" i="1429"/>
  <c r="Y3" i="1429"/>
  <c r="W3" i="1429"/>
  <c r="V3" i="1429"/>
  <c r="U3" i="1429"/>
  <c r="T3" i="1429"/>
  <c r="P3" i="1429"/>
  <c r="O3" i="1429"/>
  <c r="N3" i="1429"/>
  <c r="M3" i="1429"/>
  <c r="L3" i="1429"/>
  <c r="K3" i="1429"/>
  <c r="J3" i="1429"/>
  <c r="I3" i="1429"/>
  <c r="H3" i="1429"/>
  <c r="G3" i="1429"/>
  <c r="F3" i="1429"/>
  <c r="E3" i="1429"/>
  <c r="D3" i="1429"/>
  <c r="C3" i="1429"/>
  <c r="F21" i="1428"/>
  <c r="Y19" i="1428"/>
  <c r="W19" i="1428"/>
  <c r="V19" i="1428"/>
  <c r="U19" i="1428"/>
  <c r="T19" i="1428"/>
  <c r="P19" i="1428"/>
  <c r="O19" i="1428"/>
  <c r="N19" i="1428"/>
  <c r="M19" i="1428"/>
  <c r="L19" i="1428"/>
  <c r="K19" i="1428"/>
  <c r="J19" i="1428"/>
  <c r="I19" i="1428"/>
  <c r="H19" i="1428"/>
  <c r="G19" i="1428"/>
  <c r="F19" i="1428"/>
  <c r="E19" i="1428"/>
  <c r="D19" i="1428"/>
  <c r="C19" i="1428"/>
  <c r="Y18" i="1428"/>
  <c r="W18" i="1428"/>
  <c r="V18" i="1428"/>
  <c r="U18" i="1428"/>
  <c r="T18" i="1428"/>
  <c r="P18" i="1428"/>
  <c r="O18" i="1428"/>
  <c r="N18" i="1428"/>
  <c r="M18" i="1428"/>
  <c r="L18" i="1428"/>
  <c r="K18" i="1428"/>
  <c r="J18" i="1428"/>
  <c r="I18" i="1428"/>
  <c r="H18" i="1428"/>
  <c r="G18" i="1428"/>
  <c r="F18" i="1428"/>
  <c r="E18" i="1428"/>
  <c r="D18" i="1428"/>
  <c r="C18" i="1428"/>
  <c r="Y4" i="1428"/>
  <c r="W4" i="1428"/>
  <c r="V4" i="1428"/>
  <c r="U4" i="1428"/>
  <c r="T4" i="1428"/>
  <c r="P4" i="1428"/>
  <c r="O4" i="1428"/>
  <c r="N4" i="1428"/>
  <c r="M4" i="1428"/>
  <c r="L4" i="1428"/>
  <c r="K4" i="1428"/>
  <c r="J4" i="1428"/>
  <c r="I4" i="1428"/>
  <c r="H4" i="1428"/>
  <c r="G4" i="1428"/>
  <c r="F4" i="1428"/>
  <c r="E4" i="1428"/>
  <c r="D4" i="1428"/>
  <c r="C4" i="1428"/>
  <c r="Y3" i="1428"/>
  <c r="W3" i="1428"/>
  <c r="V3" i="1428"/>
  <c r="U3" i="1428"/>
  <c r="T3" i="1428"/>
  <c r="P3" i="1428"/>
  <c r="O3" i="1428"/>
  <c r="N3" i="1428"/>
  <c r="M3" i="1428"/>
  <c r="L3" i="1428"/>
  <c r="K3" i="1428"/>
  <c r="J3" i="1428"/>
  <c r="I3" i="1428"/>
  <c r="H3" i="1428"/>
  <c r="G3" i="1428"/>
  <c r="F3" i="1428"/>
  <c r="E3" i="1428"/>
  <c r="D3" i="1428"/>
  <c r="C3" i="1428"/>
  <c r="F21" i="1427"/>
  <c r="Y19" i="1427"/>
  <c r="W19" i="1427"/>
  <c r="V19" i="1427"/>
  <c r="U19" i="1427"/>
  <c r="T19" i="1427"/>
  <c r="P19" i="1427"/>
  <c r="O19" i="1427"/>
  <c r="N19" i="1427"/>
  <c r="M19" i="1427"/>
  <c r="L19" i="1427"/>
  <c r="K19" i="1427"/>
  <c r="J19" i="1427"/>
  <c r="I19" i="1427"/>
  <c r="H19" i="1427"/>
  <c r="G19" i="1427"/>
  <c r="F19" i="1427"/>
  <c r="E19" i="1427"/>
  <c r="D19" i="1427"/>
  <c r="C19" i="1427"/>
  <c r="Y18" i="1427"/>
  <c r="W18" i="1427"/>
  <c r="V18" i="1427"/>
  <c r="U18" i="1427"/>
  <c r="T18" i="1427"/>
  <c r="P18" i="1427"/>
  <c r="O18" i="1427"/>
  <c r="N18" i="1427"/>
  <c r="M18" i="1427"/>
  <c r="L18" i="1427"/>
  <c r="K18" i="1427"/>
  <c r="J18" i="1427"/>
  <c r="I18" i="1427"/>
  <c r="H18" i="1427"/>
  <c r="G18" i="1427"/>
  <c r="F18" i="1427"/>
  <c r="E18" i="1427"/>
  <c r="D18" i="1427"/>
  <c r="C18" i="1427"/>
  <c r="Y4" i="1427"/>
  <c r="W4" i="1427"/>
  <c r="V4" i="1427"/>
  <c r="U4" i="1427"/>
  <c r="T4" i="1427"/>
  <c r="P4" i="1427"/>
  <c r="O4" i="1427"/>
  <c r="N4" i="1427"/>
  <c r="M4" i="1427"/>
  <c r="L4" i="1427"/>
  <c r="K4" i="1427"/>
  <c r="J4" i="1427"/>
  <c r="I4" i="1427"/>
  <c r="H4" i="1427"/>
  <c r="G4" i="1427"/>
  <c r="F4" i="1427"/>
  <c r="E4" i="1427"/>
  <c r="D4" i="1427"/>
  <c r="C4" i="1427"/>
  <c r="Y3" i="1427"/>
  <c r="W3" i="1427"/>
  <c r="V3" i="1427"/>
  <c r="U3" i="1427"/>
  <c r="T3" i="1427"/>
  <c r="P3" i="1427"/>
  <c r="O3" i="1427"/>
  <c r="N3" i="1427"/>
  <c r="M3" i="1427"/>
  <c r="L3" i="1427"/>
  <c r="K3" i="1427"/>
  <c r="J3" i="1427"/>
  <c r="I3" i="1427"/>
  <c r="H3" i="1427"/>
  <c r="G3" i="1427"/>
  <c r="F3" i="1427"/>
  <c r="E3" i="1427"/>
  <c r="D3" i="1427"/>
  <c r="C3" i="1427"/>
  <c r="F21" i="1426"/>
  <c r="Y19" i="1426"/>
  <c r="W19" i="1426"/>
  <c r="V19" i="1426"/>
  <c r="U19" i="1426"/>
  <c r="T19" i="1426"/>
  <c r="P19" i="1426"/>
  <c r="O19" i="1426"/>
  <c r="N19" i="1426"/>
  <c r="M19" i="1426"/>
  <c r="L19" i="1426"/>
  <c r="K19" i="1426"/>
  <c r="J19" i="1426"/>
  <c r="I19" i="1426"/>
  <c r="H19" i="1426"/>
  <c r="G19" i="1426"/>
  <c r="F19" i="1426"/>
  <c r="E19" i="1426"/>
  <c r="D19" i="1426"/>
  <c r="C19" i="1426"/>
  <c r="Y18" i="1426"/>
  <c r="W18" i="1426"/>
  <c r="V18" i="1426"/>
  <c r="U18" i="1426"/>
  <c r="T18" i="1426"/>
  <c r="P18" i="1426"/>
  <c r="O18" i="1426"/>
  <c r="N18" i="1426"/>
  <c r="M18" i="1426"/>
  <c r="L18" i="1426"/>
  <c r="K18" i="1426"/>
  <c r="J18" i="1426"/>
  <c r="I18" i="1426"/>
  <c r="H18" i="1426"/>
  <c r="G18" i="1426"/>
  <c r="F18" i="1426"/>
  <c r="E18" i="1426"/>
  <c r="D18" i="1426"/>
  <c r="C18" i="1426"/>
  <c r="Y4" i="1426"/>
  <c r="W4" i="1426"/>
  <c r="V4" i="1426"/>
  <c r="U4" i="1426"/>
  <c r="T4" i="1426"/>
  <c r="P4" i="1426"/>
  <c r="O4" i="1426"/>
  <c r="N4" i="1426"/>
  <c r="M4" i="1426"/>
  <c r="L4" i="1426"/>
  <c r="K4" i="1426"/>
  <c r="J4" i="1426"/>
  <c r="I4" i="1426"/>
  <c r="H4" i="1426"/>
  <c r="G4" i="1426"/>
  <c r="F4" i="1426"/>
  <c r="E4" i="1426"/>
  <c r="D4" i="1426"/>
  <c r="C4" i="1426"/>
  <c r="Y3" i="1426"/>
  <c r="W3" i="1426"/>
  <c r="V3" i="1426"/>
  <c r="U3" i="1426"/>
  <c r="T3" i="1426"/>
  <c r="P3" i="1426"/>
  <c r="O3" i="1426"/>
  <c r="N3" i="1426"/>
  <c r="M3" i="1426"/>
  <c r="L3" i="1426"/>
  <c r="K3" i="1426"/>
  <c r="J3" i="1426"/>
  <c r="I3" i="1426"/>
  <c r="H3" i="1426"/>
  <c r="G3" i="1426"/>
  <c r="F3" i="1426"/>
  <c r="E3" i="1426"/>
  <c r="D3" i="1426"/>
  <c r="C3" i="1426"/>
  <c r="F21" i="1425"/>
  <c r="Y19" i="1425"/>
  <c r="W19" i="1425"/>
  <c r="V19" i="1425"/>
  <c r="U19" i="1425"/>
  <c r="T19" i="1425"/>
  <c r="P19" i="1425"/>
  <c r="O19" i="1425"/>
  <c r="N19" i="1425"/>
  <c r="M19" i="1425"/>
  <c r="L19" i="1425"/>
  <c r="K19" i="1425"/>
  <c r="J19" i="1425"/>
  <c r="I19" i="1425"/>
  <c r="H19" i="1425"/>
  <c r="G19" i="1425"/>
  <c r="F19" i="1425"/>
  <c r="E19" i="1425"/>
  <c r="D19" i="1425"/>
  <c r="C19" i="1425"/>
  <c r="Y18" i="1425"/>
  <c r="W18" i="1425"/>
  <c r="V18" i="1425"/>
  <c r="U18" i="1425"/>
  <c r="T18" i="1425"/>
  <c r="P18" i="1425"/>
  <c r="O18" i="1425"/>
  <c r="N18" i="1425"/>
  <c r="M18" i="1425"/>
  <c r="L18" i="1425"/>
  <c r="K18" i="1425"/>
  <c r="J18" i="1425"/>
  <c r="I18" i="1425"/>
  <c r="H18" i="1425"/>
  <c r="G18" i="1425"/>
  <c r="F18" i="1425"/>
  <c r="E18" i="1425"/>
  <c r="D18" i="1425"/>
  <c r="C18" i="1425"/>
  <c r="Y4" i="1425"/>
  <c r="W4" i="1425"/>
  <c r="V4" i="1425"/>
  <c r="U4" i="1425"/>
  <c r="T4" i="1425"/>
  <c r="P4" i="1425"/>
  <c r="O4" i="1425"/>
  <c r="N4" i="1425"/>
  <c r="M4" i="1425"/>
  <c r="L4" i="1425"/>
  <c r="K4" i="1425"/>
  <c r="J4" i="1425"/>
  <c r="I4" i="1425"/>
  <c r="H4" i="1425"/>
  <c r="G4" i="1425"/>
  <c r="F4" i="1425"/>
  <c r="E4" i="1425"/>
  <c r="D4" i="1425"/>
  <c r="C4" i="1425"/>
  <c r="Y3" i="1425"/>
  <c r="W3" i="1425"/>
  <c r="V3" i="1425"/>
  <c r="U3" i="1425"/>
  <c r="T3" i="1425"/>
  <c r="P3" i="1425"/>
  <c r="O3" i="1425"/>
  <c r="N3" i="1425"/>
  <c r="M3" i="1425"/>
  <c r="L3" i="1425"/>
  <c r="K3" i="1425"/>
  <c r="J3" i="1425"/>
  <c r="I3" i="1425"/>
  <c r="H3" i="1425"/>
  <c r="G3" i="1425"/>
  <c r="F3" i="1425"/>
  <c r="E3" i="1425"/>
  <c r="D3" i="1425"/>
  <c r="C3" i="1425"/>
  <c r="F21" i="1424"/>
  <c r="Y19" i="1424"/>
  <c r="W19" i="1424"/>
  <c r="V19" i="1424"/>
  <c r="U19" i="1424"/>
  <c r="T19" i="1424"/>
  <c r="P19" i="1424"/>
  <c r="O19" i="1424"/>
  <c r="N19" i="1424"/>
  <c r="M19" i="1424"/>
  <c r="L19" i="1424"/>
  <c r="K19" i="1424"/>
  <c r="J19" i="1424"/>
  <c r="I19" i="1424"/>
  <c r="H19" i="1424"/>
  <c r="G19" i="1424"/>
  <c r="F19" i="1424"/>
  <c r="E19" i="1424"/>
  <c r="D19" i="1424"/>
  <c r="C19" i="1424"/>
  <c r="Y18" i="1424"/>
  <c r="W18" i="1424"/>
  <c r="V18" i="1424"/>
  <c r="U18" i="1424"/>
  <c r="T18" i="1424"/>
  <c r="P18" i="1424"/>
  <c r="O18" i="1424"/>
  <c r="N18" i="1424"/>
  <c r="M18" i="1424"/>
  <c r="L18" i="1424"/>
  <c r="K18" i="1424"/>
  <c r="J18" i="1424"/>
  <c r="I18" i="1424"/>
  <c r="H18" i="1424"/>
  <c r="G18" i="1424"/>
  <c r="F18" i="1424"/>
  <c r="E18" i="1424"/>
  <c r="D18" i="1424"/>
  <c r="C18" i="1424"/>
  <c r="Y4" i="1424"/>
  <c r="W4" i="1424"/>
  <c r="V4" i="1424"/>
  <c r="U4" i="1424"/>
  <c r="T4" i="1424"/>
  <c r="P4" i="1424"/>
  <c r="O4" i="1424"/>
  <c r="N4" i="1424"/>
  <c r="M4" i="1424"/>
  <c r="L4" i="1424"/>
  <c r="K4" i="1424"/>
  <c r="J4" i="1424"/>
  <c r="I4" i="1424"/>
  <c r="H4" i="1424"/>
  <c r="G4" i="1424"/>
  <c r="F4" i="1424"/>
  <c r="E4" i="1424"/>
  <c r="D4" i="1424"/>
  <c r="C4" i="1424"/>
  <c r="Y3" i="1424"/>
  <c r="W3" i="1424"/>
  <c r="V3" i="1424"/>
  <c r="U3" i="1424"/>
  <c r="T3" i="1424"/>
  <c r="P3" i="1424"/>
  <c r="O3" i="1424"/>
  <c r="N3" i="1424"/>
  <c r="M3" i="1424"/>
  <c r="L3" i="1424"/>
  <c r="K3" i="1424"/>
  <c r="J3" i="1424"/>
  <c r="I3" i="1424"/>
  <c r="H3" i="1424"/>
  <c r="G3" i="1424"/>
  <c r="F3" i="1424"/>
  <c r="E3" i="1424"/>
  <c r="D3" i="1424"/>
  <c r="C3" i="1424"/>
  <c r="F21" i="1423"/>
  <c r="Y19" i="1423"/>
  <c r="W19" i="1423"/>
  <c r="V19" i="1423"/>
  <c r="U19" i="1423"/>
  <c r="T19" i="1423"/>
  <c r="P19" i="1423"/>
  <c r="O19" i="1423"/>
  <c r="N19" i="1423"/>
  <c r="M19" i="1423"/>
  <c r="L19" i="1423"/>
  <c r="K19" i="1423"/>
  <c r="J19" i="1423"/>
  <c r="I19" i="1423"/>
  <c r="H19" i="1423"/>
  <c r="G19" i="1423"/>
  <c r="F19" i="1423"/>
  <c r="E19" i="1423"/>
  <c r="D19" i="1423"/>
  <c r="C19" i="1423"/>
  <c r="Y18" i="1423"/>
  <c r="W18" i="1423"/>
  <c r="V18" i="1423"/>
  <c r="U18" i="1423"/>
  <c r="T18" i="1423"/>
  <c r="P18" i="1423"/>
  <c r="O18" i="1423"/>
  <c r="N18" i="1423"/>
  <c r="M18" i="1423"/>
  <c r="L18" i="1423"/>
  <c r="K18" i="1423"/>
  <c r="J18" i="1423"/>
  <c r="I18" i="1423"/>
  <c r="H18" i="1423"/>
  <c r="G18" i="1423"/>
  <c r="F18" i="1423"/>
  <c r="E18" i="1423"/>
  <c r="D18" i="1423"/>
  <c r="C18" i="1423"/>
  <c r="Y4" i="1423"/>
  <c r="W4" i="1423"/>
  <c r="V4" i="1423"/>
  <c r="U4" i="1423"/>
  <c r="T4" i="1423"/>
  <c r="P4" i="1423"/>
  <c r="O4" i="1423"/>
  <c r="N4" i="1423"/>
  <c r="M4" i="1423"/>
  <c r="L4" i="1423"/>
  <c r="K4" i="1423"/>
  <c r="J4" i="1423"/>
  <c r="I4" i="1423"/>
  <c r="H4" i="1423"/>
  <c r="G4" i="1423"/>
  <c r="F4" i="1423"/>
  <c r="E4" i="1423"/>
  <c r="D4" i="1423"/>
  <c r="C4" i="1423"/>
  <c r="Y3" i="1423"/>
  <c r="W3" i="1423"/>
  <c r="V3" i="1423"/>
  <c r="U3" i="1423"/>
  <c r="T3" i="1423"/>
  <c r="P3" i="1423"/>
  <c r="O3" i="1423"/>
  <c r="N3" i="1423"/>
  <c r="M3" i="1423"/>
  <c r="L3" i="1423"/>
  <c r="K3" i="1423"/>
  <c r="J3" i="1423"/>
  <c r="I3" i="1423"/>
  <c r="H3" i="1423"/>
  <c r="G3" i="1423"/>
  <c r="F3" i="1423"/>
  <c r="E3" i="1423"/>
  <c r="D3" i="1423"/>
  <c r="C3" i="1423"/>
  <c r="F21" i="1422"/>
  <c r="Y19" i="1422"/>
  <c r="W19" i="1422"/>
  <c r="V19" i="1422"/>
  <c r="U19" i="1422"/>
  <c r="T19" i="1422"/>
  <c r="P19" i="1422"/>
  <c r="O19" i="1422"/>
  <c r="N19" i="1422"/>
  <c r="M19" i="1422"/>
  <c r="L19" i="1422"/>
  <c r="K19" i="1422"/>
  <c r="J19" i="1422"/>
  <c r="I19" i="1422"/>
  <c r="H19" i="1422"/>
  <c r="G19" i="1422"/>
  <c r="F19" i="1422"/>
  <c r="E19" i="1422"/>
  <c r="D19" i="1422"/>
  <c r="C19" i="1422"/>
  <c r="Y18" i="1422"/>
  <c r="W18" i="1422"/>
  <c r="V18" i="1422"/>
  <c r="U18" i="1422"/>
  <c r="T18" i="1422"/>
  <c r="P18" i="1422"/>
  <c r="O18" i="1422"/>
  <c r="N18" i="1422"/>
  <c r="M18" i="1422"/>
  <c r="L18" i="1422"/>
  <c r="K18" i="1422"/>
  <c r="J18" i="1422"/>
  <c r="I18" i="1422"/>
  <c r="H18" i="1422"/>
  <c r="G18" i="1422"/>
  <c r="F18" i="1422"/>
  <c r="E18" i="1422"/>
  <c r="D18" i="1422"/>
  <c r="C18" i="1422"/>
  <c r="Y4" i="1422"/>
  <c r="W4" i="1422"/>
  <c r="V4" i="1422"/>
  <c r="U4" i="1422"/>
  <c r="T4" i="1422"/>
  <c r="P4" i="1422"/>
  <c r="O4" i="1422"/>
  <c r="N4" i="1422"/>
  <c r="M4" i="1422"/>
  <c r="L4" i="1422"/>
  <c r="K4" i="1422"/>
  <c r="J4" i="1422"/>
  <c r="I4" i="1422"/>
  <c r="H4" i="1422"/>
  <c r="G4" i="1422"/>
  <c r="F4" i="1422"/>
  <c r="E4" i="1422"/>
  <c r="D4" i="1422"/>
  <c r="C4" i="1422"/>
  <c r="Y3" i="1422"/>
  <c r="W3" i="1422"/>
  <c r="V3" i="1422"/>
  <c r="U3" i="1422"/>
  <c r="T3" i="1422"/>
  <c r="P3" i="1422"/>
  <c r="O3" i="1422"/>
  <c r="N3" i="1422"/>
  <c r="M3" i="1422"/>
  <c r="L3" i="1422"/>
  <c r="K3" i="1422"/>
  <c r="J3" i="1422"/>
  <c r="I3" i="1422"/>
  <c r="H3" i="1422"/>
  <c r="G3" i="1422"/>
  <c r="F3" i="1422"/>
  <c r="E3" i="1422"/>
  <c r="D3" i="1422"/>
  <c r="C3" i="1422"/>
  <c r="F21" i="1421"/>
  <c r="Y19" i="1421"/>
  <c r="W19" i="1421"/>
  <c r="V19" i="1421"/>
  <c r="U19" i="1421"/>
  <c r="T19" i="1421"/>
  <c r="P19" i="1421"/>
  <c r="O19" i="1421"/>
  <c r="N19" i="1421"/>
  <c r="M19" i="1421"/>
  <c r="L19" i="1421"/>
  <c r="K19" i="1421"/>
  <c r="J19" i="1421"/>
  <c r="I19" i="1421"/>
  <c r="H19" i="1421"/>
  <c r="G19" i="1421"/>
  <c r="F19" i="1421"/>
  <c r="E19" i="1421"/>
  <c r="D19" i="1421"/>
  <c r="C19" i="1421"/>
  <c r="Y18" i="1421"/>
  <c r="W18" i="1421"/>
  <c r="V18" i="1421"/>
  <c r="U18" i="1421"/>
  <c r="T18" i="1421"/>
  <c r="P18" i="1421"/>
  <c r="O18" i="1421"/>
  <c r="N18" i="1421"/>
  <c r="M18" i="1421"/>
  <c r="L18" i="1421"/>
  <c r="K18" i="1421"/>
  <c r="J18" i="1421"/>
  <c r="I18" i="1421"/>
  <c r="H18" i="1421"/>
  <c r="G18" i="1421"/>
  <c r="F18" i="1421"/>
  <c r="E18" i="1421"/>
  <c r="D18" i="1421"/>
  <c r="C18" i="1421"/>
  <c r="Y4" i="1421"/>
  <c r="W4" i="1421"/>
  <c r="V4" i="1421"/>
  <c r="U4" i="1421"/>
  <c r="T4" i="1421"/>
  <c r="P4" i="1421"/>
  <c r="O4" i="1421"/>
  <c r="N4" i="1421"/>
  <c r="M4" i="1421"/>
  <c r="L4" i="1421"/>
  <c r="K4" i="1421"/>
  <c r="J4" i="1421"/>
  <c r="I4" i="1421"/>
  <c r="H4" i="1421"/>
  <c r="G4" i="1421"/>
  <c r="F4" i="1421"/>
  <c r="E4" i="1421"/>
  <c r="D4" i="1421"/>
  <c r="C4" i="1421"/>
  <c r="Y3" i="1421"/>
  <c r="W3" i="1421"/>
  <c r="V3" i="1421"/>
  <c r="U3" i="1421"/>
  <c r="T3" i="1421"/>
  <c r="P3" i="1421"/>
  <c r="O3" i="1421"/>
  <c r="N3" i="1421"/>
  <c r="M3" i="1421"/>
  <c r="L3" i="1421"/>
  <c r="K3" i="1421"/>
  <c r="J3" i="1421"/>
  <c r="I3" i="1421"/>
  <c r="H3" i="1421"/>
  <c r="G3" i="1421"/>
  <c r="F3" i="1421"/>
  <c r="E3" i="1421"/>
  <c r="D3" i="1421"/>
  <c r="C3" i="1421"/>
  <c r="F21" i="1420"/>
  <c r="Y19" i="1420"/>
  <c r="W19" i="1420"/>
  <c r="V19" i="1420"/>
  <c r="U19" i="1420"/>
  <c r="T19" i="1420"/>
  <c r="P19" i="1420"/>
  <c r="O19" i="1420"/>
  <c r="N19" i="1420"/>
  <c r="M19" i="1420"/>
  <c r="L19" i="1420"/>
  <c r="K19" i="1420"/>
  <c r="J19" i="1420"/>
  <c r="I19" i="1420"/>
  <c r="H19" i="1420"/>
  <c r="G19" i="1420"/>
  <c r="F19" i="1420"/>
  <c r="E19" i="1420"/>
  <c r="D19" i="1420"/>
  <c r="C19" i="1420"/>
  <c r="Y18" i="1420"/>
  <c r="W18" i="1420"/>
  <c r="V18" i="1420"/>
  <c r="U18" i="1420"/>
  <c r="T18" i="1420"/>
  <c r="P18" i="1420"/>
  <c r="O18" i="1420"/>
  <c r="N18" i="1420"/>
  <c r="M18" i="1420"/>
  <c r="L18" i="1420"/>
  <c r="K18" i="1420"/>
  <c r="J18" i="1420"/>
  <c r="I18" i="1420"/>
  <c r="H18" i="1420"/>
  <c r="G18" i="1420"/>
  <c r="F18" i="1420"/>
  <c r="E18" i="1420"/>
  <c r="D18" i="1420"/>
  <c r="C18" i="1420"/>
  <c r="Y4" i="1420"/>
  <c r="W4" i="1420"/>
  <c r="V4" i="1420"/>
  <c r="U4" i="1420"/>
  <c r="T4" i="1420"/>
  <c r="P4" i="1420"/>
  <c r="O4" i="1420"/>
  <c r="N4" i="1420"/>
  <c r="M4" i="1420"/>
  <c r="L4" i="1420"/>
  <c r="K4" i="1420"/>
  <c r="J4" i="1420"/>
  <c r="I4" i="1420"/>
  <c r="H4" i="1420"/>
  <c r="G4" i="1420"/>
  <c r="F4" i="1420"/>
  <c r="E4" i="1420"/>
  <c r="D4" i="1420"/>
  <c r="C4" i="1420"/>
  <c r="Y3" i="1420"/>
  <c r="W3" i="1420"/>
  <c r="V3" i="1420"/>
  <c r="U3" i="1420"/>
  <c r="T3" i="1420"/>
  <c r="P3" i="1420"/>
  <c r="O3" i="1420"/>
  <c r="N3" i="1420"/>
  <c r="M3" i="1420"/>
  <c r="L3" i="1420"/>
  <c r="K3" i="1420"/>
  <c r="J3" i="1420"/>
  <c r="I3" i="1420"/>
  <c r="H3" i="1420"/>
  <c r="G3" i="1420"/>
  <c r="F3" i="1420"/>
  <c r="E3" i="1420"/>
  <c r="D3" i="1420"/>
  <c r="C3" i="1420"/>
  <c r="F21" i="1419"/>
  <c r="Y19" i="1419"/>
  <c r="W19" i="1419"/>
  <c r="V19" i="1419"/>
  <c r="U19" i="1419"/>
  <c r="T19" i="1419"/>
  <c r="P19" i="1419"/>
  <c r="O19" i="1419"/>
  <c r="N19" i="1419"/>
  <c r="M19" i="1419"/>
  <c r="L19" i="1419"/>
  <c r="K19" i="1419"/>
  <c r="J19" i="1419"/>
  <c r="I19" i="1419"/>
  <c r="H19" i="1419"/>
  <c r="G19" i="1419"/>
  <c r="F19" i="1419"/>
  <c r="E19" i="1419"/>
  <c r="D19" i="1419"/>
  <c r="C19" i="1419"/>
  <c r="Y18" i="1419"/>
  <c r="W18" i="1419"/>
  <c r="V18" i="1419"/>
  <c r="U18" i="1419"/>
  <c r="T18" i="1419"/>
  <c r="P18" i="1419"/>
  <c r="O18" i="1419"/>
  <c r="N18" i="1419"/>
  <c r="M18" i="1419"/>
  <c r="L18" i="1419"/>
  <c r="K18" i="1419"/>
  <c r="J18" i="1419"/>
  <c r="I18" i="1419"/>
  <c r="H18" i="1419"/>
  <c r="G18" i="1419"/>
  <c r="F18" i="1419"/>
  <c r="E18" i="1419"/>
  <c r="D18" i="1419"/>
  <c r="C18" i="1419"/>
  <c r="Y4" i="1419"/>
  <c r="W4" i="1419"/>
  <c r="V4" i="1419"/>
  <c r="U4" i="1419"/>
  <c r="T4" i="1419"/>
  <c r="P4" i="1419"/>
  <c r="O4" i="1419"/>
  <c r="N4" i="1419"/>
  <c r="M4" i="1419"/>
  <c r="L4" i="1419"/>
  <c r="K4" i="1419"/>
  <c r="J4" i="1419"/>
  <c r="I4" i="1419"/>
  <c r="H4" i="1419"/>
  <c r="G4" i="1419"/>
  <c r="F4" i="1419"/>
  <c r="E4" i="1419"/>
  <c r="D4" i="1419"/>
  <c r="C4" i="1419"/>
  <c r="Y3" i="1419"/>
  <c r="W3" i="1419"/>
  <c r="V3" i="1419"/>
  <c r="U3" i="1419"/>
  <c r="T3" i="1419"/>
  <c r="P3" i="1419"/>
  <c r="O3" i="1419"/>
  <c r="N3" i="1419"/>
  <c r="M3" i="1419"/>
  <c r="L3" i="1419"/>
  <c r="K3" i="1419"/>
  <c r="J3" i="1419"/>
  <c r="I3" i="1419"/>
  <c r="H3" i="1419"/>
  <c r="G3" i="1419"/>
  <c r="F3" i="1419"/>
  <c r="E3" i="1419"/>
  <c r="D3" i="1419"/>
  <c r="C3" i="1419"/>
  <c r="F21" i="1418"/>
  <c r="Y19" i="1418"/>
  <c r="W19" i="1418"/>
  <c r="V19" i="1418"/>
  <c r="U19" i="1418"/>
  <c r="T19" i="1418"/>
  <c r="P19" i="1418"/>
  <c r="O19" i="1418"/>
  <c r="N19" i="1418"/>
  <c r="M19" i="1418"/>
  <c r="L19" i="1418"/>
  <c r="K19" i="1418"/>
  <c r="J19" i="1418"/>
  <c r="I19" i="1418"/>
  <c r="H19" i="1418"/>
  <c r="G19" i="1418"/>
  <c r="F19" i="1418"/>
  <c r="E19" i="1418"/>
  <c r="D19" i="1418"/>
  <c r="C19" i="1418"/>
  <c r="Y18" i="1418"/>
  <c r="W18" i="1418"/>
  <c r="V18" i="1418"/>
  <c r="U18" i="1418"/>
  <c r="T18" i="1418"/>
  <c r="P18" i="1418"/>
  <c r="O18" i="1418"/>
  <c r="N18" i="1418"/>
  <c r="M18" i="1418"/>
  <c r="L18" i="1418"/>
  <c r="K18" i="1418"/>
  <c r="J18" i="1418"/>
  <c r="I18" i="1418"/>
  <c r="H18" i="1418"/>
  <c r="G18" i="1418"/>
  <c r="F18" i="1418"/>
  <c r="E18" i="1418"/>
  <c r="D18" i="1418"/>
  <c r="C18" i="1418"/>
  <c r="Y4" i="1418"/>
  <c r="W4" i="1418"/>
  <c r="V4" i="1418"/>
  <c r="U4" i="1418"/>
  <c r="T4" i="1418"/>
  <c r="P4" i="1418"/>
  <c r="O4" i="1418"/>
  <c r="N4" i="1418"/>
  <c r="M4" i="1418"/>
  <c r="L4" i="1418"/>
  <c r="K4" i="1418"/>
  <c r="J4" i="1418"/>
  <c r="I4" i="1418"/>
  <c r="H4" i="1418"/>
  <c r="G4" i="1418"/>
  <c r="F4" i="1418"/>
  <c r="E4" i="1418"/>
  <c r="D4" i="1418"/>
  <c r="C4" i="1418"/>
  <c r="Y3" i="1418"/>
  <c r="W3" i="1418"/>
  <c r="V3" i="1418"/>
  <c r="U3" i="1418"/>
  <c r="T3" i="1418"/>
  <c r="P3" i="1418"/>
  <c r="O3" i="1418"/>
  <c r="N3" i="1418"/>
  <c r="M3" i="1418"/>
  <c r="L3" i="1418"/>
  <c r="K3" i="1418"/>
  <c r="J3" i="1418"/>
  <c r="I3" i="1418"/>
  <c r="H3" i="1418"/>
  <c r="G3" i="1418"/>
  <c r="F3" i="1418"/>
  <c r="E3" i="1418"/>
  <c r="D3" i="1418"/>
  <c r="C3" i="1418"/>
  <c r="F21" i="1417"/>
  <c r="Y19" i="1417"/>
  <c r="W19" i="1417"/>
  <c r="V19" i="1417"/>
  <c r="U19" i="1417"/>
  <c r="T19" i="1417"/>
  <c r="P19" i="1417"/>
  <c r="O19" i="1417"/>
  <c r="N19" i="1417"/>
  <c r="M19" i="1417"/>
  <c r="L19" i="1417"/>
  <c r="K19" i="1417"/>
  <c r="J19" i="1417"/>
  <c r="I19" i="1417"/>
  <c r="H19" i="1417"/>
  <c r="G19" i="1417"/>
  <c r="F19" i="1417"/>
  <c r="E19" i="1417"/>
  <c r="D19" i="1417"/>
  <c r="C19" i="1417"/>
  <c r="Y18" i="1417"/>
  <c r="W18" i="1417"/>
  <c r="V18" i="1417"/>
  <c r="U18" i="1417"/>
  <c r="T18" i="1417"/>
  <c r="P18" i="1417"/>
  <c r="O18" i="1417"/>
  <c r="N18" i="1417"/>
  <c r="M18" i="1417"/>
  <c r="L18" i="1417"/>
  <c r="K18" i="1417"/>
  <c r="J18" i="1417"/>
  <c r="I18" i="1417"/>
  <c r="H18" i="1417"/>
  <c r="G18" i="1417"/>
  <c r="F18" i="1417"/>
  <c r="E18" i="1417"/>
  <c r="D18" i="1417"/>
  <c r="C18" i="1417"/>
  <c r="Y4" i="1417"/>
  <c r="W4" i="1417"/>
  <c r="V4" i="1417"/>
  <c r="U4" i="1417"/>
  <c r="T4" i="1417"/>
  <c r="P4" i="1417"/>
  <c r="O4" i="1417"/>
  <c r="N4" i="1417"/>
  <c r="M4" i="1417"/>
  <c r="L4" i="1417"/>
  <c r="K4" i="1417"/>
  <c r="J4" i="1417"/>
  <c r="I4" i="1417"/>
  <c r="H4" i="1417"/>
  <c r="G4" i="1417"/>
  <c r="F4" i="1417"/>
  <c r="E4" i="1417"/>
  <c r="D4" i="1417"/>
  <c r="C4" i="1417"/>
  <c r="Y3" i="1417"/>
  <c r="W3" i="1417"/>
  <c r="V3" i="1417"/>
  <c r="U3" i="1417"/>
  <c r="T3" i="1417"/>
  <c r="P3" i="1417"/>
  <c r="O3" i="1417"/>
  <c r="N3" i="1417"/>
  <c r="M3" i="1417"/>
  <c r="L3" i="1417"/>
  <c r="K3" i="1417"/>
  <c r="J3" i="1417"/>
  <c r="I3" i="1417"/>
  <c r="H3" i="1417"/>
  <c r="G3" i="1417"/>
  <c r="F3" i="1417"/>
  <c r="E3" i="1417"/>
  <c r="D3" i="1417"/>
  <c r="C3" i="1417"/>
  <c r="F21" i="1416"/>
  <c r="Y19" i="1416"/>
  <c r="W19" i="1416"/>
  <c r="V19" i="1416"/>
  <c r="U19" i="1416"/>
  <c r="T19" i="1416"/>
  <c r="P19" i="1416"/>
  <c r="O19" i="1416"/>
  <c r="N19" i="1416"/>
  <c r="M19" i="1416"/>
  <c r="L19" i="1416"/>
  <c r="K19" i="1416"/>
  <c r="J19" i="1416"/>
  <c r="I19" i="1416"/>
  <c r="H19" i="1416"/>
  <c r="G19" i="1416"/>
  <c r="F19" i="1416"/>
  <c r="E19" i="1416"/>
  <c r="D19" i="1416"/>
  <c r="C19" i="1416"/>
  <c r="Y18" i="1416"/>
  <c r="W18" i="1416"/>
  <c r="V18" i="1416"/>
  <c r="U18" i="1416"/>
  <c r="T18" i="1416"/>
  <c r="P18" i="1416"/>
  <c r="O18" i="1416"/>
  <c r="N18" i="1416"/>
  <c r="M18" i="1416"/>
  <c r="L18" i="1416"/>
  <c r="K18" i="1416"/>
  <c r="J18" i="1416"/>
  <c r="I18" i="1416"/>
  <c r="H18" i="1416"/>
  <c r="G18" i="1416"/>
  <c r="F18" i="1416"/>
  <c r="E18" i="1416"/>
  <c r="D18" i="1416"/>
  <c r="C18" i="1416"/>
  <c r="Y4" i="1416"/>
  <c r="W4" i="1416"/>
  <c r="V4" i="1416"/>
  <c r="U4" i="1416"/>
  <c r="T4" i="1416"/>
  <c r="P4" i="1416"/>
  <c r="O4" i="1416"/>
  <c r="N4" i="1416"/>
  <c r="M4" i="1416"/>
  <c r="L4" i="1416"/>
  <c r="K4" i="1416"/>
  <c r="J4" i="1416"/>
  <c r="I4" i="1416"/>
  <c r="H4" i="1416"/>
  <c r="G4" i="1416"/>
  <c r="F4" i="1416"/>
  <c r="E4" i="1416"/>
  <c r="D4" i="1416"/>
  <c r="C4" i="1416"/>
  <c r="Y3" i="1416"/>
  <c r="W3" i="1416"/>
  <c r="V3" i="1416"/>
  <c r="U3" i="1416"/>
  <c r="T3" i="1416"/>
  <c r="P3" i="1416"/>
  <c r="O3" i="1416"/>
  <c r="N3" i="1416"/>
  <c r="M3" i="1416"/>
  <c r="L3" i="1416"/>
  <c r="K3" i="1416"/>
  <c r="J3" i="1416"/>
  <c r="I3" i="1416"/>
  <c r="H3" i="1416"/>
  <c r="G3" i="1416"/>
  <c r="F3" i="1416"/>
  <c r="E3" i="1416"/>
  <c r="D3" i="1416"/>
  <c r="C3" i="1416"/>
  <c r="C45" i="1409"/>
  <c r="C44" i="1409"/>
  <c r="F21" i="1415" l="1"/>
  <c r="Y19" i="1415"/>
  <c r="W19" i="1415"/>
  <c r="V19" i="1415"/>
  <c r="U19" i="1415"/>
  <c r="T19" i="1415"/>
  <c r="P19" i="1415"/>
  <c r="O19" i="1415"/>
  <c r="N19" i="1415"/>
  <c r="M19" i="1415"/>
  <c r="L19" i="1415"/>
  <c r="K19" i="1415"/>
  <c r="J19" i="1415"/>
  <c r="I19" i="1415"/>
  <c r="H19" i="1415"/>
  <c r="G19" i="1415"/>
  <c r="F19" i="1415"/>
  <c r="E19" i="1415"/>
  <c r="D19" i="1415"/>
  <c r="C19" i="1415"/>
  <c r="Y18" i="1415"/>
  <c r="W18" i="1415"/>
  <c r="V18" i="1415"/>
  <c r="U18" i="1415"/>
  <c r="T18" i="1415"/>
  <c r="P18" i="1415"/>
  <c r="O18" i="1415"/>
  <c r="N18" i="1415"/>
  <c r="M18" i="1415"/>
  <c r="L18" i="1415"/>
  <c r="K18" i="1415"/>
  <c r="J18" i="1415"/>
  <c r="I18" i="1415"/>
  <c r="H18" i="1415"/>
  <c r="G18" i="1415"/>
  <c r="F18" i="1415"/>
  <c r="E18" i="1415"/>
  <c r="D18" i="1415"/>
  <c r="C18" i="1415"/>
  <c r="Y4" i="1415"/>
  <c r="W4" i="1415"/>
  <c r="V4" i="1415"/>
  <c r="U4" i="1415"/>
  <c r="T4" i="1415"/>
  <c r="P4" i="1415"/>
  <c r="O4" i="1415"/>
  <c r="N4" i="1415"/>
  <c r="M4" i="1415"/>
  <c r="L4" i="1415"/>
  <c r="K4" i="1415"/>
  <c r="J4" i="1415"/>
  <c r="I4" i="1415"/>
  <c r="H4" i="1415"/>
  <c r="G4" i="1415"/>
  <c r="F4" i="1415"/>
  <c r="E4" i="1415"/>
  <c r="D4" i="1415"/>
  <c r="C4" i="1415"/>
  <c r="Y3" i="1415"/>
  <c r="W3" i="1415"/>
  <c r="V3" i="1415"/>
  <c r="U3" i="1415"/>
  <c r="T3" i="1415"/>
  <c r="P3" i="1415"/>
  <c r="O3" i="1415"/>
  <c r="N3" i="1415"/>
  <c r="M3" i="1415"/>
  <c r="L3" i="1415"/>
  <c r="K3" i="1415"/>
  <c r="J3" i="1415"/>
  <c r="I3" i="1415"/>
  <c r="H3" i="1415"/>
  <c r="G3" i="1415"/>
  <c r="F3" i="1415"/>
  <c r="E3" i="1415"/>
  <c r="D3" i="1415"/>
  <c r="C3" i="1415"/>
  <c r="F21" i="1414"/>
  <c r="Y19" i="1414"/>
  <c r="W19" i="1414"/>
  <c r="V19" i="1414"/>
  <c r="U19" i="1414"/>
  <c r="T19" i="1414"/>
  <c r="P19" i="1414"/>
  <c r="O19" i="1414"/>
  <c r="N19" i="1414"/>
  <c r="M19" i="1414"/>
  <c r="L19" i="1414"/>
  <c r="K19" i="1414"/>
  <c r="J19" i="1414"/>
  <c r="I19" i="1414"/>
  <c r="H19" i="1414"/>
  <c r="G19" i="1414"/>
  <c r="F19" i="1414"/>
  <c r="E19" i="1414"/>
  <c r="D19" i="1414"/>
  <c r="C19" i="1414"/>
  <c r="Y18" i="1414"/>
  <c r="W18" i="1414"/>
  <c r="V18" i="1414"/>
  <c r="U18" i="1414"/>
  <c r="T18" i="1414"/>
  <c r="P18" i="1414"/>
  <c r="O18" i="1414"/>
  <c r="N18" i="1414"/>
  <c r="M18" i="1414"/>
  <c r="L18" i="1414"/>
  <c r="K18" i="1414"/>
  <c r="J18" i="1414"/>
  <c r="I18" i="1414"/>
  <c r="H18" i="1414"/>
  <c r="G18" i="1414"/>
  <c r="F18" i="1414"/>
  <c r="E18" i="1414"/>
  <c r="D18" i="1414"/>
  <c r="C18" i="1414"/>
  <c r="Y4" i="1414"/>
  <c r="W4" i="1414"/>
  <c r="V4" i="1414"/>
  <c r="U4" i="1414"/>
  <c r="T4" i="1414"/>
  <c r="P4" i="1414"/>
  <c r="O4" i="1414"/>
  <c r="N4" i="1414"/>
  <c r="M4" i="1414"/>
  <c r="L4" i="1414"/>
  <c r="K4" i="1414"/>
  <c r="J4" i="1414"/>
  <c r="I4" i="1414"/>
  <c r="H4" i="1414"/>
  <c r="G4" i="1414"/>
  <c r="F4" i="1414"/>
  <c r="E4" i="1414"/>
  <c r="D4" i="1414"/>
  <c r="C4" i="1414"/>
  <c r="Y3" i="1414"/>
  <c r="W3" i="1414"/>
  <c r="V3" i="1414"/>
  <c r="U3" i="1414"/>
  <c r="T3" i="1414"/>
  <c r="P3" i="1414"/>
  <c r="O3" i="1414"/>
  <c r="N3" i="1414"/>
  <c r="M3" i="1414"/>
  <c r="L3" i="1414"/>
  <c r="K3" i="1414"/>
  <c r="J3" i="1414"/>
  <c r="I3" i="1414"/>
  <c r="H3" i="1414"/>
  <c r="G3" i="1414"/>
  <c r="F3" i="1414"/>
  <c r="E3" i="1414"/>
  <c r="D3" i="1414"/>
  <c r="C3" i="1414"/>
  <c r="F21" i="1413"/>
  <c r="Y19" i="1413"/>
  <c r="W19" i="1413"/>
  <c r="V19" i="1413"/>
  <c r="U19" i="1413"/>
  <c r="T19" i="1413"/>
  <c r="P19" i="1413"/>
  <c r="O19" i="1413"/>
  <c r="N19" i="1413"/>
  <c r="M19" i="1413"/>
  <c r="L19" i="1413"/>
  <c r="K19" i="1413"/>
  <c r="J19" i="1413"/>
  <c r="I19" i="1413"/>
  <c r="H19" i="1413"/>
  <c r="G19" i="1413"/>
  <c r="F19" i="1413"/>
  <c r="E19" i="1413"/>
  <c r="D19" i="1413"/>
  <c r="C19" i="1413"/>
  <c r="Y18" i="1413"/>
  <c r="W18" i="1413"/>
  <c r="V18" i="1413"/>
  <c r="U18" i="1413"/>
  <c r="T18" i="1413"/>
  <c r="P18" i="1413"/>
  <c r="O18" i="1413"/>
  <c r="N18" i="1413"/>
  <c r="M18" i="1413"/>
  <c r="L18" i="1413"/>
  <c r="K18" i="1413"/>
  <c r="J18" i="1413"/>
  <c r="I18" i="1413"/>
  <c r="H18" i="1413"/>
  <c r="G18" i="1413"/>
  <c r="F18" i="1413"/>
  <c r="E18" i="1413"/>
  <c r="D18" i="1413"/>
  <c r="C18" i="1413"/>
  <c r="Y4" i="1413"/>
  <c r="W4" i="1413"/>
  <c r="V4" i="1413"/>
  <c r="U4" i="1413"/>
  <c r="T4" i="1413"/>
  <c r="P4" i="1413"/>
  <c r="O4" i="1413"/>
  <c r="N4" i="1413"/>
  <c r="M4" i="1413"/>
  <c r="L4" i="1413"/>
  <c r="K4" i="1413"/>
  <c r="J4" i="1413"/>
  <c r="I4" i="1413"/>
  <c r="H4" i="1413"/>
  <c r="G4" i="1413"/>
  <c r="F4" i="1413"/>
  <c r="E4" i="1413"/>
  <c r="D4" i="1413"/>
  <c r="C4" i="1413"/>
  <c r="Y3" i="1413"/>
  <c r="W3" i="1413"/>
  <c r="V3" i="1413"/>
  <c r="U3" i="1413"/>
  <c r="T3" i="1413"/>
  <c r="P3" i="1413"/>
  <c r="O3" i="1413"/>
  <c r="N3" i="1413"/>
  <c r="M3" i="1413"/>
  <c r="L3" i="1413"/>
  <c r="K3" i="1413"/>
  <c r="J3" i="1413"/>
  <c r="I3" i="1413"/>
  <c r="H3" i="1413"/>
  <c r="G3" i="1413"/>
  <c r="F3" i="1413"/>
  <c r="E3" i="1413"/>
  <c r="D3" i="1413"/>
  <c r="C3" i="1413"/>
  <c r="F21" i="1412"/>
  <c r="Y19" i="1412"/>
  <c r="W19" i="1412"/>
  <c r="V19" i="1412"/>
  <c r="U19" i="1412"/>
  <c r="T19" i="1412"/>
  <c r="P19" i="1412"/>
  <c r="O19" i="1412"/>
  <c r="N19" i="1412"/>
  <c r="M19" i="1412"/>
  <c r="L19" i="1412"/>
  <c r="K19" i="1412"/>
  <c r="J19" i="1412"/>
  <c r="I19" i="1412"/>
  <c r="H19" i="1412"/>
  <c r="G19" i="1412"/>
  <c r="F19" i="1412"/>
  <c r="E19" i="1412"/>
  <c r="D19" i="1412"/>
  <c r="C19" i="1412"/>
  <c r="Y18" i="1412"/>
  <c r="W18" i="1412"/>
  <c r="V18" i="1412"/>
  <c r="U18" i="1412"/>
  <c r="T18" i="1412"/>
  <c r="P18" i="1412"/>
  <c r="O18" i="1412"/>
  <c r="N18" i="1412"/>
  <c r="M18" i="1412"/>
  <c r="L18" i="1412"/>
  <c r="K18" i="1412"/>
  <c r="J18" i="1412"/>
  <c r="I18" i="1412"/>
  <c r="H18" i="1412"/>
  <c r="G18" i="1412"/>
  <c r="F18" i="1412"/>
  <c r="E18" i="1412"/>
  <c r="D18" i="1412"/>
  <c r="C18" i="1412"/>
  <c r="Y4" i="1412"/>
  <c r="W4" i="1412"/>
  <c r="V4" i="1412"/>
  <c r="U4" i="1412"/>
  <c r="T4" i="1412"/>
  <c r="P4" i="1412"/>
  <c r="O4" i="1412"/>
  <c r="N4" i="1412"/>
  <c r="M4" i="1412"/>
  <c r="L4" i="1412"/>
  <c r="K4" i="1412"/>
  <c r="J4" i="1412"/>
  <c r="I4" i="1412"/>
  <c r="H4" i="1412"/>
  <c r="G4" i="1412"/>
  <c r="F4" i="1412"/>
  <c r="E4" i="1412"/>
  <c r="D4" i="1412"/>
  <c r="C4" i="1412"/>
  <c r="Y3" i="1412"/>
  <c r="W3" i="1412"/>
  <c r="V3" i="1412"/>
  <c r="U3" i="1412"/>
  <c r="T3" i="1412"/>
  <c r="P3" i="1412"/>
  <c r="O3" i="1412"/>
  <c r="N3" i="1412"/>
  <c r="M3" i="1412"/>
  <c r="L3" i="1412"/>
  <c r="K3" i="1412"/>
  <c r="J3" i="1412"/>
  <c r="I3" i="1412"/>
  <c r="H3" i="1412"/>
  <c r="G3" i="1412"/>
  <c r="F3" i="1412"/>
  <c r="E3" i="1412"/>
  <c r="D3" i="1412"/>
  <c r="C3" i="1412"/>
  <c r="C45" i="1407" l="1"/>
  <c r="C44" i="1407"/>
  <c r="C45" i="1406"/>
  <c r="C44" i="1406"/>
  <c r="C45" i="1405"/>
  <c r="C44" i="1405"/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<sst xmlns="http://schemas.openxmlformats.org/spreadsheetml/2006/main" count="6890" uniqueCount="212">
  <si>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</si>
  <si>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</si>
  <si>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</si>
  <si>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</si>
  <si>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</si>
  <si>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</si>
  <si>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</si>
  <si>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</si>
  <si>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</si>
  <si>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</si>
  <si>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</si>
  <si>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</si>
  <si>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</si>
  <si>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</si>
  <si>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</si>
  <si>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</si>
  <si>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</si>
  <si>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</si>
  <si>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</si>
  <si>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</si>
  <si>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</si>
  <si>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</si>
  <si>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</si>
  <si>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</si>
  <si>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</si>
  <si>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</si>
  <si>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</si>
  <si>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</si>
  <si>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</si>
  <si>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</si>
  <si>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</si>
  <si>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</si>
  <si>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</si>
  <si>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</si>
  <si>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</si>
  <si>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</si>
  <si>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</si>
  <si>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</si>
  <si>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</si>
  <si>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</si>
  <si>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</si>
  <si>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</si>
  <si>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</si>
  <si>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</si>
  <si>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</si>
  <si>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</si>
  <si>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</si>
  <si>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</si>
  <si>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</si>
  <si>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</si>
  <si>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</si>
  <si>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</si>
  <si>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</si>
  <si>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</si>
  <si>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</si>
  <si>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</si>
  <si>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</si>
  <si>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</si>
  <si>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</si>
  <si>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</si>
  <si>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</si>
  <si>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</si>
  <si>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</si>
  <si>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</si>
  <si>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</si>
  <si>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</si>
  <si>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</si>
  <si>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</si>
  <si>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</si>
  <si>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</si>
  <si>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</si>
  <si>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</si>
  <si>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</si>
  <si>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</si>
  <si>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</si>
  <si>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</si>
  <si>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</si>
  <si>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</si>
  <si>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</si>
  <si>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</si>
  <si>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</si>
  <si>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</si>
  <si>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</si>
  <si>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</si>
  <si>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</si>
  <si>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</si>
  <si>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</si>
  <si>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</si>
  <si>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</si>
  <si>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</si>
  <si>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</si>
  <si>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</si>
  <si>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</si>
  <si>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</si>
  <si>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</si>
  <si>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</si>
  <si>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</si>
  <si>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</si>
  <si>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</si>
  <si>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</si>
  <si>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</si>
  <si>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</si>
  <si>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</si>
  <si>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</si>
  <si>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</si>
  <si>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</si>
  <si>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</si>
  <si>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</si>
  <si>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</si>
  <si>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</si>
  <si>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</si>
  <si>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</si>
  <si>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</si>
  <si>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</si>
  <si>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</si>
  <si>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</si>
  <si>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</si>
  <si>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</si>
  <si>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</si>
  <si>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</si>
  <si>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</si>
  <si>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</si>
  <si>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</si>
  <si>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</si>
  <si>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</si>
  <si>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</si>
  <si>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</si>
  <si>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</si>
  <si>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</si>
  <si>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</si>
  <si>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</si>
  <si>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</si>
  <si>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</si>
  <si>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</si>
  <si>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</si>
  <si>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</si>
  <si>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</si>
  <si>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</si>
  <si>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</si>
  <si>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</si>
  <si>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</si>
  <si>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</si>
  <si>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</si>
  <si>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</si>
  <si>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</si>
  <si>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</si>
  <si>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</si>
  <si>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</si>
  <si>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</si>
  <si>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</si>
  <si>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</si>
  <si>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</si>
  <si>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</si>
  <si>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</si>
  <si>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</si>
  <si>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</si>
  <si>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</si>
  <si>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</si>
  <si>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</si>
  <si>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</si>
  <si>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</si>
  <si>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</si>
  <si>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</si>
  <si>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</si>
  <si>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</si>
  <si>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</si>
  <si>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</si>
  <si>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</si>
  <si>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</si>
  <si>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</si>
  <si>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</si>
  <si>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</si>
  <si>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</si>
  <si>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</si>
  <si>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</si>
  <si>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</si>
  <si>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</si>
  <si>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</si>
  <si>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</si>
  <si>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</si>
  <si>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</si>
  <si>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</si>
  <si>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</si>
  <si>
    <t>13/3b</t>
  </si>
  <si>
    <t>1/8b</t>
  </si>
  <si>
    <t>14/11b</t>
  </si>
  <si>
    <t>15/6b</t>
  </si>
  <si>
    <t>18b</t>
  </si>
  <si>
    <t>13/16b</t>
  </si>
  <si>
    <t>3/12b</t>
  </si>
  <si>
    <t>10/4b</t>
  </si>
  <si>
    <t>DATE ___________02/18/2026___________</t>
  </si>
  <si>
    <t>2/12B</t>
  </si>
  <si>
    <t>11/8B</t>
  </si>
  <si>
    <t>2/8B</t>
  </si>
  <si>
    <t>10/18B</t>
  </si>
  <si>
    <t>4/12B</t>
  </si>
  <si>
    <t>6/6B</t>
  </si>
  <si>
    <t>10/4B</t>
  </si>
  <si>
    <t>9/8B</t>
  </si>
  <si>
    <t>19/12B</t>
  </si>
  <si>
    <t>DATE ___________02/19/2026___________</t>
  </si>
  <si>
    <t>DATE ___________02/20/2026___________</t>
  </si>
  <si>
    <t>DATE ___________02/21/2026___________</t>
  </si>
  <si>
    <t>DATE ___________02/23/2026___________</t>
  </si>
  <si>
    <t>11/10b</t>
  </si>
  <si>
    <t>3/2b</t>
  </si>
  <si>
    <t>14/12b</t>
  </si>
  <si>
    <t>8/5b</t>
  </si>
  <si>
    <t>5/5b</t>
  </si>
  <si>
    <t>6/8b</t>
  </si>
  <si>
    <t>14/8b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</si>
</sst>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99" t="s">
        <v>47</v>
      </c>
      <c r="P34" s="100"/>
      <c r="Q34" s="100"/>
      <c r="R34" s="100"/>
      <c r="S34" s="100"/>
      <c r="T34" s="101"/>
      <c r="U34" s="102" t="s">
        <v>48</v>
      </c>
      <c r="V34" s="103"/>
      <c r="W34" s="103"/>
      <c r="X34" s="103"/>
      <c r="Y34" s="104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5" t="s">
        <v>54</v>
      </c>
      <c r="V42" s="105"/>
      <c r="W42" s="105"/>
      <c r="X42" s="105"/>
      <c r="Y42" s="105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14+118+10+283</f>
        <v>425</v>
      </c>
      <c r="D44" s="108"/>
      <c r="E44" s="108"/>
    </row>
    <row r="45" spans="2:26" x14ac:dyDescent="0.25">
      <c r="B45" s="90" t="s">
        <v>92</v>
      </c>
      <c r="C45" s="108">
        <v>7</v>
      </c>
      <c r="D45" s="108"/>
      <c r="E45" s="108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2+20+53+11+458</f>
        <v>544</v>
      </c>
      <c r="D44" s="108"/>
      <c r="E44" s="108"/>
    </row>
    <row r="45" spans="2:25" x14ac:dyDescent="0.25">
      <c r="B45" s="90" t="s">
        <v>92</v>
      </c>
      <c r="C45" s="108">
        <v>22</v>
      </c>
      <c r="D45" s="108"/>
      <c r="E45" s="108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8">
        <f>7+5+40+7+330</f>
        <v>389</v>
      </c>
      <c r="D44" s="108"/>
      <c r="E44" s="108"/>
    </row>
    <row r="45" spans="2:26" x14ac:dyDescent="0.25">
      <c r="B45" s="90" t="s">
        <v>92</v>
      </c>
      <c r="C45" s="108">
        <v>4</v>
      </c>
      <c r="D45" s="108"/>
      <c r="E45" s="108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2+2+2+1+20+8+307+5</f>
        <v>347</v>
      </c>
      <c r="D44" s="108"/>
      <c r="E44" s="108"/>
    </row>
    <row r="45" spans="2:26" x14ac:dyDescent="0.25">
      <c r="B45" s="90" t="s">
        <v>92</v>
      </c>
      <c r="C45" s="108">
        <f>2+12+12</f>
        <v>26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1+4+1+33+7+242</f>
        <v>288</v>
      </c>
      <c r="D44" s="108"/>
      <c r="E44" s="108"/>
    </row>
    <row r="45" spans="2:25" x14ac:dyDescent="0.25">
      <c r="B45" s="90" t="s">
        <v>92</v>
      </c>
      <c r="C45" s="108">
        <f>9</f>
        <v>9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8">
        <f>2+2+12+1+3+35+1+4+414</f>
        <v>474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5+22+2+235</f>
        <v>264</v>
      </c>
      <c r="D44" s="108"/>
      <c r="E44" s="108"/>
    </row>
    <row r="45" spans="2:26" x14ac:dyDescent="0.25">
      <c r="B45" s="90" t="s">
        <v>92</v>
      </c>
      <c r="C45" s="108"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18+5+203+3+8</f>
        <v>237</v>
      </c>
      <c r="D44" s="108"/>
      <c r="E44" s="108"/>
    </row>
    <row r="45" spans="2:25" x14ac:dyDescent="0.25">
      <c r="B45" s="90" t="s">
        <v>92</v>
      </c>
      <c r="C45" s="108">
        <f>1</f>
        <v>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1+7+13+2+5+3+143+2+20+474+4</f>
        <v>674</v>
      </c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1+4+4+3+2+1+33+10+1+207</f>
        <v>266</v>
      </c>
      <c r="D44" s="108"/>
      <c r="E44" s="108"/>
    </row>
    <row r="45" spans="2:26" x14ac:dyDescent="0.25">
      <c r="B45" s="90" t="s">
        <v>92</v>
      </c>
      <c r="C45" s="108">
        <v>6</v>
      </c>
      <c r="D45" s="108"/>
      <c r="E45" s="108"/>
    </row>
    <row r="46" spans="2:26" x14ac:dyDescent="0.25">
      <c r="B46" s="90" t="s">
        <v>113</v>
      </c>
      <c r="C46" s="108">
        <f>10*973</f>
        <v>9730</v>
      </c>
      <c r="D46" s="108"/>
      <c r="E46" s="108"/>
    </row>
  </sheetData>
  <mergeCells count="11">
    <mergeCell ref="B34:B35"/>
    <mergeCell ref="C34:E34"/>
    <mergeCell ref="F34:H34"/>
    <mergeCell ref="I34:K34"/>
    <mergeCell ref="L34:N34"/>
    <mergeCell ref="C46:E46"/>
    <mergeCell ref="R34:U34"/>
    <mergeCell ref="R42:U42"/>
    <mergeCell ref="C44:E44"/>
    <mergeCell ref="C45:E45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4+8+1+1+1+2+29+205</f>
        <v>251</v>
      </c>
      <c r="D44" s="108"/>
      <c r="E44" s="108"/>
    </row>
    <row r="45" spans="2:25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1+1+10+4+3+6+248+1</f>
        <v>274</v>
      </c>
      <c r="D44" s="108"/>
      <c r="E44" s="108"/>
    </row>
    <row r="45" spans="2:26" x14ac:dyDescent="0.25">
      <c r="B45" s="90" t="s">
        <v>92</v>
      </c>
      <c r="C45" s="108">
        <f>9+12</f>
        <v>21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5+10+5+1+2+1+1+2+50+5+2+7+5+10+25+57+2+2+10</f>
        <v>202</v>
      </c>
      <c r="D44" s="108"/>
      <c r="E44" s="108"/>
    </row>
    <row r="45" spans="2:26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7+5+1+54+7+180+2</f>
        <v>256</v>
      </c>
      <c r="D44" s="108"/>
      <c r="E44" s="108"/>
    </row>
    <row r="45" spans="2:25" x14ac:dyDescent="0.25">
      <c r="B45" s="90" t="s">
        <v>92</v>
      </c>
      <c r="C45" s="108">
        <f>10</f>
        <v>10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2+1+3+2+1+2+4+22+15+5+159</f>
        <v>216</v>
      </c>
      <c r="D44" s="108"/>
      <c r="E44" s="108"/>
    </row>
    <row r="45" spans="2:25" x14ac:dyDescent="0.25">
      <c r="B45" s="90" t="s">
        <v>92</v>
      </c>
      <c r="C45" s="108">
        <f>14</f>
        <v>14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11+3+11+333</f>
        <v>358</v>
      </c>
      <c r="D44" s="108"/>
      <c r="E44" s="108"/>
    </row>
    <row r="45" spans="2:26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2+3+16+10+358</f>
        <v>389</v>
      </c>
      <c r="D44" s="108"/>
      <c r="E44" s="108"/>
    </row>
    <row r="45" spans="2:26" x14ac:dyDescent="0.25">
      <c r="B45" s="90" t="s">
        <v>92</v>
      </c>
      <c r="C45" s="108">
        <f>5</f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2+10+5+10+14+11+350</f>
        <v>402</v>
      </c>
      <c r="D44" s="108"/>
      <c r="E44" s="108"/>
    </row>
    <row r="45" spans="2:26" x14ac:dyDescent="0.25">
      <c r="B45" s="90" t="s">
        <v>92</v>
      </c>
      <c r="C45" s="108">
        <f>19</f>
        <v>19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1+21+1+1+106+328</f>
        <v>458</v>
      </c>
      <c r="D44" s="108"/>
      <c r="E44" s="108"/>
    </row>
    <row r="45" spans="2:25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8">
        <f>13+2+85+1+10+305</f>
        <v>416</v>
      </c>
      <c r="D44" s="108"/>
      <c r="E44" s="108"/>
    </row>
    <row r="45" spans="2:26" x14ac:dyDescent="0.25">
      <c r="B45" s="90" t="s">
        <v>92</v>
      </c>
      <c r="C45" s="108">
        <f>4+12</f>
        <v>16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1+2+25+4+229</f>
        <v>261</v>
      </c>
      <c r="D44" s="108"/>
      <c r="E44" s="108"/>
    </row>
    <row r="45" spans="2:26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6+9+1+1+22+1+4+231</f>
        <v>275</v>
      </c>
      <c r="D44" s="108"/>
      <c r="E44" s="108"/>
    </row>
    <row r="45" spans="2:25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8">
        <f>10+5+10+10+35+327+10</f>
        <v>407</v>
      </c>
      <c r="D44" s="108"/>
      <c r="E44" s="108"/>
    </row>
    <row r="45" spans="2:26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21+52+10+30+108+48+815</f>
        <v>1084</v>
      </c>
      <c r="D44" s="108"/>
      <c r="E44" s="108"/>
    </row>
    <row r="45" spans="2:26" x14ac:dyDescent="0.25">
      <c r="B45" s="90" t="s">
        <v>92</v>
      </c>
      <c r="C45" s="108">
        <f>5</f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8+30+191+1</f>
        <v>230</v>
      </c>
      <c r="D44" s="108"/>
      <c r="E44" s="108"/>
    </row>
    <row r="45" spans="2:25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8">
        <f>2+9+1+3+36+1+10+331</f>
        <v>393</v>
      </c>
      <c r="D44" s="108"/>
      <c r="E44" s="108"/>
    </row>
    <row r="45" spans="2:26" x14ac:dyDescent="0.25">
      <c r="B45" s="90" t="s">
        <v>92</v>
      </c>
      <c r="C45" s="108">
        <f>14</f>
        <v>14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10+10+355</f>
        <v>375</v>
      </c>
      <c r="D44" s="108"/>
      <c r="E44" s="108"/>
    </row>
    <row r="45" spans="2:26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8+8+20+30+20+212</f>
        <v>298</v>
      </c>
      <c r="D44" s="108"/>
      <c r="E44" s="108"/>
    </row>
    <row r="45" spans="2:25" x14ac:dyDescent="0.25">
      <c r="B45" s="90" t="s">
        <v>92</v>
      </c>
      <c r="C45" s="108">
        <f>10+6</f>
        <v>16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8+5+50+5+150</f>
        <v>218</v>
      </c>
      <c r="D44" s="108"/>
      <c r="E44" s="108"/>
    </row>
    <row r="45" spans="2:25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8">
        <f>7+5+6+5+237</f>
        <v>260</v>
      </c>
      <c r="D44" s="108"/>
      <c r="E44" s="108"/>
    </row>
    <row r="45" spans="2:26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1+2+2+2+3+5+40+61+323</f>
        <v>439</v>
      </c>
      <c r="D44" s="108"/>
      <c r="E44" s="108"/>
    </row>
    <row r="45" spans="2:26" x14ac:dyDescent="0.25">
      <c r="B45" s="90" t="s">
        <v>92</v>
      </c>
      <c r="C45" s="108">
        <f>13+2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1+6+1+5+309</f>
        <v>322</v>
      </c>
      <c r="D44" s="108"/>
      <c r="E44" s="108"/>
    </row>
    <row r="45" spans="2:25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8+3+30+8+328</f>
        <v>377</v>
      </c>
      <c r="D44" s="108"/>
      <c r="E44" s="108"/>
    </row>
    <row r="45" spans="2:26" x14ac:dyDescent="0.25">
      <c r="B45" s="90" t="s">
        <v>92</v>
      </c>
      <c r="C45" s="108">
        <f>12</f>
        <v>12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>
        <v>1</v>
      </c>
      <c r="E8" s="15"/>
      <c r="F8" s="15"/>
      <c r="G8" s="15"/>
      <c r="H8" s="15" t="s">
        <v>185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</v>
      </c>
      <c r="V8" s="15"/>
      <c r="W8" s="15">
        <v>10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183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9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128</v>
      </c>
      <c r="I24" s="15"/>
      <c r="J24" s="15"/>
      <c r="K24" s="15">
        <v>6</v>
      </c>
      <c r="L24" s="15">
        <v>335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</v>
      </c>
      <c r="I31" s="24"/>
      <c r="J31" s="24"/>
      <c r="K31" s="24">
        <v>4</v>
      </c>
      <c r="L31" s="24">
        <v>48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118</v>
      </c>
      <c r="I32" s="29"/>
      <c r="J32" s="29"/>
      <c r="K32" s="29">
        <v>2</v>
      </c>
      <c r="L32" s="29">
        <v>287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/>
      <c r="F36" s="45">
        <v>396</v>
      </c>
      <c r="G36" s="45">
        <v>13</v>
      </c>
      <c r="H36" s="45">
        <v>2</v>
      </c>
      <c r="I36" s="45">
        <v>6</v>
      </c>
      <c r="J36" s="45"/>
      <c r="K36" s="45">
        <v>2</v>
      </c>
      <c r="L36" s="45">
        <v>1</v>
      </c>
      <c r="M36" s="45">
        <v>1</v>
      </c>
      <c r="N36" s="45">
        <v>11</v>
      </c>
      <c r="O36" s="45">
        <v>3</v>
      </c>
      <c r="P36" s="45"/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396</v>
      </c>
      <c r="G42" s="45">
        <v>13</v>
      </c>
      <c r="H42" s="45">
        <v>2</v>
      </c>
      <c r="I42" s="45">
        <v>6</v>
      </c>
      <c r="J42" s="45"/>
      <c r="K42" s="45">
        <v>2</v>
      </c>
      <c r="L42" s="45">
        <v>1</v>
      </c>
      <c r="M42" s="45">
        <v>1</v>
      </c>
      <c r="N42" s="45">
        <v>11</v>
      </c>
      <c r="O42" s="45">
        <v>3</v>
      </c>
      <c r="P42" s="45"/>
      <c r="Q42" s="46">
        <v>16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13+9+5+118+2+287</f>
        <v>434</v>
      </c>
      <c r="D44" s="108"/>
      <c r="E44" s="108"/>
    </row>
    <row r="45" spans="2:26" x14ac:dyDescent="0.25">
      <c r="B45" s="90" t="s">
        <v>92</v>
      </c>
      <c r="C45" s="108">
        <f>3</f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16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4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473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/>
      <c r="K31" s="24">
        <v>6</v>
      </c>
      <c r="L31" s="24">
        <v>34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/>
      <c r="K32" s="29">
        <v>0</v>
      </c>
      <c r="L32" s="29">
        <v>439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439</v>
      </c>
      <c r="G36" s="45"/>
      <c r="H36" s="45"/>
      <c r="I36" s="45"/>
      <c r="J36" s="45"/>
      <c r="K36" s="45"/>
      <c r="L36" s="45">
        <v>1</v>
      </c>
      <c r="M36" s="45">
        <v>1</v>
      </c>
      <c r="N36" s="45">
        <v>10</v>
      </c>
      <c r="O36" s="45">
        <v>2</v>
      </c>
      <c r="P36" s="45">
        <v>12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439</v>
      </c>
      <c r="G42" s="45"/>
      <c r="H42" s="45"/>
      <c r="I42" s="45"/>
      <c r="J42" s="45"/>
      <c r="K42" s="45"/>
      <c r="L42" s="45">
        <v>1</v>
      </c>
      <c r="M42" s="45">
        <v>1</v>
      </c>
      <c r="N42" s="45">
        <v>10</v>
      </c>
      <c r="O42" s="45">
        <v>2</v>
      </c>
      <c r="P42" s="45">
        <v>12</v>
      </c>
      <c r="Q42" s="46">
        <v>15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15+3+439</f>
        <v>457</v>
      </c>
      <c r="D44" s="108"/>
      <c r="E44" s="108"/>
    </row>
    <row r="45" spans="2:25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188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3</v>
      </c>
      <c r="G16" s="29"/>
      <c r="H16" s="67" t="s">
        <v>190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27</v>
      </c>
      <c r="I24" s="15"/>
      <c r="J24" s="15">
        <v>2</v>
      </c>
      <c r="K24" s="15">
        <v>15</v>
      </c>
      <c r="L24" s="15">
        <v>411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27</v>
      </c>
      <c r="I31" s="24"/>
      <c r="J31" s="24">
        <v>2</v>
      </c>
      <c r="K31" s="24">
        <v>15</v>
      </c>
      <c r="L31" s="24">
        <v>108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45</v>
      </c>
      <c r="I32" s="29"/>
      <c r="J32" s="29">
        <v>0</v>
      </c>
      <c r="K32" s="29">
        <v>0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21</v>
      </c>
      <c r="F36" s="45">
        <v>346</v>
      </c>
      <c r="G36" s="45"/>
      <c r="H36" s="45"/>
      <c r="I36" s="45">
        <v>2</v>
      </c>
      <c r="J36" s="45">
        <v>1</v>
      </c>
      <c r="K36" s="45">
        <v>11</v>
      </c>
      <c r="L36" s="45">
        <v>1</v>
      </c>
      <c r="M36" s="45"/>
      <c r="N36" s="45"/>
      <c r="O36" s="45">
        <v>6</v>
      </c>
      <c r="P36" s="45">
        <v>5</v>
      </c>
      <c r="Q36" s="46">
        <v>5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21</v>
      </c>
      <c r="F42" s="45">
        <v>346</v>
      </c>
      <c r="G42" s="45"/>
      <c r="H42" s="45"/>
      <c r="I42" s="45">
        <v>2</v>
      </c>
      <c r="J42" s="45">
        <v>1</v>
      </c>
      <c r="K42" s="45">
        <v>11</v>
      </c>
      <c r="L42" s="45">
        <v>1</v>
      </c>
      <c r="M42" s="45"/>
      <c r="N42" s="45"/>
      <c r="O42" s="45">
        <v>6</v>
      </c>
      <c r="P42" s="45">
        <v>5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3+10+1+45+303</f>
        <v>362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 t="s">
        <v>192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192</v>
      </c>
      <c r="V8" s="15"/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/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192</v>
      </c>
      <c r="V15" s="24"/>
      <c r="W15" s="24">
        <v>2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>
        <v>10</v>
      </c>
      <c r="L24" s="15">
        <v>305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2</v>
      </c>
      <c r="I31" s="24"/>
      <c r="J31" s="24"/>
      <c r="K31" s="24">
        <v>4</v>
      </c>
      <c r="L31" s="24">
        <v>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28</v>
      </c>
      <c r="I32" s="29"/>
      <c r="J32" s="29"/>
      <c r="K32" s="29">
        <v>6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330</v>
      </c>
      <c r="G36" s="45">
        <v>1</v>
      </c>
      <c r="H36" s="45">
        <v>2</v>
      </c>
      <c r="I36" s="45">
        <v>7</v>
      </c>
      <c r="J36" s="45"/>
      <c r="K36" s="45">
        <v>2</v>
      </c>
      <c r="L36" s="45"/>
      <c r="M36" s="45"/>
      <c r="N36" s="45"/>
      <c r="O36" s="45">
        <v>2</v>
      </c>
      <c r="P36" s="45">
        <v>1</v>
      </c>
      <c r="Q36" s="46">
        <v>17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330</v>
      </c>
      <c r="G42" s="45">
        <v>1</v>
      </c>
      <c r="H42" s="45">
        <v>2</v>
      </c>
      <c r="I42" s="45">
        <v>7</v>
      </c>
      <c r="J42" s="45"/>
      <c r="K42" s="45">
        <v>2</v>
      </c>
      <c r="L42" s="45"/>
      <c r="M42" s="45"/>
      <c r="N42" s="45"/>
      <c r="O42" s="45">
        <v>2</v>
      </c>
      <c r="P42" s="45">
        <v>1</v>
      </c>
      <c r="Q42" s="46">
        <v>17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2+28+6+303</f>
        <v>339</v>
      </c>
      <c r="D44" s="108"/>
      <c r="E44" s="108"/>
    </row>
    <row r="45" spans="2:26" x14ac:dyDescent="0.25">
      <c r="B45" s="90" t="s">
        <v>92</v>
      </c>
      <c r="C45" s="108">
        <f>8</f>
        <v>8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195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358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11</v>
      </c>
      <c r="I31" s="24"/>
      <c r="J31" s="24"/>
      <c r="K31" s="24">
        <v>4</v>
      </c>
      <c r="L31" s="24">
        <v>66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23</v>
      </c>
      <c r="I32" s="29"/>
      <c r="J32" s="29"/>
      <c r="K32" s="29">
        <v>2</v>
      </c>
      <c r="L32" s="29">
        <v>292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7</v>
      </c>
      <c r="H36" s="45">
        <v>5</v>
      </c>
      <c r="I36" s="45">
        <v>1</v>
      </c>
      <c r="J36" s="45">
        <v>1</v>
      </c>
      <c r="K36" s="45">
        <v>10</v>
      </c>
      <c r="L36" s="45">
        <v>1</v>
      </c>
      <c r="M36" s="45">
        <v>1</v>
      </c>
      <c r="N36" s="45">
        <v>2</v>
      </c>
      <c r="O36" s="45">
        <v>3</v>
      </c>
      <c r="P36" s="45">
        <v>3</v>
      </c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7</v>
      </c>
      <c r="H42" s="45">
        <v>5</v>
      </c>
      <c r="I42" s="45">
        <v>1</v>
      </c>
      <c r="J42" s="45">
        <v>1</v>
      </c>
      <c r="K42" s="45">
        <v>10</v>
      </c>
      <c r="L42" s="45">
        <v>1</v>
      </c>
      <c r="M42" s="45">
        <v>1</v>
      </c>
      <c r="N42" s="45">
        <v>2</v>
      </c>
      <c r="O42" s="45">
        <v>3</v>
      </c>
      <c r="P42" s="45">
        <v>3</v>
      </c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2+6+1+1+23+2+292</f>
        <v>327</v>
      </c>
      <c r="D44" s="108"/>
      <c r="E44" s="108"/>
    </row>
    <row r="45" spans="2:25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81</v>
      </c>
      <c r="I24" s="15"/>
      <c r="J24" s="15">
        <v>2</v>
      </c>
      <c r="K24" s="15">
        <v>20</v>
      </c>
      <c r="L24" s="15">
        <v>432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29</v>
      </c>
      <c r="I31" s="24"/>
      <c r="J31" s="24">
        <v>2</v>
      </c>
      <c r="K31" s="24">
        <v>0</v>
      </c>
      <c r="L31" s="24">
        <v>60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52</v>
      </c>
      <c r="I32" s="29"/>
      <c r="J32" s="29">
        <v>0</v>
      </c>
      <c r="K32" s="29">
        <v>20</v>
      </c>
      <c r="L32" s="29">
        <v>372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560</v>
      </c>
      <c r="G36" s="45">
        <v>1</v>
      </c>
      <c r="H36" s="45">
        <v>1</v>
      </c>
      <c r="I36" s="45"/>
      <c r="J36" s="45"/>
      <c r="K36" s="45">
        <v>1</v>
      </c>
      <c r="L36" s="45"/>
      <c r="M36" s="45"/>
      <c r="N36" s="45">
        <v>24</v>
      </c>
      <c r="O36" s="45">
        <v>9</v>
      </c>
      <c r="P36" s="45">
        <v>1</v>
      </c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560</v>
      </c>
      <c r="G42" s="45">
        <v>1</v>
      </c>
      <c r="H42" s="45">
        <v>1</v>
      </c>
      <c r="I42" s="45"/>
      <c r="J42" s="45"/>
      <c r="K42" s="45">
        <v>1</v>
      </c>
      <c r="L42" s="45"/>
      <c r="M42" s="45"/>
      <c r="N42" s="45">
        <v>24</v>
      </c>
      <c r="O42" s="45">
        <v>9</v>
      </c>
      <c r="P42" s="45">
        <v>1</v>
      </c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10+52+20+372</f>
        <v>454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65334-CBE6-439A-92BD-D25EAF26876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5C8A-0714-4661-9B35-E2873A07F11B}">
  <dimension ref="B1:AA45"/>
  <sheetViews>
    <sheetView showGridLines="0" topLeftCell="A29" zoomScale="160" zoomScaleNormal="160" workbookViewId="0">
      <selection activeCell="C23" sqref="C2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4B91B-DF49-42D3-A627-4D173439EAC0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1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1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>
        <v>1</v>
      </c>
      <c r="J24" s="15"/>
      <c r="K24" s="15">
        <v>1</v>
      </c>
      <c r="L24" s="15">
        <v>12</v>
      </c>
      <c r="M24" s="15">
        <v>390</v>
      </c>
      <c r="N24" s="15"/>
      <c r="O24" s="15"/>
      <c r="P24" s="15" t="s">
        <v>208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12</v>
      </c>
      <c r="I31" s="24">
        <v>1</v>
      </c>
      <c r="J31" s="24"/>
      <c r="K31" s="24">
        <v>1</v>
      </c>
      <c r="L31" s="24">
        <v>3</v>
      </c>
      <c r="M31" s="24">
        <v>110</v>
      </c>
      <c r="N31" s="24"/>
      <c r="O31" s="24"/>
      <c r="P31" s="24" t="s">
        <v>209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18</v>
      </c>
      <c r="I32" s="29">
        <v>0</v>
      </c>
      <c r="J32" s="29"/>
      <c r="K32" s="29">
        <v>0</v>
      </c>
      <c r="L32" s="29">
        <v>9</v>
      </c>
      <c r="M32" s="29">
        <v>280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>
        <v>27</v>
      </c>
      <c r="F36" s="45">
        <v>279</v>
      </c>
      <c r="G36" s="45">
        <v>28</v>
      </c>
      <c r="H36" s="45">
        <v>2</v>
      </c>
      <c r="I36" s="45">
        <v>6</v>
      </c>
      <c r="J36" s="45">
        <v>4</v>
      </c>
      <c r="K36" s="45">
        <v>5</v>
      </c>
      <c r="L36" s="45">
        <v>12</v>
      </c>
      <c r="M36" s="45"/>
      <c r="N36" s="45">
        <v>14</v>
      </c>
      <c r="O36" s="45">
        <v>32</v>
      </c>
      <c r="P36" s="45"/>
      <c r="Q36" s="46">
        <v>3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>
        <v>27</v>
      </c>
      <c r="F42" s="45">
        <v>279</v>
      </c>
      <c r="G42" s="45">
        <v>28</v>
      </c>
      <c r="H42" s="45">
        <v>2</v>
      </c>
      <c r="I42" s="45">
        <v>6</v>
      </c>
      <c r="J42" s="45">
        <v>4</v>
      </c>
      <c r="K42" s="45">
        <v>5</v>
      </c>
      <c r="L42" s="45">
        <v>12</v>
      </c>
      <c r="M42" s="45"/>
      <c r="N42" s="45">
        <v>14</v>
      </c>
      <c r="O42" s="45">
        <v>32</v>
      </c>
      <c r="P42" s="45"/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8">
        <f>1+1+11+2+3+18+9+280+3</f>
        <v>328</v>
      </c>
      <c r="D44" s="108"/>
      <c r="E44" s="108"/>
    </row>
    <row r="45" spans="2:26" x14ac:dyDescent="0.25">
      <c r="B45" s="90" t="s">
        <v>92</v>
      </c>
      <c r="C45" s="108">
        <f>10</f>
        <v>10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D20C-DB2D-4E4A-AFFD-EBCAD0EBEE0B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24"/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107</v>
      </c>
      <c r="I24" s="15"/>
      <c r="J24" s="15"/>
      <c r="K24" s="15">
        <v>2</v>
      </c>
      <c r="L24" s="15">
        <v>15</v>
      </c>
      <c r="M24" s="15">
        <v>384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13</v>
      </c>
      <c r="I31" s="24"/>
      <c r="J31" s="24"/>
      <c r="K31" s="24">
        <v>0</v>
      </c>
      <c r="L31" s="24">
        <v>15</v>
      </c>
      <c r="M31" s="24">
        <v>134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94</v>
      </c>
      <c r="I32" s="29"/>
      <c r="J32" s="29"/>
      <c r="K32" s="29">
        <v>2</v>
      </c>
      <c r="L32" s="29">
        <v>0</v>
      </c>
      <c r="M32" s="29">
        <v>250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10</v>
      </c>
      <c r="F36" s="45">
        <v>328</v>
      </c>
      <c r="G36" s="45">
        <v>1</v>
      </c>
      <c r="H36" s="45">
        <v>1</v>
      </c>
      <c r="I36" s="45">
        <v>2</v>
      </c>
      <c r="J36" s="45">
        <v>1</v>
      </c>
      <c r="K36" s="45">
        <v>6</v>
      </c>
      <c r="L36" s="45">
        <v>1</v>
      </c>
      <c r="M36" s="45"/>
      <c r="N36" s="45">
        <v>2</v>
      </c>
      <c r="O36" s="45">
        <v>3</v>
      </c>
      <c r="P36" s="45">
        <v>5</v>
      </c>
      <c r="Q36" s="46">
        <v>8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10</v>
      </c>
      <c r="F42" s="45">
        <v>328</v>
      </c>
      <c r="G42" s="45">
        <v>1</v>
      </c>
      <c r="H42" s="45">
        <v>1</v>
      </c>
      <c r="I42" s="45">
        <v>2</v>
      </c>
      <c r="J42" s="45">
        <v>1</v>
      </c>
      <c r="K42" s="45">
        <v>6</v>
      </c>
      <c r="L42" s="45">
        <v>1</v>
      </c>
      <c r="M42" s="45"/>
      <c r="N42" s="45">
        <v>2</v>
      </c>
      <c r="O42" s="45">
        <v>3</v>
      </c>
      <c r="P42" s="45">
        <v>5</v>
      </c>
      <c r="Q42" s="46">
        <v>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8">
        <f>8+94+2+250</f>
        <v>354</v>
      </c>
      <c r="D44" s="108"/>
      <c r="E44" s="108"/>
    </row>
    <row r="45" spans="2:26" x14ac:dyDescent="0.25">
      <c r="B45" s="90" t="s">
        <v>92</v>
      </c>
      <c r="C45" s="108"/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784C-C94F-49B3-952F-D71B942DC09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4F529-C578-4BC3-9FBF-E711DF9A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EAA8-6BCD-4873-81EA-1C560ED7082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4D22-AC26-4481-823B-52E2B60EEE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C1841-DA4C-4E54-9D78-27692414308C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416C7-3484-4F77-BB6C-24510F5FC1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367FD-E1EF-4354-82CB-356DD780A98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0DAF-37B0-47A5-ABC3-443B0C53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0CEE-F6C2-4A46-9770-D7BB818E265B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26C1-A414-453C-9AD7-8DC3AE0F5C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0417-179C-4747-AF6C-3F36956027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3048-AA05-4B51-8DC4-70541410F3E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45D16-B4B0-42DA-BA90-3545E479B0F5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56BE-AE66-412B-A6CA-4AD3CE87E8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629E-4E92-4D13-B7C0-0364970C49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FA85-B98E-4B18-B8BD-EE567C8C3B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(18)</vt:lpstr>
      <vt:lpstr>02-18 R1 NO TRIP</vt:lpstr>
      <vt:lpstr>02-18 R2</vt:lpstr>
      <vt:lpstr>02-18 R3</vt:lpstr>
      <vt:lpstr>(19)</vt:lpstr>
      <vt:lpstr>02-19 R1</vt:lpstr>
      <vt:lpstr>02-19 R2</vt:lpstr>
      <vt:lpstr>02-19 R3</vt:lpstr>
      <vt:lpstr>(20)</vt:lpstr>
      <vt:lpstr>02-20 R1</vt:lpstr>
      <vt:lpstr>02-20 R2</vt:lpstr>
      <vt:lpstr>02-20 R3</vt:lpstr>
      <vt:lpstr>(21)</vt:lpstr>
      <vt:lpstr>02-21 R1</vt:lpstr>
      <vt:lpstr>02-21 R2</vt:lpstr>
      <vt:lpstr>02-21 R3</vt:lpstr>
      <vt:lpstr>(23)</vt:lpstr>
      <vt:lpstr>02-23 R1</vt:lpstr>
      <vt:lpstr>02-23 R2</vt:lpstr>
      <vt:lpstr>02-23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  <vt:lpstr>'02-18 R1 NO TRIP'!Print_Area</vt:lpstr>
      <vt:lpstr>'02-18 R2'!Print_Area</vt:lpstr>
      <vt:lpstr>'02-18 R3'!Print_Area</vt:lpstr>
      <vt:lpstr>'02-19 R1'!Print_Area</vt:lpstr>
      <vt:lpstr>'02-19 R2'!Print_Area</vt:lpstr>
      <vt:lpstr>'02-19 R3'!Print_Area</vt:lpstr>
      <vt:lpstr>'02-20 R1'!Print_Area</vt:lpstr>
      <vt:lpstr>'02-20 R2'!Print_Area</vt:lpstr>
      <vt:lpstr>'02-20 R3'!Print_Area</vt:lpstr>
      <vt:lpstr>'02-21 R1'!Print_Area</vt:lpstr>
      <vt:lpstr>'02-21 R2'!Print_Area</vt:lpstr>
      <vt:lpstr>'02-21 R3'!Print_Area</vt:lpstr>
      <vt:lpstr>'02-23 R1'!Print_Area</vt:lpstr>
      <vt:lpstr>'02-23 R2'!Print_Area</vt:lpstr>
      <vt:lpstr>'02-23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2026-02-17T08:11:50Z</cp:lastPrinted>
  <dcterms:created xsi:type="dcterms:W3CDTF">2024-09-01T22:48:10Z</dcterms:created>
  <dcterms:modified xsi:type="dcterms:W3CDTF">2026-02-18T23:44:38Z</dcterms:modified>
</cp:coreProperties>
</file>