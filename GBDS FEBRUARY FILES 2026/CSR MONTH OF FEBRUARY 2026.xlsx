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BCB1B67-A41B-454D-9842-C78582386DED}" xr6:coauthVersionLast="45" xr6:coauthVersionMax="45" xr10:uidLastSave="{00000000-0000-0000-0000-000000000000}"/>
  <bookViews>
    <workbookView xWindow="-120" yWindow="-120" windowWidth="29040" windowHeight="15840" firstSheet="84" activeTab="96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" sheetId="1429" r:id="rId75"/>
    <sheet name="02-23 R2" sheetId="1430" r:id="rId76"/>
    <sheet name="02-23 R3" sheetId="1431" r:id="rId77"/>
    <sheet name="(24)" sheetId="1432" r:id="rId78"/>
    <sheet name="02-24 R1" sheetId="1433" r:id="rId79"/>
    <sheet name="02-24 R2" sheetId="1434" r:id="rId80"/>
    <sheet name="02-24 R3" sheetId="1435" r:id="rId81"/>
    <sheet name="(25)" sheetId="1436" r:id="rId82"/>
    <sheet name="02-25 R1" sheetId="1437" r:id="rId83"/>
    <sheet name="02-25 R2" sheetId="1438" r:id="rId84"/>
    <sheet name="02-25 R3" sheetId="1439" r:id="rId85"/>
    <sheet name="(26)" sheetId="1440" r:id="rId86"/>
    <sheet name="02-26 R1" sheetId="1441" r:id="rId87"/>
    <sheet name="02-26 R2" sheetId="1442" r:id="rId88"/>
    <sheet name="02-26 R3" sheetId="1443" r:id="rId89"/>
    <sheet name="(27)" sheetId="1444" r:id="rId90"/>
    <sheet name="02-27 R1" sheetId="1445" r:id="rId91"/>
    <sheet name="02-27 R2" sheetId="1446" r:id="rId92"/>
    <sheet name="02-27 R3" sheetId="1447" r:id="rId93"/>
    <sheet name="(28)" sheetId="1448" r:id="rId94"/>
    <sheet name="02-28 R1" sheetId="1449" r:id="rId95"/>
    <sheet name="02-28 R2" sheetId="1450" r:id="rId96"/>
    <sheet name="02-28 R3" sheetId="1451" r:id="rId97"/>
  </sheets>
  <externalReferences>
    <externalReference r:id="rId9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'(26)'!$A$1:$Z$44</definedName>
    <definedName name="_xlnm.Print_Area" localSheetId="89">'(27)'!$A$1:$Z$44</definedName>
    <definedName name="_xlnm.Print_Area" localSheetId="93">'(28)'!$A$1:$Z$44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R1'!$A$1:$Z$43</definedName>
    <definedName name="_xlnm.Print_Area" localSheetId="75">'02-23 R2'!$A$1:$V$44</definedName>
    <definedName name="_xlnm.Print_Area" localSheetId="76">'02-23 R3'!$A$1:$V$44</definedName>
    <definedName name="_xlnm.Print_Area" localSheetId="78">'02-24 R1'!$A$1:$Z$43</definedName>
    <definedName name="_xlnm.Print_Area" localSheetId="79">'02-24 R2'!$A$1:$V$44</definedName>
    <definedName name="_xlnm.Print_Area" localSheetId="80">'02-24 R3'!$A$1:$V$44</definedName>
    <definedName name="_xlnm.Print_Area" localSheetId="82">'02-25 R1'!$A$1:$Z$43</definedName>
    <definedName name="_xlnm.Print_Area" localSheetId="83">'02-25 R2'!$A$1:$V$44</definedName>
    <definedName name="_xlnm.Print_Area" localSheetId="84">'02-25 R3'!$A$1:$V$44</definedName>
    <definedName name="_xlnm.Print_Area" localSheetId="86">'02-26 R1'!$A$1:$Z$43</definedName>
    <definedName name="_xlnm.Print_Area" localSheetId="87">'02-26 R2'!$A$1:$V$44</definedName>
    <definedName name="_xlnm.Print_Area" localSheetId="88">'02-26 R3'!$A$1:$V$44</definedName>
    <definedName name="_xlnm.Print_Area" localSheetId="90">'02-27 R1'!$A$1:$Z$43</definedName>
    <definedName name="_xlnm.Print_Area" localSheetId="91">'02-27 R2'!$A$1:$V$44</definedName>
    <definedName name="_xlnm.Print_Area" localSheetId="92">'02-27 R3'!$A$1:$V$44</definedName>
    <definedName name="_xlnm.Print_Area" localSheetId="94">'02-28 R1'!$A$1:$Z$43</definedName>
    <definedName name="_xlnm.Print_Area" localSheetId="95">'02-28 R2'!$A$1:$V$44</definedName>
    <definedName name="_xlnm.Print_Area" localSheetId="96">'02-28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  <c r="F21" i="1447"/>
  <c r="Y19" i="1447"/>
  <c r="W19" i="1447"/>
  <c r="V19" i="1447"/>
  <c r="U19" i="1447"/>
  <c r="T19" i="1447"/>
  <c r="P19" i="1447"/>
  <c r="O19" i="1447"/>
  <c r="N19" i="1447"/>
  <c r="M19" i="1447"/>
  <c r="L19" i="1447"/>
  <c r="K19" i="1447"/>
  <c r="J19" i="1447"/>
  <c r="I19" i="1447"/>
  <c r="H19" i="1447"/>
  <c r="G19" i="1447"/>
  <c r="F19" i="1447"/>
  <c r="E19" i="1447"/>
  <c r="D19" i="1447"/>
  <c r="C19" i="1447"/>
  <c r="Y18" i="1447"/>
  <c r="W18" i="1447"/>
  <c r="V18" i="1447"/>
  <c r="U18" i="1447"/>
  <c r="T18" i="1447"/>
  <c r="P18" i="1447"/>
  <c r="O18" i="1447"/>
  <c r="N18" i="1447"/>
  <c r="M18" i="1447"/>
  <c r="L18" i="1447"/>
  <c r="K18" i="1447"/>
  <c r="J18" i="1447"/>
  <c r="I18" i="1447"/>
  <c r="H18" i="1447"/>
  <c r="G18" i="1447"/>
  <c r="F18" i="1447"/>
  <c r="E18" i="1447"/>
  <c r="D18" i="1447"/>
  <c r="C18" i="1447"/>
  <c r="Y4" i="1447"/>
  <c r="W4" i="1447"/>
  <c r="V4" i="1447"/>
  <c r="U4" i="1447"/>
  <c r="T4" i="1447"/>
  <c r="P4" i="1447"/>
  <c r="O4" i="1447"/>
  <c r="N4" i="1447"/>
  <c r="M4" i="1447"/>
  <c r="L4" i="1447"/>
  <c r="K4" i="1447"/>
  <c r="J4" i="1447"/>
  <c r="I4" i="1447"/>
  <c r="H4" i="1447"/>
  <c r="G4" i="1447"/>
  <c r="F4" i="1447"/>
  <c r="E4" i="1447"/>
  <c r="D4" i="1447"/>
  <c r="C4" i="1447"/>
  <c r="Y3" i="1447"/>
  <c r="W3" i="1447"/>
  <c r="V3" i="1447"/>
  <c r="U3" i="1447"/>
  <c r="T3" i="1447"/>
  <c r="P3" i="1447"/>
  <c r="O3" i="1447"/>
  <c r="N3" i="1447"/>
  <c r="M3" i="1447"/>
  <c r="L3" i="1447"/>
  <c r="K3" i="1447"/>
  <c r="J3" i="1447"/>
  <c r="I3" i="1447"/>
  <c r="H3" i="1447"/>
  <c r="G3" i="1447"/>
  <c r="F3" i="1447"/>
  <c r="E3" i="1447"/>
  <c r="D3" i="1447"/>
  <c r="C3" i="1447"/>
  <c r="F21" i="1446"/>
  <c r="Y19" i="1446"/>
  <c r="W19" i="1446"/>
  <c r="V19" i="1446"/>
  <c r="U19" i="1446"/>
  <c r="T19" i="1446"/>
  <c r="P19" i="1446"/>
  <c r="O19" i="1446"/>
  <c r="N19" i="1446"/>
  <c r="M19" i="1446"/>
  <c r="L19" i="1446"/>
  <c r="K19" i="1446"/>
  <c r="J19" i="1446"/>
  <c r="I19" i="1446"/>
  <c r="H19" i="1446"/>
  <c r="G19" i="1446"/>
  <c r="F19" i="1446"/>
  <c r="E19" i="1446"/>
  <c r="D19" i="1446"/>
  <c r="C19" i="1446"/>
  <c r="Y18" i="1446"/>
  <c r="W18" i="1446"/>
  <c r="V18" i="1446"/>
  <c r="U18" i="1446"/>
  <c r="T18" i="1446"/>
  <c r="P18" i="1446"/>
  <c r="O18" i="1446"/>
  <c r="N18" i="1446"/>
  <c r="M18" i="1446"/>
  <c r="L18" i="1446"/>
  <c r="K18" i="1446"/>
  <c r="J18" i="1446"/>
  <c r="I18" i="1446"/>
  <c r="H18" i="1446"/>
  <c r="G18" i="1446"/>
  <c r="F18" i="1446"/>
  <c r="E18" i="1446"/>
  <c r="D18" i="1446"/>
  <c r="C18" i="1446"/>
  <c r="Y4" i="1446"/>
  <c r="W4" i="1446"/>
  <c r="V4" i="1446"/>
  <c r="U4" i="1446"/>
  <c r="T4" i="1446"/>
  <c r="P4" i="1446"/>
  <c r="O4" i="1446"/>
  <c r="N4" i="1446"/>
  <c r="M4" i="1446"/>
  <c r="L4" i="1446"/>
  <c r="K4" i="1446"/>
  <c r="J4" i="1446"/>
  <c r="I4" i="1446"/>
  <c r="H4" i="1446"/>
  <c r="G4" i="1446"/>
  <c r="F4" i="1446"/>
  <c r="E4" i="1446"/>
  <c r="D4" i="1446"/>
  <c r="C4" i="1446"/>
  <c r="Y3" i="1446"/>
  <c r="W3" i="1446"/>
  <c r="V3" i="1446"/>
  <c r="U3" i="1446"/>
  <c r="T3" i="1446"/>
  <c r="P3" i="1446"/>
  <c r="O3" i="1446"/>
  <c r="N3" i="1446"/>
  <c r="M3" i="1446"/>
  <c r="L3" i="1446"/>
  <c r="K3" i="1446"/>
  <c r="J3" i="1446"/>
  <c r="I3" i="1446"/>
  <c r="H3" i="1446"/>
  <c r="G3" i="1446"/>
  <c r="F3" i="1446"/>
  <c r="E3" i="1446"/>
  <c r="D3" i="1446"/>
  <c r="C3" i="1446"/>
  <c r="F21" i="1445"/>
  <c r="Y19" i="1445"/>
  <c r="W19" i="1445"/>
  <c r="V19" i="1445"/>
  <c r="U19" i="1445"/>
  <c r="T19" i="1445"/>
  <c r="P19" i="1445"/>
  <c r="O19" i="1445"/>
  <c r="N19" i="1445"/>
  <c r="M19" i="1445"/>
  <c r="L19" i="1445"/>
  <c r="K19" i="1445"/>
  <c r="J19" i="1445"/>
  <c r="I19" i="1445"/>
  <c r="H19" i="1445"/>
  <c r="G19" i="1445"/>
  <c r="F19" i="1445"/>
  <c r="E19" i="1445"/>
  <c r="D19" i="1445"/>
  <c r="C19" i="1445"/>
  <c r="Y18" i="1445"/>
  <c r="W18" i="1445"/>
  <c r="V18" i="1445"/>
  <c r="U18" i="1445"/>
  <c r="T18" i="1445"/>
  <c r="P18" i="1445"/>
  <c r="O18" i="1445"/>
  <c r="N18" i="1445"/>
  <c r="M18" i="1445"/>
  <c r="L18" i="1445"/>
  <c r="K18" i="1445"/>
  <c r="J18" i="1445"/>
  <c r="I18" i="1445"/>
  <c r="H18" i="1445"/>
  <c r="G18" i="1445"/>
  <c r="F18" i="1445"/>
  <c r="E18" i="1445"/>
  <c r="D18" i="1445"/>
  <c r="C18" i="1445"/>
  <c r="Y4" i="1445"/>
  <c r="W4" i="1445"/>
  <c r="V4" i="1445"/>
  <c r="U4" i="1445"/>
  <c r="T4" i="1445"/>
  <c r="P4" i="1445"/>
  <c r="O4" i="1445"/>
  <c r="N4" i="1445"/>
  <c r="M4" i="1445"/>
  <c r="L4" i="1445"/>
  <c r="K4" i="1445"/>
  <c r="J4" i="1445"/>
  <c r="I4" i="1445"/>
  <c r="H4" i="1445"/>
  <c r="G4" i="1445"/>
  <c r="F4" i="1445"/>
  <c r="E4" i="1445"/>
  <c r="D4" i="1445"/>
  <c r="C4" i="1445"/>
  <c r="Y3" i="1445"/>
  <c r="W3" i="1445"/>
  <c r="V3" i="1445"/>
  <c r="U3" i="1445"/>
  <c r="T3" i="1445"/>
  <c r="P3" i="1445"/>
  <c r="O3" i="1445"/>
  <c r="N3" i="1445"/>
  <c r="M3" i="1445"/>
  <c r="L3" i="1445"/>
  <c r="K3" i="1445"/>
  <c r="J3" i="1445"/>
  <c r="I3" i="1445"/>
  <c r="H3" i="1445"/>
  <c r="G3" i="1445"/>
  <c r="F3" i="1445"/>
  <c r="E3" i="1445"/>
  <c r="D3" i="1445"/>
  <c r="C3" i="1445"/>
  <c r="F21" i="1444"/>
  <c r="Y19" i="1444"/>
  <c r="W19" i="1444"/>
  <c r="V19" i="1444"/>
  <c r="U19" i="1444"/>
  <c r="T19" i="1444"/>
  <c r="P19" i="1444"/>
  <c r="O19" i="1444"/>
  <c r="N19" i="1444"/>
  <c r="M19" i="1444"/>
  <c r="L19" i="1444"/>
  <c r="K19" i="1444"/>
  <c r="J19" i="1444"/>
  <c r="I19" i="1444"/>
  <c r="H19" i="1444"/>
  <c r="G19" i="1444"/>
  <c r="F19" i="1444"/>
  <c r="E19" i="1444"/>
  <c r="D19" i="1444"/>
  <c r="C19" i="1444"/>
  <c r="Y18" i="1444"/>
  <c r="W18" i="1444"/>
  <c r="V18" i="1444"/>
  <c r="U18" i="1444"/>
  <c r="T18" i="1444"/>
  <c r="P18" i="1444"/>
  <c r="O18" i="1444"/>
  <c r="N18" i="1444"/>
  <c r="M18" i="1444"/>
  <c r="L18" i="1444"/>
  <c r="K18" i="1444"/>
  <c r="J18" i="1444"/>
  <c r="I18" i="1444"/>
  <c r="H18" i="1444"/>
  <c r="G18" i="1444"/>
  <c r="F18" i="1444"/>
  <c r="E18" i="1444"/>
  <c r="D18" i="1444"/>
  <c r="C18" i="1444"/>
  <c r="Y4" i="1444"/>
  <c r="W4" i="1444"/>
  <c r="V4" i="1444"/>
  <c r="U4" i="1444"/>
  <c r="T4" i="1444"/>
  <c r="P4" i="1444"/>
  <c r="O4" i="1444"/>
  <c r="N4" i="1444"/>
  <c r="M4" i="1444"/>
  <c r="L4" i="1444"/>
  <c r="K4" i="1444"/>
  <c r="J4" i="1444"/>
  <c r="I4" i="1444"/>
  <c r="H4" i="1444"/>
  <c r="G4" i="1444"/>
  <c r="F4" i="1444"/>
  <c r="E4" i="1444"/>
  <c r="D4" i="1444"/>
  <c r="C4" i="1444"/>
  <c r="Y3" i="1444"/>
  <c r="W3" i="1444"/>
  <c r="V3" i="1444"/>
  <c r="U3" i="1444"/>
  <c r="T3" i="1444"/>
  <c r="P3" i="1444"/>
  <c r="O3" i="1444"/>
  <c r="N3" i="1444"/>
  <c r="M3" i="1444"/>
  <c r="L3" i="1444"/>
  <c r="K3" i="1444"/>
  <c r="J3" i="1444"/>
  <c r="I3" i="1444"/>
  <c r="H3" i="1444"/>
  <c r="G3" i="1444"/>
  <c r="F3" i="1444"/>
  <c r="E3" i="1444"/>
  <c r="D3" i="1444"/>
  <c r="C3" i="1444"/>
  <c r="F21" i="1443"/>
  <c r="Y19" i="1443"/>
  <c r="W19" i="1443"/>
  <c r="V19" i="1443"/>
  <c r="U19" i="1443"/>
  <c r="T19" i="1443"/>
  <c r="P19" i="1443"/>
  <c r="O19" i="1443"/>
  <c r="N19" i="1443"/>
  <c r="M19" i="1443"/>
  <c r="L19" i="1443"/>
  <c r="K19" i="1443"/>
  <c r="J19" i="1443"/>
  <c r="I19" i="1443"/>
  <c r="H19" i="1443"/>
  <c r="G19" i="1443"/>
  <c r="F19" i="1443"/>
  <c r="E19" i="1443"/>
  <c r="D19" i="1443"/>
  <c r="C19" i="1443"/>
  <c r="Y18" i="1443"/>
  <c r="W18" i="1443"/>
  <c r="V18" i="1443"/>
  <c r="U18" i="1443"/>
  <c r="T18" i="1443"/>
  <c r="P18" i="1443"/>
  <c r="O18" i="1443"/>
  <c r="N18" i="1443"/>
  <c r="M18" i="1443"/>
  <c r="L18" i="1443"/>
  <c r="K18" i="1443"/>
  <c r="J18" i="1443"/>
  <c r="I18" i="1443"/>
  <c r="H18" i="1443"/>
  <c r="G18" i="1443"/>
  <c r="F18" i="1443"/>
  <c r="E18" i="1443"/>
  <c r="D18" i="1443"/>
  <c r="C18" i="1443"/>
  <c r="Y4" i="1443"/>
  <c r="W4" i="1443"/>
  <c r="V4" i="1443"/>
  <c r="U4" i="1443"/>
  <c r="T4" i="1443"/>
  <c r="P4" i="1443"/>
  <c r="O4" i="1443"/>
  <c r="N4" i="1443"/>
  <c r="M4" i="1443"/>
  <c r="L4" i="1443"/>
  <c r="K4" i="1443"/>
  <c r="J4" i="1443"/>
  <c r="I4" i="1443"/>
  <c r="H4" i="1443"/>
  <c r="G4" i="1443"/>
  <c r="F4" i="1443"/>
  <c r="E4" i="1443"/>
  <c r="D4" i="1443"/>
  <c r="C4" i="1443"/>
  <c r="Y3" i="1443"/>
  <c r="W3" i="1443"/>
  <c r="V3" i="1443"/>
  <c r="U3" i="1443"/>
  <c r="T3" i="1443"/>
  <c r="P3" i="1443"/>
  <c r="O3" i="1443"/>
  <c r="N3" i="1443"/>
  <c r="M3" i="1443"/>
  <c r="L3" i="1443"/>
  <c r="K3" i="1443"/>
  <c r="J3" i="1443"/>
  <c r="I3" i="1443"/>
  <c r="H3" i="1443"/>
  <c r="G3" i="1443"/>
  <c r="F3" i="1443"/>
  <c r="E3" i="1443"/>
  <c r="D3" i="1443"/>
  <c r="C3" i="1443"/>
  <c r="F21" i="1442"/>
  <c r="Y19" i="1442"/>
  <c r="W19" i="1442"/>
  <c r="V19" i="1442"/>
  <c r="U19" i="1442"/>
  <c r="T19" i="1442"/>
  <c r="P19" i="1442"/>
  <c r="O19" i="1442"/>
  <c r="N19" i="1442"/>
  <c r="M19" i="1442"/>
  <c r="L19" i="1442"/>
  <c r="K19" i="1442"/>
  <c r="J19" i="1442"/>
  <c r="I19" i="1442"/>
  <c r="H19" i="1442"/>
  <c r="G19" i="1442"/>
  <c r="F19" i="1442"/>
  <c r="E19" i="1442"/>
  <c r="D19" i="1442"/>
  <c r="C19" i="1442"/>
  <c r="Y18" i="1442"/>
  <c r="W18" i="1442"/>
  <c r="V18" i="1442"/>
  <c r="U18" i="1442"/>
  <c r="T18" i="1442"/>
  <c r="P18" i="1442"/>
  <c r="O18" i="1442"/>
  <c r="N18" i="1442"/>
  <c r="M18" i="1442"/>
  <c r="L18" i="1442"/>
  <c r="K18" i="1442"/>
  <c r="J18" i="1442"/>
  <c r="I18" i="1442"/>
  <c r="H18" i="1442"/>
  <c r="G18" i="1442"/>
  <c r="F18" i="1442"/>
  <c r="E18" i="1442"/>
  <c r="D18" i="1442"/>
  <c r="C18" i="1442"/>
  <c r="Y4" i="1442"/>
  <c r="W4" i="1442"/>
  <c r="V4" i="1442"/>
  <c r="U4" i="1442"/>
  <c r="T4" i="1442"/>
  <c r="P4" i="1442"/>
  <c r="O4" i="1442"/>
  <c r="N4" i="1442"/>
  <c r="M4" i="1442"/>
  <c r="L4" i="1442"/>
  <c r="K4" i="1442"/>
  <c r="J4" i="1442"/>
  <c r="I4" i="1442"/>
  <c r="H4" i="1442"/>
  <c r="G4" i="1442"/>
  <c r="F4" i="1442"/>
  <c r="E4" i="1442"/>
  <c r="D4" i="1442"/>
  <c r="C4" i="1442"/>
  <c r="Y3" i="1442"/>
  <c r="W3" i="1442"/>
  <c r="V3" i="1442"/>
  <c r="U3" i="1442"/>
  <c r="T3" i="1442"/>
  <c r="P3" i="1442"/>
  <c r="O3" i="1442"/>
  <c r="N3" i="1442"/>
  <c r="M3" i="1442"/>
  <c r="L3" i="1442"/>
  <c r="K3" i="1442"/>
  <c r="J3" i="1442"/>
  <c r="I3" i="1442"/>
  <c r="H3" i="1442"/>
  <c r="G3" i="1442"/>
  <c r="F3" i="1442"/>
  <c r="E3" i="1442"/>
  <c r="D3" i="1442"/>
  <c r="C3" i="1442"/>
  <c r="F21" i="1441"/>
  <c r="Y19" i="1441"/>
  <c r="W19" i="1441"/>
  <c r="V19" i="1441"/>
  <c r="U19" i="1441"/>
  <c r="T19" i="1441"/>
  <c r="P19" i="1441"/>
  <c r="O19" i="1441"/>
  <c r="N19" i="1441"/>
  <c r="M19" i="1441"/>
  <c r="L19" i="1441"/>
  <c r="K19" i="1441"/>
  <c r="J19" i="1441"/>
  <c r="I19" i="1441"/>
  <c r="H19" i="1441"/>
  <c r="G19" i="1441"/>
  <c r="F19" i="1441"/>
  <c r="E19" i="1441"/>
  <c r="D19" i="1441"/>
  <c r="C19" i="1441"/>
  <c r="Y18" i="1441"/>
  <c r="W18" i="1441"/>
  <c r="V18" i="1441"/>
  <c r="U18" i="1441"/>
  <c r="T18" i="1441"/>
  <c r="P18" i="1441"/>
  <c r="O18" i="1441"/>
  <c r="N18" i="1441"/>
  <c r="M18" i="1441"/>
  <c r="L18" i="1441"/>
  <c r="K18" i="1441"/>
  <c r="J18" i="1441"/>
  <c r="I18" i="1441"/>
  <c r="H18" i="1441"/>
  <c r="G18" i="1441"/>
  <c r="F18" i="1441"/>
  <c r="E18" i="1441"/>
  <c r="D18" i="1441"/>
  <c r="C18" i="1441"/>
  <c r="Y4" i="1441"/>
  <c r="W4" i="1441"/>
  <c r="V4" i="1441"/>
  <c r="U4" i="1441"/>
  <c r="T4" i="1441"/>
  <c r="P4" i="1441"/>
  <c r="O4" i="1441"/>
  <c r="N4" i="1441"/>
  <c r="M4" i="1441"/>
  <c r="L4" i="1441"/>
  <c r="K4" i="1441"/>
  <c r="J4" i="1441"/>
  <c r="I4" i="1441"/>
  <c r="H4" i="1441"/>
  <c r="G4" i="1441"/>
  <c r="F4" i="1441"/>
  <c r="E4" i="1441"/>
  <c r="D4" i="1441"/>
  <c r="C4" i="1441"/>
  <c r="Y3" i="1441"/>
  <c r="W3" i="1441"/>
  <c r="V3" i="1441"/>
  <c r="U3" i="1441"/>
  <c r="T3" i="1441"/>
  <c r="P3" i="1441"/>
  <c r="O3" i="1441"/>
  <c r="N3" i="1441"/>
  <c r="M3" i="1441"/>
  <c r="L3" i="1441"/>
  <c r="K3" i="1441"/>
  <c r="J3" i="1441"/>
  <c r="I3" i="1441"/>
  <c r="H3" i="1441"/>
  <c r="G3" i="1441"/>
  <c r="F3" i="1441"/>
  <c r="E3" i="1441"/>
  <c r="D3" i="1441"/>
  <c r="C3" i="1441"/>
  <c r="F21" i="1440"/>
  <c r="Y19" i="1440"/>
  <c r="W19" i="1440"/>
  <c r="V19" i="1440"/>
  <c r="U19" i="1440"/>
  <c r="T19" i="1440"/>
  <c r="P19" i="1440"/>
  <c r="O19" i="1440"/>
  <c r="N19" i="1440"/>
  <c r="M19" i="1440"/>
  <c r="L19" i="1440"/>
  <c r="K19" i="1440"/>
  <c r="J19" i="1440"/>
  <c r="I19" i="1440"/>
  <c r="H19" i="1440"/>
  <c r="G19" i="1440"/>
  <c r="F19" i="1440"/>
  <c r="E19" i="1440"/>
  <c r="D19" i="1440"/>
  <c r="C19" i="1440"/>
  <c r="Y18" i="1440"/>
  <c r="W18" i="1440"/>
  <c r="V18" i="1440"/>
  <c r="U18" i="1440"/>
  <c r="T18" i="1440"/>
  <c r="P18" i="1440"/>
  <c r="O18" i="1440"/>
  <c r="N18" i="1440"/>
  <c r="M18" i="1440"/>
  <c r="L18" i="1440"/>
  <c r="K18" i="1440"/>
  <c r="J18" i="1440"/>
  <c r="I18" i="1440"/>
  <c r="H18" i="1440"/>
  <c r="G18" i="1440"/>
  <c r="F18" i="1440"/>
  <c r="E18" i="1440"/>
  <c r="D18" i="1440"/>
  <c r="C18" i="1440"/>
  <c r="Y4" i="1440"/>
  <c r="W4" i="1440"/>
  <c r="V4" i="1440"/>
  <c r="U4" i="1440"/>
  <c r="T4" i="1440"/>
  <c r="P4" i="1440"/>
  <c r="O4" i="1440"/>
  <c r="N4" i="1440"/>
  <c r="M4" i="1440"/>
  <c r="L4" i="1440"/>
  <c r="K4" i="1440"/>
  <c r="J4" i="1440"/>
  <c r="I4" i="1440"/>
  <c r="H4" i="1440"/>
  <c r="G4" i="1440"/>
  <c r="F4" i="1440"/>
  <c r="E4" i="1440"/>
  <c r="D4" i="1440"/>
  <c r="C4" i="1440"/>
  <c r="Y3" i="1440"/>
  <c r="W3" i="1440"/>
  <c r="V3" i="1440"/>
  <c r="U3" i="1440"/>
  <c r="T3" i="1440"/>
  <c r="P3" i="1440"/>
  <c r="O3" i="1440"/>
  <c r="N3" i="1440"/>
  <c r="M3" i="1440"/>
  <c r="L3" i="1440"/>
  <c r="K3" i="1440"/>
  <c r="J3" i="1440"/>
  <c r="I3" i="1440"/>
  <c r="H3" i="1440"/>
  <c r="G3" i="1440"/>
  <c r="F3" i="1440"/>
  <c r="E3" i="1440"/>
  <c r="D3" i="1440"/>
  <c r="C3" i="1440"/>
  <c r="F21" i="1439"/>
  <c r="Y19" i="1439"/>
  <c r="W19" i="1439"/>
  <c r="V19" i="1439"/>
  <c r="U19" i="1439"/>
  <c r="T19" i="1439"/>
  <c r="P19" i="1439"/>
  <c r="O19" i="1439"/>
  <c r="N19" i="1439"/>
  <c r="M19" i="1439"/>
  <c r="L19" i="1439"/>
  <c r="K19" i="1439"/>
  <c r="J19" i="1439"/>
  <c r="I19" i="1439"/>
  <c r="H19" i="1439"/>
  <c r="G19" i="1439"/>
  <c r="F19" i="1439"/>
  <c r="E19" i="1439"/>
  <c r="D19" i="1439"/>
  <c r="C19" i="1439"/>
  <c r="Y18" i="1439"/>
  <c r="W18" i="1439"/>
  <c r="V18" i="1439"/>
  <c r="U18" i="1439"/>
  <c r="T18" i="1439"/>
  <c r="P18" i="1439"/>
  <c r="O18" i="1439"/>
  <c r="N18" i="1439"/>
  <c r="M18" i="1439"/>
  <c r="L18" i="1439"/>
  <c r="K18" i="1439"/>
  <c r="J18" i="1439"/>
  <c r="I18" i="1439"/>
  <c r="H18" i="1439"/>
  <c r="G18" i="1439"/>
  <c r="F18" i="1439"/>
  <c r="E18" i="1439"/>
  <c r="D18" i="1439"/>
  <c r="C18" i="1439"/>
  <c r="Y4" i="1439"/>
  <c r="W4" i="1439"/>
  <c r="V4" i="1439"/>
  <c r="U4" i="1439"/>
  <c r="T4" i="1439"/>
  <c r="P4" i="1439"/>
  <c r="O4" i="1439"/>
  <c r="N4" i="1439"/>
  <c r="M4" i="1439"/>
  <c r="L4" i="1439"/>
  <c r="K4" i="1439"/>
  <c r="J4" i="1439"/>
  <c r="I4" i="1439"/>
  <c r="H4" i="1439"/>
  <c r="G4" i="1439"/>
  <c r="F4" i="1439"/>
  <c r="E4" i="1439"/>
  <c r="D4" i="1439"/>
  <c r="C4" i="1439"/>
  <c r="Y3" i="1439"/>
  <c r="W3" i="1439"/>
  <c r="V3" i="1439"/>
  <c r="U3" i="1439"/>
  <c r="T3" i="1439"/>
  <c r="P3" i="1439"/>
  <c r="O3" i="1439"/>
  <c r="N3" i="1439"/>
  <c r="M3" i="1439"/>
  <c r="L3" i="1439"/>
  <c r="K3" i="1439"/>
  <c r="J3" i="1439"/>
  <c r="I3" i="1439"/>
  <c r="H3" i="1439"/>
  <c r="G3" i="1439"/>
  <c r="F3" i="1439"/>
  <c r="E3" i="1439"/>
  <c r="D3" i="1439"/>
  <c r="C3" i="1439"/>
  <c r="F21" i="1438"/>
  <c r="Y19" i="1438"/>
  <c r="W19" i="1438"/>
  <c r="V19" i="1438"/>
  <c r="U19" i="1438"/>
  <c r="T19" i="1438"/>
  <c r="P19" i="1438"/>
  <c r="O19" i="1438"/>
  <c r="N19" i="1438"/>
  <c r="M19" i="1438"/>
  <c r="L19" i="1438"/>
  <c r="K19" i="1438"/>
  <c r="J19" i="1438"/>
  <c r="I19" i="1438"/>
  <c r="H19" i="1438"/>
  <c r="G19" i="1438"/>
  <c r="F19" i="1438"/>
  <c r="E19" i="1438"/>
  <c r="D19" i="1438"/>
  <c r="C19" i="1438"/>
  <c r="Y18" i="1438"/>
  <c r="W18" i="1438"/>
  <c r="V18" i="1438"/>
  <c r="U18" i="1438"/>
  <c r="T18" i="1438"/>
  <c r="P18" i="1438"/>
  <c r="O18" i="1438"/>
  <c r="N18" i="1438"/>
  <c r="M18" i="1438"/>
  <c r="L18" i="1438"/>
  <c r="K18" i="1438"/>
  <c r="J18" i="1438"/>
  <c r="I18" i="1438"/>
  <c r="H18" i="1438"/>
  <c r="G18" i="1438"/>
  <c r="F18" i="1438"/>
  <c r="E18" i="1438"/>
  <c r="D18" i="1438"/>
  <c r="C18" i="1438"/>
  <c r="Y4" i="1438"/>
  <c r="W4" i="1438"/>
  <c r="V4" i="1438"/>
  <c r="U4" i="1438"/>
  <c r="T4" i="1438"/>
  <c r="P4" i="1438"/>
  <c r="O4" i="1438"/>
  <c r="N4" i="1438"/>
  <c r="M4" i="1438"/>
  <c r="L4" i="1438"/>
  <c r="K4" i="1438"/>
  <c r="J4" i="1438"/>
  <c r="I4" i="1438"/>
  <c r="H4" i="1438"/>
  <c r="G4" i="1438"/>
  <c r="F4" i="1438"/>
  <c r="E4" i="1438"/>
  <c r="D4" i="1438"/>
  <c r="C4" i="1438"/>
  <c r="Y3" i="1438"/>
  <c r="W3" i="1438"/>
  <c r="V3" i="1438"/>
  <c r="U3" i="1438"/>
  <c r="T3" i="1438"/>
  <c r="P3" i="1438"/>
  <c r="O3" i="1438"/>
  <c r="N3" i="1438"/>
  <c r="M3" i="1438"/>
  <c r="L3" i="1438"/>
  <c r="K3" i="1438"/>
  <c r="J3" i="1438"/>
  <c r="I3" i="1438"/>
  <c r="H3" i="1438"/>
  <c r="G3" i="1438"/>
  <c r="F3" i="1438"/>
  <c r="E3" i="1438"/>
  <c r="D3" i="1438"/>
  <c r="C3" i="1438"/>
  <c r="F21" i="1437"/>
  <c r="Y19" i="1437"/>
  <c r="W19" i="1437"/>
  <c r="V19" i="1437"/>
  <c r="U19" i="1437"/>
  <c r="T19" i="1437"/>
  <c r="P19" i="1437"/>
  <c r="O19" i="1437"/>
  <c r="N19" i="1437"/>
  <c r="M19" i="1437"/>
  <c r="L19" i="1437"/>
  <c r="K19" i="1437"/>
  <c r="J19" i="1437"/>
  <c r="I19" i="1437"/>
  <c r="H19" i="1437"/>
  <c r="G19" i="1437"/>
  <c r="F19" i="1437"/>
  <c r="E19" i="1437"/>
  <c r="D19" i="1437"/>
  <c r="C19" i="1437"/>
  <c r="Y18" i="1437"/>
  <c r="W18" i="1437"/>
  <c r="V18" i="1437"/>
  <c r="U18" i="1437"/>
  <c r="T18" i="1437"/>
  <c r="P18" i="1437"/>
  <c r="O18" i="1437"/>
  <c r="N18" i="1437"/>
  <c r="M18" i="1437"/>
  <c r="L18" i="1437"/>
  <c r="K18" i="1437"/>
  <c r="J18" i="1437"/>
  <c r="I18" i="1437"/>
  <c r="H18" i="1437"/>
  <c r="G18" i="1437"/>
  <c r="F18" i="1437"/>
  <c r="E18" i="1437"/>
  <c r="D18" i="1437"/>
  <c r="C18" i="1437"/>
  <c r="Y4" i="1437"/>
  <c r="W4" i="1437"/>
  <c r="V4" i="1437"/>
  <c r="U4" i="1437"/>
  <c r="T4" i="1437"/>
  <c r="P4" i="1437"/>
  <c r="O4" i="1437"/>
  <c r="N4" i="1437"/>
  <c r="M4" i="1437"/>
  <c r="L4" i="1437"/>
  <c r="K4" i="1437"/>
  <c r="J4" i="1437"/>
  <c r="I4" i="1437"/>
  <c r="H4" i="1437"/>
  <c r="G4" i="1437"/>
  <c r="F4" i="1437"/>
  <c r="E4" i="1437"/>
  <c r="D4" i="1437"/>
  <c r="C4" i="1437"/>
  <c r="Y3" i="1437"/>
  <c r="W3" i="1437"/>
  <c r="V3" i="1437"/>
  <c r="U3" i="1437"/>
  <c r="T3" i="1437"/>
  <c r="P3" i="1437"/>
  <c r="O3" i="1437"/>
  <c r="N3" i="1437"/>
  <c r="M3" i="1437"/>
  <c r="L3" i="1437"/>
  <c r="K3" i="1437"/>
  <c r="J3" i="1437"/>
  <c r="I3" i="1437"/>
  <c r="H3" i="1437"/>
  <c r="G3" i="1437"/>
  <c r="F3" i="1437"/>
  <c r="E3" i="1437"/>
  <c r="D3" i="1437"/>
  <c r="C3" i="1437"/>
  <c r="F21" i="1436"/>
  <c r="Y19" i="1436"/>
  <c r="W19" i="1436"/>
  <c r="V19" i="1436"/>
  <c r="U19" i="1436"/>
  <c r="T19" i="1436"/>
  <c r="P19" i="1436"/>
  <c r="O19" i="1436"/>
  <c r="N19" i="1436"/>
  <c r="M19" i="1436"/>
  <c r="L19" i="1436"/>
  <c r="K19" i="1436"/>
  <c r="J19" i="1436"/>
  <c r="I19" i="1436"/>
  <c r="H19" i="1436"/>
  <c r="G19" i="1436"/>
  <c r="F19" i="1436"/>
  <c r="E19" i="1436"/>
  <c r="D19" i="1436"/>
  <c r="C19" i="1436"/>
  <c r="Y18" i="1436"/>
  <c r="W18" i="1436"/>
  <c r="V18" i="1436"/>
  <c r="U18" i="1436"/>
  <c r="T18" i="1436"/>
  <c r="P18" i="1436"/>
  <c r="O18" i="1436"/>
  <c r="N18" i="1436"/>
  <c r="M18" i="1436"/>
  <c r="L18" i="1436"/>
  <c r="K18" i="1436"/>
  <c r="J18" i="1436"/>
  <c r="I18" i="1436"/>
  <c r="H18" i="1436"/>
  <c r="G18" i="1436"/>
  <c r="F18" i="1436"/>
  <c r="E18" i="1436"/>
  <c r="D18" i="1436"/>
  <c r="C18" i="1436"/>
  <c r="Y4" i="1436"/>
  <c r="W4" i="1436"/>
  <c r="V4" i="1436"/>
  <c r="U4" i="1436"/>
  <c r="T4" i="1436"/>
  <c r="P4" i="1436"/>
  <c r="O4" i="1436"/>
  <c r="N4" i="1436"/>
  <c r="M4" i="1436"/>
  <c r="L4" i="1436"/>
  <c r="K4" i="1436"/>
  <c r="J4" i="1436"/>
  <c r="I4" i="1436"/>
  <c r="H4" i="1436"/>
  <c r="G4" i="1436"/>
  <c r="F4" i="1436"/>
  <c r="E4" i="1436"/>
  <c r="D4" i="1436"/>
  <c r="C4" i="1436"/>
  <c r="Y3" i="1436"/>
  <c r="W3" i="1436"/>
  <c r="V3" i="1436"/>
  <c r="U3" i="1436"/>
  <c r="T3" i="1436"/>
  <c r="P3" i="1436"/>
  <c r="O3" i="1436"/>
  <c r="N3" i="1436"/>
  <c r="M3" i="1436"/>
  <c r="L3" i="1436"/>
  <c r="K3" i="1436"/>
  <c r="J3" i="1436"/>
  <c r="I3" i="1436"/>
  <c r="H3" i="1436"/>
  <c r="G3" i="1436"/>
  <c r="F3" i="1436"/>
  <c r="E3" i="1436"/>
  <c r="D3" i="1436"/>
  <c r="C3" i="1436"/>
  <c r="F21" i="1435"/>
  <c r="Y19" i="1435"/>
  <c r="W19" i="1435"/>
  <c r="V19" i="1435"/>
  <c r="U19" i="1435"/>
  <c r="T19" i="1435"/>
  <c r="P19" i="1435"/>
  <c r="O19" i="1435"/>
  <c r="N19" i="1435"/>
  <c r="M19" i="1435"/>
  <c r="L19" i="1435"/>
  <c r="K19" i="1435"/>
  <c r="J19" i="1435"/>
  <c r="I19" i="1435"/>
  <c r="H19" i="1435"/>
  <c r="G19" i="1435"/>
  <c r="F19" i="1435"/>
  <c r="E19" i="1435"/>
  <c r="D19" i="1435"/>
  <c r="C19" i="1435"/>
  <c r="Y18" i="1435"/>
  <c r="W18" i="1435"/>
  <c r="V18" i="1435"/>
  <c r="U18" i="1435"/>
  <c r="T18" i="1435"/>
  <c r="P18" i="1435"/>
  <c r="O18" i="1435"/>
  <c r="N18" i="1435"/>
  <c r="M18" i="1435"/>
  <c r="L18" i="1435"/>
  <c r="K18" i="1435"/>
  <c r="J18" i="1435"/>
  <c r="I18" i="1435"/>
  <c r="H18" i="1435"/>
  <c r="G18" i="1435"/>
  <c r="F18" i="1435"/>
  <c r="E18" i="1435"/>
  <c r="D18" i="1435"/>
  <c r="C18" i="1435"/>
  <c r="Y4" i="1435"/>
  <c r="W4" i="1435"/>
  <c r="V4" i="1435"/>
  <c r="U4" i="1435"/>
  <c r="T4" i="1435"/>
  <c r="P4" i="1435"/>
  <c r="O4" i="1435"/>
  <c r="N4" i="1435"/>
  <c r="M4" i="1435"/>
  <c r="L4" i="1435"/>
  <c r="K4" i="1435"/>
  <c r="J4" i="1435"/>
  <c r="I4" i="1435"/>
  <c r="H4" i="1435"/>
  <c r="G4" i="1435"/>
  <c r="F4" i="1435"/>
  <c r="E4" i="1435"/>
  <c r="D4" i="1435"/>
  <c r="C4" i="1435"/>
  <c r="Y3" i="1435"/>
  <c r="W3" i="1435"/>
  <c r="V3" i="1435"/>
  <c r="U3" i="1435"/>
  <c r="T3" i="1435"/>
  <c r="P3" i="1435"/>
  <c r="O3" i="1435"/>
  <c r="N3" i="1435"/>
  <c r="M3" i="1435"/>
  <c r="L3" i="1435"/>
  <c r="K3" i="1435"/>
  <c r="J3" i="1435"/>
  <c r="I3" i="1435"/>
  <c r="H3" i="1435"/>
  <c r="G3" i="1435"/>
  <c r="F3" i="1435"/>
  <c r="E3" i="1435"/>
  <c r="D3" i="1435"/>
  <c r="C3" i="1435"/>
  <c r="F21" i="1434"/>
  <c r="Y19" i="1434"/>
  <c r="W19" i="1434"/>
  <c r="V19" i="1434"/>
  <c r="U19" i="1434"/>
  <c r="T19" i="1434"/>
  <c r="P19" i="1434"/>
  <c r="O19" i="1434"/>
  <c r="N19" i="1434"/>
  <c r="M19" i="1434"/>
  <c r="L19" i="1434"/>
  <c r="K19" i="1434"/>
  <c r="J19" i="1434"/>
  <c r="I19" i="1434"/>
  <c r="H19" i="1434"/>
  <c r="G19" i="1434"/>
  <c r="F19" i="1434"/>
  <c r="E19" i="1434"/>
  <c r="D19" i="1434"/>
  <c r="C19" i="1434"/>
  <c r="Y18" i="1434"/>
  <c r="W18" i="1434"/>
  <c r="V18" i="1434"/>
  <c r="U18" i="1434"/>
  <c r="T18" i="1434"/>
  <c r="P18" i="1434"/>
  <c r="O18" i="1434"/>
  <c r="N18" i="1434"/>
  <c r="M18" i="1434"/>
  <c r="L18" i="1434"/>
  <c r="K18" i="1434"/>
  <c r="J18" i="1434"/>
  <c r="I18" i="1434"/>
  <c r="H18" i="1434"/>
  <c r="G18" i="1434"/>
  <c r="F18" i="1434"/>
  <c r="E18" i="1434"/>
  <c r="D18" i="1434"/>
  <c r="C18" i="1434"/>
  <c r="Y4" i="1434"/>
  <c r="W4" i="1434"/>
  <c r="V4" i="1434"/>
  <c r="U4" i="1434"/>
  <c r="T4" i="1434"/>
  <c r="P4" i="1434"/>
  <c r="O4" i="1434"/>
  <c r="N4" i="1434"/>
  <c r="M4" i="1434"/>
  <c r="L4" i="1434"/>
  <c r="K4" i="1434"/>
  <c r="J4" i="1434"/>
  <c r="I4" i="1434"/>
  <c r="H4" i="1434"/>
  <c r="G4" i="1434"/>
  <c r="F4" i="1434"/>
  <c r="E4" i="1434"/>
  <c r="D4" i="1434"/>
  <c r="C4" i="1434"/>
  <c r="Y3" i="1434"/>
  <c r="W3" i="1434"/>
  <c r="V3" i="1434"/>
  <c r="U3" i="1434"/>
  <c r="T3" i="1434"/>
  <c r="P3" i="1434"/>
  <c r="O3" i="1434"/>
  <c r="N3" i="1434"/>
  <c r="M3" i="1434"/>
  <c r="L3" i="1434"/>
  <c r="K3" i="1434"/>
  <c r="J3" i="1434"/>
  <c r="I3" i="1434"/>
  <c r="H3" i="1434"/>
  <c r="G3" i="1434"/>
  <c r="F3" i="1434"/>
  <c r="E3" i="1434"/>
  <c r="D3" i="1434"/>
  <c r="C3" i="1434"/>
  <c r="F21" i="1433"/>
  <c r="Y19" i="1433"/>
  <c r="W19" i="1433"/>
  <c r="V19" i="1433"/>
  <c r="U19" i="1433"/>
  <c r="T19" i="1433"/>
  <c r="P19" i="1433"/>
  <c r="O19" i="1433"/>
  <c r="N19" i="1433"/>
  <c r="M19" i="1433"/>
  <c r="L19" i="1433"/>
  <c r="K19" i="1433"/>
  <c r="J19" i="1433"/>
  <c r="I19" i="1433"/>
  <c r="H19" i="1433"/>
  <c r="G19" i="1433"/>
  <c r="F19" i="1433"/>
  <c r="E19" i="1433"/>
  <c r="D19" i="1433"/>
  <c r="C19" i="1433"/>
  <c r="Y18" i="1433"/>
  <c r="W18" i="1433"/>
  <c r="V18" i="1433"/>
  <c r="U18" i="1433"/>
  <c r="T18" i="1433"/>
  <c r="P18" i="1433"/>
  <c r="O18" i="1433"/>
  <c r="N18" i="1433"/>
  <c r="M18" i="1433"/>
  <c r="L18" i="1433"/>
  <c r="K18" i="1433"/>
  <c r="J18" i="1433"/>
  <c r="I18" i="1433"/>
  <c r="H18" i="1433"/>
  <c r="G18" i="1433"/>
  <c r="F18" i="1433"/>
  <c r="E18" i="1433"/>
  <c r="D18" i="1433"/>
  <c r="C18" i="1433"/>
  <c r="Y4" i="1433"/>
  <c r="W4" i="1433"/>
  <c r="V4" i="1433"/>
  <c r="U4" i="1433"/>
  <c r="T4" i="1433"/>
  <c r="P4" i="1433"/>
  <c r="O4" i="1433"/>
  <c r="N4" i="1433"/>
  <c r="M4" i="1433"/>
  <c r="L4" i="1433"/>
  <c r="K4" i="1433"/>
  <c r="J4" i="1433"/>
  <c r="I4" i="1433"/>
  <c r="H4" i="1433"/>
  <c r="G4" i="1433"/>
  <c r="F4" i="1433"/>
  <c r="E4" i="1433"/>
  <c r="D4" i="1433"/>
  <c r="C4" i="1433"/>
  <c r="Y3" i="1433"/>
  <c r="W3" i="1433"/>
  <c r="V3" i="1433"/>
  <c r="U3" i="1433"/>
  <c r="T3" i="1433"/>
  <c r="P3" i="1433"/>
  <c r="O3" i="1433"/>
  <c r="N3" i="1433"/>
  <c r="M3" i="1433"/>
  <c r="L3" i="1433"/>
  <c r="K3" i="1433"/>
  <c r="J3" i="1433"/>
  <c r="I3" i="1433"/>
  <c r="H3" i="1433"/>
  <c r="G3" i="1433"/>
  <c r="F3" i="1433"/>
  <c r="E3" i="1433"/>
  <c r="D3" i="1433"/>
  <c r="C3" i="1433"/>
  <c r="F21" i="1432"/>
  <c r="Y19" i="1432"/>
  <c r="W19" i="1432"/>
  <c r="V19" i="1432"/>
  <c r="U19" i="1432"/>
  <c r="T19" i="1432"/>
  <c r="P19" i="1432"/>
  <c r="O19" i="1432"/>
  <c r="N19" i="1432"/>
  <c r="M19" i="1432"/>
  <c r="L19" i="1432"/>
  <c r="K19" i="1432"/>
  <c r="J19" i="1432"/>
  <c r="I19" i="1432"/>
  <c r="H19" i="1432"/>
  <c r="G19" i="1432"/>
  <c r="F19" i="1432"/>
  <c r="E19" i="1432"/>
  <c r="D19" i="1432"/>
  <c r="C19" i="1432"/>
  <c r="Y18" i="1432"/>
  <c r="W18" i="1432"/>
  <c r="V18" i="1432"/>
  <c r="U18" i="1432"/>
  <c r="T18" i="1432"/>
  <c r="P18" i="1432"/>
  <c r="O18" i="1432"/>
  <c r="N18" i="1432"/>
  <c r="M18" i="1432"/>
  <c r="L18" i="1432"/>
  <c r="K18" i="1432"/>
  <c r="J18" i="1432"/>
  <c r="I18" i="1432"/>
  <c r="H18" i="1432"/>
  <c r="G18" i="1432"/>
  <c r="F18" i="1432"/>
  <c r="E18" i="1432"/>
  <c r="D18" i="1432"/>
  <c r="C18" i="1432"/>
  <c r="Y4" i="1432"/>
  <c r="W4" i="1432"/>
  <c r="V4" i="1432"/>
  <c r="U4" i="1432"/>
  <c r="T4" i="1432"/>
  <c r="P4" i="1432"/>
  <c r="O4" i="1432"/>
  <c r="N4" i="1432"/>
  <c r="M4" i="1432"/>
  <c r="L4" i="1432"/>
  <c r="K4" i="1432"/>
  <c r="J4" i="1432"/>
  <c r="I4" i="1432"/>
  <c r="H4" i="1432"/>
  <c r="G4" i="1432"/>
  <c r="F4" i="1432"/>
  <c r="E4" i="1432"/>
  <c r="D4" i="1432"/>
  <c r="C4" i="1432"/>
  <c r="Y3" i="1432"/>
  <c r="W3" i="1432"/>
  <c r="V3" i="1432"/>
  <c r="U3" i="1432"/>
  <c r="T3" i="1432"/>
  <c r="P3" i="1432"/>
  <c r="O3" i="1432"/>
  <c r="N3" i="1432"/>
  <c r="M3" i="1432"/>
  <c r="L3" i="1432"/>
  <c r="K3" i="1432"/>
  <c r="J3" i="1432"/>
  <c r="I3" i="1432"/>
  <c r="H3" i="1432"/>
  <c r="G3" i="1432"/>
  <c r="F3" i="1432"/>
  <c r="E3" i="1432"/>
  <c r="D3" i="1432"/>
  <c r="C3" i="1432"/>
  <c r="C45" i="1427"/>
  <c r="C44" i="1427"/>
  <c r="C44" i="1426"/>
  <c r="C45" i="1425"/>
  <c r="C44" i="1425"/>
  <c r="C45" i="1423" l="1"/>
  <c r="C44" i="1423"/>
  <c r="C44" i="1422"/>
  <c r="C45" i="1421"/>
  <c r="C44" i="1421"/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<sst xmlns="http://schemas.openxmlformats.org/spreadsheetml/2006/main" count="8714" uniqueCount="242">
  <si>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</si>
  <si>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</si>
  <si>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</si>
  <si>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</si>
  <si>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</si>
  <si>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</si>
  <si>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</si>
  <si>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</si>
  <si>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</si>
  <si>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</si>
  <si>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</si>
  <si>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</si>
  <si>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</si>
  <si>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</si>
  <si>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</si>
  <si>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</si>
  <si>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</si>
  <si>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</si>
  <si>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</si>
  <si>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</si>
  <si>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</si>
  <si>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</si>
  <si>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</si>
  <si>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</si>
  <si>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</si>
  <si>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</si>
  <si>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</si>
  <si>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</si>
  <si>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</si>
  <si>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</si>
  <si>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</si>
  <si>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</si>
  <si>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</si>
  <si>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</si>
  <si>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</si>
  <si>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</si>
  <si>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</si>
  <si>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</si>
  <si>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</si>
  <si>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</si>
  <si>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</si>
  <si>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</si>
  <si>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</si>
  <si>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</si>
  <si>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</si>
  <si>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</si>
  <si>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</si>
  <si>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</si>
  <si>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</si>
  <si>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</si>
  <si>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</si>
  <si>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</si>
  <si>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</si>
  <si>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</si>
  <si>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</si>
  <si>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</si>
  <si>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</si>
  <si>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</si>
  <si>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</si>
  <si>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</si>
  <si>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</si>
  <si>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</si>
  <si>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</si>
  <si>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</si>
  <si>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</si>
  <si>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</si>
  <si>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</si>
  <si>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</si>
  <si>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</si>
  <si>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</si>
  <si>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</si>
  <si>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</si>
  <si>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</si>
  <si>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</si>
  <si>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</si>
  <si>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</si>
  <si>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</si>
  <si>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</si>
  <si>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</si>
  <si>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</si>
  <si>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</si>
  <si>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</si>
  <si>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</si>
  <si>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</si>
  <si>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</si>
  <si>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</si>
  <si>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</si>
  <si>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</si>
  <si>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</si>
  <si>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</si>
  <si>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</si>
  <si>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</si>
  <si>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</si>
  <si>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</si>
  <si>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</si>
  <si>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</si>
  <si>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</si>
  <si>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</si>
  <si>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</si>
  <si>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</si>
  <si>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</si>
  <si>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</si>
  <si>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</si>
  <si>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</si>
  <si>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</si>
  <si>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</si>
  <si>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</si>
  <si>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</si>
  <si>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</si>
  <si>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</si>
  <si>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</si>
  <si>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</si>
  <si>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</si>
  <si>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</si>
  <si>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</si>
  <si>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</si>
  <si>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</si>
  <si>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</si>
  <si>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</si>
  <si>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</si>
  <si>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</si>
  <si>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</si>
  <si>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</si>
  <si>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</si>
  <si>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</si>
  <si>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</si>
  <si>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</si>
  <si>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</si>
  <si>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</si>
  <si>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</si>
  <si>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</si>
  <si>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</si>
  <si>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</si>
  <si>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</si>
  <si>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</si>
  <si>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</si>
  <si>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</si>
  <si>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</si>
  <si>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</si>
  <si>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</si>
  <si>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</si>
  <si>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</si>
  <si>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</si>
  <si>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</si>
  <si>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</si>
  <si>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</si>
  <si>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</si>
  <si>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</si>
  <si>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</si>
  <si>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</si>
  <si>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</si>
  <si>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</si>
  <si>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</si>
  <si>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</si>
  <si>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</si>
  <si>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</si>
  <si>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</si>
  <si>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</si>
  <si>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</si>
  <si>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</si>
  <si>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</si>
  <si>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</si>
  <si>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</si>
  <si>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</si>
  <si>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</si>
  <si>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</si>
  <si>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</si>
  <si>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</si>
  <si>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</si>
  <si>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</si>
  <si>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</si>
  <si>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</si>
  <si>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</si>
  <si>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</si>
  <si>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</si>
  <si>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</si>
  <si>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</si>
  <si>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</si>
  <si>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</si>
  <si>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</si>
  <si>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</si>
  <si>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</si>
  <si>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</si>
  <si>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</si>
  <si>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</si>
  <si>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</si>
  <si>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</si>
  <si>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</si>
  <si>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</si>
  <si>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</si>
  <si>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</si>
  <si>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</si>
  <si>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</si>
  <si>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</si>
  <si>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</si>
  <si>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</si>
  <si>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</si>
  <si>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</si>
  <si>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</si>
  <si>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</si>
  <si>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</si>
  <si>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</si>
  <si>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</si>
  <si>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</si>
  <si>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</si>
  <si>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</si>
  <si>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</si>
  <si>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</si>
  <si>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</si>
  <si>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</si>
  <si>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</si>
  <si>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</si>
  <si>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</si>
  <si>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</si>
  <si>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</si>
  <si>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</si>
  <si>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</si>
  <si>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</si>
  <si>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</si>
  <si>
    <t>2/12b</t>
  </si>
  <si>
    <t>1/12b</t>
  </si>
  <si>
    <t>15/10b</t>
  </si>
  <si>
    <t>4/18b</t>
  </si>
  <si>
    <t>20/4b</t>
  </si>
  <si>
    <t>6/11b</t>
  </si>
  <si>
    <t>10/11b</t>
  </si>
  <si>
    <t>3/4b</t>
  </si>
  <si>
    <t>5/4b</t>
  </si>
  <si>
    <t>16/9b</t>
  </si>
  <si>
    <t>4b</t>
  </si>
  <si>
    <t>16/13b</t>
  </si>
  <si>
    <t>4/4B</t>
  </si>
  <si>
    <t>13/18B</t>
  </si>
  <si>
    <t>5/12B</t>
  </si>
  <si>
    <t>3/4B</t>
  </si>
  <si>
    <t>15/15B</t>
  </si>
  <si>
    <t>4/13B</t>
  </si>
  <si>
    <t>DATE ___________02/24/2026___________</t>
  </si>
  <si>
    <t>DATE ___________02/25/2026___________</t>
  </si>
  <si>
    <t>DATE ___________02/26/2026___________</t>
  </si>
  <si>
    <t>DATE ___________02/27/2026___________</t>
  </si>
  <si>
    <t>DATE ___________02/28/2026___________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</si>
</sst>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00" t="s">
        <v>47</v>
      </c>
      <c r="P34" s="101"/>
      <c r="Q34" s="101"/>
      <c r="R34" s="101"/>
      <c r="S34" s="101"/>
      <c r="T34" s="102"/>
      <c r="U34" s="103" t="s">
        <v>48</v>
      </c>
      <c r="V34" s="104"/>
      <c r="W34" s="104"/>
      <c r="X34" s="104"/>
      <c r="Y34" s="105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6" t="s">
        <v>54</v>
      </c>
      <c r="V42" s="106"/>
      <c r="W42" s="106"/>
      <c r="X42" s="106"/>
      <c r="Y42" s="106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14+118+10+283</f>
        <v>425</v>
      </c>
      <c r="D44" s="109"/>
      <c r="E44" s="109"/>
    </row>
    <row r="45" spans="2:26" x14ac:dyDescent="0.25">
      <c r="B45" s="90" t="s">
        <v>92</v>
      </c>
      <c r="C45" s="109">
        <v>7</v>
      </c>
      <c r="D45" s="109"/>
      <c r="E45" s="109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2+20+53+11+458</f>
        <v>544</v>
      </c>
      <c r="D44" s="109"/>
      <c r="E44" s="109"/>
    </row>
    <row r="45" spans="2:25" x14ac:dyDescent="0.25">
      <c r="B45" s="90" t="s">
        <v>92</v>
      </c>
      <c r="C45" s="109">
        <v>22</v>
      </c>
      <c r="D45" s="109"/>
      <c r="E45" s="109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9">
        <f>7+5+40+7+330</f>
        <v>389</v>
      </c>
      <c r="D44" s="109"/>
      <c r="E44" s="109"/>
    </row>
    <row r="45" spans="2:26" x14ac:dyDescent="0.25">
      <c r="B45" s="90" t="s">
        <v>92</v>
      </c>
      <c r="C45" s="109">
        <v>4</v>
      </c>
      <c r="D45" s="109"/>
      <c r="E45" s="109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2+2+2+1+20+8+307+5</f>
        <v>347</v>
      </c>
      <c r="D44" s="109"/>
      <c r="E44" s="109"/>
    </row>
    <row r="45" spans="2:26" x14ac:dyDescent="0.25">
      <c r="B45" s="90" t="s">
        <v>92</v>
      </c>
      <c r="C45" s="109">
        <f>2+12+12</f>
        <v>26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1+4+1+33+7+242</f>
        <v>288</v>
      </c>
      <c r="D44" s="109"/>
      <c r="E44" s="109"/>
    </row>
    <row r="45" spans="2:25" x14ac:dyDescent="0.25">
      <c r="B45" s="90" t="s">
        <v>92</v>
      </c>
      <c r="C45" s="109">
        <f>9</f>
        <v>9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9">
        <f>2+2+12+1+3+35+1+4+414</f>
        <v>474</v>
      </c>
      <c r="D44" s="109"/>
      <c r="E44" s="109"/>
    </row>
    <row r="45" spans="2:26" x14ac:dyDescent="0.25">
      <c r="B45" s="90" t="s">
        <v>92</v>
      </c>
      <c r="C45" s="109">
        <f>4</f>
        <v>4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5+22+2+235</f>
        <v>264</v>
      </c>
      <c r="D44" s="109"/>
      <c r="E44" s="109"/>
    </row>
    <row r="45" spans="2:26" x14ac:dyDescent="0.25">
      <c r="B45" s="90" t="s">
        <v>92</v>
      </c>
      <c r="C45" s="109"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18+5+203+3+8</f>
        <v>237</v>
      </c>
      <c r="D44" s="109"/>
      <c r="E44" s="109"/>
    </row>
    <row r="45" spans="2:25" x14ac:dyDescent="0.25">
      <c r="B45" s="90" t="s">
        <v>92</v>
      </c>
      <c r="C45" s="109">
        <f>1</f>
        <v>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>
        <f>1+7+13+2+5+3+143+2+20+474+4</f>
        <v>674</v>
      </c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1+4+4+3+2+1+33+10+1+207</f>
        <v>266</v>
      </c>
      <c r="D44" s="109"/>
      <c r="E44" s="109"/>
    </row>
    <row r="45" spans="2:26" x14ac:dyDescent="0.25">
      <c r="B45" s="90" t="s">
        <v>92</v>
      </c>
      <c r="C45" s="109">
        <v>6</v>
      </c>
      <c r="D45" s="109"/>
      <c r="E45" s="109"/>
    </row>
    <row r="46" spans="2:26" x14ac:dyDescent="0.25">
      <c r="B46" s="90" t="s">
        <v>113</v>
      </c>
      <c r="C46" s="109">
        <f>10*973</f>
        <v>9730</v>
      </c>
      <c r="D46" s="109"/>
      <c r="E46" s="109"/>
    </row>
  </sheetData>
  <mergeCells count="11">
    <mergeCell ref="B34:B35"/>
    <mergeCell ref="C34:E34"/>
    <mergeCell ref="F34:H34"/>
    <mergeCell ref="I34:K34"/>
    <mergeCell ref="L34:N34"/>
    <mergeCell ref="C46:E46"/>
    <mergeCell ref="R34:U34"/>
    <mergeCell ref="R42:U42"/>
    <mergeCell ref="C44:E44"/>
    <mergeCell ref="C45:E45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4+8+1+1+1+2+29+205</f>
        <v>251</v>
      </c>
      <c r="D44" s="109"/>
      <c r="E44" s="109"/>
    </row>
    <row r="45" spans="2:25" x14ac:dyDescent="0.25">
      <c r="B45" s="90" t="s">
        <v>92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>
        <f>1+1+10+4+3+6+248+1</f>
        <v>274</v>
      </c>
      <c r="D44" s="109"/>
      <c r="E44" s="109"/>
    </row>
    <row r="45" spans="2:26" x14ac:dyDescent="0.25">
      <c r="B45" s="90" t="s">
        <v>92</v>
      </c>
      <c r="C45" s="109">
        <f>9+12</f>
        <v>21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5+10+5+1+2+1+1+2+50+5+2+7+5+10+25+57+2+2+10</f>
        <v>202</v>
      </c>
      <c r="D44" s="109"/>
      <c r="E44" s="109"/>
    </row>
    <row r="45" spans="2:26" x14ac:dyDescent="0.25">
      <c r="B45" s="90" t="s">
        <v>92</v>
      </c>
      <c r="C45" s="109">
        <f>11</f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7+5+1+54+7+180+2</f>
        <v>256</v>
      </c>
      <c r="D44" s="109"/>
      <c r="E44" s="109"/>
    </row>
    <row r="45" spans="2:25" x14ac:dyDescent="0.25">
      <c r="B45" s="90" t="s">
        <v>92</v>
      </c>
      <c r="C45" s="109">
        <f>10</f>
        <v>10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2+1+3+2+1+2+4+22+15+5+159</f>
        <v>216</v>
      </c>
      <c r="D44" s="109"/>
      <c r="E44" s="109"/>
    </row>
    <row r="45" spans="2:25" x14ac:dyDescent="0.25">
      <c r="B45" s="90" t="s">
        <v>92</v>
      </c>
      <c r="C45" s="109">
        <f>14</f>
        <v>14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>
        <f>11+3+11+333</f>
        <v>358</v>
      </c>
      <c r="D44" s="109"/>
      <c r="E44" s="109"/>
    </row>
    <row r="45" spans="2:26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2+3+16+10+358</f>
        <v>389</v>
      </c>
      <c r="D44" s="109"/>
      <c r="E44" s="109"/>
    </row>
    <row r="45" spans="2:26" x14ac:dyDescent="0.25">
      <c r="B45" s="90" t="s">
        <v>92</v>
      </c>
      <c r="C45" s="109">
        <f>5</f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2+10+5+10+14+11+350</f>
        <v>402</v>
      </c>
      <c r="D44" s="109"/>
      <c r="E44" s="109"/>
    </row>
    <row r="45" spans="2:26" x14ac:dyDescent="0.25">
      <c r="B45" s="90" t="s">
        <v>92</v>
      </c>
      <c r="C45" s="109">
        <f>19</f>
        <v>19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1+21+1+1+106+328</f>
        <v>458</v>
      </c>
      <c r="D44" s="109"/>
      <c r="E44" s="109"/>
    </row>
    <row r="45" spans="2:25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9">
        <f>13+2+85+1+10+305</f>
        <v>416</v>
      </c>
      <c r="D44" s="109"/>
      <c r="E44" s="109"/>
    </row>
    <row r="45" spans="2:26" x14ac:dyDescent="0.25">
      <c r="B45" s="90" t="s">
        <v>92</v>
      </c>
      <c r="C45" s="109">
        <f>4+12</f>
        <v>16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1+2+25+4+229</f>
        <v>261</v>
      </c>
      <c r="D44" s="109"/>
      <c r="E44" s="109"/>
    </row>
    <row r="45" spans="2:26" x14ac:dyDescent="0.25">
      <c r="B45" s="90" t="s">
        <v>92</v>
      </c>
      <c r="C45" s="109">
        <f>11</f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6+9+1+1+22+1+4+231</f>
        <v>275</v>
      </c>
      <c r="D44" s="109"/>
      <c r="E44" s="109"/>
    </row>
    <row r="45" spans="2:25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9">
        <f>10+5+10+10+35+327+10</f>
        <v>407</v>
      </c>
      <c r="D44" s="109"/>
      <c r="E44" s="109"/>
    </row>
    <row r="45" spans="2:26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21+52+10+30+108+48+815</f>
        <v>1084</v>
      </c>
      <c r="D44" s="109"/>
      <c r="E44" s="109"/>
    </row>
    <row r="45" spans="2:26" x14ac:dyDescent="0.25">
      <c r="B45" s="90" t="s">
        <v>92</v>
      </c>
      <c r="C45" s="109">
        <f>5</f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8+30+191+1</f>
        <v>230</v>
      </c>
      <c r="D44" s="109"/>
      <c r="E44" s="109"/>
    </row>
    <row r="45" spans="2:25" x14ac:dyDescent="0.25">
      <c r="B45" s="90" t="s">
        <v>92</v>
      </c>
      <c r="C45" s="109">
        <f>11</f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9">
        <f>2+9+1+3+36+1+10+331</f>
        <v>393</v>
      </c>
      <c r="D44" s="109"/>
      <c r="E44" s="109"/>
    </row>
    <row r="45" spans="2:26" x14ac:dyDescent="0.25">
      <c r="B45" s="90" t="s">
        <v>92</v>
      </c>
      <c r="C45" s="109">
        <f>14</f>
        <v>14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10+10+355</f>
        <v>375</v>
      </c>
      <c r="D44" s="109"/>
      <c r="E44" s="109"/>
    </row>
    <row r="45" spans="2:26" x14ac:dyDescent="0.25">
      <c r="B45" s="90" t="s">
        <v>92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8+8+20+30+20+212</f>
        <v>298</v>
      </c>
      <c r="D44" s="109"/>
      <c r="E44" s="109"/>
    </row>
    <row r="45" spans="2:25" x14ac:dyDescent="0.25">
      <c r="B45" s="90" t="s">
        <v>92</v>
      </c>
      <c r="C45" s="109">
        <f>10+6</f>
        <v>16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8+5+50+5+150</f>
        <v>218</v>
      </c>
      <c r="D44" s="109"/>
      <c r="E44" s="109"/>
    </row>
    <row r="45" spans="2:25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9">
        <f>7+5+6+5+237</f>
        <v>260</v>
      </c>
      <c r="D44" s="109"/>
      <c r="E44" s="109"/>
    </row>
    <row r="45" spans="2:26" x14ac:dyDescent="0.25">
      <c r="B45" s="90" t="s">
        <v>92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1+2+2+2+3+5+40+61+323</f>
        <v>439</v>
      </c>
      <c r="D44" s="109"/>
      <c r="E44" s="109"/>
    </row>
    <row r="45" spans="2:26" x14ac:dyDescent="0.25">
      <c r="B45" s="90" t="s">
        <v>92</v>
      </c>
      <c r="C45" s="109">
        <f>13+2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1+6+1+5+309</f>
        <v>322</v>
      </c>
      <c r="D44" s="109"/>
      <c r="E44" s="109"/>
    </row>
    <row r="45" spans="2:25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9">
        <f>8+3+30+8+328</f>
        <v>377</v>
      </c>
      <c r="D44" s="109"/>
      <c r="E44" s="109"/>
    </row>
    <row r="45" spans="2:26" x14ac:dyDescent="0.25">
      <c r="B45" s="90" t="s">
        <v>92</v>
      </c>
      <c r="C45" s="109">
        <f>12</f>
        <v>12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13+9+5+118+2+287</f>
        <v>434</v>
      </c>
      <c r="D44" s="109"/>
      <c r="E44" s="109"/>
    </row>
    <row r="45" spans="2:26" x14ac:dyDescent="0.25">
      <c r="B45" s="90" t="s">
        <v>92</v>
      </c>
      <c r="C45" s="109">
        <f>3</f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15+3+439</f>
        <v>457</v>
      </c>
      <c r="D44" s="109"/>
      <c r="E44" s="109"/>
    </row>
    <row r="45" spans="2:25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9">
        <f>3+10+1+45+303</f>
        <v>362</v>
      </c>
      <c r="D44" s="109"/>
      <c r="E44" s="109"/>
    </row>
    <row r="45" spans="2:26" x14ac:dyDescent="0.25">
      <c r="B45" s="90" t="s">
        <v>92</v>
      </c>
      <c r="C45" s="109">
        <f>4</f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2+28+6+303</f>
        <v>339</v>
      </c>
      <c r="D44" s="109"/>
      <c r="E44" s="109"/>
    </row>
    <row r="45" spans="2:26" x14ac:dyDescent="0.25">
      <c r="B45" s="90" t="s">
        <v>92</v>
      </c>
      <c r="C45" s="109">
        <f>8</f>
        <v>8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2+6+1+1+23+2+292</f>
        <v>327</v>
      </c>
      <c r="D44" s="109"/>
      <c r="E44" s="109"/>
    </row>
    <row r="45" spans="2:25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9">
        <f>10+52+20+372</f>
        <v>454</v>
      </c>
      <c r="D44" s="109"/>
      <c r="E44" s="109"/>
    </row>
    <row r="45" spans="2:26" x14ac:dyDescent="0.25">
      <c r="B45" s="90" t="s">
        <v>92</v>
      </c>
      <c r="C45" s="109">
        <f>4</f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9">
        <f>1+1+11+2+3+18+9+280+3</f>
        <v>328</v>
      </c>
      <c r="D44" s="109"/>
      <c r="E44" s="109"/>
    </row>
    <row r="45" spans="2:26" x14ac:dyDescent="0.25">
      <c r="B45" s="90" t="s">
        <v>92</v>
      </c>
      <c r="C45" s="109">
        <f>10</f>
        <v>10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9">
        <f>8+94+2+250</f>
        <v>354</v>
      </c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1+11+1+14+374+1</f>
        <v>402</v>
      </c>
      <c r="D44" s="109"/>
      <c r="E44" s="109"/>
    </row>
    <row r="45" spans="2:26" x14ac:dyDescent="0.25">
      <c r="B45" s="90" t="s">
        <v>92</v>
      </c>
      <c r="C45" s="109">
        <f>20</f>
        <v>20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11+1+46+14+254</f>
        <v>326</v>
      </c>
      <c r="D44" s="109"/>
      <c r="E44" s="109"/>
    </row>
    <row r="45" spans="2:26" x14ac:dyDescent="0.25">
      <c r="B45" s="90" t="s">
        <v>92</v>
      </c>
      <c r="C45" s="109">
        <f>15+12+12+1</f>
        <v>40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opLeftCell="A35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2+9+2+2+3+30+11+298</f>
        <v>357</v>
      </c>
      <c r="D44" s="109"/>
      <c r="E44" s="109"/>
    </row>
    <row r="45" spans="2:26" x14ac:dyDescent="0.25">
      <c r="B45" s="90" t="s">
        <v>92</v>
      </c>
      <c r="C45" s="109">
        <f>19</f>
        <v>19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>
        <v>1</v>
      </c>
      <c r="E8" s="15"/>
      <c r="F8" s="15">
        <v>3</v>
      </c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219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220</v>
      </c>
      <c r="D15" s="24">
        <v>0</v>
      </c>
      <c r="E15" s="24"/>
      <c r="F15" s="24">
        <v>3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142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219</v>
      </c>
      <c r="G24" s="15"/>
      <c r="H24" s="15">
        <v>16</v>
      </c>
      <c r="I24" s="15"/>
      <c r="J24" s="15"/>
      <c r="K24" s="15"/>
      <c r="L24" s="15">
        <v>6</v>
      </c>
      <c r="M24" s="15">
        <v>444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219</v>
      </c>
      <c r="G31" s="24"/>
      <c r="H31" s="24">
        <v>0</v>
      </c>
      <c r="I31" s="24"/>
      <c r="J31" s="24"/>
      <c r="K31" s="24"/>
      <c r="L31" s="24">
        <v>0</v>
      </c>
      <c r="M31" s="24">
        <v>29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/>
      <c r="K32" s="29"/>
      <c r="L32" s="29">
        <v>6</v>
      </c>
      <c r="M32" s="29">
        <v>45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>
        <v>1</v>
      </c>
      <c r="E36" s="45">
        <v>1</v>
      </c>
      <c r="F36" s="45">
        <v>580</v>
      </c>
      <c r="G36" s="45">
        <v>14</v>
      </c>
      <c r="H36" s="45">
        <v>2</v>
      </c>
      <c r="I36" s="45">
        <v>25</v>
      </c>
      <c r="J36" s="45">
        <v>9</v>
      </c>
      <c r="K36" s="45">
        <v>7</v>
      </c>
      <c r="L36" s="45">
        <v>7</v>
      </c>
      <c r="M36" s="45"/>
      <c r="N36" s="45">
        <v>9</v>
      </c>
      <c r="O36" s="45">
        <v>9</v>
      </c>
      <c r="P36" s="45">
        <v>1</v>
      </c>
      <c r="Q36" s="46">
        <v>63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4</v>
      </c>
      <c r="D42" s="44">
        <v>1</v>
      </c>
      <c r="E42" s="45">
        <v>1</v>
      </c>
      <c r="F42" s="45">
        <v>580</v>
      </c>
      <c r="G42" s="45">
        <v>14</v>
      </c>
      <c r="H42" s="45">
        <v>2</v>
      </c>
      <c r="I42" s="45">
        <v>25</v>
      </c>
      <c r="J42" s="45">
        <v>9</v>
      </c>
      <c r="K42" s="45">
        <v>7</v>
      </c>
      <c r="L42" s="45">
        <v>7</v>
      </c>
      <c r="M42" s="45"/>
      <c r="N42" s="45">
        <v>9</v>
      </c>
      <c r="O42" s="45">
        <v>9</v>
      </c>
      <c r="P42" s="45">
        <v>1</v>
      </c>
      <c r="Q42" s="46">
        <v>63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1+1+15+2+1+16+6+45</f>
        <v>87</v>
      </c>
      <c r="D44" s="109"/>
      <c r="E44" s="109"/>
    </row>
    <row r="45" spans="2:26" x14ac:dyDescent="0.25">
      <c r="B45" s="90" t="s">
        <v>92</v>
      </c>
      <c r="C45" s="109">
        <f>10</f>
        <v>10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224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220</v>
      </c>
      <c r="G24" s="15"/>
      <c r="H24" s="15">
        <v>30</v>
      </c>
      <c r="I24" s="15">
        <v>1</v>
      </c>
      <c r="J24" s="15"/>
      <c r="K24" s="15" t="s">
        <v>220</v>
      </c>
      <c r="L24" s="15">
        <v>10</v>
      </c>
      <c r="M24" s="15">
        <v>288</v>
      </c>
      <c r="N24" s="15"/>
      <c r="O24" s="15"/>
      <c r="P24" s="15" t="s">
        <v>227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17</v>
      </c>
      <c r="I31" s="24">
        <v>1</v>
      </c>
      <c r="J31" s="24"/>
      <c r="K31" s="24" t="s">
        <v>220</v>
      </c>
      <c r="L31" s="24">
        <v>5</v>
      </c>
      <c r="M31" s="24">
        <v>117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13</v>
      </c>
      <c r="I32" s="29">
        <v>0</v>
      </c>
      <c r="J32" s="29"/>
      <c r="K32" s="29">
        <v>0</v>
      </c>
      <c r="L32" s="29">
        <v>5</v>
      </c>
      <c r="M32" s="29">
        <v>171</v>
      </c>
      <c r="N32" s="29"/>
      <c r="O32" s="24"/>
      <c r="P32" s="29">
        <v>2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186</v>
      </c>
      <c r="G36" s="45"/>
      <c r="H36" s="45">
        <v>10</v>
      </c>
      <c r="I36" s="45">
        <v>3</v>
      </c>
      <c r="J36" s="45">
        <v>2</v>
      </c>
      <c r="K36" s="45">
        <v>3</v>
      </c>
      <c r="L36" s="45"/>
      <c r="M36" s="45"/>
      <c r="N36" s="45">
        <v>1</v>
      </c>
      <c r="O36" s="45">
        <v>3</v>
      </c>
      <c r="P36" s="45">
        <v>3</v>
      </c>
      <c r="Q36" s="46">
        <v>6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186</v>
      </c>
      <c r="G42" s="45"/>
      <c r="H42" s="45">
        <v>10</v>
      </c>
      <c r="I42" s="45">
        <v>3</v>
      </c>
      <c r="J42" s="45">
        <v>2</v>
      </c>
      <c r="K42" s="45">
        <v>3</v>
      </c>
      <c r="L42" s="45"/>
      <c r="M42" s="45"/>
      <c r="N42" s="45">
        <v>1</v>
      </c>
      <c r="O42" s="45">
        <v>3</v>
      </c>
      <c r="P42" s="45">
        <v>3</v>
      </c>
      <c r="Q42" s="46">
        <v>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6+1+13+5+171+2</f>
        <v>198</v>
      </c>
      <c r="D44" s="109"/>
      <c r="E44" s="109"/>
    </row>
    <row r="45" spans="2:26" x14ac:dyDescent="0.25">
      <c r="B45" s="90" t="s">
        <v>92</v>
      </c>
      <c r="C45" s="109">
        <v>11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topLeftCell="A29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91</v>
      </c>
      <c r="I24" s="15"/>
      <c r="J24" s="15"/>
      <c r="K24" s="15">
        <v>2</v>
      </c>
      <c r="L24" s="15">
        <v>14</v>
      </c>
      <c r="M24" s="15">
        <v>375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1</v>
      </c>
      <c r="G31" s="24"/>
      <c r="H31" s="24">
        <v>0</v>
      </c>
      <c r="I31" s="24"/>
      <c r="J31" s="24"/>
      <c r="K31" s="24">
        <v>2</v>
      </c>
      <c r="L31" s="24">
        <v>0</v>
      </c>
      <c r="M31" s="24">
        <v>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91</v>
      </c>
      <c r="I32" s="29"/>
      <c r="J32" s="29"/>
      <c r="K32" s="29">
        <v>0</v>
      </c>
      <c r="L32" s="29">
        <v>14</v>
      </c>
      <c r="M32" s="29">
        <v>375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6</v>
      </c>
      <c r="F36" s="45">
        <v>497</v>
      </c>
      <c r="G36" s="45">
        <v>6</v>
      </c>
      <c r="H36" s="45">
        <v>1</v>
      </c>
      <c r="I36" s="45">
        <v>9</v>
      </c>
      <c r="J36" s="45"/>
      <c r="K36" s="45">
        <v>1</v>
      </c>
      <c r="L36" s="45">
        <v>3</v>
      </c>
      <c r="M36" s="45">
        <v>1</v>
      </c>
      <c r="N36" s="45">
        <v>4</v>
      </c>
      <c r="O36" s="45">
        <v>13</v>
      </c>
      <c r="P36" s="45">
        <v>5</v>
      </c>
      <c r="Q36" s="46">
        <v>5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6</v>
      </c>
      <c r="F42" s="45">
        <v>497</v>
      </c>
      <c r="G42" s="45">
        <v>6</v>
      </c>
      <c r="H42" s="45">
        <v>1</v>
      </c>
      <c r="I42" s="45">
        <v>9</v>
      </c>
      <c r="J42" s="45"/>
      <c r="K42" s="45">
        <v>1</v>
      </c>
      <c r="L42" s="45">
        <v>3</v>
      </c>
      <c r="M42" s="45">
        <v>1</v>
      </c>
      <c r="N42" s="45">
        <v>4</v>
      </c>
      <c r="O42" s="45">
        <v>13</v>
      </c>
      <c r="P42" s="45">
        <v>5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16+5+2+91+14+375</f>
        <v>503</v>
      </c>
      <c r="D44" s="109"/>
      <c r="E44" s="109"/>
    </row>
    <row r="45" spans="2:26" x14ac:dyDescent="0.25">
      <c r="B45" s="90" t="s">
        <v>92</v>
      </c>
      <c r="C45" s="109">
        <f>9</f>
        <v>9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103</v>
      </c>
      <c r="D8" s="15"/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196</v>
      </c>
      <c r="U8" s="15"/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 t="s">
        <v>196</v>
      </c>
      <c r="U16" s="29"/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233</v>
      </c>
      <c r="G24" s="15"/>
      <c r="H24" s="15">
        <v>6</v>
      </c>
      <c r="I24" s="15"/>
      <c r="J24" s="15"/>
      <c r="K24" s="15">
        <v>71</v>
      </c>
      <c r="L24" s="15">
        <v>1</v>
      </c>
      <c r="M24" s="15">
        <v>311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>
        <v>1</v>
      </c>
      <c r="L31" s="24">
        <v>1</v>
      </c>
      <c r="M31" s="24">
        <v>4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6</v>
      </c>
      <c r="I32" s="29"/>
      <c r="J32" s="29"/>
      <c r="K32" s="29">
        <v>70</v>
      </c>
      <c r="L32" s="29">
        <v>0</v>
      </c>
      <c r="M32" s="29">
        <v>307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5</v>
      </c>
      <c r="D36" s="44">
        <v>1</v>
      </c>
      <c r="E36" s="45">
        <v>21</v>
      </c>
      <c r="F36" s="45">
        <v>367</v>
      </c>
      <c r="G36" s="45">
        <v>3</v>
      </c>
      <c r="H36" s="45">
        <v>8</v>
      </c>
      <c r="I36" s="45">
        <v>4</v>
      </c>
      <c r="J36" s="45">
        <v>2</v>
      </c>
      <c r="K36" s="45">
        <v>18</v>
      </c>
      <c r="L36" s="45">
        <v>85</v>
      </c>
      <c r="M36" s="45"/>
      <c r="N36" s="45">
        <v>1</v>
      </c>
      <c r="O36" s="45">
        <v>5</v>
      </c>
      <c r="P36" s="45">
        <v>6</v>
      </c>
      <c r="Q36" s="46">
        <v>39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5</v>
      </c>
      <c r="D42" s="44">
        <v>1</v>
      </c>
      <c r="E42" s="45">
        <v>21</v>
      </c>
      <c r="F42" s="45">
        <v>367</v>
      </c>
      <c r="G42" s="45">
        <v>3</v>
      </c>
      <c r="H42" s="45">
        <v>8</v>
      </c>
      <c r="I42" s="45">
        <v>4</v>
      </c>
      <c r="J42" s="45">
        <v>2</v>
      </c>
      <c r="K42" s="45">
        <v>18</v>
      </c>
      <c r="L42" s="45">
        <v>85</v>
      </c>
      <c r="M42" s="45"/>
      <c r="N42" s="45">
        <v>1</v>
      </c>
      <c r="O42" s="45">
        <v>5</v>
      </c>
      <c r="P42" s="45">
        <v>6</v>
      </c>
      <c r="Q42" s="46">
        <v>39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9+4+1+2+3+6+70+307+1</f>
        <v>403</v>
      </c>
      <c r="D44" s="109"/>
      <c r="E44" s="109"/>
    </row>
    <row r="45" spans="2:26" x14ac:dyDescent="0.25">
      <c r="B45" s="90" t="s">
        <v>92</v>
      </c>
      <c r="C45" s="109">
        <f>12+14+12</f>
        <v>38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1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33</v>
      </c>
      <c r="I24" s="15"/>
      <c r="J24" s="15"/>
      <c r="K24" s="15" t="s">
        <v>103</v>
      </c>
      <c r="L24" s="15">
        <v>10</v>
      </c>
      <c r="M24" s="15">
        <v>379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9</v>
      </c>
      <c r="M31" s="24">
        <v>57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33</v>
      </c>
      <c r="I32" s="29"/>
      <c r="J32" s="29"/>
      <c r="K32" s="29">
        <v>0</v>
      </c>
      <c r="L32" s="29">
        <v>1</v>
      </c>
      <c r="M32" s="29">
        <v>322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310</v>
      </c>
      <c r="G36" s="45">
        <v>18</v>
      </c>
      <c r="H36" s="45">
        <v>4</v>
      </c>
      <c r="I36" s="45">
        <v>1</v>
      </c>
      <c r="J36" s="45">
        <v>2</v>
      </c>
      <c r="K36" s="45">
        <v>14</v>
      </c>
      <c r="L36" s="45">
        <v>1</v>
      </c>
      <c r="M36" s="45">
        <v>1</v>
      </c>
      <c r="N36" s="45">
        <v>3</v>
      </c>
      <c r="O36" s="45">
        <v>5</v>
      </c>
      <c r="P36" s="45">
        <v>26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310</v>
      </c>
      <c r="G42" s="45">
        <v>18</v>
      </c>
      <c r="H42" s="45">
        <v>4</v>
      </c>
      <c r="I42" s="45">
        <v>1</v>
      </c>
      <c r="J42" s="45">
        <v>2</v>
      </c>
      <c r="K42" s="45">
        <v>14</v>
      </c>
      <c r="L42" s="45">
        <v>1</v>
      </c>
      <c r="M42" s="45">
        <v>1</v>
      </c>
      <c r="N42" s="45">
        <v>3</v>
      </c>
      <c r="O42" s="45">
        <v>5</v>
      </c>
      <c r="P42" s="45">
        <v>26</v>
      </c>
      <c r="Q42" s="46">
        <v>13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1+10+1+33+1+322</f>
        <v>368</v>
      </c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236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108</v>
      </c>
      <c r="I24" s="15"/>
      <c r="J24" s="15"/>
      <c r="K24" s="15">
        <v>2</v>
      </c>
      <c r="L24" s="15">
        <v>15</v>
      </c>
      <c r="M24" s="15">
        <v>431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87</v>
      </c>
      <c r="I31" s="24"/>
      <c r="J31" s="24"/>
      <c r="K31" s="24">
        <v>2</v>
      </c>
      <c r="L31" s="24">
        <v>5</v>
      </c>
      <c r="M31" s="24">
        <v>58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21</v>
      </c>
      <c r="I32" s="29"/>
      <c r="J32" s="29"/>
      <c r="K32" s="29">
        <v>0</v>
      </c>
      <c r="L32" s="29">
        <v>10</v>
      </c>
      <c r="M32" s="29">
        <v>373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456</v>
      </c>
      <c r="G36" s="45">
        <v>1</v>
      </c>
      <c r="H36" s="45">
        <v>3</v>
      </c>
      <c r="I36" s="45">
        <v>1</v>
      </c>
      <c r="J36" s="45"/>
      <c r="K36" s="45">
        <v>3</v>
      </c>
      <c r="L36" s="45">
        <v>12</v>
      </c>
      <c r="M36" s="45"/>
      <c r="N36" s="45">
        <v>5</v>
      </c>
      <c r="O36" s="45">
        <v>6</v>
      </c>
      <c r="P36" s="45"/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456</v>
      </c>
      <c r="G42" s="45">
        <v>1</v>
      </c>
      <c r="H42" s="45">
        <v>3</v>
      </c>
      <c r="I42" s="45">
        <v>1</v>
      </c>
      <c r="J42" s="45"/>
      <c r="K42" s="45">
        <v>3</v>
      </c>
      <c r="L42" s="45">
        <v>12</v>
      </c>
      <c r="M42" s="45"/>
      <c r="N42" s="45">
        <v>5</v>
      </c>
      <c r="O42" s="45">
        <v>6</v>
      </c>
      <c r="P42" s="45"/>
      <c r="Q42" s="46">
        <v>12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2+15+5+3+21+10+373</f>
        <v>429</v>
      </c>
      <c r="D44" s="109"/>
      <c r="E44" s="109"/>
    </row>
    <row r="45" spans="2:26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94DE-202F-44DC-9F6A-7904269CD6BA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3E63-066C-428F-96B2-F6DA05A09F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AEA1E-09E0-4D64-A4B7-24F253D11E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6319-AF09-44BB-9F4A-6481C560C6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A6F56-47ED-456F-A6BB-98F88E0F81B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EB05-DDC1-46C1-A6DB-C830E0A9D6A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AB5C-E2A7-49D5-931C-7331E3C82B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1D4FB-A610-4478-B8D4-B813BF6F3AD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BE52-4241-444B-A7C7-69C285C8CDD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19205-A3ED-499E-9C2A-D0EFCE8418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74D64-EEBE-48A0-9340-FBF602FDE4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E49A-C1B7-4D6E-8FCE-D1888CE3A77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5FC3-63DB-403C-95F1-0B62E60AB714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6ECDC-1B0B-44B6-A513-A9D7CE8EDD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2538-7E53-41F5-948E-837D32344DD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95A9-3D41-405D-814B-D37BA53206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</vt:lpstr>
      <vt:lpstr>02-23 R2</vt:lpstr>
      <vt:lpstr>02-23 R3</vt:lpstr>
      <vt:lpstr>(24)</vt:lpstr>
      <vt:lpstr>02-24 R1</vt:lpstr>
      <vt:lpstr>02-24 R2</vt:lpstr>
      <vt:lpstr>02-24 R3</vt:lpstr>
      <vt:lpstr>(25)</vt:lpstr>
      <vt:lpstr>02-25 R1</vt:lpstr>
      <vt:lpstr>02-25 R2</vt:lpstr>
      <vt:lpstr>02-25 R3</vt:lpstr>
      <vt:lpstr>(26)</vt:lpstr>
      <vt:lpstr>02-26 R1</vt:lpstr>
      <vt:lpstr>02-26 R2</vt:lpstr>
      <vt:lpstr>02-26 R3</vt:lpstr>
      <vt:lpstr>(27)</vt:lpstr>
      <vt:lpstr>02-27 R1</vt:lpstr>
      <vt:lpstr>02-27 R2</vt:lpstr>
      <vt:lpstr>02-27 R3</vt:lpstr>
      <vt:lpstr>(28)</vt:lpstr>
      <vt:lpstr>02-28 R1</vt:lpstr>
      <vt:lpstr>02-28 R2</vt:lpstr>
      <vt:lpstr>02-28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R1'!Print_Area</vt:lpstr>
      <vt:lpstr>'02-23 R2'!Print_Area</vt:lpstr>
      <vt:lpstr>'02-23 R3'!Print_Area</vt:lpstr>
      <vt:lpstr>'02-24 R1'!Print_Area</vt:lpstr>
      <vt:lpstr>'02-24 R2'!Print_Area</vt:lpstr>
      <vt:lpstr>'02-24 R3'!Print_Area</vt:lpstr>
      <vt:lpstr>'02-25 R1'!Print_Area</vt:lpstr>
      <vt:lpstr>'02-25 R2'!Print_Area</vt:lpstr>
      <vt:lpstr>'02-25 R3'!Print_Area</vt:lpstr>
      <vt:lpstr>'02-26 R1'!Print_Area</vt:lpstr>
      <vt:lpstr>'02-26 R2'!Print_Area</vt:lpstr>
      <vt:lpstr>'02-26 R3'!Print_Area</vt:lpstr>
      <vt:lpstr>'02-27 R1'!Print_Area</vt:lpstr>
      <vt:lpstr>'02-27 R2'!Print_Area</vt:lpstr>
      <vt:lpstr>'02-27 R3'!Print_Area</vt:lpstr>
      <vt:lpstr>'02-28 R1'!Print_Area</vt:lpstr>
      <vt:lpstr>'02-28 R2'!Print_Area</vt:lpstr>
      <vt:lpstr>'02-28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2026-02-23T00:18:16Z</dcterms:modified>
</cp:coreProperties>
</file>