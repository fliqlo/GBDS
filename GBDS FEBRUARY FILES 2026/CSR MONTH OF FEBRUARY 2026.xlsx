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BC51984-FC60-41AC-B3BF-E6F9FA33EB7B}" xr6:coauthVersionLast="45" xr6:coauthVersionMax="45" xr10:uidLastSave="{00000000-0000-0000-0000-000000000000}"/>
  <bookViews>
    <workbookView xWindow="-120" yWindow="-120" windowWidth="29040" windowHeight="15840" firstSheet="77" activeTab="88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 NO TRIP" sheetId="1429" r:id="rId75"/>
    <sheet name="02-23 R2 NO TRIP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 NO TRIP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 NO TRIP'!$A$1:$Z$43</definedName>
    <definedName name="_xlnm.Print_Area" localSheetId="75">'02-23 R2 NO TRIP'!$A$1:$V$44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 NO TRIP'!$A$1:$V$44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43" l="1"/>
  <c r="C45" i="1442"/>
  <c r="C44" i="1442"/>
  <c r="C45" i="1441"/>
  <c r="C44" i="1441"/>
  <c r="C45" i="1439" l="1"/>
  <c r="C44" i="1439"/>
  <c r="C46" i="1438"/>
  <c r="C45" i="1438"/>
  <c r="C44" i="1438"/>
  <c r="C45" i="1437"/>
  <c r="C44" i="1437"/>
  <c r="C45" i="1433" l="1"/>
  <c r="C44" i="1433"/>
  <c r="C44" i="1431" l="1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<sst xmlns="http://schemas.openxmlformats.org/spreadsheetml/2006/main" count="8766" uniqueCount="258">
  <si>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</si>
  <si>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</si>
  <si>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</si>
  <si>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</si>
  <si>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</si>
  <si>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</si>
  <si>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</si>
  <si>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</si>
  <si>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</si>
  <si>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</si>
  <si>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</si>
  <si>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</si>
  <si>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</si>
  <si>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</si>
  <si>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</si>
  <si>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</si>
  <si>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</si>
  <si>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</si>
  <si>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</si>
  <si>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</si>
  <si>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</si>
  <si>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</si>
  <si>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</si>
  <si>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</si>
  <si>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</si>
  <si>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</si>
  <si>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</si>
  <si>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</si>
  <si>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</si>
  <si>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</si>
  <si>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</si>
  <si>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</si>
  <si>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</si>
  <si>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</si>
  <si>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</si>
  <si>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</si>
  <si>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</si>
  <si>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</si>
  <si>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</si>
  <si>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</si>
  <si>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</si>
  <si>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</si>
  <si>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</si>
  <si>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</si>
  <si>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</si>
  <si>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</si>
  <si>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</si>
  <si>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</si>
  <si>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</si>
  <si>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</si>
  <si>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</si>
  <si>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</si>
  <si>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</si>
  <si>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</si>
  <si>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</si>
  <si>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</si>
  <si>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</si>
  <si>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</si>
  <si>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</si>
  <si>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</si>
  <si>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</si>
  <si>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</si>
  <si>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</si>
  <si>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</si>
  <si>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</si>
  <si>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</si>
  <si>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</si>
  <si>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</si>
  <si>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</si>
  <si>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</si>
  <si>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</si>
  <si>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</si>
  <si>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</si>
  <si>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</si>
  <si>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</si>
  <si>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</si>
  <si>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</si>
  <si>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</si>
  <si>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</si>
  <si>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</si>
  <si>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</si>
  <si>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</si>
  <si>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</si>
  <si>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</si>
  <si>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</si>
  <si>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</si>
  <si>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</si>
  <si>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</si>
  <si>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</si>
  <si>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</si>
  <si>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</si>
  <si>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</si>
  <si>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</si>
  <si>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</si>
  <si>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</si>
  <si>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</si>
  <si>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</si>
  <si>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</si>
  <si>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</si>
  <si>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</si>
  <si>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</si>
  <si>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</si>
  <si>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</si>
  <si>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</si>
  <si>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</si>
  <si>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</si>
  <si>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</si>
  <si>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</si>
  <si>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</si>
  <si>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</si>
  <si>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</si>
  <si>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</si>
  <si>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</si>
  <si>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</si>
  <si>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</si>
  <si>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</si>
  <si>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</si>
  <si>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</si>
  <si>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</si>
  <si>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</si>
  <si>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</si>
  <si>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</si>
  <si>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</si>
  <si>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</si>
  <si>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</si>
  <si>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</si>
  <si>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</si>
  <si>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</si>
  <si>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</si>
  <si>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</si>
  <si>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</si>
  <si>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</si>
  <si>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</si>
  <si>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</si>
  <si>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</si>
  <si>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</si>
  <si>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</si>
  <si>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</si>
  <si>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</si>
  <si>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</si>
  <si>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</si>
  <si>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</si>
  <si>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</si>
  <si>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</si>
  <si>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</si>
  <si>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</si>
  <si>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</si>
  <si>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</si>
  <si>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</si>
  <si>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</si>
  <si>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</si>
  <si>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</si>
  <si>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</si>
  <si>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</si>
  <si>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</si>
  <si>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</si>
  <si>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</si>
  <si>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</si>
  <si>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</si>
  <si>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</si>
  <si>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</si>
  <si>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</si>
  <si>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</si>
  <si>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</si>
  <si>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</si>
  <si>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</si>
  <si>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</si>
  <si>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</si>
  <si>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</si>
  <si>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</si>
  <si>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</si>
  <si>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</si>
  <si>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</si>
  <si>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</si>
  <si>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</si>
  <si>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</si>
  <si>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</si>
  <si>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</si>
  <si>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</si>
  <si>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</si>
  <si>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</si>
  <si>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</si>
  <si>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</si>
  <si>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</si>
  <si>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</si>
  <si>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</si>
  <si>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</si>
  <si>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</si>
  <si>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</si>
  <si>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</si>
  <si>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</si>
  <si>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</si>
  <si>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</si>
  <si>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</si>
  <si>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</si>
  <si>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</si>
  <si>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</si>
  <si>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</si>
  <si>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</si>
  <si>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</si>
  <si>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</si>
  <si>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</si>
  <si>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</si>
  <si>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</si>
  <si>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</si>
  <si>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</si>
  <si>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</si>
  <si>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</si>
  <si>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</si>
  <si>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</si>
  <si>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</si>
  <si>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</si>
  <si>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</si>
  <si>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</si>
  <si>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</si>
  <si>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</si>
  <si>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</si>
  <si>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</si>
  <si>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</si>
  <si>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</si>
  <si>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</si>
  <si>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</si>
  <si>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</si>
  <si>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</si>
  <si>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</si>
  <si>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</si>
  <si>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</si>
  <si>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</si>
  <si>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</si>
  <si>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</si>
  <si>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</si>
  <si>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</si>
  <si>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</si>
  <si>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</si>
  <si>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</si>
  <si>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</si>
  <si>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</si>
  <si>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</si>
  <si>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</si>
  <si>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</si>
  <si>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</si>
  <si>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</si>
  <si>
    <t>10/13B</t>
  </si>
  <si>
    <t>24/13B</t>
  </si>
  <si>
    <t>5/22B</t>
  </si>
  <si>
    <t>20B</t>
  </si>
  <si>
    <t>23/2B</t>
  </si>
  <si>
    <t>10/20B</t>
  </si>
  <si>
    <t>33/22B</t>
  </si>
  <si>
    <t>5/13B</t>
  </si>
  <si>
    <t>13/9B</t>
  </si>
  <si>
    <t>15B</t>
  </si>
  <si>
    <t>11/2b</t>
  </si>
  <si>
    <t>15/20b</t>
  </si>
  <si>
    <t>8/20b</t>
  </si>
  <si>
    <t>7/15b</t>
  </si>
  <si>
    <t>18/15b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</si>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</sst>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01" t="s">
        <v>47</v>
      </c>
      <c r="P34" s="102"/>
      <c r="Q34" s="102"/>
      <c r="R34" s="102"/>
      <c r="S34" s="102"/>
      <c r="T34" s="103"/>
      <c r="U34" s="104" t="s">
        <v>48</v>
      </c>
      <c r="V34" s="105"/>
      <c r="W34" s="105"/>
      <c r="X34" s="105"/>
      <c r="Y34" s="106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7" t="s">
        <v>54</v>
      </c>
      <c r="V42" s="107"/>
      <c r="W42" s="107"/>
      <c r="X42" s="107"/>
      <c r="Y42" s="107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14+118+10+283</f>
        <v>425</v>
      </c>
      <c r="D44" s="110"/>
      <c r="E44" s="110"/>
    </row>
    <row r="45" spans="2:26" x14ac:dyDescent="0.25">
      <c r="B45" s="90" t="s">
        <v>92</v>
      </c>
      <c r="C45" s="110">
        <v>7</v>
      </c>
      <c r="D45" s="110"/>
      <c r="E45" s="110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2+20+53+11+458</f>
        <v>544</v>
      </c>
      <c r="D44" s="110"/>
      <c r="E44" s="110"/>
    </row>
    <row r="45" spans="2:25" x14ac:dyDescent="0.25">
      <c r="B45" s="90" t="s">
        <v>92</v>
      </c>
      <c r="C45" s="110">
        <v>22</v>
      </c>
      <c r="D45" s="110"/>
      <c r="E45" s="110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7+5+40+7+330</f>
        <v>389</v>
      </c>
      <c r="D44" s="110"/>
      <c r="E44" s="110"/>
    </row>
    <row r="45" spans="2:26" x14ac:dyDescent="0.25">
      <c r="B45" s="90" t="s">
        <v>92</v>
      </c>
      <c r="C45" s="110">
        <v>4</v>
      </c>
      <c r="D45" s="110"/>
      <c r="E45" s="110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2+2+2+1+20+8+307+5</f>
        <v>347</v>
      </c>
      <c r="D44" s="110"/>
      <c r="E44" s="110"/>
    </row>
    <row r="45" spans="2:26" x14ac:dyDescent="0.25">
      <c r="B45" s="90" t="s">
        <v>92</v>
      </c>
      <c r="C45" s="110">
        <f>2+12+12</f>
        <v>26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1+4+1+33+7+242</f>
        <v>288</v>
      </c>
      <c r="D44" s="110"/>
      <c r="E44" s="110"/>
    </row>
    <row r="45" spans="2:25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2+2+12+1+3+35+1+4+414</f>
        <v>474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5+22+2+235</f>
        <v>264</v>
      </c>
      <c r="D44" s="110"/>
      <c r="E44" s="110"/>
    </row>
    <row r="45" spans="2:26" x14ac:dyDescent="0.25">
      <c r="B45" s="90" t="s">
        <v>92</v>
      </c>
      <c r="C45" s="110"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18+5+203+3+8</f>
        <v>237</v>
      </c>
      <c r="D44" s="110"/>
      <c r="E44" s="110"/>
    </row>
    <row r="45" spans="2:25" x14ac:dyDescent="0.25">
      <c r="B45" s="90" t="s">
        <v>92</v>
      </c>
      <c r="C45" s="110">
        <f>1</f>
        <v>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1+7+13+2+5+3+143+2+20+474+4</f>
        <v>674</v>
      </c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1+4+4+3+2+1+33+10+1+207</f>
        <v>266</v>
      </c>
      <c r="D44" s="110"/>
      <c r="E44" s="110"/>
    </row>
    <row r="45" spans="2:26" x14ac:dyDescent="0.25">
      <c r="B45" s="90" t="s">
        <v>92</v>
      </c>
      <c r="C45" s="110">
        <v>6</v>
      </c>
      <c r="D45" s="110"/>
      <c r="E45" s="110"/>
    </row>
    <row r="46" spans="2:26" x14ac:dyDescent="0.25">
      <c r="B46" s="90" t="s">
        <v>113</v>
      </c>
      <c r="C46" s="110">
        <f>10*973</f>
        <v>9730</v>
      </c>
      <c r="D46" s="110"/>
      <c r="E46" s="110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4+8+1+1+1+2+29+205</f>
        <v>251</v>
      </c>
      <c r="D44" s="110"/>
      <c r="E44" s="110"/>
    </row>
    <row r="45" spans="2:25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1+1+10+4+3+6+248+1</f>
        <v>274</v>
      </c>
      <c r="D44" s="110"/>
      <c r="E44" s="110"/>
    </row>
    <row r="45" spans="2:26" x14ac:dyDescent="0.25">
      <c r="B45" s="90" t="s">
        <v>92</v>
      </c>
      <c r="C45" s="110">
        <f>9+12</f>
        <v>21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5+10+5+1+2+1+1+2+50+5+2+7+5+10+25+57+2+2+10</f>
        <v>202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7+5+1+54+7+180+2</f>
        <v>256</v>
      </c>
      <c r="D44" s="110"/>
      <c r="E44" s="110"/>
    </row>
    <row r="45" spans="2:25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2+1+3+2+1+2+4+22+15+5+159</f>
        <v>216</v>
      </c>
      <c r="D44" s="110"/>
      <c r="E44" s="110"/>
    </row>
    <row r="45" spans="2:25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11+3+11+333</f>
        <v>358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2+3+16+10+358</f>
        <v>389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2+10+5+10+14+11+350</f>
        <v>402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1+21+1+1+106+328</f>
        <v>458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13+2+85+1+10+305</f>
        <v>416</v>
      </c>
      <c r="D44" s="110"/>
      <c r="E44" s="110"/>
    </row>
    <row r="45" spans="2:26" x14ac:dyDescent="0.25">
      <c r="B45" s="90" t="s">
        <v>92</v>
      </c>
      <c r="C45" s="110">
        <f>4+12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1+2+25+4+229</f>
        <v>261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6+9+1+1+22+1+4+231</f>
        <v>275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10+5+10+10+35+327+10</f>
        <v>407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21+52+10+30+108+48+815</f>
        <v>1084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8+30+191+1</f>
        <v>230</v>
      </c>
      <c r="D44" s="110"/>
      <c r="E44" s="110"/>
    </row>
    <row r="45" spans="2:25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10">
        <f>2+9+1+3+36+1+10+331</f>
        <v>393</v>
      </c>
      <c r="D44" s="110"/>
      <c r="E44" s="110"/>
    </row>
    <row r="45" spans="2:26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10+10+355</f>
        <v>375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8+8+20+30+20+212</f>
        <v>298</v>
      </c>
      <c r="D44" s="110"/>
      <c r="E44" s="110"/>
    </row>
    <row r="45" spans="2:25" x14ac:dyDescent="0.25">
      <c r="B45" s="90" t="s">
        <v>92</v>
      </c>
      <c r="C45" s="110">
        <f>10+6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8+5+50+5+150</f>
        <v>218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>
        <f>7+5+6+5+237</f>
        <v>260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1+2+2+2+3+5+40+61+323</f>
        <v>439</v>
      </c>
      <c r="D44" s="110"/>
      <c r="E44" s="110"/>
    </row>
    <row r="45" spans="2:26" x14ac:dyDescent="0.25">
      <c r="B45" s="90" t="s">
        <v>92</v>
      </c>
      <c r="C45" s="110">
        <f>13+2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1+6+1+5+309</f>
        <v>322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8+3+30+8+328</f>
        <v>377</v>
      </c>
      <c r="D44" s="110"/>
      <c r="E44" s="110"/>
    </row>
    <row r="45" spans="2:26" x14ac:dyDescent="0.25">
      <c r="B45" s="90" t="s">
        <v>92</v>
      </c>
      <c r="C45" s="110">
        <f>12</f>
        <v>12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13+9+5+118+2+287</f>
        <v>434</v>
      </c>
      <c r="D44" s="110"/>
      <c r="E44" s="110"/>
    </row>
    <row r="45" spans="2:26" x14ac:dyDescent="0.25">
      <c r="B45" s="90" t="s">
        <v>92</v>
      </c>
      <c r="C45" s="110">
        <f>3</f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15+3+439</f>
        <v>457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3+10+1+45+303</f>
        <v>362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2+28+6+303</f>
        <v>339</v>
      </c>
      <c r="D44" s="110"/>
      <c r="E44" s="110"/>
    </row>
    <row r="45" spans="2:26" x14ac:dyDescent="0.25">
      <c r="B45" s="90" t="s">
        <v>92</v>
      </c>
      <c r="C45" s="110">
        <f>8</f>
        <v>8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2+6+1+1+23+2+292</f>
        <v>327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10+52+20+372</f>
        <v>454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1+1+11+2+3+18+9+280+3</f>
        <v>328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8+94+2+250</f>
        <v>354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1+11+1+14+374+1</f>
        <v>402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11+1+46+14+254</f>
        <v>326</v>
      </c>
      <c r="D44" s="110"/>
      <c r="E44" s="110"/>
    </row>
    <row r="45" spans="2:26" x14ac:dyDescent="0.25">
      <c r="B45" s="90" t="s">
        <v>92</v>
      </c>
      <c r="C45" s="110">
        <f>15+12+12+1</f>
        <v>40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2+9+2+2+3+30+11+298</f>
        <v>357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1+1+15+2+1+16+6+45</f>
        <v>87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6+1+13+5+171+2</f>
        <v>198</v>
      </c>
      <c r="D44" s="110"/>
      <c r="E44" s="110"/>
    </row>
    <row r="45" spans="2:26" x14ac:dyDescent="0.25">
      <c r="B45" s="90" t="s">
        <v>92</v>
      </c>
      <c r="C45" s="110">
        <v>11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16+5+2+91+14+375</f>
        <v>503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9+4+1+2+3+6+70+307+1</f>
        <v>403</v>
      </c>
      <c r="D44" s="110"/>
      <c r="E44" s="110"/>
    </row>
    <row r="45" spans="2:26" x14ac:dyDescent="0.25">
      <c r="B45" s="90" t="s">
        <v>92</v>
      </c>
      <c r="C45" s="110">
        <f>12+14+12</f>
        <v>38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1+10+1+33+1+322</f>
        <v>368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2+15+5+3+21+10+373</f>
        <v>429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2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2</v>
      </c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0</v>
      </c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100</v>
      </c>
      <c r="I24" s="15">
        <v>1</v>
      </c>
      <c r="J24" s="15"/>
      <c r="K24" s="15">
        <v>2</v>
      </c>
      <c r="L24" s="15">
        <v>15</v>
      </c>
      <c r="M24" s="15">
        <v>487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</v>
      </c>
      <c r="I31" s="24">
        <v>1</v>
      </c>
      <c r="J31" s="24"/>
      <c r="K31" s="24">
        <v>2</v>
      </c>
      <c r="L31" s="24">
        <v>7</v>
      </c>
      <c r="M31" s="24">
        <v>83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37</v>
      </c>
      <c r="I32" s="29">
        <v>0</v>
      </c>
      <c r="J32" s="29"/>
      <c r="K32" s="29">
        <v>0</v>
      </c>
      <c r="L32" s="29">
        <v>8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536</v>
      </c>
      <c r="G36" s="45"/>
      <c r="H36" s="45"/>
      <c r="I36" s="45">
        <v>7</v>
      </c>
      <c r="J36" s="45"/>
      <c r="K36" s="45"/>
      <c r="L36" s="45"/>
      <c r="M36" s="45">
        <v>3</v>
      </c>
      <c r="N36" s="45">
        <v>21</v>
      </c>
      <c r="O36" s="45">
        <v>10</v>
      </c>
      <c r="P36" s="45">
        <v>3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536</v>
      </c>
      <c r="G42" s="45"/>
      <c r="H42" s="45"/>
      <c r="I42" s="45">
        <v>7</v>
      </c>
      <c r="J42" s="45"/>
      <c r="K42" s="45"/>
      <c r="L42" s="45"/>
      <c r="M42" s="45">
        <v>3</v>
      </c>
      <c r="N42" s="45">
        <v>21</v>
      </c>
      <c r="O42" s="45">
        <v>10</v>
      </c>
      <c r="P42" s="45">
        <v>3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10+3+37+8+404</f>
        <v>462</v>
      </c>
      <c r="D44" s="110"/>
      <c r="E44" s="110"/>
    </row>
    <row r="45" spans="2:26" x14ac:dyDescent="0.25">
      <c r="B45" s="90" t="s">
        <v>92</v>
      </c>
      <c r="C45" s="110">
        <v>13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20</v>
      </c>
      <c r="I24" s="15"/>
      <c r="J24" s="15"/>
      <c r="K24" s="15">
        <v>1</v>
      </c>
      <c r="L24" s="15">
        <v>11</v>
      </c>
      <c r="M24" s="15">
        <v>338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0</v>
      </c>
      <c r="I31" s="24"/>
      <c r="J31" s="24"/>
      <c r="K31" s="24">
        <v>1</v>
      </c>
      <c r="L31" s="24">
        <v>4</v>
      </c>
      <c r="M31" s="24">
        <v>1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20</v>
      </c>
      <c r="I32" s="29"/>
      <c r="J32" s="29"/>
      <c r="K32" s="29">
        <v>0</v>
      </c>
      <c r="L32" s="29">
        <v>7</v>
      </c>
      <c r="M32" s="29">
        <v>337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2</v>
      </c>
      <c r="E36" s="45">
        <v>9</v>
      </c>
      <c r="F36" s="45">
        <v>346</v>
      </c>
      <c r="G36" s="45">
        <v>5</v>
      </c>
      <c r="H36" s="45">
        <v>1</v>
      </c>
      <c r="I36" s="45">
        <v>6</v>
      </c>
      <c r="J36" s="45">
        <v>2</v>
      </c>
      <c r="K36" s="45">
        <v>8</v>
      </c>
      <c r="L36" s="45">
        <v>1</v>
      </c>
      <c r="M36" s="45">
        <v>1</v>
      </c>
      <c r="N36" s="45"/>
      <c r="O36" s="45">
        <v>6</v>
      </c>
      <c r="P36" s="45"/>
      <c r="Q36" s="46">
        <v>26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9</v>
      </c>
      <c r="F42" s="45">
        <v>346</v>
      </c>
      <c r="G42" s="45">
        <v>5</v>
      </c>
      <c r="H42" s="45">
        <v>1</v>
      </c>
      <c r="I42" s="45">
        <v>6</v>
      </c>
      <c r="J42" s="45">
        <v>2</v>
      </c>
      <c r="K42" s="45">
        <v>8</v>
      </c>
      <c r="L42" s="45">
        <v>1</v>
      </c>
      <c r="M42" s="45">
        <v>1</v>
      </c>
      <c r="N42" s="45"/>
      <c r="O42" s="45">
        <v>6</v>
      </c>
      <c r="P42" s="45"/>
      <c r="Q42" s="46">
        <v>26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1+6+2+2+20+7+337</f>
        <v>375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>
        <v>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108</v>
      </c>
      <c r="I24" s="15"/>
      <c r="J24" s="15"/>
      <c r="K24" s="15" t="s">
        <v>103</v>
      </c>
      <c r="L24" s="15">
        <v>9</v>
      </c>
      <c r="M24" s="15">
        <v>533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8</v>
      </c>
      <c r="M31" s="24">
        <v>49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108</v>
      </c>
      <c r="I32" s="29"/>
      <c r="J32" s="29"/>
      <c r="K32" s="29">
        <v>0</v>
      </c>
      <c r="L32" s="29">
        <v>1</v>
      </c>
      <c r="M32" s="29">
        <v>484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578</v>
      </c>
      <c r="G36" s="45">
        <v>22</v>
      </c>
      <c r="H36" s="45">
        <v>2</v>
      </c>
      <c r="I36" s="45">
        <v>1</v>
      </c>
      <c r="J36" s="45"/>
      <c r="K36" s="45">
        <v>4</v>
      </c>
      <c r="L36" s="45"/>
      <c r="M36" s="45"/>
      <c r="N36" s="45"/>
      <c r="O36" s="45">
        <v>5</v>
      </c>
      <c r="P36" s="45">
        <v>20</v>
      </c>
      <c r="Q36" s="46">
        <v>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578</v>
      </c>
      <c r="G42" s="45">
        <v>22</v>
      </c>
      <c r="H42" s="45">
        <v>2</v>
      </c>
      <c r="I42" s="45">
        <v>1</v>
      </c>
      <c r="J42" s="45"/>
      <c r="K42" s="45">
        <v>4</v>
      </c>
      <c r="L42" s="45"/>
      <c r="M42" s="45"/>
      <c r="N42" s="45"/>
      <c r="O42" s="45">
        <v>5</v>
      </c>
      <c r="P42" s="45">
        <v>20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>
        <v>3</v>
      </c>
      <c r="F8" s="15">
        <v>3</v>
      </c>
      <c r="G8" s="15"/>
      <c r="H8" s="15" t="s">
        <v>248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247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1</v>
      </c>
      <c r="E16" s="28">
        <v>3</v>
      </c>
      <c r="F16" s="28">
        <v>3</v>
      </c>
      <c r="G16" s="29"/>
      <c r="H16" s="67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3</v>
      </c>
      <c r="D24" s="15"/>
      <c r="E24" s="15"/>
      <c r="F24" s="15" t="s">
        <v>75</v>
      </c>
      <c r="G24" s="15"/>
      <c r="H24" s="15">
        <v>20</v>
      </c>
      <c r="I24" s="15">
        <v>2</v>
      </c>
      <c r="J24" s="15"/>
      <c r="K24" s="15">
        <v>1</v>
      </c>
      <c r="L24" s="15">
        <v>10</v>
      </c>
      <c r="M24" s="15">
        <v>490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 t="s">
        <v>75</v>
      </c>
      <c r="G31" s="24"/>
      <c r="H31" s="24">
        <v>12</v>
      </c>
      <c r="I31" s="24">
        <v>2</v>
      </c>
      <c r="J31" s="24"/>
      <c r="K31" s="24">
        <v>1</v>
      </c>
      <c r="L31" s="24">
        <v>6</v>
      </c>
      <c r="M31" s="24">
        <v>1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3</v>
      </c>
      <c r="D32" s="28"/>
      <c r="E32" s="28"/>
      <c r="F32" s="28">
        <v>0</v>
      </c>
      <c r="G32" s="29"/>
      <c r="H32" s="29">
        <v>8</v>
      </c>
      <c r="I32" s="29">
        <v>0</v>
      </c>
      <c r="J32" s="29"/>
      <c r="K32" s="29">
        <v>0</v>
      </c>
      <c r="L32" s="29">
        <v>4</v>
      </c>
      <c r="M32" s="29">
        <v>489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606</v>
      </c>
      <c r="G36" s="45"/>
      <c r="H36" s="45">
        <v>2</v>
      </c>
      <c r="I36" s="45">
        <v>5</v>
      </c>
      <c r="J36" s="45">
        <v>1</v>
      </c>
      <c r="K36" s="45">
        <v>10</v>
      </c>
      <c r="L36" s="45">
        <v>2</v>
      </c>
      <c r="M36" s="45">
        <v>1</v>
      </c>
      <c r="N36" s="45">
        <v>21</v>
      </c>
      <c r="O36" s="45"/>
      <c r="P36" s="45">
        <v>14</v>
      </c>
      <c r="Q36" s="46">
        <v>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606</v>
      </c>
      <c r="G42" s="45"/>
      <c r="H42" s="45">
        <v>2</v>
      </c>
      <c r="I42" s="45">
        <v>5</v>
      </c>
      <c r="J42" s="45">
        <v>1</v>
      </c>
      <c r="K42" s="45">
        <v>10</v>
      </c>
      <c r="L42" s="45">
        <v>2</v>
      </c>
      <c r="M42" s="45">
        <v>1</v>
      </c>
      <c r="N42" s="45">
        <v>21</v>
      </c>
      <c r="O42" s="45"/>
      <c r="P42" s="45">
        <v>14</v>
      </c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1+3+3+23+1+1+3+8+4+489+3</f>
        <v>539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6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1" t="s">
        <v>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212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>
        <v>1</v>
      </c>
      <c r="G16" s="29"/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 t="s">
        <v>103</v>
      </c>
      <c r="L24" s="15">
        <v>8</v>
      </c>
      <c r="M24" s="15">
        <v>362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7</v>
      </c>
      <c r="M31" s="24">
        <v>118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/>
      <c r="K32" s="29">
        <v>0</v>
      </c>
      <c r="L32" s="29">
        <v>1</v>
      </c>
      <c r="M32" s="29">
        <v>244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5</v>
      </c>
      <c r="H36" s="45">
        <v>4</v>
      </c>
      <c r="I36" s="45">
        <v>1</v>
      </c>
      <c r="J36" s="45">
        <v>1</v>
      </c>
      <c r="K36" s="45">
        <v>8</v>
      </c>
      <c r="L36" s="45"/>
      <c r="M36" s="45"/>
      <c r="N36" s="45"/>
      <c r="O36" s="45">
        <v>5</v>
      </c>
      <c r="P36" s="45">
        <v>1</v>
      </c>
      <c r="Q36" s="46">
        <v>8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5</v>
      </c>
      <c r="H42" s="45">
        <v>4</v>
      </c>
      <c r="I42" s="45">
        <v>1</v>
      </c>
      <c r="J42" s="45">
        <v>1</v>
      </c>
      <c r="K42" s="45">
        <v>8</v>
      </c>
      <c r="L42" s="45"/>
      <c r="M42" s="45"/>
      <c r="N42" s="45"/>
      <c r="O42" s="45">
        <v>5</v>
      </c>
      <c r="P42" s="45">
        <v>1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1+5+30+1+244</f>
        <v>281</v>
      </c>
      <c r="D44" s="110"/>
      <c r="E44" s="110"/>
    </row>
    <row r="45" spans="2:26" x14ac:dyDescent="0.25">
      <c r="B45" s="90" t="s">
        <v>92</v>
      </c>
      <c r="C45" s="110">
        <f>12+13</f>
        <v>25</v>
      </c>
      <c r="D45" s="110"/>
      <c r="E45" s="110"/>
    </row>
    <row r="46" spans="2:26" x14ac:dyDescent="0.25">
      <c r="C46" s="100">
        <f>12+13</f>
        <v>25</v>
      </c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1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3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1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97</v>
      </c>
      <c r="I24" s="15"/>
      <c r="J24" s="15"/>
      <c r="K24" s="15">
        <v>2</v>
      </c>
      <c r="L24" s="15">
        <v>7</v>
      </c>
      <c r="M24" s="15">
        <v>515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>
        <v>0</v>
      </c>
      <c r="G31" s="24"/>
      <c r="H31" s="24">
        <v>47</v>
      </c>
      <c r="I31" s="24"/>
      <c r="J31" s="24"/>
      <c r="K31" s="24">
        <v>2</v>
      </c>
      <c r="L31" s="24">
        <v>2</v>
      </c>
      <c r="M31" s="24">
        <v>157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0</v>
      </c>
      <c r="D32" s="28"/>
      <c r="E32" s="28"/>
      <c r="F32" s="28">
        <v>3</v>
      </c>
      <c r="G32" s="29"/>
      <c r="H32" s="29">
        <v>50</v>
      </c>
      <c r="I32" s="29"/>
      <c r="J32" s="29"/>
      <c r="K32" s="29">
        <v>0</v>
      </c>
      <c r="L32" s="29">
        <v>5</v>
      </c>
      <c r="M32" s="29">
        <v>358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/>
      <c r="F36" s="45">
        <v>515</v>
      </c>
      <c r="G36" s="45">
        <v>1</v>
      </c>
      <c r="H36" s="45">
        <v>5</v>
      </c>
      <c r="I36" s="45">
        <v>5</v>
      </c>
      <c r="J36" s="45"/>
      <c r="K36" s="45"/>
      <c r="L36" s="45">
        <v>2</v>
      </c>
      <c r="M36" s="45"/>
      <c r="N36" s="45"/>
      <c r="O36" s="45">
        <v>10</v>
      </c>
      <c r="P36" s="45">
        <v>2</v>
      </c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515</v>
      </c>
      <c r="G42" s="45">
        <v>1</v>
      </c>
      <c r="H42" s="45">
        <v>5</v>
      </c>
      <c r="I42" s="45">
        <v>5</v>
      </c>
      <c r="J42" s="45"/>
      <c r="K42" s="45"/>
      <c r="L42" s="45">
        <v>2</v>
      </c>
      <c r="M42" s="45"/>
      <c r="N42" s="45"/>
      <c r="O42" s="45">
        <v>10</v>
      </c>
      <c r="P42" s="45">
        <v>2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1+13+3+50+5+358</f>
        <v>430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142</v>
      </c>
      <c r="G24" s="15"/>
      <c r="H24" s="15">
        <v>12</v>
      </c>
      <c r="I24" s="15"/>
      <c r="J24" s="15"/>
      <c r="K24" s="15">
        <v>1</v>
      </c>
      <c r="L24" s="15">
        <v>6</v>
      </c>
      <c r="M24" s="15">
        <v>325</v>
      </c>
      <c r="N24" s="15"/>
      <c r="O24" s="15"/>
      <c r="P24" s="15">
        <v>5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9</v>
      </c>
      <c r="I31" s="24"/>
      <c r="J31" s="24"/>
      <c r="K31" s="24">
        <v>1</v>
      </c>
      <c r="L31" s="24">
        <v>6</v>
      </c>
      <c r="M31" s="24">
        <v>4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0</v>
      </c>
      <c r="L32" s="29">
        <v>0</v>
      </c>
      <c r="M32" s="29">
        <v>321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1</v>
      </c>
      <c r="H36" s="45">
        <v>4</v>
      </c>
      <c r="I36" s="45"/>
      <c r="J36" s="45"/>
      <c r="K36" s="45">
        <v>4</v>
      </c>
      <c r="L36" s="45">
        <v>2</v>
      </c>
      <c r="M36" s="45"/>
      <c r="N36" s="45"/>
      <c r="O36" s="45">
        <v>5</v>
      </c>
      <c r="P36" s="45">
        <v>6</v>
      </c>
      <c r="Q36" s="46">
        <v>2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1</v>
      </c>
      <c r="H42" s="45">
        <v>4</v>
      </c>
      <c r="I42" s="45"/>
      <c r="J42" s="45"/>
      <c r="K42" s="45">
        <v>4</v>
      </c>
      <c r="L42" s="45">
        <v>2</v>
      </c>
      <c r="M42" s="45"/>
      <c r="N42" s="45"/>
      <c r="O42" s="45">
        <v>5</v>
      </c>
      <c r="P42" s="45">
        <v>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11+2+3+321</f>
        <v>337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/>
      <c r="E8" s="15">
        <v>5</v>
      </c>
      <c r="F8" s="15">
        <v>5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4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219</v>
      </c>
      <c r="D15" s="24"/>
      <c r="E15" s="24">
        <v>1</v>
      </c>
      <c r="F15" s="24">
        <v>0</v>
      </c>
      <c r="G15" s="24"/>
      <c r="H15" s="24" t="s">
        <v>138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5</v>
      </c>
      <c r="F16" s="28">
        <v>5</v>
      </c>
      <c r="G16" s="29"/>
      <c r="H16" s="67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1</v>
      </c>
      <c r="S16" s="29"/>
      <c r="T16" s="29"/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2</v>
      </c>
      <c r="D24" s="15"/>
      <c r="E24" s="15"/>
      <c r="F24" s="15" t="s">
        <v>219</v>
      </c>
      <c r="G24" s="15"/>
      <c r="H24" s="15">
        <v>58</v>
      </c>
      <c r="I24" s="15"/>
      <c r="J24" s="15"/>
      <c r="K24" s="15" t="s">
        <v>220</v>
      </c>
      <c r="L24" s="15">
        <v>11</v>
      </c>
      <c r="M24" s="15">
        <v>384</v>
      </c>
      <c r="N24" s="15"/>
      <c r="O24" s="15"/>
      <c r="P24" s="15" t="s">
        <v>226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 t="s">
        <v>219</v>
      </c>
      <c r="G31" s="24"/>
      <c r="H31" s="24">
        <v>29</v>
      </c>
      <c r="I31" s="24"/>
      <c r="J31" s="24"/>
      <c r="K31" s="24" t="s">
        <v>220</v>
      </c>
      <c r="L31" s="24">
        <v>10</v>
      </c>
      <c r="M31" s="24">
        <v>116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29</v>
      </c>
      <c r="I32" s="29"/>
      <c r="J32" s="29"/>
      <c r="K32" s="29">
        <v>0</v>
      </c>
      <c r="L32" s="29">
        <v>1</v>
      </c>
      <c r="M32" s="29">
        <v>268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277</v>
      </c>
      <c r="G36" s="45">
        <v>4</v>
      </c>
      <c r="H36" s="45">
        <v>4</v>
      </c>
      <c r="I36" s="45"/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/>
      <c r="Q36" s="46">
        <v>25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277</v>
      </c>
      <c r="G42" s="45">
        <v>4</v>
      </c>
      <c r="H42" s="45">
        <v>4</v>
      </c>
      <c r="I42" s="45"/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/>
      <c r="Q42" s="46">
        <v>25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5+5+8+1+2+1+29+1+268</f>
        <v>320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tabSelected="1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47</v>
      </c>
      <c r="I24" s="15"/>
      <c r="J24" s="15"/>
      <c r="K24" s="15">
        <v>2</v>
      </c>
      <c r="L24" s="15">
        <v>15</v>
      </c>
      <c r="M24" s="15">
        <v>372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39</v>
      </c>
      <c r="I31" s="24"/>
      <c r="J31" s="24"/>
      <c r="K31" s="24">
        <v>2</v>
      </c>
      <c r="L31" s="24">
        <v>8</v>
      </c>
      <c r="M31" s="24">
        <v>82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8</v>
      </c>
      <c r="I32" s="29"/>
      <c r="J32" s="29"/>
      <c r="K32" s="29">
        <v>0</v>
      </c>
      <c r="L32" s="29">
        <v>7</v>
      </c>
      <c r="M32" s="29">
        <v>290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379</v>
      </c>
      <c r="G36" s="45"/>
      <c r="H36" s="45">
        <v>30</v>
      </c>
      <c r="I36" s="45">
        <v>37</v>
      </c>
      <c r="J36" s="45"/>
      <c r="K36" s="45"/>
      <c r="L36" s="45">
        <v>2</v>
      </c>
      <c r="M36" s="45">
        <v>1</v>
      </c>
      <c r="N36" s="45">
        <v>16</v>
      </c>
      <c r="O36" s="45">
        <v>5</v>
      </c>
      <c r="P36" s="45"/>
      <c r="Q36" s="46">
        <v>11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379</v>
      </c>
      <c r="G42" s="45"/>
      <c r="H42" s="45">
        <v>30</v>
      </c>
      <c r="I42" s="45">
        <v>37</v>
      </c>
      <c r="J42" s="45"/>
      <c r="K42" s="45"/>
      <c r="L42" s="45">
        <v>2</v>
      </c>
      <c r="M42" s="45">
        <v>1</v>
      </c>
      <c r="N42" s="45">
        <v>16</v>
      </c>
      <c r="O42" s="45">
        <v>5</v>
      </c>
      <c r="P42" s="45"/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11+1+2+1+8+7+290</f>
        <v>320</v>
      </c>
      <c r="D44" s="110"/>
      <c r="E44" s="110"/>
    </row>
    <row r="45" spans="2:26" x14ac:dyDescent="0.25">
      <c r="B45" s="90" t="s">
        <v>92</v>
      </c>
      <c r="C45" s="110" t="s">
        <v>257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 NO TRIP</vt:lpstr>
      <vt:lpstr>02-23 R2 NO TRIP</vt:lpstr>
      <vt:lpstr>02-23 R3</vt:lpstr>
      <vt:lpstr>(24)</vt:lpstr>
      <vt:lpstr>02-24 R1</vt:lpstr>
      <vt:lpstr>02-24 R2</vt:lpstr>
      <vt:lpstr>02-24 R3 NO TRIP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 NO TRIP'!Print_Area</vt:lpstr>
      <vt:lpstr>'02-23 R2 NO TRIP'!Print_Area</vt:lpstr>
      <vt:lpstr>'02-23 R3'!Print_Area</vt:lpstr>
      <vt:lpstr>'02-24 R1'!Print_Area</vt:lpstr>
      <vt:lpstr>'02-24 R2'!Print_Area</vt:lpstr>
      <vt:lpstr>'02-24 R3 NO TRIP'!Print_Area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2026-02-27T03:00:39Z</dcterms:modified>
</cp:coreProperties>
</file>