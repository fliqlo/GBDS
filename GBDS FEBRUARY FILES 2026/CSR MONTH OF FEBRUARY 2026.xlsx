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DA7E744-8325-4E5F-9E9E-3ACFACDCDE4C}" xr6:coauthVersionLast="45" xr6:coauthVersionMax="45" xr10:uidLastSave="{00000000-0000-0000-0000-000000000000}"/>
  <bookViews>
    <workbookView xWindow="-120" yWindow="-120" windowWidth="29040" windowHeight="15840" firstSheet="18" activeTab="24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</sheets>
  <externalReferences>
    <externalReference r:id="rId34"/>
  </externalReferences>
  <definedNames>
    <definedName name="_xlnm.Print_Area" localSheetId="29">'(10)'!$A$1:$V$44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<sst xmlns="http://schemas.openxmlformats.org/spreadsheetml/2006/main" count="2911" uniqueCount="130">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</sst>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0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94" t="s">
        <v>47</v>
      </c>
      <c r="P34" s="95"/>
      <c r="Q34" s="95"/>
      <c r="R34" s="95"/>
      <c r="S34" s="95"/>
      <c r="T34" s="96"/>
      <c r="U34" s="97" t="s">
        <v>48</v>
      </c>
      <c r="V34" s="98"/>
      <c r="W34" s="98"/>
      <c r="X34" s="98"/>
      <c r="Y34" s="99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0" t="s">
        <v>54</v>
      </c>
      <c r="V42" s="100"/>
      <c r="W42" s="100"/>
      <c r="X42" s="100"/>
      <c r="Y42" s="100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3">
        <f>14+118+10+283</f>
        <v>425</v>
      </c>
      <c r="D44" s="103"/>
      <c r="E44" s="103"/>
    </row>
    <row r="45" spans="2:26" x14ac:dyDescent="0.25">
      <c r="B45" s="90" t="s">
        <v>92</v>
      </c>
      <c r="C45" s="103">
        <v>7</v>
      </c>
      <c r="D45" s="103"/>
      <c r="E45" s="103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107" t="s">
        <v>48</v>
      </c>
      <c r="S34" s="107"/>
      <c r="T34" s="107"/>
      <c r="U34" s="107"/>
      <c r="V34" s="72"/>
      <c r="W34" s="72"/>
      <c r="X34" s="72"/>
      <c r="Y34" s="72"/>
    </row>
    <row r="35" spans="2:25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3">
        <f>2+20+53+11+458</f>
        <v>544</v>
      </c>
      <c r="D44" s="103"/>
      <c r="E44" s="103"/>
    </row>
    <row r="45" spans="2:25" x14ac:dyDescent="0.25">
      <c r="B45" s="90" t="s">
        <v>92</v>
      </c>
      <c r="C45" s="103">
        <v>22</v>
      </c>
      <c r="D45" s="103"/>
      <c r="E45" s="103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3">
        <f>7+5+40+7+330</f>
        <v>389</v>
      </c>
      <c r="D44" s="103"/>
      <c r="E44" s="103"/>
    </row>
    <row r="45" spans="2:26" x14ac:dyDescent="0.25">
      <c r="B45" s="90" t="s">
        <v>92</v>
      </c>
      <c r="C45" s="103">
        <v>4</v>
      </c>
      <c r="D45" s="103"/>
      <c r="E45" s="103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3">
        <f>2+2+2+1+20+8+307+5</f>
        <v>347</v>
      </c>
      <c r="D44" s="103"/>
      <c r="E44" s="103"/>
    </row>
    <row r="45" spans="2:26" x14ac:dyDescent="0.25">
      <c r="B45" s="90" t="s">
        <v>92</v>
      </c>
      <c r="C45" s="103">
        <f>2+12+12</f>
        <v>26</v>
      </c>
      <c r="D45" s="103"/>
      <c r="E45" s="103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107" t="s">
        <v>48</v>
      </c>
      <c r="S34" s="107"/>
      <c r="T34" s="107"/>
      <c r="U34" s="107"/>
      <c r="V34" s="72"/>
      <c r="W34" s="72"/>
      <c r="X34" s="72"/>
      <c r="Y34" s="72"/>
    </row>
    <row r="35" spans="2:25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3">
        <f>1+4+1+33+7+242</f>
        <v>288</v>
      </c>
      <c r="D44" s="103"/>
      <c r="E44" s="103"/>
    </row>
    <row r="45" spans="2:25" x14ac:dyDescent="0.25">
      <c r="B45" s="90" t="s">
        <v>92</v>
      </c>
      <c r="C45" s="103">
        <f>9</f>
        <v>9</v>
      </c>
      <c r="D45" s="103"/>
      <c r="E45" s="103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3">
        <f>2+2+12+1+3+35+1+4+414</f>
        <v>474</v>
      </c>
      <c r="D44" s="103"/>
      <c r="E44" s="103"/>
    </row>
    <row r="45" spans="2:26" x14ac:dyDescent="0.25">
      <c r="B45" s="90" t="s">
        <v>92</v>
      </c>
      <c r="C45" s="103">
        <f>4</f>
        <v>4</v>
      </c>
      <c r="D45" s="103"/>
      <c r="E45" s="103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3">
        <f>5+22+2+235</f>
        <v>264</v>
      </c>
      <c r="D44" s="103"/>
      <c r="E44" s="103"/>
    </row>
    <row r="45" spans="2:26" x14ac:dyDescent="0.25">
      <c r="B45" s="90" t="s">
        <v>92</v>
      </c>
      <c r="C45" s="103">
        <v>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107" t="s">
        <v>48</v>
      </c>
      <c r="S34" s="107"/>
      <c r="T34" s="107"/>
      <c r="U34" s="107"/>
      <c r="V34" s="72"/>
      <c r="W34" s="72"/>
      <c r="X34" s="72"/>
      <c r="Y34" s="72"/>
    </row>
    <row r="35" spans="2:25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3">
        <f>18+5+203+3+8</f>
        <v>237</v>
      </c>
      <c r="D44" s="103"/>
      <c r="E44" s="103"/>
    </row>
    <row r="45" spans="2:25" x14ac:dyDescent="0.25">
      <c r="B45" s="90" t="s">
        <v>92</v>
      </c>
      <c r="C45" s="103">
        <f>1</f>
        <v>1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3">
        <f>1+7+13+2+5+3+143+2+20+474+4</f>
        <v>674</v>
      </c>
      <c r="D44" s="103"/>
      <c r="E44" s="103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3">
        <f>1+4+4+3+2+1+33+10+1+207</f>
        <v>266</v>
      </c>
      <c r="D44" s="103"/>
      <c r="E44" s="103"/>
    </row>
    <row r="45" spans="2:26" x14ac:dyDescent="0.25">
      <c r="B45" s="90" t="s">
        <v>92</v>
      </c>
      <c r="C45" s="103">
        <v>6</v>
      </c>
      <c r="D45" s="103"/>
      <c r="E45" s="103"/>
    </row>
    <row r="46" spans="2:26" x14ac:dyDescent="0.25">
      <c r="B46" s="90" t="s">
        <v>113</v>
      </c>
      <c r="C46" s="103">
        <f>10*973</f>
        <v>9730</v>
      </c>
      <c r="D46" s="103"/>
      <c r="E46" s="103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107" t="s">
        <v>48</v>
      </c>
      <c r="S34" s="107"/>
      <c r="T34" s="107"/>
      <c r="U34" s="107"/>
      <c r="V34" s="72"/>
      <c r="W34" s="72"/>
      <c r="X34" s="72"/>
      <c r="Y34" s="72"/>
    </row>
    <row r="35" spans="2:25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3">
        <f>4+8+1+1+1+2+29+205</f>
        <v>251</v>
      </c>
      <c r="D44" s="103"/>
      <c r="E44" s="103"/>
    </row>
    <row r="45" spans="2:25" x14ac:dyDescent="0.25">
      <c r="B45" s="90" t="s">
        <v>92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3">
        <f>1+1+10+4+3+6+248+1</f>
        <v>274</v>
      </c>
      <c r="D44" s="103"/>
      <c r="E44" s="103"/>
    </row>
    <row r="45" spans="2:26" x14ac:dyDescent="0.25">
      <c r="B45" s="90" t="s">
        <v>92</v>
      </c>
      <c r="C45" s="103">
        <f>9+12</f>
        <v>21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3">
        <f>5+10+5+1+2+1+1+2+50+5+2+7+5+10+25+57+2+2+10</f>
        <v>202</v>
      </c>
      <c r="D44" s="103"/>
      <c r="E44" s="103"/>
    </row>
    <row r="45" spans="2:26" x14ac:dyDescent="0.25">
      <c r="B45" s="90" t="s">
        <v>92</v>
      </c>
      <c r="C45" s="103">
        <f>11</f>
        <v>11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107" t="s">
        <v>48</v>
      </c>
      <c r="S34" s="107"/>
      <c r="T34" s="107"/>
      <c r="U34" s="107"/>
      <c r="V34" s="72"/>
      <c r="W34" s="72"/>
      <c r="X34" s="72"/>
      <c r="Y34" s="72"/>
    </row>
    <row r="35" spans="2:25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3">
        <f>7+5+1+54+7+180+2</f>
        <v>256</v>
      </c>
      <c r="D44" s="103"/>
      <c r="E44" s="103"/>
    </row>
    <row r="45" spans="2:25" x14ac:dyDescent="0.25">
      <c r="B45" s="90" t="s">
        <v>92</v>
      </c>
      <c r="C45" s="103">
        <f>10</f>
        <v>10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3"/>
      <c r="D44" s="103"/>
      <c r="E44" s="103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107" t="s">
        <v>48</v>
      </c>
      <c r="S34" s="107"/>
      <c r="T34" s="107"/>
      <c r="U34" s="107"/>
      <c r="V34" s="72"/>
      <c r="W34" s="72"/>
      <c r="X34" s="72"/>
      <c r="Y34" s="72"/>
    </row>
    <row r="35" spans="2:25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3">
        <f>2+1+3+2+1+2+4+22+15+5+159</f>
        <v>216</v>
      </c>
      <c r="D44" s="103"/>
      <c r="E44" s="103"/>
    </row>
    <row r="45" spans="2:25" x14ac:dyDescent="0.25">
      <c r="B45" s="90" t="s">
        <v>92</v>
      </c>
      <c r="C45" s="103">
        <f>14</f>
        <v>14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3">
        <f>11+3+11+333</f>
        <v>358</v>
      </c>
      <c r="D44" s="103"/>
      <c r="E44" s="103"/>
    </row>
    <row r="45" spans="2:26" x14ac:dyDescent="0.25">
      <c r="B45" s="90" t="s">
        <v>92</v>
      </c>
      <c r="C45" s="103">
        <f>15</f>
        <v>15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tabSelected="1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3">
        <f>2+3+16+10+358</f>
        <v>389</v>
      </c>
      <c r="D44" s="103"/>
      <c r="E44" s="103"/>
    </row>
    <row r="45" spans="2:26" x14ac:dyDescent="0.25">
      <c r="B45" s="90" t="s">
        <v>92</v>
      </c>
      <c r="C45" s="103">
        <f>5</f>
        <v>5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3"/>
      <c r="D44" s="103"/>
      <c r="E44" s="103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107" t="s">
        <v>48</v>
      </c>
      <c r="S34" s="107"/>
      <c r="T34" s="107"/>
      <c r="U34" s="107"/>
      <c r="V34" s="72"/>
      <c r="W34" s="72"/>
      <c r="X34" s="72"/>
      <c r="Y34" s="72"/>
    </row>
    <row r="35" spans="2:25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3"/>
      <c r="D44" s="103"/>
      <c r="E44" s="103"/>
    </row>
    <row r="45" spans="2:25" x14ac:dyDescent="0.25">
      <c r="B45" s="90" t="s">
        <v>92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3"/>
      <c r="D44" s="103"/>
      <c r="E44" s="103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32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3"/>
      <c r="D44" s="103"/>
      <c r="E44" s="103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107" t="s">
        <v>48</v>
      </c>
      <c r="S34" s="107"/>
      <c r="T34" s="107"/>
      <c r="U34" s="107"/>
      <c r="V34" s="72"/>
      <c r="W34" s="72"/>
      <c r="X34" s="72"/>
      <c r="Y34" s="72"/>
    </row>
    <row r="35" spans="2:25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3"/>
      <c r="D44" s="103"/>
      <c r="E44" s="103"/>
    </row>
    <row r="45" spans="2:25" x14ac:dyDescent="0.25">
      <c r="B45" s="90" t="s">
        <v>92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1" t="s">
        <v>43</v>
      </c>
      <c r="C34" s="95" t="s">
        <v>21</v>
      </c>
      <c r="D34" s="95"/>
      <c r="E34" s="96"/>
      <c r="F34" s="94" t="s">
        <v>44</v>
      </c>
      <c r="G34" s="95"/>
      <c r="H34" s="96"/>
      <c r="I34" s="94" t="s">
        <v>45</v>
      </c>
      <c r="J34" s="95"/>
      <c r="K34" s="96"/>
      <c r="L34" s="94" t="s">
        <v>46</v>
      </c>
      <c r="M34" s="95"/>
      <c r="N34" s="96"/>
      <c r="O34" s="104" t="s">
        <v>47</v>
      </c>
      <c r="P34" s="104"/>
      <c r="Q34" s="104"/>
      <c r="R34" s="97" t="s">
        <v>48</v>
      </c>
      <c r="S34" s="98"/>
      <c r="T34" s="98"/>
      <c r="U34" s="99"/>
      <c r="V34" s="77"/>
      <c r="W34" s="72"/>
      <c r="X34" s="72"/>
      <c r="Y34" s="72"/>
      <c r="Z34" s="87"/>
    </row>
    <row r="35" spans="2:26" ht="18" customHeight="1" thickBot="1" x14ac:dyDescent="0.3">
      <c r="B35" s="102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5" t="s">
        <v>54</v>
      </c>
      <c r="S42" s="106"/>
      <c r="T42" s="106"/>
      <c r="U42" s="106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3"/>
      <c r="D44" s="103"/>
      <c r="E44" s="103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'(10)'!Print_Area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2026-02-09T00:02:36Z</dcterms:modified>
</cp:coreProperties>
</file>