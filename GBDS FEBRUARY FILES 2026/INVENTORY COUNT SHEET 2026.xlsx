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2BE0056A-091A-4F77-A8F0-AAE81C1F1024}" xr6:coauthVersionLast="45" xr6:coauthVersionMax="45" xr10:uidLastSave="{00000000-0000-0000-0000-000000000000}"/>
  <bookViews>
    <workbookView xWindow="-120" yWindow="-120" windowWidth="29040" windowHeight="15840" activeTab="2" xr2:uid="{D34C963E-9680-4B45-A4EE-B681FF0CEC08}"/>
  </bookViews>
  <sheets>
    <sheet name="COUNT SHEET" sheetId="9" r:id="rId1"/>
    <sheet name="COUNT SHEET SAMPLE" sheetId="10" r:id="rId2"/>
    <sheet name="02-13-2026" sheetId="11" r:id="rId3"/>
  </sheets>
  <definedNames>
    <definedName name="_xlnm.Print_Area" localSheetId="2">'02-13-2026'!$A$1:$W$58</definedName>
    <definedName name="_xlnm.Print_Area" localSheetId="0">'COUNT SHEET'!$A$1:$AM$25</definedName>
    <definedName name="_xlnm.Print_Area" localSheetId="1">'COUNT SHEET SAMPLE'!$A$1:$Q$88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4" i="11" l="1"/>
  <c r="C48" i="11"/>
  <c r="T53" i="11"/>
  <c r="U53" i="11" s="1"/>
  <c r="V53" i="11" s="1"/>
  <c r="T52" i="11"/>
  <c r="U52" i="11" s="1"/>
  <c r="V52" i="11" s="1"/>
  <c r="T51" i="11"/>
  <c r="U51" i="11" s="1"/>
  <c r="V51" i="11" s="1"/>
  <c r="T50" i="11"/>
  <c r="U50" i="11" s="1"/>
  <c r="V50" i="11" s="1"/>
  <c r="T49" i="11"/>
  <c r="U49" i="11" s="1"/>
  <c r="V49" i="11" s="1"/>
  <c r="T48" i="11"/>
  <c r="U48" i="11" s="1"/>
  <c r="V48" i="11" s="1"/>
  <c r="V47" i="11"/>
  <c r="V46" i="11"/>
  <c r="V45" i="11"/>
  <c r="V44" i="11"/>
  <c r="T47" i="11"/>
  <c r="U47" i="11" s="1"/>
  <c r="T46" i="11"/>
  <c r="U46" i="11" s="1"/>
  <c r="T45" i="11"/>
  <c r="U45" i="11" s="1"/>
  <c r="U44" i="11"/>
  <c r="T44" i="11"/>
  <c r="V42" i="11"/>
  <c r="K42" i="11"/>
  <c r="C42" i="11"/>
  <c r="T42" i="11"/>
  <c r="V40" i="11"/>
  <c r="C40" i="11"/>
  <c r="U40" i="11" s="1"/>
  <c r="T40" i="11"/>
  <c r="C39" i="11"/>
  <c r="T39" i="11"/>
  <c r="C38" i="11"/>
  <c r="U38" i="11"/>
  <c r="V38" i="11" s="1"/>
  <c r="T38" i="11"/>
  <c r="V37" i="11"/>
  <c r="C37" i="11"/>
  <c r="U37" i="11"/>
  <c r="T37" i="11"/>
  <c r="C34" i="11"/>
  <c r="C26" i="11"/>
  <c r="V36" i="11"/>
  <c r="V35" i="11"/>
  <c r="V33" i="11"/>
  <c r="V32" i="11"/>
  <c r="V31" i="11"/>
  <c r="V29" i="11"/>
  <c r="V27" i="11"/>
  <c r="V18" i="11"/>
  <c r="V16" i="11"/>
  <c r="V15" i="11"/>
  <c r="V14" i="11"/>
  <c r="U36" i="11"/>
  <c r="U35" i="11"/>
  <c r="U33" i="11"/>
  <c r="U32" i="11"/>
  <c r="U31" i="11"/>
  <c r="U30" i="11"/>
  <c r="V30" i="11" s="1"/>
  <c r="U29" i="11"/>
  <c r="U27" i="11"/>
  <c r="U25" i="11"/>
  <c r="V25" i="11" s="1"/>
  <c r="U24" i="11"/>
  <c r="V24" i="11" s="1"/>
  <c r="U23" i="11"/>
  <c r="V23" i="11" s="1"/>
  <c r="U22" i="11"/>
  <c r="V22" i="11" s="1"/>
  <c r="U21" i="11"/>
  <c r="V21" i="11" s="1"/>
  <c r="U20" i="11"/>
  <c r="V20" i="11" s="1"/>
  <c r="U19" i="11"/>
  <c r="V19" i="11" s="1"/>
  <c r="U18" i="11"/>
  <c r="U17" i="11"/>
  <c r="V17" i="11" s="1"/>
  <c r="U16" i="11"/>
  <c r="U15" i="11"/>
  <c r="U14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U28" i="11" s="1"/>
  <c r="V28" i="11" s="1"/>
  <c r="T29" i="11"/>
  <c r="T30" i="11"/>
  <c r="T31" i="11"/>
  <c r="T32" i="11"/>
  <c r="T33" i="11"/>
  <c r="T34" i="11"/>
  <c r="U34" i="11" s="1"/>
  <c r="V34" i="11" s="1"/>
  <c r="T35" i="11"/>
  <c r="T36" i="11"/>
  <c r="U13" i="11"/>
  <c r="V13" i="11" s="1"/>
  <c r="T13" i="11"/>
  <c r="U12" i="11"/>
  <c r="V12" i="11" s="1"/>
  <c r="C12" i="11"/>
  <c r="T8" i="11"/>
  <c r="U8" i="11" s="1"/>
  <c r="V8" i="11" s="1"/>
  <c r="T9" i="11"/>
  <c r="U9" i="11" s="1"/>
  <c r="V9" i="11" s="1"/>
  <c r="T10" i="11"/>
  <c r="T11" i="11"/>
  <c r="U11" i="11" s="1"/>
  <c r="V11" i="11" s="1"/>
  <c r="T12" i="11"/>
  <c r="T7" i="11"/>
  <c r="U7" i="11" s="1"/>
  <c r="V7" i="11" s="1"/>
  <c r="U10" i="11"/>
  <c r="V10" i="11" s="1"/>
  <c r="C8" i="11"/>
  <c r="U42" i="11" l="1"/>
  <c r="U39" i="11"/>
  <c r="V39" i="11" s="1"/>
  <c r="U26" i="11"/>
  <c r="V26" i="11" s="1"/>
  <c r="T57" i="11"/>
  <c r="U57" i="11" l="1"/>
  <c r="A8" i="11" l="1"/>
  <c r="A9" i="11" s="1"/>
  <c r="A10" i="11" s="1"/>
  <c r="A11" i="11" s="1"/>
  <c r="A14" i="11"/>
  <c r="A15" i="11" s="1"/>
  <c r="A16" i="11" s="1"/>
  <c r="A17" i="11" s="1"/>
  <c r="A18" i="11" s="1"/>
  <c r="A20" i="1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V57" i="11" l="1"/>
  <c r="N57" i="11"/>
  <c r="P57" i="11"/>
  <c r="Q57" i="11"/>
  <c r="R57" i="11"/>
  <c r="O57" i="11"/>
  <c r="M57" i="11"/>
  <c r="J57" i="11"/>
  <c r="I57" i="11"/>
  <c r="H57" i="11"/>
  <c r="K57" i="11"/>
  <c r="G57" i="11"/>
  <c r="F57" i="11"/>
  <c r="C57" i="11" l="1"/>
  <c r="AY26" i="11" l="1"/>
  <c r="A9" i="10" l="1"/>
  <c r="A10" i="10" s="1"/>
  <c r="A11" i="10" s="1"/>
  <c r="A14" i="10" s="1"/>
  <c r="A15" i="10" s="1"/>
  <c r="A16" i="10" s="1"/>
  <c r="A17" i="10" s="1"/>
  <c r="A18" i="10" s="1"/>
  <c r="A20" i="10" s="1"/>
  <c r="A21" i="10" s="1"/>
  <c r="A22" i="10" s="1"/>
  <c r="A23" i="10" s="1"/>
  <c r="A8" i="10"/>
  <c r="AS26" i="10" l="1"/>
</calcChain>
</file>

<file path=xl/sharedStrings.xml><?xml version="1.0" encoding="utf-8"?>
<sst xmlns="http://schemas.openxmlformats.org/spreadsheetml/2006/main" count="227" uniqueCount="82">
  <si>
    <t>ROUTE 1</t>
  </si>
  <si>
    <t>PAMB</t>
  </si>
  <si>
    <t>PAMC</t>
  </si>
  <si>
    <t>KRB</t>
  </si>
  <si>
    <t>KRC</t>
  </si>
  <si>
    <t>CBC</t>
  </si>
  <si>
    <t>SDB</t>
  </si>
  <si>
    <t>SDC</t>
  </si>
  <si>
    <t>SMZ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</si>
  <si>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</si>
  <si>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</si>
  <si>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</si>
  <si>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</si>
  <si>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</si>
  <si>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</si>
  <si>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</si>
  <si>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</si>
  <si>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</si>
  <si>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</si>
  <si>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</si>
  <si>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</si>
  <si>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</si>
  <si>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</si>
  <si>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</si>
  <si>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</si>
  <si>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</si>
  <si>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</si>
  <si>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</si>
  <si>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</si>
  <si>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</si>
  <si>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</si>
  <si>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</si>
  <si>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</si>
  <si>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</si>
  <si>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</si>
  <si>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</si>
  <si>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</si>
  <si>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</si>
  <si>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</si>
  <si>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</si>
  <si>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</si>
  <si>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</si>
  <si>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</si>
  <si>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RGB</t>
  </si>
  <si>
    <t>COMP</t>
  </si>
  <si>
    <t>ROUTE 2</t>
  </si>
  <si>
    <t>ROUTE 3</t>
  </si>
  <si>
    <t>B</t>
  </si>
  <si>
    <t>S</t>
  </si>
  <si>
    <t>FLOOR STOCKS</t>
  </si>
  <si>
    <t>TOTAL INVENTORY</t>
  </si>
  <si>
    <t>INVENTORY COUNT SHEET</t>
  </si>
  <si>
    <t>SKU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</si>
  <si>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</si>
  <si>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</si>
  <si>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</si>
  <si>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</si>
  <si>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</si>
  <si>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</si>
  <si>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</si>
  <si>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</si>
  <si>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DATE:_________________________________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</si>
  <si>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</si>
  <si>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</si>
  <si>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</si>
  <si>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</si>
  <si>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</si>
  <si>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</si>
  <si>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</si>
  <si>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</si>
  <si>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</si>
  <si>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</si>
  <si>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bot</t>
  </si>
  <si>
    <t>PP500C</t>
  </si>
  <si>
    <t>SL500C</t>
  </si>
  <si>
    <t>MGYZ</t>
  </si>
  <si>
    <t>WB</t>
  </si>
  <si>
    <t>WB BO LIL</t>
  </si>
  <si>
    <t>TOTAL INVENTORY PER CASE</t>
  </si>
  <si>
    <t>TOTAL INVENTORY BOTTLE PER CASE</t>
  </si>
  <si>
    <t>WAREHOUSE,  MISSING, BO, LILOY</t>
  </si>
  <si>
    <t>DATE: 02/13/2026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</si>
</sst>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rgb="FFFF0000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</cellStyleXfs>
  <cellXfs count="14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164" fontId="10" fillId="2" borderId="0" xfId="1" applyFont="1" applyFill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64" fontId="8" fillId="2" borderId="0" xfId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43" fontId="8" fillId="2" borderId="17" xfId="0" applyNumberFormat="1" applyFont="1" applyFill="1" applyBorder="1" applyAlignment="1" applyProtection="1">
      <alignment horizontal="center" vertical="center"/>
      <protection locked="0"/>
    </xf>
    <xf numFmtId="164" fontId="9" fillId="2" borderId="0" xfId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left" vertical="center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3" fontId="2" fillId="0" borderId="21" xfId="0" applyNumberFormat="1" applyFont="1" applyFill="1" applyBorder="1" applyAlignment="1" applyProtection="1">
      <alignment horizontal="center" vertical="center"/>
      <protection locked="0"/>
    </xf>
    <xf numFmtId="0" fontId="1" fillId="0" borderId="22" xfId="0" applyFont="1" applyFill="1" applyBorder="1" applyAlignment="1">
      <alignment horizontal="left" vertical="center"/>
    </xf>
    <xf numFmtId="3" fontId="2" fillId="0" borderId="23" xfId="0" applyNumberFormat="1" applyFont="1" applyFill="1" applyBorder="1" applyAlignment="1" applyProtection="1">
      <alignment horizontal="center" vertical="center"/>
      <protection locked="0"/>
    </xf>
    <xf numFmtId="3" fontId="2" fillId="0" borderId="24" xfId="0" applyNumberFormat="1" applyFont="1" applyFill="1" applyBorder="1" applyAlignment="1" applyProtection="1">
      <alignment horizontal="center" vertical="center"/>
      <protection locked="0"/>
    </xf>
    <xf numFmtId="3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left" vertical="center" wrapText="1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166" fontId="2" fillId="0" borderId="28" xfId="3" applyNumberFormat="1" applyFont="1" applyFill="1" applyBorder="1" applyAlignment="1">
      <alignment vertical="center"/>
    </xf>
    <xf numFmtId="166" fontId="2" fillId="0" borderId="27" xfId="3" applyNumberFormat="1" applyFont="1" applyFill="1" applyBorder="1" applyAlignment="1">
      <alignment vertical="center"/>
    </xf>
    <xf numFmtId="166" fontId="2" fillId="0" borderId="9" xfId="3" applyNumberFormat="1" applyFont="1" applyFill="1" applyBorder="1" applyAlignment="1">
      <alignment vertical="center"/>
    </xf>
    <xf numFmtId="166" fontId="13" fillId="0" borderId="30" xfId="2" applyNumberFormat="1" applyFont="1" applyFill="1" applyBorder="1" applyAlignment="1">
      <alignment vertical="center"/>
    </xf>
    <xf numFmtId="166" fontId="2" fillId="0" borderId="33" xfId="3" applyNumberFormat="1" applyFont="1" applyFill="1" applyBorder="1" applyAlignment="1">
      <alignment vertical="center"/>
    </xf>
    <xf numFmtId="166" fontId="13" fillId="0" borderId="34" xfId="2" applyNumberFormat="1" applyFont="1" applyFill="1" applyBorder="1" applyAlignment="1">
      <alignment vertical="center"/>
    </xf>
    <xf numFmtId="166" fontId="2" fillId="0" borderId="26" xfId="3" applyNumberFormat="1" applyFont="1" applyFill="1" applyBorder="1" applyAlignment="1">
      <alignment vertical="center"/>
    </xf>
    <xf numFmtId="166" fontId="13" fillId="0" borderId="29" xfId="2" applyNumberFormat="1" applyFont="1" applyFill="1" applyBorder="1" applyAlignment="1">
      <alignment vertical="center"/>
    </xf>
    <xf numFmtId="166" fontId="13" fillId="0" borderId="31" xfId="2" applyNumberFormat="1" applyFont="1" applyFill="1" applyBorder="1" applyAlignment="1">
      <alignment vertical="center"/>
    </xf>
    <xf numFmtId="166" fontId="2" fillId="0" borderId="35" xfId="3" applyNumberFormat="1" applyFont="1" applyFill="1" applyBorder="1" applyAlignment="1">
      <alignment vertical="center"/>
    </xf>
    <xf numFmtId="166" fontId="2" fillId="0" borderId="10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13" fillId="0" borderId="0" xfId="2" applyFont="1" applyFill="1" applyAlignment="1">
      <alignment horizontal="center" vertical="center"/>
    </xf>
    <xf numFmtId="165" fontId="13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14" fillId="0" borderId="0" xfId="2" applyNumberFormat="1" applyFont="1" applyFill="1" applyAlignment="1">
      <alignment vertical="center"/>
    </xf>
    <xf numFmtId="0" fontId="13" fillId="0" borderId="0" xfId="2" applyFont="1" applyFill="1" applyAlignment="1">
      <alignment vertical="center"/>
    </xf>
    <xf numFmtId="166" fontId="2" fillId="0" borderId="4" xfId="3" applyNumberFormat="1" applyFont="1" applyFill="1" applyBorder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19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166" fontId="2" fillId="0" borderId="30" xfId="3" applyNumberFormat="1" applyFont="1" applyFill="1" applyBorder="1" applyAlignment="1">
      <alignment vertical="center"/>
    </xf>
    <xf numFmtId="166" fontId="2" fillId="0" borderId="31" xfId="3" applyNumberFormat="1" applyFont="1" applyFill="1" applyBorder="1" applyAlignment="1">
      <alignment vertical="center"/>
    </xf>
    <xf numFmtId="0" fontId="12" fillId="0" borderId="4" xfId="2" applyFont="1" applyFill="1" applyBorder="1" applyAlignment="1">
      <alignment horizontal="center" vertical="center"/>
    </xf>
    <xf numFmtId="0" fontId="17" fillId="0" borderId="26" xfId="2" applyFont="1" applyFill="1" applyBorder="1" applyAlignment="1">
      <alignment vertical="center"/>
    </xf>
    <xf numFmtId="0" fontId="17" fillId="0" borderId="8" xfId="2" applyFont="1" applyFill="1" applyBorder="1" applyAlignment="1">
      <alignment vertical="center"/>
    </xf>
    <xf numFmtId="0" fontId="17" fillId="0" borderId="0" xfId="2" applyFont="1" applyFill="1" applyAlignment="1">
      <alignment vertical="center"/>
    </xf>
    <xf numFmtId="0" fontId="18" fillId="0" borderId="0" xfId="2" applyFont="1" applyFill="1" applyAlignment="1">
      <alignment vertical="center"/>
    </xf>
    <xf numFmtId="0" fontId="17" fillId="0" borderId="29" xfId="2" applyFont="1" applyFill="1" applyBorder="1" applyAlignment="1">
      <alignment vertical="center" wrapText="1"/>
    </xf>
    <xf numFmtId="0" fontId="17" fillId="0" borderId="2" xfId="2" applyFont="1" applyFill="1" applyBorder="1" applyAlignment="1">
      <alignment vertical="center"/>
    </xf>
    <xf numFmtId="0" fontId="17" fillId="0" borderId="18" xfId="2" applyFont="1" applyFill="1" applyBorder="1" applyAlignment="1">
      <alignment vertical="center"/>
    </xf>
    <xf numFmtId="0" fontId="18" fillId="0" borderId="8" xfId="2" applyFont="1" applyFill="1" applyBorder="1" applyAlignment="1">
      <alignment vertical="center"/>
    </xf>
    <xf numFmtId="0" fontId="18" fillId="0" borderId="29" xfId="2" applyFont="1" applyFill="1" applyBorder="1" applyAlignment="1">
      <alignment vertical="center"/>
    </xf>
    <xf numFmtId="0" fontId="13" fillId="0" borderId="36" xfId="2" applyFont="1" applyFill="1" applyBorder="1" applyAlignment="1">
      <alignment horizontal="center" vertical="center"/>
    </xf>
    <xf numFmtId="0" fontId="13" fillId="0" borderId="9" xfId="2" applyFont="1" applyFill="1" applyBorder="1" applyAlignment="1">
      <alignment horizontal="center" vertical="center"/>
    </xf>
    <xf numFmtId="0" fontId="13" fillId="0" borderId="37" xfId="2" applyFont="1" applyFill="1" applyBorder="1" applyAlignment="1">
      <alignment horizontal="center" vertical="center"/>
    </xf>
    <xf numFmtId="0" fontId="13" fillId="0" borderId="38" xfId="2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166" fontId="2" fillId="0" borderId="8" xfId="3" applyNumberFormat="1" applyFont="1" applyFill="1" applyBorder="1" applyAlignment="1">
      <alignment vertical="center"/>
    </xf>
    <xf numFmtId="0" fontId="13" fillId="0" borderId="21" xfId="2" applyFont="1" applyFill="1" applyBorder="1" applyAlignment="1">
      <alignment horizontal="center" vertical="center"/>
    </xf>
    <xf numFmtId="0" fontId="16" fillId="0" borderId="39" xfId="2" applyFont="1" applyFill="1" applyBorder="1" applyAlignment="1">
      <alignment horizontal="center" vertical="center"/>
    </xf>
    <xf numFmtId="166" fontId="2" fillId="0" borderId="39" xfId="3" applyNumberFormat="1" applyFont="1" applyFill="1" applyBorder="1" applyAlignment="1">
      <alignment vertical="center"/>
    </xf>
    <xf numFmtId="0" fontId="13" fillId="0" borderId="9" xfId="2" applyFont="1" applyFill="1" applyBorder="1" applyAlignment="1">
      <alignment horizontal="center" vertical="center"/>
    </xf>
    <xf numFmtId="0" fontId="13" fillId="0" borderId="18" xfId="2" applyFont="1" applyFill="1" applyBorder="1" applyAlignment="1">
      <alignment horizontal="center" vertical="center"/>
    </xf>
    <xf numFmtId="0" fontId="17" fillId="0" borderId="40" xfId="2" applyFont="1" applyFill="1" applyBorder="1" applyAlignment="1">
      <alignment vertical="center"/>
    </xf>
    <xf numFmtId="166" fontId="2" fillId="0" borderId="41" xfId="3" applyNumberFormat="1" applyFont="1" applyFill="1" applyBorder="1" applyAlignment="1">
      <alignment vertical="center"/>
    </xf>
    <xf numFmtId="166" fontId="2" fillId="0" borderId="42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0" fontId="17" fillId="0" borderId="45" xfId="2" applyFont="1" applyFill="1" applyBorder="1" applyAlignment="1">
      <alignment vertical="center"/>
    </xf>
    <xf numFmtId="166" fontId="2" fillId="0" borderId="46" xfId="3" applyNumberFormat="1" applyFont="1" applyFill="1" applyBorder="1" applyAlignment="1">
      <alignment vertical="center"/>
    </xf>
    <xf numFmtId="166" fontId="2" fillId="0" borderId="47" xfId="3" applyNumberFormat="1" applyFont="1" applyFill="1" applyBorder="1" applyAlignment="1">
      <alignment vertical="center"/>
    </xf>
    <xf numFmtId="0" fontId="2" fillId="0" borderId="48" xfId="2" applyFont="1" applyFill="1" applyBorder="1" applyAlignment="1">
      <alignment vertical="center"/>
    </xf>
    <xf numFmtId="166" fontId="2" fillId="0" borderId="49" xfId="3" applyNumberFormat="1" applyFont="1" applyFill="1" applyBorder="1" applyAlignment="1">
      <alignment vertical="center"/>
    </xf>
    <xf numFmtId="166" fontId="2" fillId="0" borderId="50" xfId="3" applyNumberFormat="1" applyFont="1" applyFill="1" applyBorder="1" applyAlignment="1">
      <alignment vertical="center"/>
    </xf>
    <xf numFmtId="0" fontId="2" fillId="0" borderId="51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52" xfId="3" applyNumberFormat="1" applyFont="1" applyFill="1" applyBorder="1" applyAlignment="1">
      <alignment vertical="center"/>
    </xf>
    <xf numFmtId="0" fontId="13" fillId="0" borderId="55" xfId="2" applyFont="1" applyFill="1" applyBorder="1" applyAlignment="1">
      <alignment horizontal="center" vertical="center"/>
    </xf>
    <xf numFmtId="166" fontId="2" fillId="0" borderId="55" xfId="3" applyNumberFormat="1" applyFont="1" applyFill="1" applyBorder="1" applyAlignment="1">
      <alignment vertical="center"/>
    </xf>
    <xf numFmtId="166" fontId="2" fillId="0" borderId="56" xfId="3" applyNumberFormat="1" applyFont="1" applyFill="1" applyBorder="1" applyAlignment="1">
      <alignment vertical="center"/>
    </xf>
    <xf numFmtId="166" fontId="2" fillId="0" borderId="57" xfId="3" applyNumberFormat="1" applyFont="1" applyFill="1" applyBorder="1" applyAlignment="1">
      <alignment vertical="center"/>
    </xf>
    <xf numFmtId="166" fontId="2" fillId="0" borderId="58" xfId="3" applyNumberFormat="1" applyFont="1" applyFill="1" applyBorder="1" applyAlignment="1">
      <alignment vertical="center"/>
    </xf>
    <xf numFmtId="166" fontId="2" fillId="0" borderId="59" xfId="3" applyNumberFormat="1" applyFont="1" applyFill="1" applyBorder="1" applyAlignment="1">
      <alignment vertical="center"/>
    </xf>
    <xf numFmtId="166" fontId="2" fillId="0" borderId="54" xfId="3" applyNumberFormat="1" applyFont="1" applyFill="1" applyBorder="1" applyAlignment="1">
      <alignment vertical="center"/>
    </xf>
    <xf numFmtId="166" fontId="2" fillId="0" borderId="53" xfId="3" applyNumberFormat="1" applyFont="1" applyFill="1" applyBorder="1" applyAlignment="1">
      <alignment vertical="center"/>
    </xf>
    <xf numFmtId="166" fontId="2" fillId="0" borderId="32" xfId="3" applyNumberFormat="1" applyFont="1" applyFill="1" applyBorder="1" applyAlignment="1">
      <alignment vertical="center"/>
    </xf>
    <xf numFmtId="0" fontId="13" fillId="0" borderId="60" xfId="2" applyFont="1" applyFill="1" applyBorder="1" applyAlignment="1">
      <alignment horizontal="center" vertical="center"/>
    </xf>
    <xf numFmtId="0" fontId="13" fillId="0" borderId="61" xfId="2" applyFont="1" applyFill="1" applyBorder="1" applyAlignment="1">
      <alignment horizontal="center" vertical="center"/>
    </xf>
    <xf numFmtId="166" fontId="2" fillId="0" borderId="61" xfId="3" applyNumberFormat="1" applyFont="1" applyFill="1" applyBorder="1" applyAlignment="1">
      <alignment vertical="center"/>
    </xf>
    <xf numFmtId="166" fontId="2" fillId="0" borderId="62" xfId="3" applyNumberFormat="1" applyFont="1" applyFill="1" applyBorder="1" applyAlignment="1">
      <alignment vertical="center"/>
    </xf>
    <xf numFmtId="166" fontId="2" fillId="0" borderId="63" xfId="3" applyNumberFormat="1" applyFont="1" applyFill="1" applyBorder="1" applyAlignment="1">
      <alignment vertical="center"/>
    </xf>
    <xf numFmtId="166" fontId="2" fillId="0" borderId="64" xfId="3" applyNumberFormat="1" applyFont="1" applyFill="1" applyBorder="1" applyAlignment="1">
      <alignment vertical="center"/>
    </xf>
    <xf numFmtId="0" fontId="1" fillId="0" borderId="1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3" fillId="0" borderId="19" xfId="2" applyFont="1" applyFill="1" applyBorder="1" applyAlignment="1">
      <alignment horizontal="center" vertical="center"/>
    </xf>
    <xf numFmtId="0" fontId="13" fillId="0" borderId="20" xfId="2" applyFont="1" applyFill="1" applyBorder="1" applyAlignment="1">
      <alignment horizontal="center" vertical="center"/>
    </xf>
    <xf numFmtId="0" fontId="13" fillId="0" borderId="32" xfId="2" applyFont="1" applyFill="1" applyBorder="1" applyAlignment="1">
      <alignment horizontal="center" vertical="center"/>
    </xf>
    <xf numFmtId="0" fontId="13" fillId="0" borderId="13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center" vertical="center"/>
    </xf>
    <xf numFmtId="0" fontId="15" fillId="0" borderId="0" xfId="2" applyFont="1" applyFill="1" applyAlignment="1">
      <alignment horizontal="right" vertical="center"/>
    </xf>
    <xf numFmtId="0" fontId="13" fillId="0" borderId="54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65" xfId="2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vertical="center"/>
    </xf>
    <xf numFmtId="0" fontId="13" fillId="0" borderId="12" xfId="2" applyFont="1" applyFill="1" applyBorder="1" applyAlignment="1">
      <alignment horizontal="center" vertical="center" wrapText="1"/>
    </xf>
    <xf numFmtId="0" fontId="13" fillId="0" borderId="33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 wrapText="1"/>
    </xf>
    <xf numFmtId="0" fontId="16" fillId="0" borderId="33" xfId="2" applyFont="1" applyFill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9" fillId="0" borderId="33" xfId="2" applyFont="1" applyFill="1" applyBorder="1" applyAlignment="1">
      <alignment horizontal="center" vertical="center" wrapText="1"/>
    </xf>
    <xf numFmtId="166" fontId="2" fillId="0" borderId="67" xfId="3" applyNumberFormat="1" applyFont="1" applyFill="1" applyBorder="1" applyAlignment="1">
      <alignment vertical="center"/>
    </xf>
    <xf numFmtId="166" fontId="2" fillId="0" borderId="66" xfId="3" applyNumberFormat="1" applyFont="1" applyFill="1" applyBorder="1" applyAlignment="1">
      <alignment vertical="center"/>
    </xf>
    <xf numFmtId="166" fontId="2" fillId="0" borderId="68" xfId="3" applyNumberFormat="1" applyFont="1" applyFill="1" applyBorder="1" applyAlignment="1">
      <alignment vertical="center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B814-41CC-46B7-89C8-4F1D90B89F75}">
  <dimension ref="A1:AR25"/>
  <sheetViews>
    <sheetView zoomScale="120" zoomScaleNormal="120" workbookViewId="0">
      <pane xSplit="1" ySplit="3" topLeftCell="B4" activePane="bottomRight" state="frozen"/>
      <selection activeCell="C12" sqref="C12"/>
      <selection pane="topRight" activeCell="C12" sqref="C12"/>
      <selection pane="bottomLeft" activeCell="C12" sqref="C12"/>
      <selection pane="bottomRight" activeCell="B3" sqref="B3"/>
    </sheetView>
  </sheetViews>
  <sheetFormatPr defaultColWidth="8.7109375" defaultRowHeight="12.75" x14ac:dyDescent="0.25"/>
  <cols>
    <col min="1" max="1" width="13.7109375" style="3" bestFit="1" customWidth="1"/>
    <col min="2" max="39" width="6.42578125" style="3" customWidth="1"/>
    <col min="40" max="40" width="14.7109375" style="3" bestFit="1" customWidth="1"/>
    <col min="41" max="41" width="22.140625" style="3" bestFit="1" customWidth="1"/>
    <col min="42" max="46" width="5.7109375" style="3" customWidth="1"/>
    <col min="47" max="16384" width="8.7109375" style="3"/>
  </cols>
  <sheetData>
    <row r="1" spans="1:44" ht="18" customHeight="1" x14ac:dyDescent="0.25">
      <c r="A1" s="1" t="s">
        <v>51</v>
      </c>
      <c r="B1" s="2"/>
      <c r="C1" s="2"/>
      <c r="D1" s="2"/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P1" s="2"/>
      <c r="AR1" s="4"/>
    </row>
    <row r="2" spans="1:44" ht="18" customHeight="1" thickBot="1" x14ac:dyDescent="0.3">
      <c r="A2" s="5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P2" s="2"/>
    </row>
    <row r="3" spans="1:44" ht="18" customHeight="1" thickBot="1" x14ac:dyDescent="0.3">
      <c r="A3" s="41" t="s">
        <v>52</v>
      </c>
      <c r="B3" s="19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20" t="s">
        <v>9</v>
      </c>
      <c r="K3" s="20" t="s">
        <v>10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20" t="s">
        <v>16</v>
      </c>
      <c r="R3" s="20" t="s">
        <v>17</v>
      </c>
      <c r="S3" s="20" t="s">
        <v>18</v>
      </c>
      <c r="T3" s="20" t="s">
        <v>19</v>
      </c>
      <c r="U3" s="20" t="s">
        <v>20</v>
      </c>
      <c r="V3" s="20" t="s">
        <v>21</v>
      </c>
      <c r="W3" s="20" t="s">
        <v>22</v>
      </c>
      <c r="X3" s="20" t="s">
        <v>23</v>
      </c>
      <c r="Y3" s="20" t="s">
        <v>24</v>
      </c>
      <c r="Z3" s="20" t="s">
        <v>25</v>
      </c>
      <c r="AA3" s="20" t="s">
        <v>26</v>
      </c>
      <c r="AB3" s="20" t="s">
        <v>27</v>
      </c>
      <c r="AC3" s="20" t="s">
        <v>28</v>
      </c>
      <c r="AD3" s="20" t="s">
        <v>29</v>
      </c>
      <c r="AE3" s="20" t="s">
        <v>30</v>
      </c>
      <c r="AF3" s="20" t="s">
        <v>31</v>
      </c>
      <c r="AG3" s="20" t="s">
        <v>32</v>
      </c>
      <c r="AH3" s="20" t="s">
        <v>33</v>
      </c>
      <c r="AI3" s="20" t="s">
        <v>34</v>
      </c>
      <c r="AJ3" s="20" t="s">
        <v>35</v>
      </c>
      <c r="AK3" s="20" t="s">
        <v>36</v>
      </c>
      <c r="AL3" s="20" t="s">
        <v>37</v>
      </c>
      <c r="AM3" s="21" t="s">
        <v>38</v>
      </c>
      <c r="AP3" s="2"/>
    </row>
    <row r="4" spans="1:44" ht="18" customHeight="1" x14ac:dyDescent="0.25">
      <c r="A4" s="22" t="s">
        <v>49</v>
      </c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/>
      <c r="AH4" s="24"/>
      <c r="AI4" s="24"/>
      <c r="AJ4" s="24"/>
      <c r="AK4" s="24"/>
      <c r="AL4" s="24"/>
      <c r="AM4" s="26"/>
      <c r="AP4" s="2"/>
    </row>
    <row r="5" spans="1:44" ht="18" customHeight="1" x14ac:dyDescent="0.25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5"/>
      <c r="AH5" s="24"/>
      <c r="AI5" s="24"/>
      <c r="AJ5" s="24"/>
      <c r="AK5" s="24"/>
      <c r="AL5" s="24"/>
      <c r="AM5" s="26"/>
      <c r="AP5" s="2"/>
    </row>
    <row r="6" spans="1:44" ht="18" customHeight="1" x14ac:dyDescent="0.25">
      <c r="A6" s="22"/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5"/>
      <c r="AH6" s="24"/>
      <c r="AI6" s="24"/>
      <c r="AJ6" s="24"/>
      <c r="AK6" s="24"/>
      <c r="AL6" s="24"/>
      <c r="AM6" s="26"/>
      <c r="AP6" s="2"/>
    </row>
    <row r="7" spans="1:44" ht="18" customHeight="1" x14ac:dyDescent="0.25">
      <c r="A7" s="22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5"/>
      <c r="AH7" s="24"/>
      <c r="AI7" s="24"/>
      <c r="AJ7" s="24"/>
      <c r="AK7" s="24"/>
      <c r="AL7" s="24"/>
      <c r="AM7" s="26"/>
      <c r="AP7" s="2"/>
    </row>
    <row r="8" spans="1:44" ht="18" customHeight="1" x14ac:dyDescent="0.25">
      <c r="A8" s="22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/>
      <c r="AH8" s="24"/>
      <c r="AI8" s="24"/>
      <c r="AJ8" s="24"/>
      <c r="AK8" s="24"/>
      <c r="AL8" s="24"/>
      <c r="AM8" s="26"/>
      <c r="AP8" s="2"/>
    </row>
    <row r="9" spans="1:44" ht="18" customHeight="1" x14ac:dyDescent="0.25">
      <c r="A9" s="22"/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  <c r="AH9" s="24"/>
      <c r="AI9" s="24"/>
      <c r="AJ9" s="24"/>
      <c r="AK9" s="24"/>
      <c r="AL9" s="24"/>
      <c r="AM9" s="26"/>
      <c r="AP9" s="2"/>
    </row>
    <row r="10" spans="1:44" ht="18" customHeight="1" x14ac:dyDescent="0.25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5"/>
      <c r="AH10" s="24"/>
      <c r="AI10" s="24"/>
      <c r="AJ10" s="24"/>
      <c r="AK10" s="24"/>
      <c r="AL10" s="24"/>
      <c r="AM10" s="26"/>
      <c r="AP10" s="2"/>
    </row>
    <row r="11" spans="1:44" ht="18" customHeight="1" x14ac:dyDescent="0.25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5"/>
      <c r="AH11" s="24"/>
      <c r="AI11" s="24"/>
      <c r="AJ11" s="24"/>
      <c r="AK11" s="24"/>
      <c r="AL11" s="24"/>
      <c r="AM11" s="26"/>
      <c r="AP11" s="2"/>
    </row>
    <row r="12" spans="1:44" ht="18" customHeight="1" x14ac:dyDescent="0.25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  <c r="AH12" s="24"/>
      <c r="AI12" s="24"/>
      <c r="AJ12" s="24"/>
      <c r="AK12" s="24"/>
      <c r="AL12" s="24"/>
      <c r="AM12" s="26"/>
      <c r="AP12" s="2"/>
    </row>
    <row r="13" spans="1:44" ht="18" customHeight="1" x14ac:dyDescent="0.25">
      <c r="A13" s="22" t="s">
        <v>0</v>
      </c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/>
      <c r="AH13" s="24"/>
      <c r="AI13" s="24"/>
      <c r="AJ13" s="24"/>
      <c r="AK13" s="24"/>
      <c r="AL13" s="24"/>
      <c r="AM13" s="26"/>
      <c r="AP13" s="2"/>
    </row>
    <row r="14" spans="1:44" ht="18" customHeight="1" x14ac:dyDescent="0.25">
      <c r="A14" s="22" t="s">
        <v>45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  <c r="AH14" s="24"/>
      <c r="AI14" s="24"/>
      <c r="AJ14" s="24"/>
      <c r="AK14" s="24"/>
      <c r="AL14" s="24"/>
      <c r="AM14" s="26"/>
      <c r="AP14" s="2"/>
    </row>
    <row r="15" spans="1:44" ht="18" customHeight="1" x14ac:dyDescent="0.25">
      <c r="A15" s="22" t="s">
        <v>46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  <c r="AH15" s="24"/>
      <c r="AI15" s="24"/>
      <c r="AJ15" s="24"/>
      <c r="AK15" s="24"/>
      <c r="AL15" s="24"/>
      <c r="AM15" s="26"/>
      <c r="AP15" s="2"/>
    </row>
    <row r="16" spans="1:44" ht="18" customHeight="1" x14ac:dyDescent="0.25">
      <c r="A16" s="27"/>
      <c r="B16" s="28"/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1"/>
      <c r="AM16" s="32"/>
      <c r="AP16" s="2"/>
    </row>
    <row r="17" spans="1:42" ht="18" customHeight="1" thickBot="1" x14ac:dyDescent="0.3">
      <c r="A17" s="33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6"/>
      <c r="AP17" s="2"/>
    </row>
    <row r="18" spans="1:42" ht="26.25" thickBot="1" x14ac:dyDescent="0.3">
      <c r="A18" s="37" t="s">
        <v>50</v>
      </c>
      <c r="B18" s="40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9"/>
      <c r="AP18" s="2"/>
    </row>
    <row r="19" spans="1:42" s="7" customFormat="1" ht="18" customHeight="1" x14ac:dyDescent="0.25">
      <c r="A19" s="18"/>
      <c r="B19" s="14"/>
      <c r="C19" s="14"/>
      <c r="D19" s="14"/>
      <c r="E19" s="14"/>
      <c r="F19" s="14"/>
      <c r="G19" s="14"/>
      <c r="H19" s="14"/>
      <c r="I19" s="14"/>
      <c r="J19" s="17"/>
      <c r="K19" s="14"/>
      <c r="L19" s="14"/>
      <c r="M19" s="17"/>
      <c r="N19" s="17"/>
      <c r="O19" s="14"/>
      <c r="P19" s="14"/>
      <c r="Q19" s="14"/>
      <c r="R19" s="14"/>
      <c r="S19" s="17"/>
      <c r="T19" s="14"/>
      <c r="U19" s="17"/>
      <c r="V19" s="14"/>
      <c r="W19" s="14"/>
      <c r="X19" s="17"/>
      <c r="Y19" s="17"/>
      <c r="Z19" s="14"/>
      <c r="AA19" s="14"/>
      <c r="AB19" s="14"/>
      <c r="AC19" s="14"/>
      <c r="AD19" s="14"/>
      <c r="AE19" s="14"/>
      <c r="AF19" s="14"/>
      <c r="AG19" s="17"/>
      <c r="AH19" s="14"/>
      <c r="AI19" s="14"/>
      <c r="AJ19" s="17"/>
      <c r="AK19" s="14"/>
      <c r="AL19" s="14"/>
      <c r="AM19" s="14"/>
    </row>
    <row r="20" spans="1:42" s="6" customFormat="1" ht="12" thickBo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4"/>
      <c r="AG20" s="10"/>
      <c r="AH20" s="10"/>
      <c r="AI20" s="10"/>
      <c r="AJ20" s="10"/>
      <c r="AK20" s="10"/>
      <c r="AL20" s="10"/>
      <c r="AM20" s="10"/>
      <c r="AP20" s="7"/>
    </row>
    <row r="21" spans="1:42" s="6" customFormat="1" ht="13.5" thickBot="1" x14ac:dyDescent="0.3">
      <c r="A21" s="126" t="s">
        <v>39</v>
      </c>
      <c r="B21" s="123" t="s">
        <v>18</v>
      </c>
      <c r="C21" s="124"/>
      <c r="D21" s="125"/>
      <c r="E21" s="123" t="s">
        <v>40</v>
      </c>
      <c r="F21" s="124"/>
      <c r="G21" s="125"/>
      <c r="H21" s="123" t="s">
        <v>41</v>
      </c>
      <c r="I21" s="124"/>
      <c r="J21" s="125"/>
      <c r="K21" s="123" t="s">
        <v>42</v>
      </c>
      <c r="L21" s="124"/>
      <c r="M21" s="125"/>
      <c r="N21" s="123" t="s">
        <v>43</v>
      </c>
      <c r="O21" s="124"/>
      <c r="P21" s="125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P21" s="7"/>
    </row>
    <row r="22" spans="1:42" s="6" customFormat="1" ht="13.5" thickBot="1" x14ac:dyDescent="0.3">
      <c r="A22" s="127"/>
      <c r="B22" s="11" t="s">
        <v>44</v>
      </c>
      <c r="C22" s="12" t="s">
        <v>48</v>
      </c>
      <c r="D22" s="13" t="s">
        <v>47</v>
      </c>
      <c r="E22" s="11" t="s">
        <v>44</v>
      </c>
      <c r="F22" s="12" t="s">
        <v>48</v>
      </c>
      <c r="G22" s="13" t="s">
        <v>47</v>
      </c>
      <c r="H22" s="11" t="s">
        <v>44</v>
      </c>
      <c r="I22" s="12" t="s">
        <v>48</v>
      </c>
      <c r="J22" s="13" t="s">
        <v>47</v>
      </c>
      <c r="K22" s="11" t="s">
        <v>44</v>
      </c>
      <c r="L22" s="12" t="s">
        <v>48</v>
      </c>
      <c r="M22" s="13" t="s">
        <v>47</v>
      </c>
      <c r="N22" s="11" t="s">
        <v>44</v>
      </c>
      <c r="O22" s="12" t="s">
        <v>48</v>
      </c>
      <c r="P22" s="13" t="s">
        <v>47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P22" s="7"/>
    </row>
    <row r="23" spans="1:42" s="6" customFormat="1" ht="13.5" thickBot="1" x14ac:dyDescent="0.3">
      <c r="A23" s="8" t="s">
        <v>49</v>
      </c>
      <c r="B23" s="42"/>
      <c r="C23" s="43"/>
      <c r="D23" s="43"/>
      <c r="E23" s="43"/>
      <c r="F23" s="44"/>
      <c r="G23" s="44"/>
      <c r="H23" s="44"/>
      <c r="I23" s="44"/>
      <c r="J23" s="43"/>
      <c r="K23" s="44"/>
      <c r="L23" s="44"/>
      <c r="M23" s="44"/>
      <c r="N23" s="43"/>
      <c r="O23" s="44"/>
      <c r="P23" s="45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P23" s="7"/>
    </row>
    <row r="24" spans="1:42" s="7" customFormat="1" ht="18" customHeight="1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42" s="6" customFormat="1" ht="18" customHeight="1" x14ac:dyDescent="0.25"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P25" s="7"/>
    </row>
  </sheetData>
  <mergeCells count="6">
    <mergeCell ref="N21:P21"/>
    <mergeCell ref="A21:A22"/>
    <mergeCell ref="B21:D21"/>
    <mergeCell ref="E21:G21"/>
    <mergeCell ref="H21:J21"/>
    <mergeCell ref="K21:M21"/>
  </mergeCells>
  <printOptions horizontalCentered="1"/>
  <pageMargins left="0.19685039370078741" right="0.19685039370078741" top="0.39370078740157483" bottom="0.19685039370078741" header="0.31496062992125984" footer="0.31496062992125984"/>
  <pageSetup scale="53" orientation="landscape" horizontalDpi="360" verticalDpi="360" r:id="rId1"/>
  <colBreaks count="1" manualBreakCount="1">
    <brk id="3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F9F0-1E69-49AA-B1A9-2A3D7A8E3F39}">
  <sheetPr>
    <pageSetUpPr fitToPage="1"/>
  </sheetPr>
  <dimension ref="A1:AV80"/>
  <sheetViews>
    <sheetView view="pageBreakPreview" topLeftCell="A16" zoomScale="115" zoomScaleNormal="100" zoomScaleSheetLayoutView="115" workbookViewId="0">
      <selection activeCell="A7" sqref="A7:B53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7" width="10" style="57" customWidth="1"/>
    <col min="8" max="8" width="11" style="57" customWidth="1"/>
    <col min="9" max="9" width="10" style="57" customWidth="1"/>
    <col min="10" max="10" width="1.42578125" style="57" customWidth="1"/>
    <col min="11" max="12" width="10" style="57" customWidth="1"/>
    <col min="13" max="13" width="9.28515625" style="57" bestFit="1" customWidth="1"/>
    <col min="14" max="14" width="1.42578125" style="57" customWidth="1"/>
    <col min="15" max="15" width="14.28515625" style="57" customWidth="1"/>
    <col min="16" max="43" width="7.28515625" style="57" customWidth="1"/>
    <col min="44" max="44" width="1.5703125" style="57" customWidth="1"/>
    <col min="45" max="45" width="9.42578125" style="57" customWidth="1"/>
    <col min="46" max="46" width="1.28515625" style="57" customWidth="1"/>
    <col min="47" max="47" width="12.7109375" style="57" bestFit="1" customWidth="1"/>
    <col min="48" max="48" width="10.28515625" style="57" bestFit="1" customWidth="1"/>
    <col min="49" max="16384" width="9.140625" style="57"/>
  </cols>
  <sheetData>
    <row r="1" spans="1:48" ht="15" customHeight="1" x14ac:dyDescent="0.25">
      <c r="B1" s="75" t="s">
        <v>51</v>
      </c>
      <c r="H1" s="133" t="s">
        <v>53</v>
      </c>
      <c r="I1" s="133"/>
      <c r="J1" s="133"/>
      <c r="K1" s="133"/>
      <c r="L1" s="133"/>
      <c r="M1" s="133"/>
      <c r="N1" s="133"/>
      <c r="O1" s="133"/>
    </row>
    <row r="2" spans="1:48" x14ac:dyDescent="0.25">
      <c r="B2" s="76" t="s">
        <v>61</v>
      </c>
    </row>
    <row r="3" spans="1:48" ht="19.5" thickBot="1" x14ac:dyDescent="0.3"/>
    <row r="4" spans="1:48" s="58" customFormat="1" ht="15.75" x14ac:dyDescent="0.25">
      <c r="B4" s="93" t="s">
        <v>63</v>
      </c>
      <c r="C4" s="128" t="s">
        <v>49</v>
      </c>
      <c r="D4" s="128"/>
      <c r="E4" s="128"/>
      <c r="F4" s="128"/>
      <c r="G4" s="128"/>
      <c r="H4" s="128"/>
      <c r="I4" s="129"/>
      <c r="K4" s="82" t="s">
        <v>0</v>
      </c>
      <c r="L4" s="84" t="s">
        <v>45</v>
      </c>
      <c r="M4" s="85" t="s">
        <v>46</v>
      </c>
      <c r="N4" s="57"/>
      <c r="O4" s="86" t="s">
        <v>50</v>
      </c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</row>
    <row r="5" spans="1:48" s="58" customFormat="1" ht="15.75" x14ac:dyDescent="0.25">
      <c r="B5" s="87"/>
      <c r="C5" s="92"/>
      <c r="D5" s="92"/>
      <c r="E5" s="92"/>
      <c r="F5" s="92"/>
      <c r="G5" s="92"/>
      <c r="H5" s="92"/>
      <c r="I5" s="89"/>
      <c r="K5" s="87"/>
      <c r="L5" s="83"/>
      <c r="M5" s="89"/>
      <c r="N5" s="57"/>
      <c r="O5" s="90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r="6" spans="1:48" s="58" customFormat="1" ht="15.75" x14ac:dyDescent="0.25">
      <c r="B6" s="87"/>
      <c r="C6" s="83"/>
      <c r="D6" s="83"/>
      <c r="E6" s="83"/>
      <c r="F6" s="83"/>
      <c r="G6" s="83"/>
      <c r="H6" s="83"/>
      <c r="I6" s="89"/>
      <c r="K6" s="87"/>
      <c r="L6" s="83"/>
      <c r="M6" s="89"/>
      <c r="N6" s="57"/>
      <c r="O6" s="90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r="7" spans="1:48" x14ac:dyDescent="0.25">
      <c r="A7" s="75">
        <v>1</v>
      </c>
      <c r="B7" s="74" t="s">
        <v>34</v>
      </c>
      <c r="C7" s="48"/>
      <c r="D7" s="48"/>
      <c r="E7" s="48"/>
      <c r="F7" s="48"/>
      <c r="G7" s="48"/>
      <c r="H7" s="48"/>
      <c r="I7" s="69"/>
      <c r="K7" s="88"/>
      <c r="L7" s="48"/>
      <c r="M7" s="69"/>
      <c r="O7" s="91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</row>
    <row r="8" spans="1:48" ht="19.5" thickBot="1" x14ac:dyDescent="0.3">
      <c r="A8" s="75">
        <f>A7+1</f>
        <v>2</v>
      </c>
      <c r="B8" s="94" t="s">
        <v>37</v>
      </c>
      <c r="C8" s="95"/>
      <c r="D8" s="95"/>
      <c r="E8" s="95"/>
      <c r="F8" s="95"/>
      <c r="G8" s="95"/>
      <c r="H8" s="95"/>
      <c r="I8" s="96"/>
      <c r="J8" s="102"/>
      <c r="K8" s="103"/>
      <c r="L8" s="97"/>
      <c r="M8" s="98"/>
      <c r="N8" s="102"/>
      <c r="O8" s="104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</row>
    <row r="9" spans="1:48" x14ac:dyDescent="0.25">
      <c r="A9" s="75">
        <f t="shared" ref="A9:A56" si="0">A8+1</f>
        <v>3</v>
      </c>
      <c r="B9" s="73" t="s">
        <v>35</v>
      </c>
      <c r="C9" s="47"/>
      <c r="D9" s="47"/>
      <c r="E9" s="47"/>
      <c r="F9" s="47"/>
      <c r="G9" s="47"/>
      <c r="H9" s="47"/>
      <c r="I9" s="46"/>
      <c r="K9" s="52"/>
      <c r="L9" s="47"/>
      <c r="M9" s="46"/>
      <c r="O9" s="5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x14ac:dyDescent="0.25">
      <c r="A10" s="75">
        <f t="shared" si="0"/>
        <v>4</v>
      </c>
      <c r="B10" s="74" t="s">
        <v>38</v>
      </c>
      <c r="C10" s="47"/>
      <c r="D10" s="47"/>
      <c r="E10" s="47"/>
      <c r="F10" s="47"/>
      <c r="G10" s="47"/>
      <c r="H10" s="47"/>
      <c r="I10" s="46"/>
      <c r="K10" s="52"/>
      <c r="L10" s="47"/>
      <c r="M10" s="46"/>
      <c r="O10" s="5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</row>
    <row r="11" spans="1:48" x14ac:dyDescent="0.25">
      <c r="A11" s="75">
        <f t="shared" si="0"/>
        <v>5</v>
      </c>
      <c r="B11" s="74" t="s">
        <v>36</v>
      </c>
      <c r="C11" s="47"/>
      <c r="D11" s="47"/>
      <c r="E11" s="47"/>
      <c r="F11" s="47"/>
      <c r="G11" s="47"/>
      <c r="H11" s="47"/>
      <c r="I11" s="46"/>
      <c r="K11" s="52"/>
      <c r="L11" s="47"/>
      <c r="M11" s="46"/>
      <c r="O11" s="5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</row>
    <row r="12" spans="1:48" s="61" customFormat="1" ht="19.5" thickBot="1" x14ac:dyDescent="0.3">
      <c r="A12" s="75">
        <v>7</v>
      </c>
      <c r="B12" s="94" t="s">
        <v>32</v>
      </c>
      <c r="C12" s="95"/>
      <c r="D12" s="95"/>
      <c r="E12" s="95"/>
      <c r="F12" s="95"/>
      <c r="G12" s="95"/>
      <c r="H12" s="95"/>
      <c r="I12" s="96"/>
      <c r="J12" s="102"/>
      <c r="K12" s="103"/>
      <c r="L12" s="97"/>
      <c r="M12" s="98"/>
      <c r="N12" s="102"/>
      <c r="O12" s="10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</row>
    <row r="13" spans="1:48" x14ac:dyDescent="0.25">
      <c r="A13" s="75">
        <v>11</v>
      </c>
      <c r="B13" s="73" t="s">
        <v>1</v>
      </c>
      <c r="C13" s="47"/>
      <c r="D13" s="47"/>
      <c r="E13" s="47"/>
      <c r="F13" s="47"/>
      <c r="G13" s="47"/>
      <c r="H13" s="47"/>
      <c r="I13" s="46"/>
      <c r="K13" s="52"/>
      <c r="L13" s="47"/>
      <c r="M13" s="46"/>
      <c r="O13" s="5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</row>
    <row r="14" spans="1:48" x14ac:dyDescent="0.25">
      <c r="A14" s="75">
        <f t="shared" si="0"/>
        <v>12</v>
      </c>
      <c r="B14" s="74" t="s">
        <v>2</v>
      </c>
      <c r="C14" s="47"/>
      <c r="D14" s="47"/>
      <c r="E14" s="47"/>
      <c r="F14" s="47"/>
      <c r="G14" s="47"/>
      <c r="H14" s="47"/>
      <c r="I14" s="46"/>
      <c r="K14" s="52"/>
      <c r="L14" s="47"/>
      <c r="M14" s="46"/>
      <c r="O14" s="5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</row>
    <row r="15" spans="1:48" x14ac:dyDescent="0.25">
      <c r="A15" s="75">
        <f t="shared" si="0"/>
        <v>13</v>
      </c>
      <c r="B15" s="74" t="s">
        <v>3</v>
      </c>
      <c r="C15" s="47"/>
      <c r="D15" s="47"/>
      <c r="E15" s="47"/>
      <c r="F15" s="47"/>
      <c r="G15" s="47"/>
      <c r="H15" s="47"/>
      <c r="I15" s="46"/>
      <c r="K15" s="52"/>
      <c r="L15" s="47"/>
      <c r="M15" s="46"/>
      <c r="O15" s="5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</row>
    <row r="16" spans="1:48" x14ac:dyDescent="0.25">
      <c r="A16" s="75">
        <f t="shared" si="0"/>
        <v>14</v>
      </c>
      <c r="B16" s="74" t="s">
        <v>4</v>
      </c>
      <c r="C16" s="47"/>
      <c r="D16" s="47"/>
      <c r="E16" s="47"/>
      <c r="F16" s="47"/>
      <c r="G16" s="47"/>
      <c r="H16" s="47"/>
      <c r="I16" s="46"/>
      <c r="K16" s="52"/>
      <c r="L16" s="47"/>
      <c r="M16" s="46"/>
      <c r="O16" s="5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</row>
    <row r="17" spans="1:48" x14ac:dyDescent="0.25">
      <c r="A17" s="75">
        <f t="shared" si="0"/>
        <v>15</v>
      </c>
      <c r="B17" s="74" t="s">
        <v>5</v>
      </c>
      <c r="C17" s="47"/>
      <c r="D17" s="47"/>
      <c r="E17" s="47"/>
      <c r="F17" s="47"/>
      <c r="G17" s="47"/>
      <c r="H17" s="47"/>
      <c r="I17" s="46"/>
      <c r="K17" s="52"/>
      <c r="L17" s="47"/>
      <c r="M17" s="46"/>
      <c r="O17" s="5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</row>
    <row r="18" spans="1:48" hidden="1" x14ac:dyDescent="0.25">
      <c r="A18" s="75">
        <f t="shared" si="0"/>
        <v>16</v>
      </c>
      <c r="B18" s="74" t="s">
        <v>10</v>
      </c>
      <c r="C18" s="47"/>
      <c r="D18" s="47"/>
      <c r="E18" s="47"/>
      <c r="F18" s="47"/>
      <c r="G18" s="47"/>
      <c r="H18" s="47"/>
      <c r="I18" s="46"/>
      <c r="K18" s="52"/>
      <c r="L18" s="47"/>
      <c r="M18" s="46"/>
      <c r="O18" s="5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</row>
    <row r="19" spans="1:48" x14ac:dyDescent="0.25">
      <c r="A19" s="75">
        <v>16</v>
      </c>
      <c r="B19" s="74" t="s">
        <v>64</v>
      </c>
      <c r="C19" s="47"/>
      <c r="D19" s="47"/>
      <c r="E19" s="47"/>
      <c r="F19" s="47"/>
      <c r="G19" s="47"/>
      <c r="H19" s="47"/>
      <c r="I19" s="46"/>
      <c r="K19" s="52"/>
      <c r="L19" s="47"/>
      <c r="M19" s="46"/>
      <c r="O19" s="5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</row>
    <row r="20" spans="1:48" x14ac:dyDescent="0.25">
      <c r="A20" s="75">
        <f t="shared" si="0"/>
        <v>17</v>
      </c>
      <c r="B20" s="74" t="s">
        <v>6</v>
      </c>
      <c r="C20" s="47"/>
      <c r="D20" s="47"/>
      <c r="E20" s="47"/>
      <c r="F20" s="47"/>
      <c r="G20" s="47"/>
      <c r="H20" s="47"/>
      <c r="I20" s="46"/>
      <c r="K20" s="52"/>
      <c r="L20" s="47"/>
      <c r="M20" s="46"/>
      <c r="O20" s="5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</row>
    <row r="21" spans="1:48" x14ac:dyDescent="0.25">
      <c r="A21" s="75">
        <f t="shared" si="0"/>
        <v>18</v>
      </c>
      <c r="B21" s="74" t="s">
        <v>7</v>
      </c>
      <c r="C21" s="47"/>
      <c r="D21" s="47"/>
      <c r="E21" s="47"/>
      <c r="F21" s="47"/>
      <c r="G21" s="47"/>
      <c r="H21" s="47"/>
      <c r="I21" s="46"/>
      <c r="K21" s="52"/>
      <c r="L21" s="47"/>
      <c r="M21" s="46"/>
      <c r="O21" s="5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</row>
    <row r="22" spans="1:48" s="61" customFormat="1" x14ac:dyDescent="0.25">
      <c r="A22" s="75">
        <f t="shared" si="0"/>
        <v>19</v>
      </c>
      <c r="B22" s="74" t="s">
        <v>65</v>
      </c>
      <c r="C22" s="47"/>
      <c r="D22" s="47"/>
      <c r="E22" s="47"/>
      <c r="F22" s="47"/>
      <c r="G22" s="47"/>
      <c r="H22" s="47"/>
      <c r="I22" s="46"/>
      <c r="J22" s="57"/>
      <c r="K22" s="52"/>
      <c r="L22" s="47"/>
      <c r="M22" s="46"/>
      <c r="N22" s="57"/>
      <c r="O22" s="50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</row>
    <row r="23" spans="1:48" s="61" customFormat="1" x14ac:dyDescent="0.25">
      <c r="A23" s="75">
        <f t="shared" si="0"/>
        <v>20</v>
      </c>
      <c r="B23" s="74" t="s">
        <v>66</v>
      </c>
      <c r="C23" s="47"/>
      <c r="D23" s="47"/>
      <c r="E23" s="47"/>
      <c r="F23" s="47"/>
      <c r="G23" s="47"/>
      <c r="H23" s="47"/>
      <c r="I23" s="46"/>
      <c r="J23" s="57"/>
      <c r="K23" s="52"/>
      <c r="L23" s="47"/>
      <c r="M23" s="46"/>
      <c r="N23" s="57"/>
      <c r="O23" s="50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</row>
    <row r="24" spans="1:48" s="61" customFormat="1" x14ac:dyDescent="0.25">
      <c r="A24" s="75">
        <f t="shared" si="0"/>
        <v>21</v>
      </c>
      <c r="B24" s="74" t="s">
        <v>75</v>
      </c>
      <c r="C24" s="47"/>
      <c r="D24" s="47"/>
      <c r="E24" s="47"/>
      <c r="F24" s="47"/>
      <c r="G24" s="47"/>
      <c r="H24" s="47"/>
      <c r="I24" s="46"/>
      <c r="J24" s="57"/>
      <c r="K24" s="52"/>
      <c r="L24" s="47"/>
      <c r="M24" s="46"/>
      <c r="N24" s="57"/>
      <c r="O24" s="50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</row>
    <row r="25" spans="1:48" x14ac:dyDescent="0.25">
      <c r="A25" s="75">
        <f t="shared" si="0"/>
        <v>22</v>
      </c>
      <c r="B25" s="74" t="s">
        <v>67</v>
      </c>
      <c r="C25" s="47"/>
      <c r="D25" s="47"/>
      <c r="E25" s="47"/>
      <c r="F25" s="47"/>
      <c r="G25" s="47"/>
      <c r="H25" s="47"/>
      <c r="I25" s="46"/>
      <c r="K25" s="52"/>
      <c r="L25" s="47"/>
      <c r="M25" s="46"/>
      <c r="O25" s="5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</row>
    <row r="26" spans="1:48" x14ac:dyDescent="0.25">
      <c r="A26" s="75">
        <f t="shared" si="0"/>
        <v>23</v>
      </c>
      <c r="B26" s="74" t="s">
        <v>9</v>
      </c>
      <c r="C26" s="47"/>
      <c r="D26" s="47"/>
      <c r="E26" s="47"/>
      <c r="F26" s="47"/>
      <c r="G26" s="47"/>
      <c r="H26" s="47"/>
      <c r="I26" s="46"/>
      <c r="K26" s="52"/>
      <c r="L26" s="47"/>
      <c r="M26" s="46"/>
      <c r="O26" s="50"/>
      <c r="AS26" s="62" t="e">
        <f>#REF!-AS25</f>
        <v>#REF!</v>
      </c>
    </row>
    <row r="27" spans="1:48" s="61" customFormat="1" x14ac:dyDescent="0.25">
      <c r="A27" s="75">
        <f t="shared" si="0"/>
        <v>24</v>
      </c>
      <c r="B27" s="74" t="s">
        <v>11</v>
      </c>
      <c r="C27" s="47"/>
      <c r="D27" s="47"/>
      <c r="E27" s="47"/>
      <c r="F27" s="47"/>
      <c r="G27" s="47"/>
      <c r="H27" s="47"/>
      <c r="I27" s="46"/>
      <c r="J27" s="57"/>
      <c r="K27" s="52"/>
      <c r="L27" s="47"/>
      <c r="M27" s="46"/>
      <c r="N27" s="57"/>
      <c r="O27" s="50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 spans="1:48" s="61" customFormat="1" x14ac:dyDescent="0.25">
      <c r="A28" s="75">
        <f t="shared" si="0"/>
        <v>25</v>
      </c>
      <c r="B28" s="74" t="s">
        <v>12</v>
      </c>
      <c r="C28" s="47"/>
      <c r="D28" s="47"/>
      <c r="E28" s="47"/>
      <c r="F28" s="47"/>
      <c r="G28" s="47"/>
      <c r="H28" s="47"/>
      <c r="I28" s="46"/>
      <c r="J28" s="57"/>
      <c r="K28" s="52"/>
      <c r="L28" s="47"/>
      <c r="M28" s="46"/>
      <c r="N28" s="57"/>
      <c r="O28" s="50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 spans="1:48" x14ac:dyDescent="0.25">
      <c r="A29" s="75">
        <f t="shared" si="0"/>
        <v>26</v>
      </c>
      <c r="B29" s="74" t="s">
        <v>14</v>
      </c>
      <c r="C29" s="47"/>
      <c r="D29" s="47"/>
      <c r="E29" s="47"/>
      <c r="F29" s="47"/>
      <c r="G29" s="47"/>
      <c r="H29" s="47"/>
      <c r="I29" s="46"/>
      <c r="K29" s="52"/>
      <c r="L29" s="47"/>
      <c r="M29" s="46"/>
      <c r="O29" s="50"/>
    </row>
    <row r="30" spans="1:48" x14ac:dyDescent="0.25">
      <c r="A30" s="75">
        <f t="shared" si="0"/>
        <v>27</v>
      </c>
      <c r="B30" s="74" t="s">
        <v>16</v>
      </c>
      <c r="C30" s="47"/>
      <c r="D30" s="47"/>
      <c r="E30" s="47"/>
      <c r="F30" s="47"/>
      <c r="G30" s="47"/>
      <c r="H30" s="47"/>
      <c r="I30" s="46"/>
      <c r="K30" s="52"/>
      <c r="L30" s="47"/>
      <c r="M30" s="46"/>
      <c r="O30" s="50"/>
    </row>
    <row r="31" spans="1:48" x14ac:dyDescent="0.25">
      <c r="A31" s="75">
        <f t="shared" si="0"/>
        <v>28</v>
      </c>
      <c r="B31" s="74" t="s">
        <v>13</v>
      </c>
      <c r="C31" s="47"/>
      <c r="D31" s="47"/>
      <c r="E31" s="47"/>
      <c r="F31" s="47"/>
      <c r="G31" s="47"/>
      <c r="H31" s="47"/>
      <c r="I31" s="46"/>
      <c r="K31" s="52"/>
      <c r="L31" s="47"/>
      <c r="M31" s="46"/>
      <c r="O31" s="50"/>
    </row>
    <row r="32" spans="1:48" x14ac:dyDescent="0.25">
      <c r="A32" s="75">
        <f t="shared" si="0"/>
        <v>29</v>
      </c>
      <c r="B32" s="74" t="s">
        <v>15</v>
      </c>
      <c r="C32" s="47"/>
      <c r="D32" s="47"/>
      <c r="E32" s="47"/>
      <c r="F32" s="47"/>
      <c r="G32" s="47"/>
      <c r="H32" s="47"/>
      <c r="I32" s="46"/>
      <c r="K32" s="52"/>
      <c r="L32" s="47"/>
      <c r="M32" s="46"/>
      <c r="O32" s="50"/>
    </row>
    <row r="33" spans="1:15" x14ac:dyDescent="0.25">
      <c r="A33" s="75">
        <f t="shared" si="0"/>
        <v>30</v>
      </c>
      <c r="B33" s="74" t="s">
        <v>17</v>
      </c>
      <c r="C33" s="47"/>
      <c r="D33" s="47"/>
      <c r="E33" s="47"/>
      <c r="F33" s="47"/>
      <c r="G33" s="47"/>
      <c r="H33" s="47"/>
      <c r="I33" s="46"/>
      <c r="K33" s="52"/>
      <c r="L33" s="47"/>
      <c r="M33" s="46"/>
      <c r="O33" s="50"/>
    </row>
    <row r="34" spans="1:15" x14ac:dyDescent="0.25">
      <c r="A34" s="75">
        <f t="shared" si="0"/>
        <v>31</v>
      </c>
      <c r="B34" s="74" t="s">
        <v>18</v>
      </c>
      <c r="C34" s="47"/>
      <c r="D34" s="47"/>
      <c r="E34" s="47"/>
      <c r="F34" s="47"/>
      <c r="G34" s="47"/>
      <c r="H34" s="47"/>
      <c r="I34" s="46"/>
      <c r="K34" s="52"/>
      <c r="L34" s="47"/>
      <c r="M34" s="46"/>
      <c r="O34" s="50"/>
    </row>
    <row r="35" spans="1:15" hidden="1" x14ac:dyDescent="0.25">
      <c r="A35" s="75">
        <f t="shared" si="0"/>
        <v>32</v>
      </c>
      <c r="B35" s="74" t="s">
        <v>26</v>
      </c>
      <c r="C35" s="47"/>
      <c r="D35" s="47"/>
      <c r="E35" s="47"/>
      <c r="F35" s="47"/>
      <c r="G35" s="47"/>
      <c r="H35" s="47"/>
      <c r="I35" s="46"/>
      <c r="K35" s="52"/>
      <c r="L35" s="47"/>
      <c r="M35" s="46"/>
      <c r="O35" s="50"/>
    </row>
    <row r="36" spans="1:15" x14ac:dyDescent="0.25">
      <c r="A36" s="75">
        <f t="shared" si="0"/>
        <v>33</v>
      </c>
      <c r="B36" s="74" t="s">
        <v>19</v>
      </c>
      <c r="C36" s="47"/>
      <c r="D36" s="47"/>
      <c r="E36" s="47"/>
      <c r="F36" s="47"/>
      <c r="G36" s="47"/>
      <c r="H36" s="47"/>
      <c r="I36" s="46"/>
      <c r="K36" s="52"/>
      <c r="L36" s="47"/>
      <c r="M36" s="46"/>
      <c r="O36" s="50"/>
    </row>
    <row r="37" spans="1:15" ht="19.5" thickBot="1" x14ac:dyDescent="0.3">
      <c r="A37" s="75">
        <f t="shared" si="0"/>
        <v>34</v>
      </c>
      <c r="B37" s="94" t="s">
        <v>20</v>
      </c>
      <c r="C37" s="95"/>
      <c r="D37" s="95"/>
      <c r="E37" s="95"/>
      <c r="F37" s="95"/>
      <c r="G37" s="95"/>
      <c r="H37" s="95"/>
      <c r="I37" s="96"/>
      <c r="J37" s="102"/>
      <c r="K37" s="103"/>
      <c r="L37" s="97"/>
      <c r="M37" s="98"/>
      <c r="N37" s="102"/>
      <c r="O37" s="104"/>
    </row>
    <row r="38" spans="1:15" x14ac:dyDescent="0.25">
      <c r="A38" s="75">
        <f t="shared" si="0"/>
        <v>35</v>
      </c>
      <c r="B38" s="73" t="s">
        <v>21</v>
      </c>
      <c r="C38" s="47"/>
      <c r="D38" s="47"/>
      <c r="E38" s="47"/>
      <c r="F38" s="47"/>
      <c r="G38" s="47"/>
      <c r="H38" s="47"/>
      <c r="I38" s="46"/>
      <c r="K38" s="52"/>
      <c r="L38" s="47"/>
      <c r="M38" s="46"/>
      <c r="O38" s="50"/>
    </row>
    <row r="39" spans="1:15" ht="19.5" thickBot="1" x14ac:dyDescent="0.3">
      <c r="A39" s="75">
        <f t="shared" si="0"/>
        <v>36</v>
      </c>
      <c r="B39" s="94" t="s">
        <v>22</v>
      </c>
      <c r="C39" s="95"/>
      <c r="D39" s="95"/>
      <c r="E39" s="95"/>
      <c r="F39" s="95"/>
      <c r="G39" s="95"/>
      <c r="H39" s="95"/>
      <c r="I39" s="96"/>
      <c r="J39" s="102"/>
      <c r="K39" s="103"/>
      <c r="L39" s="97"/>
      <c r="M39" s="98"/>
      <c r="N39" s="102"/>
      <c r="O39" s="104"/>
    </row>
    <row r="40" spans="1:15" ht="19.5" thickBot="1" x14ac:dyDescent="0.3">
      <c r="A40" s="75">
        <f t="shared" si="0"/>
        <v>37</v>
      </c>
      <c r="B40" s="99" t="s">
        <v>23</v>
      </c>
      <c r="C40" s="100"/>
      <c r="D40" s="100"/>
      <c r="E40" s="100"/>
      <c r="F40" s="100"/>
      <c r="G40" s="100"/>
      <c r="H40" s="100"/>
      <c r="I40" s="101"/>
      <c r="J40" s="105"/>
      <c r="K40" s="106"/>
      <c r="L40" s="100"/>
      <c r="M40" s="101"/>
      <c r="N40" s="105"/>
      <c r="O40" s="107"/>
    </row>
    <row r="41" spans="1:15" hidden="1" x14ac:dyDescent="0.25">
      <c r="A41" s="75">
        <f t="shared" si="0"/>
        <v>38</v>
      </c>
      <c r="B41" s="73" t="s">
        <v>31</v>
      </c>
      <c r="C41" s="47"/>
      <c r="D41" s="47"/>
      <c r="E41" s="47"/>
      <c r="F41" s="47"/>
      <c r="G41" s="47"/>
      <c r="H41" s="47"/>
      <c r="I41" s="46"/>
      <c r="K41" s="52"/>
      <c r="L41" s="47"/>
      <c r="M41" s="46"/>
      <c r="O41" s="50"/>
    </row>
    <row r="42" spans="1:15" ht="19.5" thickBot="1" x14ac:dyDescent="0.3">
      <c r="A42" s="75">
        <f t="shared" si="0"/>
        <v>39</v>
      </c>
      <c r="B42" s="94" t="s">
        <v>24</v>
      </c>
      <c r="C42" s="97"/>
      <c r="D42" s="97"/>
      <c r="E42" s="97"/>
      <c r="F42" s="97"/>
      <c r="G42" s="97"/>
      <c r="H42" s="97"/>
      <c r="I42" s="98"/>
      <c r="J42" s="102"/>
      <c r="K42" s="103"/>
      <c r="L42" s="97"/>
      <c r="M42" s="98"/>
      <c r="N42" s="102"/>
      <c r="O42" s="104"/>
    </row>
    <row r="43" spans="1:15" hidden="1" x14ac:dyDescent="0.25">
      <c r="A43" s="75">
        <f t="shared" si="0"/>
        <v>40</v>
      </c>
      <c r="B43" s="73" t="s">
        <v>33</v>
      </c>
      <c r="C43" s="47"/>
      <c r="D43" s="47"/>
      <c r="E43" s="47"/>
      <c r="F43" s="47"/>
      <c r="G43" s="47"/>
      <c r="H43" s="47"/>
      <c r="I43" s="46"/>
      <c r="K43" s="52"/>
      <c r="L43" s="47"/>
      <c r="M43" s="46"/>
      <c r="O43" s="50"/>
    </row>
    <row r="44" spans="1:15" x14ac:dyDescent="0.25">
      <c r="A44" s="75">
        <f t="shared" si="0"/>
        <v>41</v>
      </c>
      <c r="B44" s="74" t="s">
        <v>25</v>
      </c>
      <c r="C44" s="47"/>
      <c r="D44" s="47"/>
      <c r="E44" s="47"/>
      <c r="F44" s="47"/>
      <c r="G44" s="47"/>
      <c r="H44" s="47"/>
      <c r="I44" s="46"/>
      <c r="K44" s="52"/>
      <c r="L44" s="47"/>
      <c r="M44" s="46"/>
      <c r="O44" s="50"/>
    </row>
    <row r="45" spans="1:15" x14ac:dyDescent="0.25">
      <c r="A45" s="75">
        <f t="shared" si="0"/>
        <v>42</v>
      </c>
      <c r="B45" s="74" t="s">
        <v>68</v>
      </c>
      <c r="C45" s="47"/>
      <c r="D45" s="47"/>
      <c r="E45" s="47"/>
      <c r="F45" s="47"/>
      <c r="G45" s="47"/>
      <c r="H45" s="47"/>
      <c r="I45" s="46"/>
      <c r="K45" s="52"/>
      <c r="L45" s="47"/>
      <c r="M45" s="46"/>
      <c r="O45" s="50"/>
    </row>
    <row r="46" spans="1:15" x14ac:dyDescent="0.25">
      <c r="A46" s="75">
        <f t="shared" si="0"/>
        <v>43</v>
      </c>
      <c r="B46" s="74" t="s">
        <v>73</v>
      </c>
      <c r="C46" s="47"/>
      <c r="D46" s="47"/>
      <c r="E46" s="47"/>
      <c r="F46" s="47"/>
      <c r="G46" s="47"/>
      <c r="H46" s="47"/>
      <c r="I46" s="46"/>
      <c r="K46" s="52"/>
      <c r="L46" s="47"/>
      <c r="M46" s="46"/>
      <c r="O46" s="50"/>
    </row>
    <row r="47" spans="1:15" x14ac:dyDescent="0.25">
      <c r="A47" s="75">
        <f t="shared" si="0"/>
        <v>44</v>
      </c>
      <c r="B47" s="74" t="s">
        <v>74</v>
      </c>
      <c r="C47" s="47"/>
      <c r="D47" s="47"/>
      <c r="E47" s="47"/>
      <c r="F47" s="47"/>
      <c r="G47" s="47"/>
      <c r="H47" s="47"/>
      <c r="I47" s="46"/>
      <c r="K47" s="52"/>
      <c r="L47" s="47"/>
      <c r="M47" s="46"/>
      <c r="O47" s="50"/>
    </row>
    <row r="48" spans="1:15" x14ac:dyDescent="0.25">
      <c r="A48" s="75">
        <f t="shared" si="0"/>
        <v>45</v>
      </c>
      <c r="B48" s="74" t="s">
        <v>26</v>
      </c>
      <c r="C48" s="47"/>
      <c r="D48" s="47"/>
      <c r="E48" s="47"/>
      <c r="F48" s="47"/>
      <c r="G48" s="47"/>
      <c r="H48" s="47"/>
      <c r="I48" s="46"/>
      <c r="K48" s="52"/>
      <c r="L48" s="47"/>
      <c r="M48" s="46"/>
      <c r="O48" s="50"/>
    </row>
    <row r="49" spans="1:15" x14ac:dyDescent="0.25">
      <c r="A49" s="75">
        <f t="shared" si="0"/>
        <v>46</v>
      </c>
      <c r="B49" s="74" t="s">
        <v>69</v>
      </c>
      <c r="C49" s="47"/>
      <c r="D49" s="47"/>
      <c r="E49" s="47"/>
      <c r="F49" s="47"/>
      <c r="G49" s="47"/>
      <c r="H49" s="47"/>
      <c r="I49" s="46"/>
      <c r="K49" s="52"/>
      <c r="L49" s="47"/>
      <c r="M49" s="46"/>
      <c r="O49" s="50"/>
    </row>
    <row r="50" spans="1:15" x14ac:dyDescent="0.25">
      <c r="A50" s="75">
        <f t="shared" si="0"/>
        <v>47</v>
      </c>
      <c r="B50" s="74" t="s">
        <v>28</v>
      </c>
      <c r="C50" s="47"/>
      <c r="D50" s="47"/>
      <c r="E50" s="47"/>
      <c r="F50" s="47"/>
      <c r="G50" s="47"/>
      <c r="H50" s="47"/>
      <c r="I50" s="46"/>
      <c r="K50" s="52"/>
      <c r="L50" s="47"/>
      <c r="M50" s="46"/>
      <c r="O50" s="50"/>
    </row>
    <row r="51" spans="1:15" x14ac:dyDescent="0.25">
      <c r="A51" s="75">
        <f t="shared" si="0"/>
        <v>48</v>
      </c>
      <c r="B51" s="74" t="s">
        <v>70</v>
      </c>
      <c r="C51" s="47"/>
      <c r="D51" s="47"/>
      <c r="E51" s="47"/>
      <c r="F51" s="47"/>
      <c r="G51" s="47"/>
      <c r="H51" s="47"/>
      <c r="I51" s="46"/>
      <c r="K51" s="52"/>
      <c r="L51" s="47"/>
      <c r="M51" s="46"/>
      <c r="O51" s="50"/>
    </row>
    <row r="52" spans="1:15" x14ac:dyDescent="0.25">
      <c r="A52" s="75">
        <f t="shared" si="0"/>
        <v>49</v>
      </c>
      <c r="B52" s="74" t="s">
        <v>29</v>
      </c>
      <c r="C52" s="47"/>
      <c r="D52" s="47"/>
      <c r="E52" s="47"/>
      <c r="F52" s="47"/>
      <c r="G52" s="47"/>
      <c r="H52" s="47"/>
      <c r="I52" s="46"/>
      <c r="K52" s="52"/>
      <c r="L52" s="47"/>
      <c r="M52" s="46"/>
      <c r="O52" s="50"/>
    </row>
    <row r="53" spans="1:15" x14ac:dyDescent="0.25">
      <c r="A53" s="75">
        <f t="shared" si="0"/>
        <v>50</v>
      </c>
      <c r="B53" s="74" t="s">
        <v>30</v>
      </c>
      <c r="C53" s="47"/>
      <c r="D53" s="47"/>
      <c r="E53" s="47"/>
      <c r="F53" s="47"/>
      <c r="G53" s="47"/>
      <c r="H53" s="47"/>
      <c r="I53" s="46"/>
      <c r="K53" s="52"/>
      <c r="L53" s="47"/>
      <c r="M53" s="46"/>
      <c r="O53" s="50"/>
    </row>
    <row r="54" spans="1:15" x14ac:dyDescent="0.25">
      <c r="A54" s="75">
        <f t="shared" si="0"/>
        <v>51</v>
      </c>
      <c r="B54" s="74"/>
      <c r="C54" s="47"/>
      <c r="D54" s="47"/>
      <c r="E54" s="47"/>
      <c r="F54" s="47"/>
      <c r="G54" s="47"/>
      <c r="H54" s="47"/>
      <c r="I54" s="46"/>
      <c r="K54" s="52"/>
      <c r="L54" s="47"/>
      <c r="M54" s="46"/>
      <c r="O54" s="50"/>
    </row>
    <row r="55" spans="1:15" x14ac:dyDescent="0.25">
      <c r="A55" s="75">
        <f t="shared" si="0"/>
        <v>52</v>
      </c>
      <c r="B55" s="74"/>
      <c r="C55" s="47"/>
      <c r="D55" s="47"/>
      <c r="E55" s="47"/>
      <c r="F55" s="47"/>
      <c r="G55" s="47"/>
      <c r="H55" s="47"/>
      <c r="I55" s="46"/>
      <c r="K55" s="52"/>
      <c r="L55" s="47"/>
      <c r="M55" s="46"/>
      <c r="O55" s="50"/>
    </row>
    <row r="56" spans="1:15" x14ac:dyDescent="0.25">
      <c r="A56" s="75">
        <f t="shared" si="0"/>
        <v>53</v>
      </c>
      <c r="B56" s="74"/>
      <c r="C56" s="47"/>
      <c r="D56" s="47"/>
      <c r="E56" s="47"/>
      <c r="F56" s="47"/>
      <c r="G56" s="47"/>
      <c r="H56" s="47"/>
      <c r="I56" s="46"/>
      <c r="K56" s="52"/>
      <c r="L56" s="47"/>
      <c r="M56" s="46"/>
      <c r="O56" s="50"/>
    </row>
    <row r="57" spans="1:15" s="63" customFormat="1" ht="19.5" thickBot="1" x14ac:dyDescent="0.3">
      <c r="B57" s="77" t="s">
        <v>60</v>
      </c>
      <c r="C57" s="49"/>
      <c r="D57" s="49"/>
      <c r="E57" s="49"/>
      <c r="F57" s="49"/>
      <c r="G57" s="49"/>
      <c r="H57" s="49"/>
      <c r="I57" s="54"/>
      <c r="K57" s="53"/>
      <c r="L57" s="49"/>
      <c r="M57" s="54"/>
      <c r="N57" s="57"/>
      <c r="O57" s="51"/>
    </row>
    <row r="58" spans="1:15" ht="7.5" customHeight="1" thickBot="1" x14ac:dyDescent="0.3"/>
    <row r="59" spans="1:15" ht="19.5" thickBot="1" x14ac:dyDescent="0.3">
      <c r="B59" s="78" t="s">
        <v>39</v>
      </c>
      <c r="C59" s="130" t="s">
        <v>49</v>
      </c>
      <c r="D59" s="131"/>
      <c r="E59" s="131"/>
      <c r="F59" s="131"/>
      <c r="G59" s="131"/>
      <c r="H59" s="131"/>
      <c r="I59" s="132"/>
      <c r="O59" s="72" t="s">
        <v>62</v>
      </c>
    </row>
    <row r="60" spans="1:15" x14ac:dyDescent="0.25">
      <c r="B60" s="79" t="s">
        <v>18</v>
      </c>
      <c r="C60" s="67"/>
      <c r="D60" s="67"/>
      <c r="E60" s="67"/>
      <c r="F60" s="67"/>
      <c r="G60" s="67"/>
      <c r="H60" s="67"/>
      <c r="I60" s="68"/>
      <c r="O60" s="55"/>
    </row>
    <row r="61" spans="1:15" x14ac:dyDescent="0.25">
      <c r="B61" s="80" t="s">
        <v>55</v>
      </c>
      <c r="C61" s="48"/>
      <c r="D61" s="48"/>
      <c r="E61" s="48"/>
      <c r="F61" s="48"/>
      <c r="G61" s="48"/>
      <c r="H61" s="48"/>
      <c r="I61" s="69"/>
      <c r="O61" s="50"/>
    </row>
    <row r="62" spans="1:15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1"/>
      <c r="O62" s="56"/>
    </row>
    <row r="63" spans="1:15" ht="7.5" customHeight="1" thickBot="1" x14ac:dyDescent="0.3"/>
    <row r="64" spans="1:15" x14ac:dyDescent="0.25">
      <c r="B64" s="79" t="s">
        <v>56</v>
      </c>
      <c r="C64" s="67"/>
      <c r="D64" s="67"/>
      <c r="E64" s="67"/>
      <c r="F64" s="67"/>
      <c r="G64" s="67"/>
      <c r="H64" s="67"/>
      <c r="I64" s="68"/>
      <c r="O64" s="55"/>
    </row>
    <row r="65" spans="2:15" x14ac:dyDescent="0.25">
      <c r="B65" s="80" t="s">
        <v>55</v>
      </c>
      <c r="C65" s="48"/>
      <c r="D65" s="48"/>
      <c r="E65" s="48"/>
      <c r="F65" s="48"/>
      <c r="G65" s="48"/>
      <c r="H65" s="48"/>
      <c r="I65" s="69"/>
      <c r="O65" s="50"/>
    </row>
    <row r="66" spans="2:15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1"/>
      <c r="O66" s="56"/>
    </row>
    <row r="67" spans="2:15" ht="7.5" customHeight="1" thickBot="1" x14ac:dyDescent="0.3"/>
    <row r="68" spans="2:15" x14ac:dyDescent="0.25">
      <c r="B68" s="79" t="s">
        <v>41</v>
      </c>
      <c r="C68" s="67"/>
      <c r="D68" s="67"/>
      <c r="E68" s="67"/>
      <c r="F68" s="67"/>
      <c r="G68" s="67"/>
      <c r="H68" s="67"/>
      <c r="I68" s="68"/>
      <c r="O68" s="55"/>
    </row>
    <row r="69" spans="2:15" x14ac:dyDescent="0.25">
      <c r="B69" s="80" t="s">
        <v>55</v>
      </c>
      <c r="C69" s="48"/>
      <c r="D69" s="48"/>
      <c r="E69" s="48"/>
      <c r="F69" s="48"/>
      <c r="G69" s="48"/>
      <c r="H69" s="48"/>
      <c r="I69" s="69"/>
      <c r="O69" s="50"/>
    </row>
    <row r="70" spans="2:15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1"/>
      <c r="O70" s="56"/>
    </row>
    <row r="71" spans="2:15" ht="7.5" customHeight="1" thickBot="1" x14ac:dyDescent="0.3"/>
    <row r="72" spans="2:15" x14ac:dyDescent="0.25">
      <c r="B72" s="79" t="s">
        <v>57</v>
      </c>
      <c r="C72" s="67"/>
      <c r="D72" s="67"/>
      <c r="E72" s="67"/>
      <c r="F72" s="67"/>
      <c r="G72" s="67"/>
      <c r="H72" s="67"/>
      <c r="I72" s="68"/>
      <c r="O72" s="55"/>
    </row>
    <row r="73" spans="2:15" x14ac:dyDescent="0.25">
      <c r="B73" s="80" t="s">
        <v>55</v>
      </c>
      <c r="C73" s="48"/>
      <c r="D73" s="48"/>
      <c r="E73" s="48"/>
      <c r="F73" s="48"/>
      <c r="G73" s="48"/>
      <c r="H73" s="48"/>
      <c r="I73" s="69"/>
      <c r="O73" s="50"/>
    </row>
    <row r="74" spans="2:15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1"/>
      <c r="O74" s="56"/>
    </row>
    <row r="75" spans="2:15" ht="7.5" customHeight="1" thickBot="1" x14ac:dyDescent="0.3"/>
    <row r="76" spans="2:15" x14ac:dyDescent="0.25">
      <c r="B76" s="79" t="s">
        <v>58</v>
      </c>
      <c r="C76" s="67"/>
      <c r="D76" s="67"/>
      <c r="E76" s="67"/>
      <c r="F76" s="67"/>
      <c r="G76" s="67"/>
      <c r="H76" s="67"/>
      <c r="I76" s="68"/>
      <c r="O76" s="55"/>
    </row>
    <row r="77" spans="2:15" x14ac:dyDescent="0.25">
      <c r="B77" s="80" t="s">
        <v>55</v>
      </c>
      <c r="C77" s="48"/>
      <c r="D77" s="48"/>
      <c r="E77" s="48"/>
      <c r="F77" s="48"/>
      <c r="G77" s="48"/>
      <c r="H77" s="48"/>
      <c r="I77" s="69"/>
      <c r="O77" s="50"/>
    </row>
    <row r="78" spans="2:15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1"/>
      <c r="O78" s="56"/>
    </row>
    <row r="79" spans="2:15" ht="7.5" customHeight="1" thickBot="1" x14ac:dyDescent="0.3"/>
    <row r="80" spans="2:15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6"/>
      <c r="O80" s="64"/>
    </row>
  </sheetData>
  <mergeCells count="3">
    <mergeCell ref="C4:I4"/>
    <mergeCell ref="C59:I59"/>
    <mergeCell ref="H1:O1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61" orientation="portrait" horizontalDpi="360" verticalDpi="360" r:id="rId1"/>
  <colBreaks count="1" manualBreakCount="1">
    <brk id="18" max="8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DD76-19AA-4478-81E4-7402F406C272}">
  <sheetPr>
    <pageSetUpPr fitToPage="1"/>
  </sheetPr>
  <dimension ref="A1:BB80"/>
  <sheetViews>
    <sheetView tabSelected="1"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33" t="s">
        <v>53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</row>
    <row r="2" spans="1:54" x14ac:dyDescent="0.25">
      <c r="B2" s="76" t="s">
        <v>81</v>
      </c>
    </row>
    <row r="3" spans="1:54" ht="19.5" thickBot="1" x14ac:dyDescent="0.3"/>
    <row r="4" spans="1:54" s="58" customFormat="1" ht="15.75" x14ac:dyDescent="0.25">
      <c r="B4" s="93" t="s">
        <v>63</v>
      </c>
      <c r="C4" s="128" t="s">
        <v>49</v>
      </c>
      <c r="D4" s="128"/>
      <c r="E4" s="128"/>
      <c r="F4" s="128"/>
      <c r="G4" s="128"/>
      <c r="H4" s="128"/>
      <c r="I4" s="128"/>
      <c r="J4" s="134"/>
      <c r="K4" s="129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142" t="s">
        <v>80</v>
      </c>
      <c r="U4" s="140" t="s">
        <v>79</v>
      </c>
      <c r="V4" s="138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35" t="s">
        <v>77</v>
      </c>
      <c r="K5" s="136"/>
      <c r="M5" s="87"/>
      <c r="N5" s="118"/>
      <c r="O5" s="92"/>
      <c r="P5" s="108"/>
      <c r="Q5" s="108"/>
      <c r="R5" s="89"/>
      <c r="S5" s="57"/>
      <c r="T5" s="143"/>
      <c r="U5" s="141"/>
      <c r="V5" s="13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08"/>
      <c r="K6" s="89"/>
      <c r="M6" s="87"/>
      <c r="N6" s="118"/>
      <c r="O6" s="92"/>
      <c r="P6" s="108"/>
      <c r="Q6" s="108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1</v>
      </c>
      <c r="N7" s="119"/>
      <c r="O7" s="48">
        <v>3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840</v>
      </c>
      <c r="V7" s="91">
        <f>U7/24</f>
        <v>35</v>
      </c>
      <c r="W7" s="137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63+32</f>
        <v>95</v>
      </c>
      <c r="D8" s="95"/>
      <c r="E8" s="95"/>
      <c r="F8" s="95"/>
      <c r="G8" s="95"/>
      <c r="H8" s="95"/>
      <c r="I8" s="95"/>
      <c r="J8" s="110"/>
      <c r="K8" s="96"/>
      <c r="L8" s="102"/>
      <c r="M8" s="103">
        <v>2</v>
      </c>
      <c r="N8" s="120"/>
      <c r="O8" s="97"/>
      <c r="P8" s="113"/>
      <c r="Q8" s="113"/>
      <c r="R8" s="98"/>
      <c r="S8" s="102"/>
      <c r="T8" s="146">
        <f t="shared" ref="T8:T38" si="0">H8+I8+J8+K8+N8+P8+R8</f>
        <v>0</v>
      </c>
      <c r="U8" s="144">
        <f>C8*24+M8*24+O8*24+Q8*24+T8</f>
        <v>2328</v>
      </c>
      <c r="V8" s="144">
        <f>U8/24</f>
        <v>97</v>
      </c>
      <c r="W8" s="137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45">
        <f t="shared" ref="U9:U12" si="2">C9*24+M9*24+O9*24+Q9*24+T9</f>
        <v>0</v>
      </c>
      <c r="V9" s="145">
        <f t="shared" ref="V9:V11" si="3">U9/24</f>
        <v>0</v>
      </c>
      <c r="W9" s="137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66</v>
      </c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/>
      <c r="P10" s="111"/>
      <c r="Q10" s="111"/>
      <c r="R10" s="46"/>
      <c r="T10" s="91">
        <f t="shared" si="0"/>
        <v>0</v>
      </c>
      <c r="U10" s="91">
        <f t="shared" si="2"/>
        <v>1584</v>
      </c>
      <c r="V10" s="91">
        <f t="shared" si="3"/>
        <v>66</v>
      </c>
      <c r="W10" s="137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72+1440+25+1440+576</f>
        <v>3553</v>
      </c>
      <c r="D12" s="95"/>
      <c r="E12" s="95"/>
      <c r="F12" s="95"/>
      <c r="G12" s="95"/>
      <c r="H12" s="95"/>
      <c r="I12" s="95"/>
      <c r="J12" s="110"/>
      <c r="K12" s="96"/>
      <c r="L12" s="102"/>
      <c r="M12" s="103"/>
      <c r="N12" s="120"/>
      <c r="O12" s="97">
        <v>12</v>
      </c>
      <c r="P12" s="113">
        <v>15</v>
      </c>
      <c r="Q12" s="113">
        <v>19</v>
      </c>
      <c r="R12" s="98">
        <v>6</v>
      </c>
      <c r="S12" s="102"/>
      <c r="T12" s="91">
        <f t="shared" si="0"/>
        <v>21</v>
      </c>
      <c r="U12" s="144">
        <f>C12*24+M12*24+O12*24+Q12*24+T12</f>
        <v>86037</v>
      </c>
      <c r="V12" s="144">
        <f>U12/24</f>
        <v>3584.875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45">
        <f>C13*24+M13*24+O13*24+Q13*24+T13</f>
        <v>120</v>
      </c>
      <c r="V13" s="14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7" si="4">C14*24+M14*24+O14*24+Q14*24+T14</f>
        <v>0</v>
      </c>
      <c r="V14" s="50">
        <f t="shared" ref="V14:V37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f>2</f>
        <v>2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48</v>
      </c>
      <c r="V24" s="50">
        <f t="shared" si="5"/>
        <v>2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63+25</f>
        <v>88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/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2231</v>
      </c>
      <c r="V26" s="50">
        <f t="shared" si="5"/>
        <v>92.958333333333329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0</v>
      </c>
      <c r="V27" s="50">
        <f t="shared" si="5"/>
        <v>0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56</v>
      </c>
      <c r="D28" s="47"/>
      <c r="E28" s="47"/>
      <c r="F28" s="47"/>
      <c r="G28" s="47"/>
      <c r="H28" s="47"/>
      <c r="I28" s="47"/>
      <c r="J28" s="111"/>
      <c r="K28" s="46"/>
      <c r="L28" s="57"/>
      <c r="M28" s="52"/>
      <c r="N28" s="121"/>
      <c r="O28" s="47">
        <v>2</v>
      </c>
      <c r="P28" s="111"/>
      <c r="Q28" s="111">
        <v>5</v>
      </c>
      <c r="R28" s="46"/>
      <c r="S28" s="57"/>
      <c r="T28" s="91">
        <f t="shared" si="0"/>
        <v>0</v>
      </c>
      <c r="U28" s="50">
        <f t="shared" si="4"/>
        <v>1512</v>
      </c>
      <c r="V28" s="50">
        <f t="shared" si="5"/>
        <v>63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v>62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1</v>
      </c>
      <c r="P30" s="111"/>
      <c r="Q30" s="111">
        <v>1</v>
      </c>
      <c r="R30" s="46"/>
      <c r="T30" s="91">
        <f t="shared" si="0"/>
        <v>0</v>
      </c>
      <c r="U30" s="50">
        <f t="shared" si="4"/>
        <v>1536</v>
      </c>
      <c r="V30" s="50">
        <f t="shared" si="5"/>
        <v>64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72+21+15</f>
        <v>108</v>
      </c>
      <c r="D34" s="47"/>
      <c r="E34" s="47"/>
      <c r="F34" s="47"/>
      <c r="G34" s="47"/>
      <c r="H34" s="47">
        <v>16</v>
      </c>
      <c r="I34" s="47"/>
      <c r="J34" s="111"/>
      <c r="K34" s="46">
        <v>1</v>
      </c>
      <c r="M34" s="52"/>
      <c r="N34" s="121"/>
      <c r="O34" s="47">
        <v>3</v>
      </c>
      <c r="P34" s="111"/>
      <c r="Q34" s="111">
        <v>3</v>
      </c>
      <c r="R34" s="46"/>
      <c r="T34" s="91">
        <f t="shared" si="0"/>
        <v>17</v>
      </c>
      <c r="U34" s="50">
        <f t="shared" si="4"/>
        <v>2753</v>
      </c>
      <c r="V34" s="50">
        <f t="shared" si="5"/>
        <v>114.70833333333333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2376+2160</f>
        <v>4536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/>
      <c r="N37" s="120"/>
      <c r="O37" s="97">
        <v>68</v>
      </c>
      <c r="P37" s="113"/>
      <c r="Q37" s="113">
        <v>56</v>
      </c>
      <c r="R37" s="98"/>
      <c r="S37" s="102"/>
      <c r="T37" s="104">
        <f t="shared" si="0"/>
        <v>8</v>
      </c>
      <c r="U37" s="104">
        <f>C37*6+M37*6+O37*6+Q37*6+T37</f>
        <v>27968</v>
      </c>
      <c r="V37" s="104">
        <f>U37/6</f>
        <v>4661.333333333333</v>
      </c>
      <c r="W37" s="137"/>
    </row>
    <row r="38" spans="1:23" x14ac:dyDescent="0.25">
      <c r="A38" s="75">
        <f t="shared" si="1"/>
        <v>35</v>
      </c>
      <c r="B38" s="73" t="s">
        <v>21</v>
      </c>
      <c r="C38" s="47">
        <f>3+1</f>
        <v>4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96</v>
      </c>
      <c r="V38" s="50">
        <f>U38/24</f>
        <v>4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756+5</f>
        <v>761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>
        <v>1</v>
      </c>
      <c r="P39" s="113"/>
      <c r="Q39" s="113">
        <v>2</v>
      </c>
      <c r="R39" s="98"/>
      <c r="S39" s="102"/>
      <c r="T39" s="104">
        <f t="shared" ref="T39" si="6">H39+I39+J39+K39+N39+P39+R39</f>
        <v>24</v>
      </c>
      <c r="U39" s="104">
        <f>C39*24+M39*24+O39*24+Q39*24+T39</f>
        <v>18360</v>
      </c>
      <c r="V39" s="104">
        <f>U39/24</f>
        <v>765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1632+38</f>
        <v>1670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/>
      <c r="N40" s="122"/>
      <c r="O40" s="100">
        <v>11</v>
      </c>
      <c r="P40" s="112"/>
      <c r="Q40" s="112">
        <v>15</v>
      </c>
      <c r="R40" s="101"/>
      <c r="S40" s="105"/>
      <c r="T40" s="107">
        <f t="shared" ref="T40" si="7">H40+I40+J40+K40+N40+P40+R40</f>
        <v>0</v>
      </c>
      <c r="U40" s="107">
        <f>C40*12+M40*12+O40*12+Q40*12+T40</f>
        <v>20352</v>
      </c>
      <c r="V40" s="107">
        <f>U40/12</f>
        <v>1696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6048+6048+2700+3564+7128</f>
        <v>25488</v>
      </c>
      <c r="D42" s="97"/>
      <c r="E42" s="97"/>
      <c r="F42" s="97"/>
      <c r="G42" s="97"/>
      <c r="H42" s="97">
        <v>2</v>
      </c>
      <c r="I42" s="97">
        <v>6</v>
      </c>
      <c r="J42" s="113">
        <v>48</v>
      </c>
      <c r="K42" s="98">
        <f>454</f>
        <v>454</v>
      </c>
      <c r="L42" s="102"/>
      <c r="M42" s="103"/>
      <c r="N42" s="120"/>
      <c r="O42" s="97">
        <v>285</v>
      </c>
      <c r="P42" s="113"/>
      <c r="Q42" s="113">
        <v>383</v>
      </c>
      <c r="R42" s="98"/>
      <c r="S42" s="102"/>
      <c r="T42" s="104">
        <f t="shared" ref="T42" si="8">H42+I42+J42+K42+N42+P42+R42</f>
        <v>510</v>
      </c>
      <c r="U42" s="104">
        <f>C42*6+M42*6+O42*6+Q42*6+T42</f>
        <v>157446</v>
      </c>
      <c r="V42" s="104">
        <f>U42/6</f>
        <v>26241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" si="9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ref="T45:T48" si="10">H45+I45+J45+K45+N45+P45+R45</f>
        <v>0</v>
      </c>
      <c r="U45" s="50">
        <f t="shared" ref="U45:U47" si="11">C45*24+M45*24+O45*24+Q45*24+T45</f>
        <v>0</v>
      </c>
      <c r="V45" s="50">
        <f t="shared" ref="V45:V53" si="12">U45/24</f>
        <v>0</v>
      </c>
    </row>
    <row r="46" spans="1:23" x14ac:dyDescent="0.25">
      <c r="A46" s="75">
        <f t="shared" si="1"/>
        <v>43</v>
      </c>
      <c r="B46" s="74" t="s">
        <v>73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10"/>
        <v>0</v>
      </c>
      <c r="U46" s="50">
        <f t="shared" si="11"/>
        <v>0</v>
      </c>
      <c r="V46" s="50">
        <f t="shared" si="12"/>
        <v>0</v>
      </c>
    </row>
    <row r="47" spans="1:23" x14ac:dyDescent="0.25">
      <c r="A47" s="75">
        <f t="shared" si="1"/>
        <v>44</v>
      </c>
      <c r="B47" s="74" t="s">
        <v>74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10"/>
        <v>0</v>
      </c>
      <c r="U47" s="50">
        <f t="shared" si="11"/>
        <v>0</v>
      </c>
      <c r="V47" s="50">
        <f t="shared" si="12"/>
        <v>0</v>
      </c>
    </row>
    <row r="48" spans="1:23" x14ac:dyDescent="0.25">
      <c r="A48" s="75">
        <f t="shared" si="1"/>
        <v>45</v>
      </c>
      <c r="B48" s="74" t="s">
        <v>26</v>
      </c>
      <c r="C48" s="47">
        <f>24+44+2268</f>
        <v>2336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v>8</v>
      </c>
      <c r="P48" s="111">
        <v>2</v>
      </c>
      <c r="Q48" s="111">
        <v>10</v>
      </c>
      <c r="R48" s="46"/>
      <c r="T48" s="50">
        <f t="shared" si="10"/>
        <v>11</v>
      </c>
      <c r="U48" s="50">
        <f>C48*6+M48*6+O48*6+Q48*6+T48</f>
        <v>14195</v>
      </c>
      <c r="V48" s="50">
        <f>U48/6</f>
        <v>2365.8333333333335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ref="T49:T50" si="13">H49+I49+J49+K49+N49+P49+R49</f>
        <v>0</v>
      </c>
      <c r="U49" s="50">
        <f t="shared" ref="U49:U50" si="14">C49*24+M49*24+O49*24+Q49*24+T49</f>
        <v>0</v>
      </c>
      <c r="V49" s="50">
        <f t="shared" si="12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13"/>
        <v>0</v>
      </c>
      <c r="U50" s="50">
        <f t="shared" si="14"/>
        <v>0</v>
      </c>
      <c r="V50" s="50">
        <f t="shared" si="12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ref="T51:T52" si="15">H51+I51+J51+K51+N51+P51+R51</f>
        <v>0</v>
      </c>
      <c r="U51" s="50">
        <f t="shared" ref="U51" si="16">C51*24+M51*24+O51*24+Q51*24+T51</f>
        <v>0</v>
      </c>
      <c r="V51" s="50">
        <f t="shared" si="12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15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ref="T53" si="17">H53+I53+J53+K53+N53+P53+R53</f>
        <v>0</v>
      </c>
      <c r="U53" s="50">
        <f t="shared" ref="U53" si="18">C53*24+M53*24+O53*24+Q53*24+T53</f>
        <v>0</v>
      </c>
      <c r="V53" s="50">
        <f t="shared" si="12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38967</v>
      </c>
      <c r="D57" s="49"/>
      <c r="E57" s="49"/>
      <c r="F57" s="49">
        <f t="shared" ref="D57:K57" si="19">SUM(F7:F56)</f>
        <v>0</v>
      </c>
      <c r="G57" s="49">
        <f t="shared" si="19"/>
        <v>0</v>
      </c>
      <c r="H57" s="49">
        <f t="shared" si="19"/>
        <v>93</v>
      </c>
      <c r="I57" s="54">
        <f t="shared" si="19"/>
        <v>8</v>
      </c>
      <c r="J57" s="54">
        <f t="shared" si="19"/>
        <v>52</v>
      </c>
      <c r="K57" s="54">
        <f t="shared" si="19"/>
        <v>486</v>
      </c>
      <c r="M57" s="53">
        <f t="shared" ref="M57:R57" si="20">SUM(M7:M56)</f>
        <v>13</v>
      </c>
      <c r="N57" s="53">
        <f t="shared" si="20"/>
        <v>0</v>
      </c>
      <c r="O57" s="53">
        <f t="shared" si="20"/>
        <v>396</v>
      </c>
      <c r="P57" s="53">
        <f t="shared" si="20"/>
        <v>17</v>
      </c>
      <c r="Q57" s="53">
        <f t="shared" si="20"/>
        <v>498</v>
      </c>
      <c r="R57" s="53">
        <f t="shared" si="20"/>
        <v>6</v>
      </c>
      <c r="S57" s="57"/>
      <c r="T57" s="51">
        <f>SUM(T7:T56)</f>
        <v>662</v>
      </c>
      <c r="U57" s="51">
        <f>SUM(U7:U56)</f>
        <v>339434</v>
      </c>
      <c r="V57" s="51">
        <f>SUM(V7:V56)</f>
        <v>39967.708333333336</v>
      </c>
    </row>
    <row r="58" spans="1:22" ht="7.5" customHeight="1" thickBot="1" x14ac:dyDescent="0.3"/>
    <row r="59" spans="1:22" ht="19.5" thickBot="1" x14ac:dyDescent="0.3">
      <c r="B59" s="78" t="s">
        <v>39</v>
      </c>
      <c r="C59" s="130" t="s">
        <v>49</v>
      </c>
      <c r="D59" s="131"/>
      <c r="E59" s="131"/>
      <c r="F59" s="131"/>
      <c r="G59" s="131"/>
      <c r="H59" s="131"/>
      <c r="I59" s="131"/>
      <c r="J59" s="131"/>
      <c r="K59" s="132"/>
      <c r="U59" s="72" t="s">
        <v>62</v>
      </c>
    </row>
    <row r="60" spans="1:22" x14ac:dyDescent="0.25">
      <c r="B60" s="79" t="s">
        <v>18</v>
      </c>
      <c r="C60" s="67"/>
      <c r="D60" s="67">
        <v>6</v>
      </c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I1:U1"/>
    <mergeCell ref="C4:K4"/>
    <mergeCell ref="C59:K59"/>
    <mergeCell ref="J5:K5"/>
    <mergeCell ref="V4:V5"/>
    <mergeCell ref="U4:U5"/>
    <mergeCell ref="T4:T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COUNT SHEET</vt:lpstr>
      <vt:lpstr>COUNT SHEET SAMPLE</vt:lpstr>
      <vt:lpstr>02-13-2026</vt:lpstr>
      <vt:lpstr>'02-13-2026'!Print_Area</vt:lpstr>
      <vt:lpstr>'COUNT SHEET'!Print_Area</vt:lpstr>
      <vt:lpstr>'COUNT SHEET SAMPLE'!Print_Area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2026-01-07T08:54:10Z</cp:lastPrinted>
  <dcterms:created xsi:type="dcterms:W3CDTF">2024-08-17T00:07:58Z</dcterms:created>
  <dcterms:modified xsi:type="dcterms:W3CDTF">2026-02-13T09:26:54Z</dcterms:modified>
</cp:coreProperties>
</file>