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8447F66-FED0-48FC-A02B-5498488238E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7" i="6" l="1"/>
  <c r="I16" i="6" l="1"/>
  <c r="I15" i="6" l="1"/>
  <c r="I14" i="6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<sst xmlns="http://schemas.openxmlformats.org/spreadsheetml/2006/main" count="260" uniqueCount="82">
  <si>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</si>
  <si>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</si>
  <si>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</si>
  <si>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</si>
  <si>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</si>
  <si>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</si>
  <si>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</si>
  <si>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</si>
  <si>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</si>
  <si>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</si>
  <si>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</si>
  <si>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</si>
  <si>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</si>
  <si>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</si>
  <si>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</si>
  <si>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</si>
  <si>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</si>
  <si>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</si>
  <si>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</si>
  <si>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</si>
  <si>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</si>
  <si>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</si>
  <si>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</si>
  <si>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</si>
  <si>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</si>
  <si>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</si>
  <si>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</si>
  <si>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</si>
  <si>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</si>
  <si>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</si>
  <si>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</si>
  <si>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</si>
  <si>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</si>
  <si>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</si>
  <si>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</si>
  <si>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</si>
  <si>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</si>
  <si>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</si>
  <si>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</si>
  <si>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</si>
  <si>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</si>
  <si>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</si>
  <si>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</si>
  <si>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</si>
  <si>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</si>
  <si>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</si>
  <si>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</si>
  <si>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</si>
  <si>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</si>
  <si>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</si>
  <si>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</si>
  <si>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</si>
  <si>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</si>
  <si>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</si>
  <si>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</si>
  <si>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</si>
  <si>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</si>
  <si>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</si>
  <si>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</si>
  <si>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</si>
  <si>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</si>
  <si>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</si>
  <si>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</si>
  <si>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</si>
  <si>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</si>
  <si>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</si>
  <si>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</si>
  <si>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</si>
  <si>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</si>
  <si>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</si>
  <si>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</si>
  <si>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</si>
  <si>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</si>
  <si>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</si>
  <si>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</si>
  <si>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</si>
  <si>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</si>
  <si>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</si>
  <si>
    <t>02/20/2026</t>
  </si>
  <si>
    <t>02/24/2026</t>
  </si>
  <si>
    <t>02/25/2026</t>
  </si>
  <si>
    <t>02/26/2026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</si>
</sst>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8" sqref="I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518395700</v>
      </c>
      <c r="H13" s="20" t="s">
        <v>74</v>
      </c>
      <c r="I13" s="21">
        <f>1397196-56255.04</f>
        <v>1340940.96</v>
      </c>
      <c r="K13" s="21">
        <f t="shared" si="2"/>
        <v>143672.2457142857</v>
      </c>
      <c r="L13" s="27">
        <f>I13-K13</f>
        <v>1197268.7142857143</v>
      </c>
      <c r="M13" s="33">
        <f>I13/112</f>
        <v>11972.687142857143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518406817</v>
      </c>
      <c r="H14" s="20" t="s">
        <v>74</v>
      </c>
      <c r="I14" s="38">
        <f>1408216-56546.64</f>
        <v>1351669.36</v>
      </c>
      <c r="K14" s="21">
        <f t="shared" si="2"/>
        <v>144821.71714285715</v>
      </c>
      <c r="L14" s="27">
        <f t="shared" si="3"/>
        <v>1206847.642857143</v>
      </c>
      <c r="M14" s="33">
        <f t="shared" si="0"/>
        <v>12068.47642857143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79</v>
      </c>
      <c r="D15" s="20" t="s">
        <v>68</v>
      </c>
      <c r="E15" s="20"/>
      <c r="F15" s="20" t="s">
        <v>70</v>
      </c>
      <c r="G15" s="20">
        <v>518407191</v>
      </c>
      <c r="H15" s="20" t="s">
        <v>74</v>
      </c>
      <c r="I15" s="21">
        <f>1403696-56546.64</f>
        <v>1347149.36</v>
      </c>
      <c r="K15" s="21">
        <f t="shared" si="2"/>
        <v>144337.43142857144</v>
      </c>
      <c r="L15" s="27">
        <f>I15-K15</f>
        <v>1202811.9285714286</v>
      </c>
      <c r="M15" s="33">
        <f>I15/112</f>
        <v>12028.119285714287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v>518411379</v>
      </c>
      <c r="H16" s="20" t="s">
        <v>74</v>
      </c>
      <c r="I16" s="21">
        <f>1358804-53836.69</f>
        <v>1304967.31</v>
      </c>
      <c r="K16" s="21">
        <f t="shared" si="2"/>
        <v>139817.92607142858</v>
      </c>
      <c r="L16" s="27">
        <f t="shared" si="3"/>
        <v>1165149.3839285714</v>
      </c>
      <c r="M16" s="33">
        <f t="shared" si="0"/>
        <v>11651.493839285715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v>518415426</v>
      </c>
      <c r="H17" s="20" t="s">
        <v>74</v>
      </c>
      <c r="I17" s="21">
        <f>1365120-87540.06</f>
        <v>1277579.94</v>
      </c>
      <c r="K17" s="21">
        <f t="shared" si="2"/>
        <v>136883.565</v>
      </c>
      <c r="L17" s="27">
        <f t="shared" si="3"/>
        <v>1140696.375</v>
      </c>
      <c r="M17" s="33">
        <f t="shared" si="0"/>
        <v>11406.963749999999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14649486.399999999</v>
      </c>
      <c r="K32" s="14">
        <f>SUM(K7:K31)</f>
        <v>1569587.8285714285</v>
      </c>
      <c r="L32" s="14">
        <f>SUM(L7:L31)</f>
        <v>13079898.571428573</v>
      </c>
      <c r="M32" s="36">
        <f>SUM(M7:M31)</f>
        <v>130798.98571428574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2026-02-27T02:33:50Z</dcterms:modified>
</cp:coreProperties>
</file>