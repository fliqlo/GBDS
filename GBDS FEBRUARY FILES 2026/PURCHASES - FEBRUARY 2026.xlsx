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90930D43-6377-4DFC-BA04-779F4C77248C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FEBRUARY" sheetId="6" r:id="rId2"/>
  </sheets>
  <definedNames>
    <definedName name="_xlnm.Print_Area" localSheetId="1">'PE, FEBRUARY'!#REF!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0" i="6" l="1"/>
  <c r="I9" i="6" l="1"/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<sst xmlns="http://schemas.openxmlformats.org/spreadsheetml/2006/main" count="253" uniqueCount="77">
  <si>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</si>
  <si>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</si>
  <si>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</si>
  <si>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</si>
  <si>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</si>
  <si>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</si>
  <si>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</si>
  <si>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</si>
  <si>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</si>
  <si>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</si>
  <si>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</si>
  <si>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</si>
  <si>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</si>
  <si>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</si>
  <si>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</si>
  <si>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</si>
  <si>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</si>
  <si>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</si>
  <si>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</si>
  <si>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</si>
  <si>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</si>
  <si>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</si>
  <si>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</si>
  <si>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</si>
  <si>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</si>
  <si>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</si>
  <si>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</si>
  <si>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</si>
  <si>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</si>
  <si>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</si>
  <si>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</si>
  <si>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</si>
  <si>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</si>
  <si>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</si>
  <si>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</si>
  <si>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</si>
  <si>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</si>
  <si>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</si>
  <si>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</si>
  <si>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</si>
  <si>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</si>
  <si>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</si>
  <si>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</si>
  <si>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</si>
  <si>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</si>
  <si>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</si>
  <si>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</si>
  <si>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</si>
  <si>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</si>
  <si>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</si>
  <si>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</si>
  <si>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</si>
  <si>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</si>
  <si>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</si>
  <si>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</si>
  <si>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</si>
  <si>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</si>
  <si>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</si>
  <si>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</si>
  <si>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</si>
  <si>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</si>
  <si>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</si>
  <si>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</si>
  <si>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</si>
  <si>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</si>
  <si>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</si>
  <si>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</si>
  <si>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</si>
  <si>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</si>
  <si>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</si>
  <si>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</si>
  <si>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</si>
  <si>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</si>
  <si>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</si>
  <si>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</si>
  <si>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FEBRUARY 2026</t>
  </si>
  <si>
    <t>02/14/2026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</si>
</sst>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0" sqref="I10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46297</v>
      </c>
      <c r="D7" s="20" t="s">
        <v>68</v>
      </c>
      <c r="E7" s="12"/>
      <c r="F7" s="20" t="s">
        <v>70</v>
      </c>
      <c r="G7" s="20">
        <v>518368174</v>
      </c>
      <c r="H7" s="20" t="s">
        <v>74</v>
      </c>
      <c r="I7" s="21">
        <f>1397196-56255.04</f>
        <v>1340940.96</v>
      </c>
      <c r="K7" s="21">
        <f>M7*12</f>
        <v>143672.2457142857</v>
      </c>
      <c r="L7" s="27">
        <f>I7-K7</f>
        <v>1197268.7142857143</v>
      </c>
      <c r="M7" s="33">
        <f>I7/112</f>
        <v>11972.687142857143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46328</v>
      </c>
      <c r="D8" s="20" t="s">
        <v>68</v>
      </c>
      <c r="E8" s="20"/>
      <c r="F8" s="20" t="s">
        <v>70</v>
      </c>
      <c r="G8" s="20">
        <v>518371863</v>
      </c>
      <c r="H8" s="20" t="s">
        <v>74</v>
      </c>
      <c r="I8" s="21">
        <f>1377504-55029.33</f>
        <v>1322474.67</v>
      </c>
      <c r="K8" s="21">
        <f>M8*12</f>
        <v>141693.71464285714</v>
      </c>
      <c r="L8" s="27">
        <f>I8-K8</f>
        <v>1180780.9553571427</v>
      </c>
      <c r="M8" s="33">
        <f t="shared" ref="M8:M26" si="0">I8/112</f>
        <v>11807.809553571427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76</v>
      </c>
      <c r="D9" s="20" t="s">
        <v>68</v>
      </c>
      <c r="E9" s="20"/>
      <c r="F9" s="20" t="s">
        <v>70</v>
      </c>
      <c r="G9" s="20">
        <v>518378198</v>
      </c>
      <c r="H9" s="20" t="s">
        <v>74</v>
      </c>
      <c r="I9" s="21">
        <f>1397196-56255.04</f>
        <v>1340940.96</v>
      </c>
      <c r="K9" s="21">
        <f t="shared" ref="K9:K26" si="2">M9*12</f>
        <v>143672.2457142857</v>
      </c>
      <c r="L9" s="27">
        <f t="shared" ref="L9:L26" si="3">I9-K9</f>
        <v>1197268.7142857143</v>
      </c>
      <c r="M9" s="33">
        <f t="shared" si="0"/>
        <v>11972.687142857143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76</v>
      </c>
      <c r="D10" s="20" t="s">
        <v>68</v>
      </c>
      <c r="E10" s="20"/>
      <c r="F10" s="20" t="s">
        <v>70</v>
      </c>
      <c r="G10" s="20">
        <v>518378421</v>
      </c>
      <c r="H10" s="20" t="s">
        <v>74</v>
      </c>
      <c r="I10" s="21">
        <f>1397196-56255.04</f>
        <v>1340940.96</v>
      </c>
      <c r="K10" s="21">
        <f t="shared" si="2"/>
        <v>143672.2457142857</v>
      </c>
      <c r="L10" s="27">
        <f t="shared" si="3"/>
        <v>1197268.7142857143</v>
      </c>
      <c r="M10" s="33">
        <f t="shared" si="0"/>
        <v>11972.687142857143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5345297.55</v>
      </c>
      <c r="K32" s="14">
        <f>SUM(K7:K31)</f>
        <v>572710.45178571425</v>
      </c>
      <c r="L32" s="14">
        <f>SUM(L7:L31)</f>
        <v>4772587.0982142864</v>
      </c>
      <c r="M32" s="36">
        <f>SUM(M7:M31)</f>
        <v>47725.870982142864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FEBRUARY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2026-02-16T03:25:47Z</dcterms:modified>
</cp:coreProperties>
</file>