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F33022E4-9F09-49D2-91B4-62F9129AF2CC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FEBRUARY" sheetId="6" r:id="rId2"/>
  </sheets>
  <definedNames>
    <definedName name="_xlnm.Print_Area" localSheetId="1">'PE, FEBRUARY'!#REF!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2" i="6" l="1"/>
  <c r="I21" i="6"/>
  <c r="I20" i="6"/>
  <c r="G20" i="6"/>
  <c r="I19" i="6"/>
  <c r="I18" i="6" l="1"/>
  <c r="I17" i="6" l="1"/>
  <c r="I16" i="6" l="1"/>
  <c r="I15" i="6" l="1"/>
  <c r="I14" i="6"/>
  <c r="I13" i="6" l="1"/>
  <c r="I12" i="6" l="1"/>
  <c r="I11" i="6" l="1"/>
  <c r="I10" i="6" l="1"/>
  <c r="I9" i="6" l="1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<sst xmlns="http://schemas.openxmlformats.org/spreadsheetml/2006/main" count="265" uniqueCount="84">
  <si>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</si>
  <si>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</si>
  <si>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</si>
  <si>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</si>
  <si>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</si>
  <si>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</si>
  <si>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</si>
  <si>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</si>
  <si>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</si>
  <si>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</si>
  <si>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</si>
  <si>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</si>
  <si>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</si>
  <si>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</si>
  <si>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</si>
  <si>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</si>
  <si>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</si>
  <si>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</si>
  <si>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</si>
  <si>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</si>
  <si>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</si>
  <si>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</si>
  <si>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</si>
  <si>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</si>
  <si>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</si>
  <si>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</si>
  <si>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</si>
  <si>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</si>
  <si>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</si>
  <si>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</si>
  <si>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</si>
  <si>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</si>
  <si>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</si>
  <si>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</si>
  <si>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</si>
  <si>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</si>
  <si>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</si>
  <si>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</si>
  <si>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</si>
  <si>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</si>
  <si>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</si>
  <si>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</si>
  <si>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</si>
  <si>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</si>
  <si>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</si>
  <si>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</si>
  <si>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</si>
  <si>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</si>
  <si>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</si>
  <si>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</si>
  <si>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</si>
  <si>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</si>
  <si>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</si>
  <si>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</si>
  <si>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</si>
  <si>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</si>
  <si>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</si>
  <si>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</si>
  <si>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</si>
  <si>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</si>
  <si>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</si>
  <si>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</si>
  <si>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</si>
  <si>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</si>
  <si>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</si>
  <si>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</si>
  <si>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</si>
  <si>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</si>
  <si>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</si>
  <si>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</si>
  <si>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</si>
  <si>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</si>
  <si>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</si>
  <si>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</si>
  <si>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</si>
  <si>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FEBRUARY 2026</t>
  </si>
  <si>
    <t>02/14/2026</t>
  </si>
  <si>
    <t>02/16/2026</t>
  </si>
  <si>
    <t>02/20/2026</t>
  </si>
  <si>
    <t>02/24/2026</t>
  </si>
  <si>
    <t>02/25/2026</t>
  </si>
  <si>
    <t>02/26/2026</t>
  </si>
  <si>
    <t>02/27/2026</t>
  </si>
  <si>
    <t>02/28/2026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</si>
</sst>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23" sqref="I2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46297</v>
      </c>
      <c r="D7" s="20" t="s">
        <v>68</v>
      </c>
      <c r="E7" s="12"/>
      <c r="F7" s="20" t="s">
        <v>70</v>
      </c>
      <c r="G7" s="20">
        <v>518368174</v>
      </c>
      <c r="H7" s="20" t="s">
        <v>74</v>
      </c>
      <c r="I7" s="21">
        <f>1397196-56255.04</f>
        <v>1340940.96</v>
      </c>
      <c r="K7" s="21">
        <f>M7*12</f>
        <v>143672.2457142857</v>
      </c>
      <c r="L7" s="27">
        <f>I7-K7</f>
        <v>1197268.7142857143</v>
      </c>
      <c r="M7" s="33">
        <f>I7/112</f>
        <v>11972.687142857143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46328</v>
      </c>
      <c r="D8" s="20" t="s">
        <v>68</v>
      </c>
      <c r="E8" s="20"/>
      <c r="F8" s="20" t="s">
        <v>70</v>
      </c>
      <c r="G8" s="20">
        <v>518371863</v>
      </c>
      <c r="H8" s="20" t="s">
        <v>74</v>
      </c>
      <c r="I8" s="21">
        <f>1377504-55029.33</f>
        <v>1322474.67</v>
      </c>
      <c r="K8" s="21">
        <f>M8*12</f>
        <v>141693.71464285714</v>
      </c>
      <c r="L8" s="27">
        <f>I8-K8</f>
        <v>1180780.9553571427</v>
      </c>
      <c r="M8" s="33">
        <f t="shared" ref="M8:M26" si="0">I8/112</f>
        <v>11807.809553571427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76</v>
      </c>
      <c r="D9" s="20" t="s">
        <v>68</v>
      </c>
      <c r="E9" s="20"/>
      <c r="F9" s="20" t="s">
        <v>70</v>
      </c>
      <c r="G9" s="20">
        <v>518378198</v>
      </c>
      <c r="H9" s="20" t="s">
        <v>74</v>
      </c>
      <c r="I9" s="21">
        <f>1397196-56255.04</f>
        <v>1340940.96</v>
      </c>
      <c r="K9" s="21">
        <f t="shared" ref="K9:K26" si="2">M9*12</f>
        <v>143672.2457142857</v>
      </c>
      <c r="L9" s="27">
        <f t="shared" ref="L9:L26" si="3">I9-K9</f>
        <v>1197268.7142857143</v>
      </c>
      <c r="M9" s="33">
        <f t="shared" si="0"/>
        <v>11972.687142857143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518378421</v>
      </c>
      <c r="H10" s="20" t="s">
        <v>74</v>
      </c>
      <c r="I10" s="21">
        <f>1397196-56255.04</f>
        <v>1340940.96</v>
      </c>
      <c r="K10" s="21">
        <f t="shared" si="2"/>
        <v>143672.2457142857</v>
      </c>
      <c r="L10" s="27">
        <f t="shared" si="3"/>
        <v>1197268.7142857143</v>
      </c>
      <c r="M10" s="33">
        <f t="shared" si="0"/>
        <v>11972.687142857143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518380796</v>
      </c>
      <c r="H11" s="20" t="s">
        <v>74</v>
      </c>
      <c r="I11" s="21">
        <f>1397196-56255.04</f>
        <v>1340940.96</v>
      </c>
      <c r="K11" s="21">
        <f t="shared" si="2"/>
        <v>143672.2457142857</v>
      </c>
      <c r="L11" s="27">
        <f t="shared" si="3"/>
        <v>1197268.7142857143</v>
      </c>
      <c r="M11" s="33">
        <f t="shared" si="0"/>
        <v>11972.687142857143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77</v>
      </c>
      <c r="D12" s="20" t="s">
        <v>68</v>
      </c>
      <c r="E12" s="20"/>
      <c r="F12" s="20" t="s">
        <v>70</v>
      </c>
      <c r="G12" s="20">
        <v>518380603</v>
      </c>
      <c r="H12" s="20" t="s">
        <v>74</v>
      </c>
      <c r="I12" s="21">
        <f>1397196-56255.04</f>
        <v>1340940.96</v>
      </c>
      <c r="K12" s="21">
        <f t="shared" si="2"/>
        <v>143672.2457142857</v>
      </c>
      <c r="L12" s="27">
        <f t="shared" si="3"/>
        <v>1197268.7142857143</v>
      </c>
      <c r="M12" s="33">
        <f t="shared" si="0"/>
        <v>11972.687142857143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78</v>
      </c>
      <c r="D13" s="20" t="s">
        <v>68</v>
      </c>
      <c r="E13" s="20"/>
      <c r="F13" s="20" t="s">
        <v>70</v>
      </c>
      <c r="G13" s="20">
        <v>518395700</v>
      </c>
      <c r="H13" s="20" t="s">
        <v>74</v>
      </c>
      <c r="I13" s="21">
        <f>1397196-56255.04</f>
        <v>1340940.96</v>
      </c>
      <c r="K13" s="21">
        <f t="shared" si="2"/>
        <v>143672.2457142857</v>
      </c>
      <c r="L13" s="27">
        <f>I13-K13</f>
        <v>1197268.7142857143</v>
      </c>
      <c r="M13" s="33">
        <f>I13/112</f>
        <v>11972.687142857143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79</v>
      </c>
      <c r="D14" s="20" t="s">
        <v>68</v>
      </c>
      <c r="E14" s="20"/>
      <c r="F14" s="20" t="s">
        <v>70</v>
      </c>
      <c r="G14" s="20">
        <v>518406817</v>
      </c>
      <c r="H14" s="20" t="s">
        <v>74</v>
      </c>
      <c r="I14" s="38">
        <f>1408216-56546.64</f>
        <v>1351669.36</v>
      </c>
      <c r="K14" s="21">
        <f t="shared" si="2"/>
        <v>144821.71714285715</v>
      </c>
      <c r="L14" s="27">
        <f t="shared" si="3"/>
        <v>1206847.642857143</v>
      </c>
      <c r="M14" s="33">
        <f t="shared" si="0"/>
        <v>12068.47642857143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79</v>
      </c>
      <c r="D15" s="20" t="s">
        <v>68</v>
      </c>
      <c r="E15" s="20"/>
      <c r="F15" s="20" t="s">
        <v>70</v>
      </c>
      <c r="G15" s="20">
        <v>518407191</v>
      </c>
      <c r="H15" s="20" t="s">
        <v>74</v>
      </c>
      <c r="I15" s="21">
        <f>1403696-56546.64</f>
        <v>1347149.36</v>
      </c>
      <c r="K15" s="21">
        <f t="shared" si="2"/>
        <v>144337.43142857144</v>
      </c>
      <c r="L15" s="27">
        <f>I15-K15</f>
        <v>1202811.9285714286</v>
      </c>
      <c r="M15" s="33">
        <f>I15/112</f>
        <v>12028.119285714287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80</v>
      </c>
      <c r="D16" s="20" t="s">
        <v>68</v>
      </c>
      <c r="E16" s="20"/>
      <c r="F16" s="20" t="s">
        <v>70</v>
      </c>
      <c r="G16" s="20">
        <v>518411379</v>
      </c>
      <c r="H16" s="20" t="s">
        <v>74</v>
      </c>
      <c r="I16" s="21">
        <f>1358804-53836.69</f>
        <v>1304967.31</v>
      </c>
      <c r="K16" s="21">
        <f t="shared" si="2"/>
        <v>139817.92607142858</v>
      </c>
      <c r="L16" s="27">
        <f t="shared" si="3"/>
        <v>1165149.3839285714</v>
      </c>
      <c r="M16" s="33">
        <f t="shared" si="0"/>
        <v>11651.493839285715</v>
      </c>
    </row>
    <row r="17" spans="1:13" x14ac:dyDescent="0.25">
      <c r="A17">
        <f t="shared" si="1"/>
        <v>11</v>
      </c>
      <c r="B17" s="23">
        <f t="shared" si="1"/>
        <v>11</v>
      </c>
      <c r="C17" s="19" t="s">
        <v>81</v>
      </c>
      <c r="D17" s="20" t="s">
        <v>68</v>
      </c>
      <c r="E17" s="20"/>
      <c r="F17" s="20" t="s">
        <v>70</v>
      </c>
      <c r="G17" s="20">
        <v>518415426</v>
      </c>
      <c r="H17" s="20" t="s">
        <v>74</v>
      </c>
      <c r="I17" s="21">
        <f>1365120-87540.06</f>
        <v>1277579.94</v>
      </c>
      <c r="K17" s="21">
        <f t="shared" si="2"/>
        <v>136883.565</v>
      </c>
      <c r="L17" s="27">
        <f t="shared" si="3"/>
        <v>1140696.375</v>
      </c>
      <c r="M17" s="33">
        <f t="shared" si="0"/>
        <v>11406.963749999999</v>
      </c>
    </row>
    <row r="18" spans="1:13" x14ac:dyDescent="0.25">
      <c r="A18">
        <f t="shared" si="1"/>
        <v>12</v>
      </c>
      <c r="B18" s="23">
        <f t="shared" si="1"/>
        <v>12</v>
      </c>
      <c r="C18" s="19" t="s">
        <v>82</v>
      </c>
      <c r="D18" s="20" t="s">
        <v>68</v>
      </c>
      <c r="E18" s="20"/>
      <c r="F18" s="20" t="s">
        <v>70</v>
      </c>
      <c r="G18" s="20">
        <v>518420061</v>
      </c>
      <c r="H18" s="20" t="s">
        <v>74</v>
      </c>
      <c r="I18" s="21">
        <f>1300442-53176.24</f>
        <v>1247265.76</v>
      </c>
      <c r="K18" s="21">
        <f t="shared" si="2"/>
        <v>133635.61714285714</v>
      </c>
      <c r="L18" s="27">
        <f t="shared" si="3"/>
        <v>1113630.142857143</v>
      </c>
      <c r="M18" s="33">
        <f t="shared" si="0"/>
        <v>11136.301428571429</v>
      </c>
    </row>
    <row r="19" spans="1:13" x14ac:dyDescent="0.25">
      <c r="A19">
        <f t="shared" si="1"/>
        <v>13</v>
      </c>
      <c r="B19" s="23">
        <f t="shared" si="1"/>
        <v>13</v>
      </c>
      <c r="C19" s="19" t="s">
        <v>83</v>
      </c>
      <c r="D19" s="20" t="s">
        <v>68</v>
      </c>
      <c r="E19" s="20"/>
      <c r="F19" s="20" t="s">
        <v>70</v>
      </c>
      <c r="G19" s="20">
        <v>518425142</v>
      </c>
      <c r="H19" s="20" t="s">
        <v>74</v>
      </c>
      <c r="I19" s="21">
        <f>259108-22772.64</f>
        <v>236335.35999999999</v>
      </c>
      <c r="K19" s="21">
        <f t="shared" si="2"/>
        <v>25321.645714285714</v>
      </c>
      <c r="L19" s="27">
        <f t="shared" si="3"/>
        <v>211013.71428571426</v>
      </c>
      <c r="M19" s="33">
        <f t="shared" si="0"/>
        <v>2110.1371428571429</v>
      </c>
    </row>
    <row r="20" spans="1:13" x14ac:dyDescent="0.25">
      <c r="A20">
        <f t="shared" si="1"/>
        <v>14</v>
      </c>
      <c r="B20" s="23">
        <f t="shared" si="1"/>
        <v>14</v>
      </c>
      <c r="C20" s="19" t="s">
        <v>83</v>
      </c>
      <c r="D20" s="20" t="s">
        <v>68</v>
      </c>
      <c r="E20" s="20"/>
      <c r="F20" s="20" t="s">
        <v>70</v>
      </c>
      <c r="G20" s="20">
        <f>518425044</f>
        <v>518425044</v>
      </c>
      <c r="H20" s="20" t="s">
        <v>74</v>
      </c>
      <c r="I20" s="21">
        <f>1397196-56255.04</f>
        <v>1340940.96</v>
      </c>
      <c r="K20" s="21">
        <f t="shared" si="2"/>
        <v>143672.2457142857</v>
      </c>
      <c r="L20" s="27">
        <f t="shared" si="3"/>
        <v>1197268.7142857143</v>
      </c>
      <c r="M20" s="33">
        <f t="shared" si="0"/>
        <v>11972.687142857143</v>
      </c>
    </row>
    <row r="21" spans="1:13" x14ac:dyDescent="0.25">
      <c r="A21">
        <f t="shared" si="1"/>
        <v>15</v>
      </c>
      <c r="B21" s="23">
        <f t="shared" si="1"/>
        <v>15</v>
      </c>
      <c r="C21" s="19" t="s">
        <v>83</v>
      </c>
      <c r="D21" s="20" t="s">
        <v>68</v>
      </c>
      <c r="E21" s="20"/>
      <c r="F21" s="20" t="s">
        <v>70</v>
      </c>
      <c r="G21" s="20">
        <v>518425107</v>
      </c>
      <c r="H21" s="20" t="s">
        <v>74</v>
      </c>
      <c r="I21" s="21">
        <f>244922-8385.01</f>
        <v>236536.99</v>
      </c>
      <c r="K21" s="21">
        <f t="shared" si="2"/>
        <v>25343.248928571429</v>
      </c>
      <c r="L21" s="27">
        <f t="shared" si="3"/>
        <v>211193.74107142855</v>
      </c>
      <c r="M21" s="33">
        <f t="shared" si="0"/>
        <v>2111.9374107142858</v>
      </c>
    </row>
    <row r="22" spans="1:13" x14ac:dyDescent="0.25">
      <c r="A22">
        <f t="shared" si="1"/>
        <v>16</v>
      </c>
      <c r="B22" s="23">
        <f t="shared" si="1"/>
        <v>16</v>
      </c>
      <c r="C22" s="19" t="s">
        <v>83</v>
      </c>
      <c r="D22" s="20" t="s">
        <v>68</v>
      </c>
      <c r="E22" s="20"/>
      <c r="F22" s="20" t="s">
        <v>70</v>
      </c>
      <c r="G22" s="20">
        <v>518425261</v>
      </c>
      <c r="H22" s="20" t="s">
        <v>74</v>
      </c>
      <c r="I22" s="21">
        <f>1397196-56255.04</f>
        <v>1340940.96</v>
      </c>
      <c r="K22" s="21">
        <f t="shared" si="2"/>
        <v>143672.2457142857</v>
      </c>
      <c r="L22" s="27">
        <f t="shared" si="3"/>
        <v>1197268.7142857143</v>
      </c>
      <c r="M22" s="33">
        <f t="shared" si="0"/>
        <v>11972.687142857143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19051506.429999996</v>
      </c>
      <c r="K32" s="14">
        <f>SUM(K7:K31)</f>
        <v>2041232.831785714</v>
      </c>
      <c r="L32" s="14">
        <f>SUM(L7:L31)</f>
        <v>17010273.598214287</v>
      </c>
      <c r="M32" s="36">
        <f>SUM(M7:M31)</f>
        <v>170102.73598214285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FEBRUARY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2026-03-02T08:26:21Z</dcterms:modified>
</cp:coreProperties>
</file>