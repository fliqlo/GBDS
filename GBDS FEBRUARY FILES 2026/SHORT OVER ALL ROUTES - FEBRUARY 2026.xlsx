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C85AAB07-1ABE-4BB7-BAAA-92AB675BB476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33" authorId="0" shapeId="0" xr:uid="{0A564BDE-5738-437C-8B2A-D9F53A458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 GRACE B. GICA</t>
        </r>
      </text>
    </comment>
  </commentList>
</comments>
</file>

<file path=xl/sharedStrings.xml><?xml version="1.0" encoding="utf-8"?>
<sst xmlns="http://schemas.openxmlformats.org/spreadsheetml/2006/main" count="71" uniqueCount="18">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</sst>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14" fillId="0" borderId="4" xfId="1" applyFont="1" applyBorder="1" applyAlignment="1">
      <alignment horizontal="center"/>
    </xf>
    <xf numFmtId="164" fontId="14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opLeftCell="A4" zoomScaleNormal="100" zoomScaleSheetLayoutView="100" workbookViewId="0">
      <selection activeCell="C32" sqref="C32:F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29" t="s">
        <v>1</v>
      </c>
      <c r="C10" s="38" t="s">
        <v>1</v>
      </c>
      <c r="D10" s="39"/>
      <c r="E10" s="39"/>
      <c r="F10" s="40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0">
        <v>46055</v>
      </c>
      <c r="C11" s="12">
        <v>314042</v>
      </c>
      <c r="D11" s="35">
        <v>170</v>
      </c>
      <c r="E11" s="34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0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>
        <v>46057</v>
      </c>
      <c r="C13" s="36">
        <v>198091</v>
      </c>
      <c r="D13" s="35">
        <v>19.25</v>
      </c>
      <c r="E13" s="35"/>
      <c r="F13" s="35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>
        <v>46058</v>
      </c>
      <c r="C14" s="12">
        <v>194843</v>
      </c>
      <c r="D14" s="13">
        <v>320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0">
        <v>46059</v>
      </c>
      <c r="C15" s="12">
        <v>175949</v>
      </c>
      <c r="D15" s="15">
        <v>115.5</v>
      </c>
      <c r="E15" s="12"/>
      <c r="F15" s="33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>
        <v>46060</v>
      </c>
      <c r="C16" s="36">
        <v>173376</v>
      </c>
      <c r="D16" s="35">
        <v>25.75</v>
      </c>
      <c r="E16" s="35"/>
      <c r="F16" s="35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29" t="s">
        <v>1</v>
      </c>
      <c r="C17" s="38" t="s">
        <v>1</v>
      </c>
      <c r="D17" s="39"/>
      <c r="E17" s="39"/>
      <c r="F17" s="40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0">
        <v>46062</v>
      </c>
      <c r="C18" s="12">
        <v>305952</v>
      </c>
      <c r="D18" s="15"/>
      <c r="E18" s="12">
        <v>6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0">
        <v>46063</v>
      </c>
      <c r="C19" s="12">
        <v>197103</v>
      </c>
      <c r="D19" s="35">
        <v>123.72</v>
      </c>
      <c r="E19" s="37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>
        <v>46064</v>
      </c>
      <c r="C20" s="36">
        <v>809196</v>
      </c>
      <c r="D20" s="35">
        <v>226</v>
      </c>
      <c r="E20" s="35"/>
      <c r="F20" s="35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>
        <v>46065</v>
      </c>
      <c r="C21" s="12">
        <v>280577</v>
      </c>
      <c r="D21" s="13">
        <v>76.5</v>
      </c>
      <c r="E21" s="12"/>
      <c r="F21" s="34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0">
        <v>46066</v>
      </c>
      <c r="C22" s="38" t="s">
        <v>16</v>
      </c>
      <c r="D22" s="39"/>
      <c r="E22" s="39"/>
      <c r="F22" s="40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>
        <v>46067</v>
      </c>
      <c r="C23" s="36">
        <v>354408.67</v>
      </c>
      <c r="D23" s="35">
        <v>27.67</v>
      </c>
      <c r="E23" s="35"/>
      <c r="F23" s="35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29" t="s">
        <v>1</v>
      </c>
      <c r="C24" s="38" t="s">
        <v>1</v>
      </c>
      <c r="D24" s="39"/>
      <c r="E24" s="39"/>
      <c r="F24" s="40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0">
        <v>46069</v>
      </c>
      <c r="C25" s="12">
        <v>324575</v>
      </c>
      <c r="D25" s="15"/>
      <c r="E25" s="12">
        <v>656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0">
        <v>46070</v>
      </c>
      <c r="C26" s="12">
        <v>256495</v>
      </c>
      <c r="D26" s="35"/>
      <c r="E26" s="36">
        <v>25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>
        <v>46071</v>
      </c>
      <c r="C27" s="38" t="s">
        <v>16</v>
      </c>
      <c r="D27" s="39"/>
      <c r="E27" s="39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>
        <v>46072</v>
      </c>
      <c r="C28" s="12">
        <v>300926</v>
      </c>
      <c r="D28" s="13">
        <v>1086.25</v>
      </c>
      <c r="E28" s="12"/>
      <c r="F28" s="34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0">
        <v>46073</v>
      </c>
      <c r="C29" s="12">
        <v>341516</v>
      </c>
      <c r="D29" s="15">
        <v>604.75</v>
      </c>
      <c r="E29" s="12"/>
      <c r="F29" s="33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>
        <v>46074</v>
      </c>
      <c r="C30" s="36">
        <v>329826</v>
      </c>
      <c r="D30" s="35"/>
      <c r="E30" s="36">
        <v>229.25</v>
      </c>
      <c r="F30" s="35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29" t="s">
        <v>1</v>
      </c>
      <c r="C31" s="38" t="s">
        <v>1</v>
      </c>
      <c r="D31" s="39"/>
      <c r="E31" s="39"/>
      <c r="F31" s="40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0">
        <v>46076</v>
      </c>
      <c r="C32" s="38" t="s">
        <v>16</v>
      </c>
      <c r="D32" s="39"/>
      <c r="E32" s="39"/>
      <c r="F32" s="40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0">
        <v>46077</v>
      </c>
      <c r="C33" s="12">
        <v>283160</v>
      </c>
      <c r="D33" s="35">
        <v>475</v>
      </c>
      <c r="E33" s="34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>
        <v>46078</v>
      </c>
      <c r="C34" s="36">
        <v>400621</v>
      </c>
      <c r="D34" s="35">
        <v>433.5</v>
      </c>
      <c r="E34" s="35"/>
      <c r="F34" s="35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>
        <v>46079</v>
      </c>
      <c r="C35" s="12">
        <v>251863</v>
      </c>
      <c r="D35" s="13"/>
      <c r="E35" s="12">
        <v>61</v>
      </c>
      <c r="F35" s="34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0">
        <v>46080</v>
      </c>
      <c r="C36" s="12">
        <v>320471</v>
      </c>
      <c r="D36" s="13">
        <v>193</v>
      </c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>
        <v>46081</v>
      </c>
      <c r="C37" s="12">
        <v>529984</v>
      </c>
      <c r="D37" s="15">
        <v>85.5</v>
      </c>
      <c r="E37" s="12"/>
      <c r="F37" s="33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29" t="s">
        <v>1</v>
      </c>
      <c r="C38" s="38" t="s">
        <v>1</v>
      </c>
      <c r="D38" s="39"/>
      <c r="E38" s="39"/>
      <c r="F38" s="40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0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0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29"/>
      <c r="C41" s="12"/>
      <c r="D41" s="35"/>
      <c r="E41" s="35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0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8" t="s">
        <v>2</v>
      </c>
      <c r="B43" s="30"/>
      <c r="C43" s="18">
        <f>SUM(C10:C42)</f>
        <v>6606789.6699999999</v>
      </c>
      <c r="D43" s="31">
        <f>SUM(D10:D42)</f>
        <v>4203.6400000000003</v>
      </c>
      <c r="E43" s="18">
        <f>SUM(E10:E42)</f>
        <v>977.25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2"/>
      <c r="C44" s="23"/>
      <c r="D44" s="27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F38"/>
    <mergeCell ref="C10:F10"/>
    <mergeCell ref="C17:F17"/>
    <mergeCell ref="C24:F24"/>
    <mergeCell ref="C31:F31"/>
    <mergeCell ref="C22:F22"/>
    <mergeCell ref="C27:F27"/>
    <mergeCell ref="C32:F32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opLeftCell="A4" zoomScaleNormal="100" zoomScaleSheetLayoutView="100" workbookViewId="0">
      <selection activeCell="C39" sqref="C3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29" t="s">
        <v>1</v>
      </c>
      <c r="C10" s="38" t="s">
        <v>1</v>
      </c>
      <c r="D10" s="39"/>
      <c r="E10" s="39"/>
      <c r="F10" s="40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0">
        <v>46055</v>
      </c>
      <c r="C11" s="12">
        <v>403660</v>
      </c>
      <c r="D11" s="35"/>
      <c r="E11" s="37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0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>
        <v>46057</v>
      </c>
      <c r="C13" s="36">
        <v>176482</v>
      </c>
      <c r="D13" s="35"/>
      <c r="E13" s="36">
        <v>215.25</v>
      </c>
      <c r="F13" s="35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>
        <v>46058</v>
      </c>
      <c r="C14" s="12">
        <v>187600</v>
      </c>
      <c r="D14" s="13"/>
      <c r="E14" s="12">
        <v>311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0">
        <v>46059</v>
      </c>
      <c r="C15" s="12">
        <v>191902</v>
      </c>
      <c r="D15" s="15"/>
      <c r="E15" s="12">
        <v>0.75</v>
      </c>
      <c r="F15" s="33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>
        <v>46060</v>
      </c>
      <c r="C16" s="36">
        <v>267745</v>
      </c>
      <c r="D16" s="35">
        <v>31.5</v>
      </c>
      <c r="E16" s="35"/>
      <c r="F16" s="35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29" t="s">
        <v>1</v>
      </c>
      <c r="C17" s="38" t="s">
        <v>1</v>
      </c>
      <c r="D17" s="39"/>
      <c r="E17" s="39"/>
      <c r="F17" s="40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0">
        <v>46062</v>
      </c>
      <c r="C18" s="12">
        <v>336387</v>
      </c>
      <c r="D18" s="15"/>
      <c r="E18" s="12">
        <v>383.5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0">
        <v>46063</v>
      </c>
      <c r="C19" s="12">
        <v>205618</v>
      </c>
      <c r="D19" s="35">
        <v>564.75</v>
      </c>
      <c r="E19" s="37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>
        <v>46064</v>
      </c>
      <c r="C20" s="36">
        <v>170729</v>
      </c>
      <c r="D20" s="35">
        <v>50.5</v>
      </c>
      <c r="E20" s="35"/>
      <c r="F20" s="35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>
        <v>46065</v>
      </c>
      <c r="C21" s="12">
        <v>233825</v>
      </c>
      <c r="D21" s="13">
        <v>370</v>
      </c>
      <c r="E21" s="12"/>
      <c r="F21" s="34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0">
        <v>46066</v>
      </c>
      <c r="C22" s="12">
        <v>163881</v>
      </c>
      <c r="D22" s="41" t="s">
        <v>17</v>
      </c>
      <c r="E22" s="42"/>
      <c r="F22" s="3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>
        <v>46067</v>
      </c>
      <c r="C23" s="36">
        <v>242774</v>
      </c>
      <c r="D23" s="35"/>
      <c r="E23" s="36">
        <v>144.25</v>
      </c>
      <c r="F23" s="35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29" t="s">
        <v>1</v>
      </c>
      <c r="C24" s="38" t="s">
        <v>1</v>
      </c>
      <c r="D24" s="39"/>
      <c r="E24" s="39"/>
      <c r="F24" s="40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0">
        <v>46069</v>
      </c>
      <c r="C25" s="12">
        <v>341726</v>
      </c>
      <c r="D25" s="15">
        <v>417.5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0">
        <v>46070</v>
      </c>
      <c r="C26" s="12">
        <v>245825</v>
      </c>
      <c r="D26" s="35">
        <v>921.5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>
        <v>46071</v>
      </c>
      <c r="C27" s="36">
        <v>245809</v>
      </c>
      <c r="D27" s="35"/>
      <c r="E27" s="36">
        <v>121.25</v>
      </c>
      <c r="F27" s="35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>
        <v>46072</v>
      </c>
      <c r="C28" s="12">
        <v>243579.67</v>
      </c>
      <c r="D28" s="13"/>
      <c r="E28" s="12">
        <v>216.08</v>
      </c>
      <c r="F28" s="34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0">
        <v>46073</v>
      </c>
      <c r="C29" s="12">
        <v>148182</v>
      </c>
      <c r="D29" s="15"/>
      <c r="E29" s="12">
        <v>22.25</v>
      </c>
      <c r="F29" s="33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>
        <v>46074</v>
      </c>
      <c r="C30" s="36">
        <v>274902</v>
      </c>
      <c r="D30" s="35"/>
      <c r="E30" s="36">
        <v>91.5</v>
      </c>
      <c r="F30" s="35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29" t="s">
        <v>1</v>
      </c>
      <c r="C31" s="38" t="s">
        <v>1</v>
      </c>
      <c r="D31" s="39"/>
      <c r="E31" s="39"/>
      <c r="F31" s="40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0">
        <v>46076</v>
      </c>
      <c r="C32" s="38" t="s">
        <v>16</v>
      </c>
      <c r="D32" s="39"/>
      <c r="E32" s="39"/>
      <c r="F32" s="40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0">
        <v>46077</v>
      </c>
      <c r="C33" s="12">
        <v>455067</v>
      </c>
      <c r="D33" s="35">
        <v>13525.5</v>
      </c>
      <c r="E33" s="34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>
        <v>46078</v>
      </c>
      <c r="C34" s="36">
        <v>211051</v>
      </c>
      <c r="D34" s="35"/>
      <c r="E34" s="36">
        <v>691</v>
      </c>
      <c r="F34" s="35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>
        <v>46079</v>
      </c>
      <c r="C35" s="12">
        <v>239830</v>
      </c>
      <c r="D35" s="13">
        <v>210.75</v>
      </c>
      <c r="E35" s="12"/>
      <c r="F35" s="34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0">
        <v>46080</v>
      </c>
      <c r="C36" s="12">
        <v>217575</v>
      </c>
      <c r="D36" s="13">
        <v>201.5</v>
      </c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>
        <v>46081</v>
      </c>
      <c r="C37" s="38" t="s">
        <v>16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29" t="s">
        <v>1</v>
      </c>
      <c r="C38" s="38" t="s">
        <v>1</v>
      </c>
      <c r="D38" s="39"/>
      <c r="E38" s="39"/>
      <c r="F38" s="40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0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0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29"/>
      <c r="C41" s="12"/>
      <c r="D41" s="35"/>
      <c r="E41" s="35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0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8" t="s">
        <v>2</v>
      </c>
      <c r="B43" s="30"/>
      <c r="C43" s="18">
        <f>SUM(C10:C42)</f>
        <v>5421046.6699999999</v>
      </c>
      <c r="D43" s="31">
        <f>SUM(D10:D42)</f>
        <v>16399</v>
      </c>
      <c r="E43" s="18">
        <f>SUM(E10:E42)</f>
        <v>2309.58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7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C38:F38"/>
    <mergeCell ref="C10:F10"/>
    <mergeCell ref="C17:F17"/>
    <mergeCell ref="C24:F24"/>
    <mergeCell ref="C31:F31"/>
    <mergeCell ref="D22:E22"/>
    <mergeCell ref="C32:F32"/>
    <mergeCell ref="C37:F3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topLeftCell="A4" zoomScaleNormal="100" zoomScaleSheetLayoutView="100" workbookViewId="0">
      <selection activeCell="C39" sqref="C3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29" t="s">
        <v>1</v>
      </c>
      <c r="C10" s="38" t="s">
        <v>1</v>
      </c>
      <c r="D10" s="39"/>
      <c r="E10" s="39"/>
      <c r="F10" s="40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0">
        <v>46055</v>
      </c>
      <c r="C11" s="12">
        <v>293070</v>
      </c>
      <c r="D11" s="35"/>
      <c r="E11" s="37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0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>
        <v>46057</v>
      </c>
      <c r="C13" s="36">
        <v>505520</v>
      </c>
      <c r="D13" s="35">
        <v>636.25</v>
      </c>
      <c r="E13" s="35"/>
      <c r="F13" s="35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>
        <v>46058</v>
      </c>
      <c r="C14" s="12">
        <v>206767</v>
      </c>
      <c r="D14" s="13"/>
      <c r="E14" s="12">
        <v>37.5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0">
        <v>46059</v>
      </c>
      <c r="C15" s="38" t="s">
        <v>16</v>
      </c>
      <c r="D15" s="39"/>
      <c r="E15" s="39"/>
      <c r="F15" s="40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>
        <v>46060</v>
      </c>
      <c r="C16" s="36">
        <v>294192</v>
      </c>
      <c r="D16" s="35">
        <v>73.5</v>
      </c>
      <c r="E16" s="35"/>
      <c r="F16" s="35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29" t="s">
        <v>1</v>
      </c>
      <c r="C17" s="38" t="s">
        <v>1</v>
      </c>
      <c r="D17" s="39"/>
      <c r="E17" s="39"/>
      <c r="F17" s="40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0">
        <v>46062</v>
      </c>
      <c r="C18" s="12">
        <v>309916.5</v>
      </c>
      <c r="D18" s="15"/>
      <c r="E18" s="12">
        <v>101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0">
        <v>46063</v>
      </c>
      <c r="C19" s="12">
        <v>317068</v>
      </c>
      <c r="D19" s="35"/>
      <c r="E19" s="37">
        <v>118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>
        <v>46064</v>
      </c>
      <c r="C20" s="36">
        <v>295569</v>
      </c>
      <c r="D20" s="35">
        <v>552.5</v>
      </c>
      <c r="E20" s="35"/>
      <c r="F20" s="35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>
        <v>46065</v>
      </c>
      <c r="C21" s="12">
        <v>188141</v>
      </c>
      <c r="D21" s="13"/>
      <c r="E21" s="12">
        <v>505.25</v>
      </c>
      <c r="F21" s="34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0">
        <v>46066</v>
      </c>
      <c r="C22" s="12">
        <v>195791</v>
      </c>
      <c r="D22" s="15">
        <v>71.25</v>
      </c>
      <c r="E22" s="12"/>
      <c r="F22" s="3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>
        <v>46067</v>
      </c>
      <c r="C23" s="36">
        <v>283410</v>
      </c>
      <c r="D23" s="35">
        <v>1012.25</v>
      </c>
      <c r="E23" s="35"/>
      <c r="F23" s="35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29" t="s">
        <v>1</v>
      </c>
      <c r="C24" s="38" t="s">
        <v>1</v>
      </c>
      <c r="D24" s="39"/>
      <c r="E24" s="39"/>
      <c r="F24" s="40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0">
        <v>46069</v>
      </c>
      <c r="C25" s="12">
        <v>269624</v>
      </c>
      <c r="D25" s="15"/>
      <c r="E25" s="12">
        <v>109.75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0">
        <v>46070</v>
      </c>
      <c r="C26" s="12">
        <v>339942</v>
      </c>
      <c r="D26" s="35"/>
      <c r="E26" s="36">
        <v>55.75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>
        <v>46071</v>
      </c>
      <c r="C27" s="36">
        <v>263794</v>
      </c>
      <c r="D27" s="35"/>
      <c r="E27" s="36">
        <v>4</v>
      </c>
      <c r="F27" s="35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>
        <v>46072</v>
      </c>
      <c r="C28" s="12">
        <v>268991</v>
      </c>
      <c r="D28" s="13"/>
      <c r="E28" s="12">
        <v>846</v>
      </c>
      <c r="F28" s="34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0">
        <v>46073</v>
      </c>
      <c r="C29" s="12">
        <v>375047</v>
      </c>
      <c r="D29" s="15"/>
      <c r="E29" s="12">
        <v>185.25</v>
      </c>
      <c r="F29" s="33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>
        <v>46074</v>
      </c>
      <c r="C30" s="36">
        <v>321122</v>
      </c>
      <c r="D30" s="35"/>
      <c r="E30" s="36">
        <v>2609.75</v>
      </c>
      <c r="F30" s="35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29" t="s">
        <v>1</v>
      </c>
      <c r="C31" s="38" t="s">
        <v>1</v>
      </c>
      <c r="D31" s="39"/>
      <c r="E31" s="39"/>
      <c r="F31" s="40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0">
        <v>46076</v>
      </c>
      <c r="C32" s="12">
        <v>390982</v>
      </c>
      <c r="D32" s="15"/>
      <c r="E32" s="12">
        <v>1921.5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0">
        <v>46077</v>
      </c>
      <c r="C33" s="38" t="s">
        <v>16</v>
      </c>
      <c r="D33" s="39"/>
      <c r="E33" s="39"/>
      <c r="F33" s="40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>
        <v>46078</v>
      </c>
      <c r="C34" s="36">
        <v>320829</v>
      </c>
      <c r="D34" s="35">
        <v>1507.5</v>
      </c>
      <c r="E34" s="35"/>
      <c r="F34" s="35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>
        <v>46079</v>
      </c>
      <c r="C35" s="12">
        <v>239654</v>
      </c>
      <c r="D35" s="13">
        <v>2106.5</v>
      </c>
      <c r="E35" s="12"/>
      <c r="F35" s="34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0">
        <v>46080</v>
      </c>
      <c r="C36" s="12">
        <v>235375</v>
      </c>
      <c r="D36" s="13"/>
      <c r="E36" s="12">
        <v>70</v>
      </c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>
        <v>46081</v>
      </c>
      <c r="C37" s="12">
        <v>332499</v>
      </c>
      <c r="D37" s="15"/>
      <c r="E37" s="12">
        <v>876.5</v>
      </c>
      <c r="F37" s="33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29" t="s">
        <v>1</v>
      </c>
      <c r="C38" s="38" t="s">
        <v>1</v>
      </c>
      <c r="D38" s="39"/>
      <c r="E38" s="39"/>
      <c r="F38" s="40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0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0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29"/>
      <c r="C41" s="12"/>
      <c r="D41" s="35"/>
      <c r="E41" s="35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0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8" t="s">
        <v>2</v>
      </c>
      <c r="B43" s="30"/>
      <c r="C43" s="18">
        <f>SUM(C10:C42)</f>
        <v>6602730.5</v>
      </c>
      <c r="D43" s="31">
        <f>SUM(D10:D42)</f>
        <v>6438.75</v>
      </c>
      <c r="E43" s="18">
        <f>SUM(E10:E42)</f>
        <v>8448.75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7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8:F38"/>
    <mergeCell ref="C10:F10"/>
    <mergeCell ref="C17:F17"/>
    <mergeCell ref="C24:F24"/>
    <mergeCell ref="C31:F31"/>
    <mergeCell ref="C15:F15"/>
    <mergeCell ref="C33:F33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2026-03-02T00:06:45Z</dcterms:modified>
</cp:coreProperties>
</file>