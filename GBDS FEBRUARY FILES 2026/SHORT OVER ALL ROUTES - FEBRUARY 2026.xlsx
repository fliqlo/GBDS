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C603B1D1-7817-497E-83E1-F5561D0276F6}" xr6:coauthVersionLast="45" xr6:coauthVersionMax="47" xr10:uidLastSave="{00000000-0000-0000-0000-000000000000}"/>
  <bookViews>
    <workbookView xWindow="-120" yWindow="-120" windowWidth="29040" windowHeight="15840" activeTab="1" xr2:uid="{B997F013-12E6-4AA2-8A9D-EFCC32EA76C2}"/>
  </bookViews>
  <sheets>
    <sheet name="FEBRUARY, SRS R1" sheetId="6" r:id="rId1"/>
    <sheet name="FEBRUARY, SRS R2" sheetId="12" r:id="rId2"/>
    <sheet name="FEBRUARY, SRS R3" sheetId="13" r:id="rId3"/>
    <sheet name="," sheetId="14" r:id="rId4"/>
  </sheets>
  <definedNames>
    <definedName name="_xlnm.Print_Area" localSheetId="0">'FEBRUARY, SRS R1'!$A$1:$F$44</definedName>
    <definedName name="_xlnm.Print_Area" localSheetId="1">'FEBRUARY, SRS R2'!$A$1:$F$44</definedName>
    <definedName name="_xlnm.Print_Area" localSheetId="2">'FEBRUARY, SRS R3'!$A$1:$F$44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D43" i="6" l="1"/>
  <c r="E43" i="6"/>
  <c r="F43" i="6"/>
  <c r="C43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33" authorId="0" shapeId="0" xr:uid="{0A564BDE-5738-437C-8B2A-D9F53A458F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DSP: GRACE B. GICA</t>
        </r>
      </text>
    </comment>
  </commentList>
</comments>
</file>

<file path=xl/sharedStrings.xml><?xml version="1.0" encoding="utf-8"?>
<sst xmlns="http://schemas.openxmlformats.org/spreadsheetml/2006/main" count="70" uniqueCount="18">
  <si>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</si>
  <si>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</si>
  <si>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</si>
  <si>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</si>
  <si>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</si>
  <si>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</si>
  <si>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</si>
  <si>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</si>
  <si>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</si>
  <si>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</si>
  <si>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</si>
  <si>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</si>
  <si>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</si>
  <si>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</si>
  <si>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</si>
  <si>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FEBRUARY</t>
  </si>
  <si>
    <t>NO TRIP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</si>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</sst>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4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  <xf numFmtId="164" fontId="14" fillId="0" borderId="4" xfId="1" applyFont="1" applyBorder="1" applyAlignment="1">
      <alignment horizontal="center"/>
    </xf>
    <xf numFmtId="164" fontId="14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D34" sqref="D34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314042</v>
      </c>
      <c r="D11" s="36">
        <v>170</v>
      </c>
      <c r="E11" s="35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263815</v>
      </c>
      <c r="D12" s="13">
        <v>221.25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198091</v>
      </c>
      <c r="D13" s="36">
        <v>19.25</v>
      </c>
      <c r="E13" s="36"/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194843</v>
      </c>
      <c r="D14" s="13">
        <v>320</v>
      </c>
      <c r="E14" s="12"/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12">
        <v>175949</v>
      </c>
      <c r="D15" s="15">
        <v>115.5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7">
        <v>173376</v>
      </c>
      <c r="D16" s="36">
        <v>25.75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>
        <v>305952</v>
      </c>
      <c r="D18" s="15"/>
      <c r="E18" s="12">
        <v>6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>
        <v>197103</v>
      </c>
      <c r="D19" s="36">
        <v>123.72</v>
      </c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7">
        <v>809196</v>
      </c>
      <c r="D20" s="36">
        <v>226</v>
      </c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>
        <v>280577</v>
      </c>
      <c r="D21" s="13">
        <v>76.5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39" t="s">
        <v>16</v>
      </c>
      <c r="D22" s="40"/>
      <c r="E22" s="40"/>
      <c r="F22" s="4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7">
        <v>354408.67</v>
      </c>
      <c r="D23" s="36">
        <v>27.67</v>
      </c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>
        <v>324575</v>
      </c>
      <c r="D25" s="15"/>
      <c r="E25" s="12">
        <v>656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>
        <v>256495</v>
      </c>
      <c r="D26" s="36"/>
      <c r="E26" s="37">
        <v>25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9" t="s">
        <v>16</v>
      </c>
      <c r="D27" s="40"/>
      <c r="E27" s="40"/>
      <c r="F27" s="4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>
        <v>300926</v>
      </c>
      <c r="D28" s="13">
        <v>1086.25</v>
      </c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12">
        <v>341516</v>
      </c>
      <c r="D29" s="15">
        <v>604.75</v>
      </c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7">
        <v>329826</v>
      </c>
      <c r="D30" s="36"/>
      <c r="E30" s="37">
        <v>229.25</v>
      </c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39" t="s">
        <v>16</v>
      </c>
      <c r="D32" s="40"/>
      <c r="E32" s="40"/>
      <c r="F32" s="4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>
        <v>283160</v>
      </c>
      <c r="D33" s="36">
        <v>475</v>
      </c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5103850.67</v>
      </c>
      <c r="D43" s="32">
        <f>SUM(D10:D42)</f>
        <v>3491.6400000000003</v>
      </c>
      <c r="E43" s="18">
        <f>SUM(E10:E42)</f>
        <v>916.25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8">
    <mergeCell ref="C38:F38"/>
    <mergeCell ref="C10:F10"/>
    <mergeCell ref="C17:F17"/>
    <mergeCell ref="C24:F24"/>
    <mergeCell ref="C31:F31"/>
    <mergeCell ref="C22:F22"/>
    <mergeCell ref="C27:F27"/>
    <mergeCell ref="C32:F32"/>
  </mergeCells>
  <pageMargins left="0.7" right="0.7" top="0.75" bottom="0.75" header="0.3" footer="0.3"/>
  <pageSetup scale="9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tabSelected="1" zoomScaleNormal="100" zoomScaleSheetLayoutView="100" workbookViewId="0">
      <selection activeCell="D34" sqref="D34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403660</v>
      </c>
      <c r="D11" s="36"/>
      <c r="E11" s="38">
        <v>112.75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216897</v>
      </c>
      <c r="D12" s="13">
        <v>105.5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176482</v>
      </c>
      <c r="D13" s="36"/>
      <c r="E13" s="37">
        <v>215.25</v>
      </c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187600</v>
      </c>
      <c r="D14" s="13"/>
      <c r="E14" s="12">
        <v>311</v>
      </c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12">
        <v>191902</v>
      </c>
      <c r="D15" s="15"/>
      <c r="E15" s="12">
        <v>0.75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7">
        <v>267745</v>
      </c>
      <c r="D16" s="36">
        <v>31.5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>
        <v>336387</v>
      </c>
      <c r="D18" s="15"/>
      <c r="E18" s="12">
        <v>383.5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>
        <v>205618</v>
      </c>
      <c r="D19" s="36">
        <v>564.75</v>
      </c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7">
        <v>170729</v>
      </c>
      <c r="D20" s="36">
        <v>50.5</v>
      </c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>
        <v>233825</v>
      </c>
      <c r="D21" s="13">
        <v>370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12">
        <v>163881</v>
      </c>
      <c r="D22" s="42" t="s">
        <v>17</v>
      </c>
      <c r="E22" s="43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7">
        <v>242774</v>
      </c>
      <c r="D23" s="36"/>
      <c r="E23" s="37">
        <v>144.25</v>
      </c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>
        <v>341726</v>
      </c>
      <c r="D25" s="15">
        <v>417.5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>
        <v>245825</v>
      </c>
      <c r="D26" s="36">
        <v>921.5</v>
      </c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7">
        <v>245809</v>
      </c>
      <c r="D27" s="36"/>
      <c r="E27" s="37">
        <v>121.25</v>
      </c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>
        <v>243579.67</v>
      </c>
      <c r="D28" s="13"/>
      <c r="E28" s="12">
        <v>216.08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12">
        <v>148182</v>
      </c>
      <c r="D29" s="15"/>
      <c r="E29" s="12">
        <v>22.25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7">
        <v>274902</v>
      </c>
      <c r="D30" s="36"/>
      <c r="E30" s="37">
        <v>91.5</v>
      </c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39" t="s">
        <v>16</v>
      </c>
      <c r="D32" s="40"/>
      <c r="E32" s="40"/>
      <c r="F32" s="4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>
        <v>455067</v>
      </c>
      <c r="D33" s="36">
        <v>13525.5</v>
      </c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4752590.67</v>
      </c>
      <c r="D43" s="32">
        <f>SUM(D10:D42)</f>
        <v>15986.75</v>
      </c>
      <c r="E43" s="18">
        <f>SUM(E10:E42)</f>
        <v>1618.58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C38:F38"/>
    <mergeCell ref="C10:F10"/>
    <mergeCell ref="C17:F17"/>
    <mergeCell ref="C24:F24"/>
    <mergeCell ref="C31:F31"/>
    <mergeCell ref="D22:E22"/>
    <mergeCell ref="C32:F3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zoomScaleNormal="100" zoomScaleSheetLayoutView="100" workbookViewId="0">
      <selection activeCell="C34" sqref="C34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293070</v>
      </c>
      <c r="D11" s="36"/>
      <c r="E11" s="38">
        <v>1008.5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355427</v>
      </c>
      <c r="D12" s="13">
        <v>479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505520</v>
      </c>
      <c r="D13" s="36">
        <v>636.25</v>
      </c>
      <c r="E13" s="36"/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206767</v>
      </c>
      <c r="D14" s="13"/>
      <c r="E14" s="12">
        <v>37.5</v>
      </c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39" t="s">
        <v>16</v>
      </c>
      <c r="D15" s="40"/>
      <c r="E15" s="40"/>
      <c r="F15" s="4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7">
        <v>294192</v>
      </c>
      <c r="D16" s="36">
        <v>73.5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>
        <v>309916.5</v>
      </c>
      <c r="D18" s="15"/>
      <c r="E18" s="12">
        <v>101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>
        <v>317068</v>
      </c>
      <c r="D19" s="36"/>
      <c r="E19" s="38">
        <v>118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7">
        <v>295569</v>
      </c>
      <c r="D20" s="36">
        <v>552.5</v>
      </c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>
        <v>188141</v>
      </c>
      <c r="D21" s="13"/>
      <c r="E21" s="12">
        <v>505.25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12">
        <v>195791</v>
      </c>
      <c r="D22" s="15">
        <v>71.25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7">
        <v>283410</v>
      </c>
      <c r="D23" s="36">
        <v>1012.25</v>
      </c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>
        <v>269624</v>
      </c>
      <c r="D25" s="15"/>
      <c r="E25" s="12">
        <v>109.75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>
        <v>339942</v>
      </c>
      <c r="D26" s="36"/>
      <c r="E26" s="37">
        <v>55.75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7">
        <v>263794</v>
      </c>
      <c r="D27" s="36"/>
      <c r="E27" s="37">
        <v>4</v>
      </c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>
        <v>268991</v>
      </c>
      <c r="D28" s="13"/>
      <c r="E28" s="12">
        <v>846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12">
        <v>375047</v>
      </c>
      <c r="D29" s="15"/>
      <c r="E29" s="12">
        <v>185.25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7">
        <v>321122</v>
      </c>
      <c r="D30" s="36"/>
      <c r="E30" s="37">
        <v>2609.75</v>
      </c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>
        <v>390982</v>
      </c>
      <c r="D32" s="15"/>
      <c r="E32" s="12">
        <v>1921.5</v>
      </c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39" t="s">
        <v>16</v>
      </c>
      <c r="D33" s="40"/>
      <c r="E33" s="40"/>
      <c r="F33" s="4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5474373.5</v>
      </c>
      <c r="D43" s="32">
        <f>SUM(D10:D42)</f>
        <v>2824.75</v>
      </c>
      <c r="E43" s="18">
        <f>SUM(E10:E42)</f>
        <v>7502.25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C38:F38"/>
    <mergeCell ref="C10:F10"/>
    <mergeCell ref="C17:F17"/>
    <mergeCell ref="C24:F24"/>
    <mergeCell ref="C31:F31"/>
    <mergeCell ref="C15:F15"/>
    <mergeCell ref="C33:F33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FEBRUARY, SRS R1</vt:lpstr>
      <vt:lpstr>FEBRUARY, SRS R2</vt:lpstr>
      <vt:lpstr>FEBRUARY, SRS R3</vt:lpstr>
      <vt:lpstr>,</vt:lpstr>
      <vt:lpstr>'FEBRUARY, SRS R1'!Print_Area</vt:lpstr>
      <vt:lpstr>'FEBRUARY, SRS R2'!Print_Area</vt:lpstr>
      <vt:lpstr>'FEBRUARY,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2026-02-25T00:15:03Z</dcterms:modified>
</cp:coreProperties>
</file>