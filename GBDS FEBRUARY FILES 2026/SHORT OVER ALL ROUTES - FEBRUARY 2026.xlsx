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FEBRUARY FILES 2026\"/>
    </mc:Choice>
  </mc:AlternateContent>
  <xr:revisionPtr revIDLastSave="0" documentId="13_ncr:1_{C9EDFD52-CBE2-4727-9178-F75C91F87090}" xr6:coauthVersionLast="45" xr6:coauthVersionMax="47" xr10:uidLastSave="{00000000-0000-0000-0000-000000000000}"/>
  <bookViews>
    <workbookView xWindow="-120" yWindow="-120" windowWidth="29040" windowHeight="15840" xr2:uid="{B997F013-12E6-4AA2-8A9D-EFCC32EA76C2}"/>
  </bookViews>
  <sheets>
    <sheet name="FEBRUARY, SRS R1" sheetId="6" r:id="rId1"/>
    <sheet name="FEBRUARY, SRS R2" sheetId="12" r:id="rId2"/>
    <sheet name="FEBRUARY, SRS R3" sheetId="13" r:id="rId3"/>
    <sheet name="," sheetId="14" r:id="rId4"/>
  </sheets>
  <definedNames>
    <definedName name="_xlnm.Print_Area" localSheetId="0">'FEBRUARY, SRS R1'!$A$1:$F$44</definedName>
    <definedName name="_xlnm.Print_Area" localSheetId="1">'FEBRUARY, SRS R2'!$A$1:$F$44</definedName>
    <definedName name="_xlnm.Print_Area" localSheetId="2">'FEBRUARY, SRS R3'!$A$1:$F$44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43" i="13" l="1"/>
  <c r="E43" i="13"/>
  <c r="D43" i="13"/>
  <c r="C43" i="13"/>
  <c r="F43" i="12"/>
  <c r="E43" i="12"/>
  <c r="D43" i="12"/>
  <c r="C43" i="12"/>
  <c r="D43" i="6" l="1"/>
  <c r="E43" i="6"/>
  <c r="F43" i="6"/>
  <c r="C43" i="6" l="1"/>
</calcChain>
</file>

<file path=xl/sharedStrings.xml><?xml version="1.0" encoding="utf-8"?>
<sst xmlns="http://schemas.openxmlformats.org/spreadsheetml/2006/main" count="66" uniqueCount="18">
  <si>
    <t>SALES</t>
  </si>
  <si>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</si>
  <si>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</si>
  <si>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</si>
  <si>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</si>
  <si>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</si>
  <si>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</si>
  <si>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</si>
  <si>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</si>
  <si>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</si>
  <si>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</si>
  <si>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</si>
  <si>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</si>
  <si>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GICA, GRACE</t>
    </r>
  </si>
  <si>
    <r>
      <t>DSP:</t>
    </r>
    <r>
      <rPr>
        <b/>
        <u/>
        <sz val="11"/>
        <color theme="1"/>
        <rFont val="Times New Roman"/>
        <family val="1"/>
      </rPr>
      <t xml:space="preserve"> PORMENTO, ESTEMARK</t>
    </r>
  </si>
  <si>
    <t>FEBRUARY</t>
  </si>
  <si>
    <t>NO TRIP</t>
  </si>
  <si>
    <t>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</si>
</sst>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  <font>
      <sz val="1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44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3" fillId="0" borderId="3" xfId="0" applyFont="1" applyBorder="1" applyAlignment="1">
      <alignment horizontal="center"/>
    </xf>
    <xf numFmtId="0" fontId="2" fillId="0" borderId="1" xfId="0" applyFont="1" applyBorder="1"/>
    <xf numFmtId="164" fontId="2" fillId="0" borderId="1" xfId="1" applyFont="1" applyBorder="1"/>
    <xf numFmtId="164" fontId="9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2" fillId="0" borderId="0" xfId="0" applyFont="1" applyBorder="1"/>
    <xf numFmtId="0" fontId="4" fillId="0" borderId="0" xfId="0" applyFont="1" applyBorder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 applyAlignment="1"/>
    <xf numFmtId="0" fontId="9" fillId="0" borderId="1" xfId="0" applyFont="1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Border="1" applyAlignment="1">
      <alignment horizontal="center" vertical="center"/>
    </xf>
    <xf numFmtId="164" fontId="2" fillId="0" borderId="6" xfId="1" applyFont="1" applyBorder="1" applyAlignment="1"/>
    <xf numFmtId="164" fontId="9" fillId="0" borderId="6" xfId="1" applyFont="1" applyBorder="1" applyAlignment="1"/>
    <xf numFmtId="164" fontId="9" fillId="0" borderId="1" xfId="1" applyFont="1" applyBorder="1" applyAlignment="1"/>
    <xf numFmtId="164" fontId="14" fillId="0" borderId="1" xfId="1" applyFont="1" applyBorder="1" applyAlignment="1"/>
    <xf numFmtId="164" fontId="14" fillId="0" borderId="6" xfId="1" applyFont="1" applyBorder="1" applyAlignment="1"/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  <xf numFmtId="164" fontId="14" fillId="0" borderId="4" xfId="1" applyFont="1" applyBorder="1" applyAlignment="1">
      <alignment horizontal="center"/>
    </xf>
    <xf numFmtId="164" fontId="14" fillId="0" borderId="6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Q279"/>
  <sheetViews>
    <sheetView tabSelected="1" zoomScaleNormal="100" zoomScaleSheetLayoutView="100" workbookViewId="0">
      <selection activeCell="C25" sqref="C25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15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7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11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0" t="s">
        <v>1</v>
      </c>
      <c r="C10" s="39" t="s">
        <v>1</v>
      </c>
      <c r="D10" s="40"/>
      <c r="E10" s="40"/>
      <c r="F10" s="4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46055</v>
      </c>
      <c r="C11" s="12">
        <v>314042</v>
      </c>
      <c r="D11" s="36">
        <v>170</v>
      </c>
      <c r="E11" s="35"/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46056</v>
      </c>
      <c r="C12" s="12">
        <v>263815</v>
      </c>
      <c r="D12" s="13">
        <v>221.25</v>
      </c>
      <c r="E12" s="13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46057</v>
      </c>
      <c r="C13" s="37">
        <v>198091</v>
      </c>
      <c r="D13" s="36">
        <v>19.25</v>
      </c>
      <c r="E13" s="36"/>
      <c r="F13" s="36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46058</v>
      </c>
      <c r="C14" s="12">
        <v>194843</v>
      </c>
      <c r="D14" s="13">
        <v>320</v>
      </c>
      <c r="E14" s="12"/>
      <c r="F14" s="36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46059</v>
      </c>
      <c r="C15" s="12">
        <v>175949</v>
      </c>
      <c r="D15" s="15">
        <v>115.5</v>
      </c>
      <c r="E15" s="12"/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1">
        <v>46060</v>
      </c>
      <c r="C16" s="37">
        <v>173376</v>
      </c>
      <c r="D16" s="36">
        <v>25.75</v>
      </c>
      <c r="E16" s="36"/>
      <c r="F16" s="36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0" t="s">
        <v>1</v>
      </c>
      <c r="C17" s="39" t="s">
        <v>1</v>
      </c>
      <c r="D17" s="40"/>
      <c r="E17" s="40"/>
      <c r="F17" s="4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46062</v>
      </c>
      <c r="C18" s="12">
        <v>305952</v>
      </c>
      <c r="D18" s="15"/>
      <c r="E18" s="12">
        <v>6</v>
      </c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46063</v>
      </c>
      <c r="C19" s="12">
        <v>197103</v>
      </c>
      <c r="D19" s="36">
        <v>123.72</v>
      </c>
      <c r="E19" s="38"/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46064</v>
      </c>
      <c r="C20" s="37">
        <v>809196</v>
      </c>
      <c r="D20" s="36">
        <v>226</v>
      </c>
      <c r="E20" s="36"/>
      <c r="F20" s="36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46065</v>
      </c>
      <c r="C21" s="12">
        <v>280577</v>
      </c>
      <c r="D21" s="13">
        <v>76.5</v>
      </c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46066</v>
      </c>
      <c r="C22" s="39" t="s">
        <v>16</v>
      </c>
      <c r="D22" s="40"/>
      <c r="E22" s="40"/>
      <c r="F22" s="4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1">
        <v>46067</v>
      </c>
      <c r="C23" s="37">
        <v>354408.67</v>
      </c>
      <c r="D23" s="36">
        <v>27.67</v>
      </c>
      <c r="E23" s="36"/>
      <c r="F23" s="36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0" t="s">
        <v>1</v>
      </c>
      <c r="C24" s="39" t="s">
        <v>1</v>
      </c>
      <c r="D24" s="40"/>
      <c r="E24" s="40"/>
      <c r="F24" s="4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46069</v>
      </c>
      <c r="C25" s="12"/>
      <c r="D25" s="15"/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46070</v>
      </c>
      <c r="C26" s="12"/>
      <c r="D26" s="36"/>
      <c r="E26" s="37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46071</v>
      </c>
      <c r="C27" s="36"/>
      <c r="D27" s="36"/>
      <c r="E27" s="36"/>
      <c r="F27" s="36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46072</v>
      </c>
      <c r="C28" s="12"/>
      <c r="D28" s="13"/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46073</v>
      </c>
      <c r="C29" s="27"/>
      <c r="D29" s="15"/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1">
        <v>46074</v>
      </c>
      <c r="C30" s="36"/>
      <c r="D30" s="36"/>
      <c r="E30" s="37"/>
      <c r="F30" s="36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0" t="s">
        <v>1</v>
      </c>
      <c r="C31" s="39" t="s">
        <v>1</v>
      </c>
      <c r="D31" s="40"/>
      <c r="E31" s="40"/>
      <c r="F31" s="4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46076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46077</v>
      </c>
      <c r="C33" s="12"/>
      <c r="D33" s="36"/>
      <c r="E33" s="35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46078</v>
      </c>
      <c r="C34" s="36"/>
      <c r="D34" s="36"/>
      <c r="E34" s="36"/>
      <c r="F34" s="36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46079</v>
      </c>
      <c r="C35" s="12"/>
      <c r="D35" s="13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46080</v>
      </c>
      <c r="C36" s="12"/>
      <c r="D36" s="13"/>
      <c r="E36" s="12"/>
      <c r="F36" s="35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1">
        <v>46081</v>
      </c>
      <c r="C37" s="27"/>
      <c r="D37" s="15"/>
      <c r="E37" s="12"/>
      <c r="F37" s="34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0" t="s">
        <v>1</v>
      </c>
      <c r="C38" s="39" t="s">
        <v>1</v>
      </c>
      <c r="D38" s="40"/>
      <c r="E38" s="40"/>
      <c r="F38" s="4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/>
      <c r="C39" s="12"/>
      <c r="D39" s="13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/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0"/>
      <c r="C41" s="12"/>
      <c r="D41" s="36"/>
      <c r="E41" s="36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3267352.67</v>
      </c>
      <c r="D43" s="32">
        <f>SUM(D10:D42)</f>
        <v>1325.64</v>
      </c>
      <c r="E43" s="18">
        <f>SUM(E10:E42)</f>
        <v>6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33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6">
    <mergeCell ref="C38:F38"/>
    <mergeCell ref="C10:F10"/>
    <mergeCell ref="C17:F17"/>
    <mergeCell ref="C24:F24"/>
    <mergeCell ref="C31:F31"/>
    <mergeCell ref="C22:F22"/>
  </mergeCells>
  <pageMargins left="0.7" right="0.7" top="0.75" bottom="0.75" header="0.3" footer="0.3"/>
  <pageSetup scale="9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Q279"/>
  <sheetViews>
    <sheetView zoomScaleNormal="100" zoomScaleSheetLayoutView="100" workbookViewId="0">
      <selection activeCell="C25" sqref="C25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15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14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0" t="s">
        <v>1</v>
      </c>
      <c r="C10" s="39" t="s">
        <v>1</v>
      </c>
      <c r="D10" s="40"/>
      <c r="E10" s="40"/>
      <c r="F10" s="4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46055</v>
      </c>
      <c r="C11" s="12">
        <v>403660</v>
      </c>
      <c r="D11" s="36"/>
      <c r="E11" s="38">
        <v>112.75</v>
      </c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46056</v>
      </c>
      <c r="C12" s="12">
        <v>216897</v>
      </c>
      <c r="D12" s="13">
        <v>105.5</v>
      </c>
      <c r="E12" s="13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46057</v>
      </c>
      <c r="C13" s="37">
        <v>176482</v>
      </c>
      <c r="D13" s="36"/>
      <c r="E13" s="37">
        <v>215.25</v>
      </c>
      <c r="F13" s="36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46058</v>
      </c>
      <c r="C14" s="12">
        <v>187600</v>
      </c>
      <c r="D14" s="13"/>
      <c r="E14" s="12">
        <v>311</v>
      </c>
      <c r="F14" s="36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46059</v>
      </c>
      <c r="C15" s="12">
        <v>191902</v>
      </c>
      <c r="D15" s="15"/>
      <c r="E15" s="12">
        <v>0.75</v>
      </c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1">
        <v>46060</v>
      </c>
      <c r="C16" s="37">
        <v>267745</v>
      </c>
      <c r="D16" s="36">
        <v>31.5</v>
      </c>
      <c r="E16" s="36"/>
      <c r="F16" s="36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0" t="s">
        <v>1</v>
      </c>
      <c r="C17" s="39" t="s">
        <v>1</v>
      </c>
      <c r="D17" s="40"/>
      <c r="E17" s="40"/>
      <c r="F17" s="4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46062</v>
      </c>
      <c r="C18" s="12">
        <v>336387</v>
      </c>
      <c r="D18" s="15"/>
      <c r="E18" s="12">
        <v>383.5</v>
      </c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46063</v>
      </c>
      <c r="C19" s="12">
        <v>205618</v>
      </c>
      <c r="D19" s="36">
        <v>564.75</v>
      </c>
      <c r="E19" s="38"/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46064</v>
      </c>
      <c r="C20" s="37">
        <v>170729</v>
      </c>
      <c r="D20" s="36">
        <v>50.5</v>
      </c>
      <c r="E20" s="36"/>
      <c r="F20" s="36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46065</v>
      </c>
      <c r="C21" s="12">
        <v>233825</v>
      </c>
      <c r="D21" s="13">
        <v>370</v>
      </c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46066</v>
      </c>
      <c r="C22" s="12">
        <v>163881</v>
      </c>
      <c r="D22" s="42" t="s">
        <v>17</v>
      </c>
      <c r="E22" s="43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1">
        <v>46067</v>
      </c>
      <c r="C23" s="37">
        <v>242774</v>
      </c>
      <c r="D23" s="36"/>
      <c r="E23" s="37">
        <v>144.25</v>
      </c>
      <c r="F23" s="36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0" t="s">
        <v>1</v>
      </c>
      <c r="C24" s="39" t="s">
        <v>1</v>
      </c>
      <c r="D24" s="40"/>
      <c r="E24" s="40"/>
      <c r="F24" s="4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46069</v>
      </c>
      <c r="C25" s="12"/>
      <c r="D25" s="15"/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46070</v>
      </c>
      <c r="C26" s="12"/>
      <c r="D26" s="36"/>
      <c r="E26" s="37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46071</v>
      </c>
      <c r="C27" s="36"/>
      <c r="D27" s="36"/>
      <c r="E27" s="36"/>
      <c r="F27" s="36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46072</v>
      </c>
      <c r="C28" s="12"/>
      <c r="D28" s="13"/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46073</v>
      </c>
      <c r="C29" s="27"/>
      <c r="D29" s="15"/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1">
        <v>46074</v>
      </c>
      <c r="C30" s="36"/>
      <c r="D30" s="36"/>
      <c r="E30" s="37"/>
      <c r="F30" s="36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0" t="s">
        <v>1</v>
      </c>
      <c r="C31" s="39" t="s">
        <v>1</v>
      </c>
      <c r="D31" s="40"/>
      <c r="E31" s="40"/>
      <c r="F31" s="4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46076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46077</v>
      </c>
      <c r="C33" s="12"/>
      <c r="D33" s="36"/>
      <c r="E33" s="35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46078</v>
      </c>
      <c r="C34" s="36"/>
      <c r="D34" s="36"/>
      <c r="E34" s="36"/>
      <c r="F34" s="36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46079</v>
      </c>
      <c r="C35" s="12"/>
      <c r="D35" s="13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46080</v>
      </c>
      <c r="C36" s="12"/>
      <c r="D36" s="13"/>
      <c r="E36" s="12"/>
      <c r="F36" s="35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1">
        <v>46081</v>
      </c>
      <c r="C37" s="27"/>
      <c r="D37" s="15"/>
      <c r="E37" s="12"/>
      <c r="F37" s="34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0" t="s">
        <v>1</v>
      </c>
      <c r="C38" s="39" t="s">
        <v>1</v>
      </c>
      <c r="D38" s="40"/>
      <c r="E38" s="40"/>
      <c r="F38" s="4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/>
      <c r="C39" s="12"/>
      <c r="D39" s="13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/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0"/>
      <c r="C41" s="12"/>
      <c r="D41" s="36"/>
      <c r="E41" s="36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2797500</v>
      </c>
      <c r="D43" s="32">
        <f>SUM(D10:D42)</f>
        <v>1122.25</v>
      </c>
      <c r="E43" s="18">
        <f>SUM(E10:E42)</f>
        <v>1167.5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6">
    <mergeCell ref="C38:F38"/>
    <mergeCell ref="C10:F10"/>
    <mergeCell ref="C17:F17"/>
    <mergeCell ref="C24:F24"/>
    <mergeCell ref="C31:F31"/>
    <mergeCell ref="D22:E22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Q279"/>
  <sheetViews>
    <sheetView zoomScaleNormal="100" zoomScaleSheetLayoutView="100" workbookViewId="0">
      <selection activeCell="C25" sqref="C25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15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10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13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0" t="s">
        <v>1</v>
      </c>
      <c r="C10" s="39" t="s">
        <v>1</v>
      </c>
      <c r="D10" s="40"/>
      <c r="E10" s="40"/>
      <c r="F10" s="4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46055</v>
      </c>
      <c r="C11" s="12">
        <v>293070</v>
      </c>
      <c r="D11" s="36"/>
      <c r="E11" s="38">
        <v>1008.5</v>
      </c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46056</v>
      </c>
      <c r="C12" s="12">
        <v>355427</v>
      </c>
      <c r="D12" s="13">
        <v>479</v>
      </c>
      <c r="E12" s="13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46057</v>
      </c>
      <c r="C13" s="37">
        <v>505520</v>
      </c>
      <c r="D13" s="36">
        <v>636.25</v>
      </c>
      <c r="E13" s="36"/>
      <c r="F13" s="36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46058</v>
      </c>
      <c r="C14" s="12">
        <v>206767</v>
      </c>
      <c r="D14" s="13"/>
      <c r="E14" s="12">
        <v>37.5</v>
      </c>
      <c r="F14" s="36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46059</v>
      </c>
      <c r="C15" s="39" t="s">
        <v>16</v>
      </c>
      <c r="D15" s="40"/>
      <c r="E15" s="40"/>
      <c r="F15" s="4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1">
        <v>46060</v>
      </c>
      <c r="C16" s="37">
        <v>294192</v>
      </c>
      <c r="D16" s="36">
        <v>73.5</v>
      </c>
      <c r="E16" s="36"/>
      <c r="F16" s="36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0" t="s">
        <v>1</v>
      </c>
      <c r="C17" s="39" t="s">
        <v>1</v>
      </c>
      <c r="D17" s="40"/>
      <c r="E17" s="40"/>
      <c r="F17" s="4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46062</v>
      </c>
      <c r="C18" s="12">
        <v>309916.5</v>
      </c>
      <c r="D18" s="15"/>
      <c r="E18" s="12">
        <v>101</v>
      </c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46063</v>
      </c>
      <c r="C19" s="12">
        <v>317068</v>
      </c>
      <c r="D19" s="36"/>
      <c r="E19" s="38">
        <v>118</v>
      </c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46064</v>
      </c>
      <c r="C20" s="37">
        <v>295569</v>
      </c>
      <c r="D20" s="36">
        <v>552.5</v>
      </c>
      <c r="E20" s="36"/>
      <c r="F20" s="36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46065</v>
      </c>
      <c r="C21" s="12">
        <v>188141</v>
      </c>
      <c r="D21" s="13"/>
      <c r="E21" s="12">
        <v>505.25</v>
      </c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46066</v>
      </c>
      <c r="C22" s="12">
        <v>195791</v>
      </c>
      <c r="D22" s="15">
        <v>71.25</v>
      </c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1">
        <v>46067</v>
      </c>
      <c r="C23" s="37">
        <v>283410</v>
      </c>
      <c r="D23" s="36">
        <v>1012.25</v>
      </c>
      <c r="E23" s="36"/>
      <c r="F23" s="36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0" t="s">
        <v>1</v>
      </c>
      <c r="C24" s="39" t="s">
        <v>1</v>
      </c>
      <c r="D24" s="40"/>
      <c r="E24" s="40"/>
      <c r="F24" s="4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46069</v>
      </c>
      <c r="C25" s="12"/>
      <c r="D25" s="15"/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46070</v>
      </c>
      <c r="C26" s="12"/>
      <c r="D26" s="36"/>
      <c r="E26" s="37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46071</v>
      </c>
      <c r="C27" s="36"/>
      <c r="D27" s="36"/>
      <c r="E27" s="36"/>
      <c r="F27" s="36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46072</v>
      </c>
      <c r="C28" s="12"/>
      <c r="D28" s="13"/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46073</v>
      </c>
      <c r="C29" s="27"/>
      <c r="D29" s="15"/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1">
        <v>46074</v>
      </c>
      <c r="C30" s="36"/>
      <c r="D30" s="36"/>
      <c r="E30" s="37"/>
      <c r="F30" s="36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0" t="s">
        <v>1</v>
      </c>
      <c r="C31" s="39" t="s">
        <v>1</v>
      </c>
      <c r="D31" s="40"/>
      <c r="E31" s="40"/>
      <c r="F31" s="4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46076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46077</v>
      </c>
      <c r="C33" s="12"/>
      <c r="D33" s="36"/>
      <c r="E33" s="35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46078</v>
      </c>
      <c r="C34" s="36"/>
      <c r="D34" s="36"/>
      <c r="E34" s="36"/>
      <c r="F34" s="36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46079</v>
      </c>
      <c r="C35" s="12"/>
      <c r="D35" s="13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46080</v>
      </c>
      <c r="C36" s="12"/>
      <c r="D36" s="13"/>
      <c r="E36" s="12"/>
      <c r="F36" s="35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1">
        <v>46081</v>
      </c>
      <c r="C37" s="27"/>
      <c r="D37" s="15"/>
      <c r="E37" s="12"/>
      <c r="F37" s="34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0" t="s">
        <v>1</v>
      </c>
      <c r="C38" s="39" t="s">
        <v>1</v>
      </c>
      <c r="D38" s="40"/>
      <c r="E38" s="40"/>
      <c r="F38" s="4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/>
      <c r="C39" s="12"/>
      <c r="D39" s="13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/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0"/>
      <c r="C41" s="12"/>
      <c r="D41" s="36"/>
      <c r="E41" s="36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3244871.5</v>
      </c>
      <c r="D43" s="32">
        <f>SUM(D10:D42)</f>
        <v>2824.75</v>
      </c>
      <c r="E43" s="18">
        <f>SUM(E10:E42)</f>
        <v>1770.25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6">
    <mergeCell ref="C38:F38"/>
    <mergeCell ref="C10:F10"/>
    <mergeCell ref="C17:F17"/>
    <mergeCell ref="C24:F24"/>
    <mergeCell ref="C31:F31"/>
    <mergeCell ref="C15:F15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FEBRUARY, SRS R1</vt:lpstr>
      <vt:lpstr>FEBRUARY, SRS R2</vt:lpstr>
      <vt:lpstr>FEBRUARY, SRS R3</vt:lpstr>
      <vt:lpstr>,</vt:lpstr>
      <vt:lpstr>'FEBRUARY, SRS R1'!Print_Area</vt:lpstr>
      <vt:lpstr>'FEBRUARY, SRS R2'!Print_Area</vt:lpstr>
      <vt:lpstr>'FEBRUARY, SRS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2026-02-16T01:17:13Z</dcterms:modified>
</cp:coreProperties>
</file>