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632A37B7-7708-457A-A287-6E24EA03207D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118" i="2" l="1"/>
  <c r="AB1117" i="2"/>
  <c r="AE1117" i="2" s="1"/>
  <c r="AI1117" i="2" s="1"/>
  <c r="AB1116" i="2"/>
  <c r="AE1116" i="2"/>
  <c r="AI1116" i="2" s="1"/>
  <c r="AG1115" i="2"/>
  <c r="AB1115" i="2"/>
  <c r="AE1115" i="2" s="1"/>
  <c r="AI1115" i="2" s="1"/>
  <c r="AG1114" i="2"/>
  <c r="AG1155" i="2" s="1"/>
  <c r="AB1114" i="2"/>
  <c r="AE1114" i="2" s="1"/>
  <c r="AI1114" i="2" s="1"/>
  <c r="AB1113" i="2"/>
  <c r="AB1112" i="2"/>
  <c r="AE1112" i="2"/>
  <c r="AI1112" i="2"/>
  <c r="AA1113" i="2"/>
  <c r="AE1113" i="2"/>
  <c r="AI1113" i="2"/>
  <c r="AA1114" i="2"/>
  <c r="AA1115" i="2" s="1"/>
  <c r="AA1116" i="2" s="1"/>
  <c r="AA1117" i="2" s="1"/>
  <c r="AA1118" i="2" s="1"/>
  <c r="AE1118" i="2"/>
  <c r="AI1118" i="2" s="1"/>
  <c r="AE1119" i="2"/>
  <c r="AI1119" i="2"/>
  <c r="AE1120" i="2"/>
  <c r="AI1120" i="2" s="1"/>
  <c r="AE1121" i="2"/>
  <c r="AI1121" i="2"/>
  <c r="AE1122" i="2"/>
  <c r="AI1122" i="2"/>
  <c r="AE1123" i="2"/>
  <c r="AI1123" i="2"/>
  <c r="AE1124" i="2"/>
  <c r="AI1124" i="2" s="1"/>
  <c r="AE1125" i="2"/>
  <c r="AI1125" i="2"/>
  <c r="AE1126" i="2"/>
  <c r="AI1126" i="2"/>
  <c r="AE1127" i="2"/>
  <c r="AI1127" i="2"/>
  <c r="AE1128" i="2"/>
  <c r="AI1128" i="2" s="1"/>
  <c r="AE1129" i="2"/>
  <c r="AI1129" i="2"/>
  <c r="AE1130" i="2"/>
  <c r="AI1130" i="2"/>
  <c r="AE1131" i="2"/>
  <c r="AI1131" i="2"/>
  <c r="AE1132" i="2"/>
  <c r="AI1132" i="2" s="1"/>
  <c r="AE1133" i="2"/>
  <c r="AI1133" i="2"/>
  <c r="AE1134" i="2"/>
  <c r="AI1134" i="2"/>
  <c r="AE1135" i="2"/>
  <c r="AI1135" i="2"/>
  <c r="AE1136" i="2"/>
  <c r="AI1136" i="2"/>
  <c r="AE1137" i="2"/>
  <c r="AI1137" i="2"/>
  <c r="AE1138" i="2"/>
  <c r="AI1138" i="2"/>
  <c r="AE1139" i="2"/>
  <c r="AI1139" i="2"/>
  <c r="AE1140" i="2"/>
  <c r="AI1140" i="2" s="1"/>
  <c r="AE1141" i="2"/>
  <c r="AI1141" i="2"/>
  <c r="AE1142" i="2"/>
  <c r="AI1142" i="2"/>
  <c r="AE1143" i="2"/>
  <c r="AI1143" i="2"/>
  <c r="AE1144" i="2"/>
  <c r="AI1144" i="2"/>
  <c r="AE1145" i="2"/>
  <c r="AI1145" i="2"/>
  <c r="AE1146" i="2"/>
  <c r="AI1146" i="2"/>
  <c r="AE1147" i="2"/>
  <c r="AI1147" i="2"/>
  <c r="AE1148" i="2"/>
  <c r="AI1148" i="2" s="1"/>
  <c r="AE1149" i="2"/>
  <c r="AI1149" i="2"/>
  <c r="AE1150" i="2"/>
  <c r="AI1150" i="2"/>
  <c r="AI1151" i="2"/>
  <c r="AE1152" i="2"/>
  <c r="AI1152" i="2"/>
  <c r="AI1153" i="2"/>
  <c r="AC1155" i="2"/>
  <c r="AD1155" i="2"/>
  <c r="AH1155" i="2"/>
  <c r="P1116" i="2"/>
  <c r="S1116" i="2" s="1"/>
  <c r="W1116" i="2" s="1"/>
  <c r="V1115" i="2"/>
  <c r="U1115" i="2"/>
  <c r="P1115" i="2"/>
  <c r="P1114" i="2"/>
  <c r="U1113" i="2"/>
  <c r="V1113" i="2"/>
  <c r="V1155" i="2" s="1"/>
  <c r="P1113" i="2"/>
  <c r="S1113" i="2" s="1"/>
  <c r="P1112" i="2"/>
  <c r="O1113" i="2"/>
  <c r="O1114" i="2" s="1"/>
  <c r="O1116" i="2" s="1"/>
  <c r="S1115" i="2"/>
  <c r="S1117" i="2"/>
  <c r="W1117" i="2" s="1"/>
  <c r="S1118" i="2"/>
  <c r="W1118" i="2" s="1"/>
  <c r="S1119" i="2"/>
  <c r="W1119" i="2" s="1"/>
  <c r="S1120" i="2"/>
  <c r="W1120" i="2" s="1"/>
  <c r="S1121" i="2"/>
  <c r="W1121" i="2" s="1"/>
  <c r="S1122" i="2"/>
  <c r="W1122" i="2"/>
  <c r="S1123" i="2"/>
  <c r="W1123" i="2"/>
  <c r="S1124" i="2"/>
  <c r="W1124" i="2"/>
  <c r="S1125" i="2"/>
  <c r="W1125" i="2"/>
  <c r="S1126" i="2"/>
  <c r="W1126" i="2" s="1"/>
  <c r="S1127" i="2"/>
  <c r="W1127" i="2"/>
  <c r="S1128" i="2"/>
  <c r="W1128" i="2"/>
  <c r="S1129" i="2"/>
  <c r="W1129" i="2"/>
  <c r="S1130" i="2"/>
  <c r="W1130" i="2"/>
  <c r="S1131" i="2"/>
  <c r="W1131" i="2"/>
  <c r="S1132" i="2"/>
  <c r="W1132" i="2"/>
  <c r="S1133" i="2"/>
  <c r="W1133" i="2"/>
  <c r="S1134" i="2"/>
  <c r="W1134" i="2"/>
  <c r="S1135" i="2"/>
  <c r="W1135" i="2"/>
  <c r="S1136" i="2"/>
  <c r="W1136" i="2"/>
  <c r="S1137" i="2"/>
  <c r="W1137" i="2"/>
  <c r="S1138" i="2"/>
  <c r="W1138" i="2"/>
  <c r="S1139" i="2"/>
  <c r="W1139" i="2"/>
  <c r="S1140" i="2"/>
  <c r="W1140" i="2"/>
  <c r="S1141" i="2"/>
  <c r="W1141" i="2"/>
  <c r="S1142" i="2"/>
  <c r="W1142" i="2"/>
  <c r="S1143" i="2"/>
  <c r="W1143" i="2"/>
  <c r="S1144" i="2"/>
  <c r="W1144" i="2"/>
  <c r="S1145" i="2"/>
  <c r="W1145" i="2"/>
  <c r="S1146" i="2"/>
  <c r="W1146" i="2"/>
  <c r="S1147" i="2"/>
  <c r="W1147" i="2"/>
  <c r="S1148" i="2"/>
  <c r="W1148" i="2"/>
  <c r="S1149" i="2"/>
  <c r="W1149" i="2"/>
  <c r="S1150" i="2"/>
  <c r="W1150" i="2"/>
  <c r="W1151" i="2"/>
  <c r="S1152" i="2"/>
  <c r="W1152" i="2" s="1"/>
  <c r="W1153" i="2"/>
  <c r="Q1155" i="2"/>
  <c r="R1155" i="2"/>
  <c r="D1122" i="2"/>
  <c r="C1122" i="2"/>
  <c r="D1121" i="2"/>
  <c r="D1120" i="2"/>
  <c r="D1119" i="2"/>
  <c r="G1119" i="2" s="1"/>
  <c r="K1119" i="2" s="1"/>
  <c r="D1118" i="2"/>
  <c r="G1118" i="2" s="1"/>
  <c r="K1118" i="2" s="1"/>
  <c r="D1117" i="2"/>
  <c r="G1117" i="2" s="1"/>
  <c r="K1117" i="2" s="1"/>
  <c r="D1116" i="2"/>
  <c r="I1115" i="2"/>
  <c r="D1115" i="2"/>
  <c r="G1115" i="2" s="1"/>
  <c r="I1114" i="2"/>
  <c r="D1114" i="2"/>
  <c r="G1114" i="2" s="1"/>
  <c r="J1113" i="2"/>
  <c r="D1113" i="2"/>
  <c r="I1112" i="2"/>
  <c r="D1112" i="2"/>
  <c r="G1112" i="2" s="1"/>
  <c r="K1112" i="2" s="1"/>
  <c r="C1113" i="2"/>
  <c r="G1113" i="2"/>
  <c r="K1113" i="2" s="1"/>
  <c r="C1114" i="2"/>
  <c r="C1115" i="2"/>
  <c r="C1116" i="2" s="1"/>
  <c r="C1117" i="2" s="1"/>
  <c r="C1118" i="2" s="1"/>
  <c r="C1119" i="2" s="1"/>
  <c r="C1120" i="2" s="1"/>
  <c r="C1121" i="2" s="1"/>
  <c r="G1116" i="2"/>
  <c r="K1116" i="2" s="1"/>
  <c r="G1120" i="2"/>
  <c r="K1120" i="2" s="1"/>
  <c r="G1121" i="2"/>
  <c r="K1121" i="2" s="1"/>
  <c r="G1122" i="2"/>
  <c r="K1122" i="2" s="1"/>
  <c r="G1123" i="2"/>
  <c r="K1123" i="2" s="1"/>
  <c r="G1124" i="2"/>
  <c r="K1124" i="2"/>
  <c r="G1125" i="2"/>
  <c r="K1125" i="2"/>
  <c r="G1126" i="2"/>
  <c r="K1126" i="2"/>
  <c r="G1127" i="2"/>
  <c r="K1127" i="2"/>
  <c r="G1128" i="2"/>
  <c r="K1128" i="2"/>
  <c r="G1129" i="2"/>
  <c r="K1129" i="2"/>
  <c r="G1130" i="2"/>
  <c r="K1130" i="2"/>
  <c r="G1131" i="2"/>
  <c r="K1131" i="2"/>
  <c r="G1132" i="2"/>
  <c r="K1132" i="2"/>
  <c r="G1133" i="2"/>
  <c r="K1133" i="2"/>
  <c r="G1134" i="2"/>
  <c r="K1134" i="2"/>
  <c r="G1135" i="2"/>
  <c r="K1135" i="2"/>
  <c r="G1136" i="2"/>
  <c r="K1136" i="2"/>
  <c r="G1137" i="2"/>
  <c r="K1137" i="2"/>
  <c r="G1138" i="2"/>
  <c r="K1138" i="2"/>
  <c r="G1139" i="2"/>
  <c r="K1139" i="2"/>
  <c r="G1140" i="2"/>
  <c r="K1140" i="2"/>
  <c r="G1141" i="2"/>
  <c r="K1141" i="2"/>
  <c r="G1142" i="2"/>
  <c r="K1142" i="2"/>
  <c r="G1143" i="2"/>
  <c r="K1143" i="2" s="1"/>
  <c r="G1144" i="2"/>
  <c r="K1144" i="2"/>
  <c r="G1145" i="2"/>
  <c r="K1145" i="2"/>
  <c r="G1152" i="2"/>
  <c r="K1152" i="2"/>
  <c r="E1155" i="2"/>
  <c r="F1155" i="2"/>
  <c r="AB1155" i="2" l="1"/>
  <c r="AE1155" i="2"/>
  <c r="AI1155" i="2"/>
  <c r="W1115" i="2"/>
  <c r="U1155" i="2"/>
  <c r="W1113" i="2"/>
  <c r="P1155" i="2"/>
  <c r="S1112" i="2"/>
  <c r="W1112" i="2" s="1"/>
  <c r="S1114" i="2"/>
  <c r="I1155" i="2"/>
  <c r="D1155" i="2"/>
  <c r="K1114" i="2"/>
  <c r="K1115" i="2"/>
  <c r="G1155" i="2"/>
  <c r="K1155" i="2"/>
  <c r="J1155" i="2"/>
  <c r="AB1061" i="2"/>
  <c r="AB1100" i="2" s="1"/>
  <c r="AB1060" i="2"/>
  <c r="AE1060" i="2" s="1"/>
  <c r="AI1060" i="2" s="1"/>
  <c r="AB1059" i="2"/>
  <c r="AG1058" i="2"/>
  <c r="AG1100" i="2" s="1"/>
  <c r="AB1058" i="2"/>
  <c r="AB1057" i="2"/>
  <c r="AE1057" i="2"/>
  <c r="AA1058" i="2"/>
  <c r="AE1058" i="2"/>
  <c r="AA1059" i="2"/>
  <c r="AA1060" i="2" s="1"/>
  <c r="AA1061" i="2" s="1"/>
  <c r="AE1059" i="2"/>
  <c r="AI1059" i="2" s="1"/>
  <c r="AE1062" i="2"/>
  <c r="AI1062" i="2" s="1"/>
  <c r="AE1063" i="2"/>
  <c r="AI1063" i="2" s="1"/>
  <c r="AE1064" i="2"/>
  <c r="AI1064" i="2" s="1"/>
  <c r="AE1065" i="2"/>
  <c r="AI1065" i="2"/>
  <c r="AE1066" i="2"/>
  <c r="AI1066" i="2"/>
  <c r="AE1067" i="2"/>
  <c r="AI1067" i="2"/>
  <c r="AE1068" i="2"/>
  <c r="AI1068" i="2"/>
  <c r="AE1069" i="2"/>
  <c r="AI1069" i="2"/>
  <c r="AE1070" i="2"/>
  <c r="AI1070" i="2" s="1"/>
  <c r="AE1071" i="2"/>
  <c r="AI1071" i="2"/>
  <c r="AE1072" i="2"/>
  <c r="AI1072" i="2"/>
  <c r="AE1073" i="2"/>
  <c r="AI1073" i="2"/>
  <c r="AE1074" i="2"/>
  <c r="AI1074" i="2"/>
  <c r="AE1075" i="2"/>
  <c r="AI1075" i="2"/>
  <c r="AE1076" i="2"/>
  <c r="AI1076" i="2"/>
  <c r="AE1077" i="2"/>
  <c r="AI1077" i="2"/>
  <c r="AE1078" i="2"/>
  <c r="AI1078" i="2"/>
  <c r="AE1079" i="2"/>
  <c r="AI1079" i="2"/>
  <c r="AE1080" i="2"/>
  <c r="AI1080" i="2"/>
  <c r="AE1081" i="2"/>
  <c r="AI1081" i="2"/>
  <c r="AE1082" i="2"/>
  <c r="AI1082" i="2"/>
  <c r="AE1083" i="2"/>
  <c r="AI1083" i="2"/>
  <c r="AE1084" i="2"/>
  <c r="AI1084" i="2"/>
  <c r="AE1085" i="2"/>
  <c r="AI1085" i="2"/>
  <c r="AE1086" i="2"/>
  <c r="AI1086" i="2"/>
  <c r="AE1087" i="2"/>
  <c r="AI1087" i="2"/>
  <c r="AE1088" i="2"/>
  <c r="AI1088" i="2"/>
  <c r="AE1089" i="2"/>
  <c r="AI1089" i="2"/>
  <c r="AE1090" i="2"/>
  <c r="AI1090" i="2"/>
  <c r="AE1091" i="2"/>
  <c r="AI1091" i="2"/>
  <c r="AE1092" i="2"/>
  <c r="AI1092" i="2"/>
  <c r="AE1093" i="2"/>
  <c r="AI1093" i="2"/>
  <c r="AE1094" i="2"/>
  <c r="AI1094" i="2" s="1"/>
  <c r="AE1095" i="2"/>
  <c r="AI1095" i="2"/>
  <c r="AI1096" i="2"/>
  <c r="AE1097" i="2"/>
  <c r="AI1097" i="2"/>
  <c r="AI1098" i="2"/>
  <c r="AC1100" i="2"/>
  <c r="AD1100" i="2"/>
  <c r="AH1100" i="2"/>
  <c r="V1067" i="2"/>
  <c r="U1067" i="2"/>
  <c r="P1067" i="2"/>
  <c r="P1066" i="2"/>
  <c r="P1065" i="2"/>
  <c r="S1065" i="2" s="1"/>
  <c r="W1065" i="2" s="1"/>
  <c r="P1064" i="2"/>
  <c r="P1063" i="2"/>
  <c r="P1062" i="2"/>
  <c r="S1062" i="2"/>
  <c r="W1062" i="2" s="1"/>
  <c r="P1061" i="2"/>
  <c r="S1061" i="2" s="1"/>
  <c r="W1061" i="2" s="1"/>
  <c r="P1060" i="2"/>
  <c r="S1060" i="2" s="1"/>
  <c r="W1060" i="2" s="1"/>
  <c r="P1059" i="2"/>
  <c r="P1058" i="2"/>
  <c r="P1057" i="2"/>
  <c r="S1057" i="2" s="1"/>
  <c r="O1063" i="2"/>
  <c r="O1064" i="2" s="1"/>
  <c r="O1065" i="2" s="1"/>
  <c r="O1066" i="2" s="1"/>
  <c r="O1067" i="2" s="1"/>
  <c r="O1058" i="2"/>
  <c r="O1059" i="2" s="1"/>
  <c r="O1060" i="2" s="1"/>
  <c r="O1061" i="2" s="1"/>
  <c r="S1059" i="2"/>
  <c r="U1100" i="2"/>
  <c r="V1100" i="2"/>
  <c r="W1059" i="2"/>
  <c r="S1063" i="2"/>
  <c r="W1063" i="2"/>
  <c r="S1064" i="2"/>
  <c r="W1064" i="2" s="1"/>
  <c r="S1066" i="2"/>
  <c r="W1066" i="2" s="1"/>
  <c r="S1067" i="2"/>
  <c r="W1067" i="2" s="1"/>
  <c r="S1068" i="2"/>
  <c r="W1068" i="2"/>
  <c r="S1069" i="2"/>
  <c r="W1069" i="2" s="1"/>
  <c r="S1070" i="2"/>
  <c r="W1070" i="2"/>
  <c r="S1071" i="2"/>
  <c r="W1071" i="2"/>
  <c r="S1072" i="2"/>
  <c r="W1072" i="2" s="1"/>
  <c r="S1073" i="2"/>
  <c r="W1073" i="2" s="1"/>
  <c r="S1074" i="2"/>
  <c r="W1074" i="2" s="1"/>
  <c r="S1075" i="2"/>
  <c r="W1075" i="2"/>
  <c r="S1076" i="2"/>
  <c r="W1076" i="2"/>
  <c r="S1077" i="2"/>
  <c r="W1077" i="2"/>
  <c r="S1078" i="2"/>
  <c r="W1078" i="2"/>
  <c r="S1079" i="2"/>
  <c r="W1079" i="2"/>
  <c r="S1080" i="2"/>
  <c r="W1080" i="2"/>
  <c r="S1081" i="2"/>
  <c r="W1081" i="2"/>
  <c r="S1082" i="2"/>
  <c r="W1082" i="2" s="1"/>
  <c r="S1083" i="2"/>
  <c r="W1083" i="2"/>
  <c r="S1084" i="2"/>
  <c r="W1084" i="2"/>
  <c r="S1085" i="2"/>
  <c r="W1085" i="2"/>
  <c r="S1086" i="2"/>
  <c r="W1086" i="2"/>
  <c r="S1087" i="2"/>
  <c r="W1087" i="2"/>
  <c r="S1088" i="2"/>
  <c r="W1088" i="2"/>
  <c r="S1089" i="2"/>
  <c r="W1089" i="2"/>
  <c r="S1090" i="2"/>
  <c r="W1090" i="2" s="1"/>
  <c r="S1091" i="2"/>
  <c r="W1091" i="2"/>
  <c r="S1092" i="2"/>
  <c r="W1092" i="2"/>
  <c r="S1093" i="2"/>
  <c r="W1093" i="2"/>
  <c r="S1094" i="2"/>
  <c r="W1094" i="2"/>
  <c r="S1095" i="2"/>
  <c r="W1095" i="2"/>
  <c r="W1096" i="2"/>
  <c r="S1097" i="2"/>
  <c r="W1097" i="2" s="1"/>
  <c r="W1098" i="2"/>
  <c r="Q1100" i="2"/>
  <c r="R1100" i="2"/>
  <c r="D1061" i="2"/>
  <c r="G1061" i="2" s="1"/>
  <c r="K1061" i="2" s="1"/>
  <c r="I1060" i="2"/>
  <c r="I1100" i="2" s="1"/>
  <c r="D1060" i="2"/>
  <c r="G1060" i="2"/>
  <c r="J1059" i="2"/>
  <c r="I1059" i="2"/>
  <c r="D1059" i="2"/>
  <c r="G1059" i="2" s="1"/>
  <c r="K1059" i="2" s="1"/>
  <c r="D1058" i="2"/>
  <c r="G1058" i="2" s="1"/>
  <c r="K1058" i="2" s="1"/>
  <c r="D1057" i="2"/>
  <c r="C1058" i="2"/>
  <c r="C1059" i="2" s="1"/>
  <c r="C1060" i="2" s="1"/>
  <c r="C1061" i="2" s="1"/>
  <c r="G1057" i="2"/>
  <c r="K1057" i="2" s="1"/>
  <c r="J1100" i="2"/>
  <c r="G1062" i="2"/>
  <c r="K1062" i="2"/>
  <c r="G1063" i="2"/>
  <c r="K1063" i="2"/>
  <c r="G1064" i="2"/>
  <c r="K1064" i="2"/>
  <c r="G1065" i="2"/>
  <c r="K1065" i="2"/>
  <c r="G1066" i="2"/>
  <c r="K1066" i="2"/>
  <c r="G1067" i="2"/>
  <c r="K1067" i="2"/>
  <c r="G1068" i="2"/>
  <c r="K1068" i="2"/>
  <c r="G1069" i="2"/>
  <c r="K1069" i="2" s="1"/>
  <c r="G1070" i="2"/>
  <c r="K1070" i="2"/>
  <c r="G1071" i="2"/>
  <c r="K1071" i="2"/>
  <c r="G1072" i="2"/>
  <c r="K1072" i="2" s="1"/>
  <c r="G1073" i="2"/>
  <c r="K1073" i="2" s="1"/>
  <c r="G1074" i="2"/>
  <c r="K1074" i="2"/>
  <c r="G1075" i="2"/>
  <c r="K1075" i="2"/>
  <c r="G1076" i="2"/>
  <c r="K1076" i="2"/>
  <c r="G1077" i="2"/>
  <c r="K1077" i="2" s="1"/>
  <c r="G1078" i="2"/>
  <c r="K1078" i="2"/>
  <c r="G1079" i="2"/>
  <c r="K1079" i="2"/>
  <c r="G1080" i="2"/>
  <c r="K1080" i="2"/>
  <c r="G1081" i="2"/>
  <c r="K1081" i="2"/>
  <c r="G1082" i="2"/>
  <c r="K1082" i="2"/>
  <c r="G1083" i="2"/>
  <c r="K1083" i="2"/>
  <c r="G1084" i="2"/>
  <c r="K1084" i="2"/>
  <c r="G1085" i="2"/>
  <c r="K1085" i="2" s="1"/>
  <c r="G1086" i="2"/>
  <c r="K1086" i="2"/>
  <c r="G1087" i="2"/>
  <c r="K1087" i="2"/>
  <c r="G1088" i="2"/>
  <c r="K1088" i="2"/>
  <c r="G1089" i="2"/>
  <c r="K1089" i="2"/>
  <c r="G1090" i="2"/>
  <c r="K1090" i="2"/>
  <c r="G1097" i="2"/>
  <c r="K1097" i="2"/>
  <c r="E1100" i="2"/>
  <c r="F1100" i="2"/>
  <c r="S1155" i="2" l="1"/>
  <c r="W1114" i="2"/>
  <c r="W1155" i="2" s="1"/>
  <c r="AE1061" i="2"/>
  <c r="AI1061" i="2" s="1"/>
  <c r="AI1058" i="2"/>
  <c r="AI1057" i="2"/>
  <c r="P1100" i="2"/>
  <c r="W1057" i="2"/>
  <c r="S1058" i="2"/>
  <c r="K1060" i="2"/>
  <c r="D1100" i="2"/>
  <c r="K1100" i="2"/>
  <c r="G1100" i="2"/>
  <c r="P1006" i="2"/>
  <c r="AE1100" i="2" l="1"/>
  <c r="AI1100" i="2"/>
  <c r="S1100" i="2"/>
  <c r="W1058" i="2"/>
  <c r="W1100" i="2" s="1"/>
  <c r="AB1004" i="2"/>
  <c r="AE1004" i="2" s="1"/>
  <c r="AI1004" i="2" s="1"/>
  <c r="AB1003" i="2"/>
  <c r="AG1002" i="2"/>
  <c r="AB1002" i="2"/>
  <c r="AE1002" i="2"/>
  <c r="AA1003" i="2"/>
  <c r="AA1004" i="2" s="1"/>
  <c r="AE1003" i="2"/>
  <c r="AI1003" i="2"/>
  <c r="AE1005" i="2"/>
  <c r="AI1005" i="2" s="1"/>
  <c r="AG1045" i="2"/>
  <c r="AE1006" i="2"/>
  <c r="AI1006" i="2" s="1"/>
  <c r="AE1007" i="2"/>
  <c r="AI1007" i="2" s="1"/>
  <c r="AE1008" i="2"/>
  <c r="AI1008" i="2" s="1"/>
  <c r="AE1009" i="2"/>
  <c r="AI1009" i="2" s="1"/>
  <c r="AE1010" i="2"/>
  <c r="AI1010" i="2" s="1"/>
  <c r="AE1011" i="2"/>
  <c r="AI1011" i="2"/>
  <c r="AE1012" i="2"/>
  <c r="AI1012" i="2"/>
  <c r="AE1013" i="2"/>
  <c r="AI1013" i="2"/>
  <c r="AE1014" i="2"/>
  <c r="AI1014" i="2"/>
  <c r="AE1015" i="2"/>
  <c r="AI1015" i="2" s="1"/>
  <c r="AE1016" i="2"/>
  <c r="AI1016" i="2"/>
  <c r="AE1017" i="2"/>
  <c r="AI1017" i="2"/>
  <c r="AE1018" i="2"/>
  <c r="AI1018" i="2" s="1"/>
  <c r="AE1019" i="2"/>
  <c r="AI1019" i="2"/>
  <c r="AE1020" i="2"/>
  <c r="AI1020" i="2"/>
  <c r="AE1021" i="2"/>
  <c r="AI1021" i="2"/>
  <c r="AE1022" i="2"/>
  <c r="AI1022" i="2"/>
  <c r="AE1023" i="2"/>
  <c r="AI1023" i="2" s="1"/>
  <c r="AE1024" i="2"/>
  <c r="AI1024" i="2"/>
  <c r="AE1025" i="2"/>
  <c r="AI1025" i="2"/>
  <c r="AE1026" i="2"/>
  <c r="AI1026" i="2" s="1"/>
  <c r="AE1027" i="2"/>
  <c r="AI1027" i="2"/>
  <c r="AE1028" i="2"/>
  <c r="AI1028" i="2"/>
  <c r="AE1029" i="2"/>
  <c r="AI1029" i="2"/>
  <c r="AE1030" i="2"/>
  <c r="AI1030" i="2"/>
  <c r="AE1031" i="2"/>
  <c r="AI1031" i="2" s="1"/>
  <c r="AE1032" i="2"/>
  <c r="AI1032" i="2"/>
  <c r="AE1033" i="2"/>
  <c r="AI1033" i="2"/>
  <c r="AE1034" i="2"/>
  <c r="AI1034" i="2" s="1"/>
  <c r="AE1035" i="2"/>
  <c r="AI1035" i="2"/>
  <c r="AE1036" i="2"/>
  <c r="AI1036" i="2"/>
  <c r="AE1037" i="2"/>
  <c r="AI1037" i="2"/>
  <c r="AE1038" i="2"/>
  <c r="AI1038" i="2"/>
  <c r="AE1039" i="2"/>
  <c r="AI1039" i="2" s="1"/>
  <c r="AE1040" i="2"/>
  <c r="AI1040" i="2"/>
  <c r="AI1041" i="2"/>
  <c r="AE1042" i="2"/>
  <c r="AI1042" i="2"/>
  <c r="AI1043" i="2"/>
  <c r="AC1045" i="2"/>
  <c r="AD1045" i="2"/>
  <c r="AH1045" i="2"/>
  <c r="P1008" i="2"/>
  <c r="P1007" i="2"/>
  <c r="U1006" i="2"/>
  <c r="P1005" i="2"/>
  <c r="O1005" i="2"/>
  <c r="O1006" i="2"/>
  <c r="V1004" i="2"/>
  <c r="U1004" i="2"/>
  <c r="P1004" i="2"/>
  <c r="V1003" i="2"/>
  <c r="P1003" i="2"/>
  <c r="U1002" i="2"/>
  <c r="P1002" i="2"/>
  <c r="D1006" i="2"/>
  <c r="D1005" i="2"/>
  <c r="J1004" i="2"/>
  <c r="I1004" i="2"/>
  <c r="D1004" i="2"/>
  <c r="D1003" i="2"/>
  <c r="D1002" i="2"/>
  <c r="AI1002" i="2" l="1"/>
  <c r="AI1045" i="2" s="1"/>
  <c r="AE1045" i="2"/>
  <c r="AB1045" i="2"/>
  <c r="U1045" i="2"/>
  <c r="P1045" i="2"/>
  <c r="S1002" i="2"/>
  <c r="W1002" i="2" s="1"/>
  <c r="O1003" i="2"/>
  <c r="S1003" i="2"/>
  <c r="O1004" i="2"/>
  <c r="S1004" i="2"/>
  <c r="W1004" i="2"/>
  <c r="S1006" i="2"/>
  <c r="W1006" i="2" s="1"/>
  <c r="S1007" i="2"/>
  <c r="W1007" i="2" s="1"/>
  <c r="S1008" i="2"/>
  <c r="W1008" i="2" s="1"/>
  <c r="S1009" i="2"/>
  <c r="W1009" i="2"/>
  <c r="S1010" i="2"/>
  <c r="W1010" i="2"/>
  <c r="S1011" i="2"/>
  <c r="W1011" i="2" s="1"/>
  <c r="S1012" i="2"/>
  <c r="W1012" i="2"/>
  <c r="S1013" i="2"/>
  <c r="W1013" i="2"/>
  <c r="S1014" i="2"/>
  <c r="W1014" i="2"/>
  <c r="S1015" i="2"/>
  <c r="W1015" i="2"/>
  <c r="S1016" i="2"/>
  <c r="W1016" i="2"/>
  <c r="S1017" i="2"/>
  <c r="W1017" i="2"/>
  <c r="S1018" i="2"/>
  <c r="W1018" i="2"/>
  <c r="S1019" i="2"/>
  <c r="W1019" i="2"/>
  <c r="S1020" i="2"/>
  <c r="W1020" i="2"/>
  <c r="S1021" i="2"/>
  <c r="W1021" i="2"/>
  <c r="S1022" i="2"/>
  <c r="W1022" i="2"/>
  <c r="S1023" i="2"/>
  <c r="W1023" i="2"/>
  <c r="S1024" i="2"/>
  <c r="W1024" i="2"/>
  <c r="S1025" i="2"/>
  <c r="W1025" i="2"/>
  <c r="S1026" i="2"/>
  <c r="W1026" i="2"/>
  <c r="S1027" i="2"/>
  <c r="W1027" i="2"/>
  <c r="S1028" i="2"/>
  <c r="W1028" i="2"/>
  <c r="S1029" i="2"/>
  <c r="W1029" i="2"/>
  <c r="S1030" i="2"/>
  <c r="W1030" i="2"/>
  <c r="S1031" i="2"/>
  <c r="W1031" i="2"/>
  <c r="S1032" i="2"/>
  <c r="W1032" i="2"/>
  <c r="S1033" i="2"/>
  <c r="W1033" i="2"/>
  <c r="S1034" i="2"/>
  <c r="W1034" i="2"/>
  <c r="S1035" i="2"/>
  <c r="W1035" i="2"/>
  <c r="S1036" i="2"/>
  <c r="W1036" i="2"/>
  <c r="S1037" i="2"/>
  <c r="W1037" i="2"/>
  <c r="S1038" i="2"/>
  <c r="W1038" i="2"/>
  <c r="S1039" i="2"/>
  <c r="W1039" i="2"/>
  <c r="S1040" i="2"/>
  <c r="W1040" i="2"/>
  <c r="W1041" i="2"/>
  <c r="S1042" i="2"/>
  <c r="W1042" i="2"/>
  <c r="W1043" i="2"/>
  <c r="Q1045" i="2"/>
  <c r="R1045" i="2"/>
  <c r="V1045" i="2"/>
  <c r="G1002" i="2"/>
  <c r="C1004" i="2"/>
  <c r="C1005" i="2" s="1"/>
  <c r="C1006" i="2" s="1"/>
  <c r="G1003" i="2"/>
  <c r="K1003" i="2"/>
  <c r="G1004" i="2"/>
  <c r="K1004" i="2" s="1"/>
  <c r="I1045" i="2"/>
  <c r="G1005" i="2"/>
  <c r="K1005" i="2" s="1"/>
  <c r="G1006" i="2"/>
  <c r="K1006" i="2"/>
  <c r="G1007" i="2"/>
  <c r="K1007" i="2" s="1"/>
  <c r="G1008" i="2"/>
  <c r="K1008" i="2"/>
  <c r="G1009" i="2"/>
  <c r="K1009" i="2" s="1"/>
  <c r="G1010" i="2"/>
  <c r="K1010" i="2"/>
  <c r="G1011" i="2"/>
  <c r="K1011" i="2" s="1"/>
  <c r="G1012" i="2"/>
  <c r="K1012" i="2" s="1"/>
  <c r="G1013" i="2"/>
  <c r="K1013" i="2"/>
  <c r="G1014" i="2"/>
  <c r="K1014" i="2" s="1"/>
  <c r="G1015" i="2"/>
  <c r="K1015" i="2"/>
  <c r="G1016" i="2"/>
  <c r="K1016" i="2"/>
  <c r="G1017" i="2"/>
  <c r="K1017" i="2" s="1"/>
  <c r="G1018" i="2"/>
  <c r="K1018" i="2"/>
  <c r="G1019" i="2"/>
  <c r="K1019" i="2"/>
  <c r="G1020" i="2"/>
  <c r="K1020" i="2"/>
  <c r="G1021" i="2"/>
  <c r="K1021" i="2"/>
  <c r="G1022" i="2"/>
  <c r="K1022" i="2" s="1"/>
  <c r="G1023" i="2"/>
  <c r="K1023" i="2"/>
  <c r="G1024" i="2"/>
  <c r="K1024" i="2"/>
  <c r="G1025" i="2"/>
  <c r="K1025" i="2" s="1"/>
  <c r="G1026" i="2"/>
  <c r="K1026" i="2"/>
  <c r="G1027" i="2"/>
  <c r="K1027" i="2"/>
  <c r="G1028" i="2"/>
  <c r="K1028" i="2"/>
  <c r="G1029" i="2"/>
  <c r="K1029" i="2"/>
  <c r="G1030" i="2"/>
  <c r="K1030" i="2" s="1"/>
  <c r="G1031" i="2"/>
  <c r="K1031" i="2"/>
  <c r="G1032" i="2"/>
  <c r="K1032" i="2"/>
  <c r="G1033" i="2"/>
  <c r="K1033" i="2" s="1"/>
  <c r="G1034" i="2"/>
  <c r="K1034" i="2"/>
  <c r="G1035" i="2"/>
  <c r="K1035" i="2"/>
  <c r="G1042" i="2"/>
  <c r="K1042" i="2"/>
  <c r="D1045" i="2"/>
  <c r="E1045" i="2"/>
  <c r="F1045" i="2"/>
  <c r="J1045" i="2"/>
  <c r="S1005" i="2" l="1"/>
  <c r="W1005" i="2" s="1"/>
  <c r="W1003" i="2"/>
  <c r="G1045" i="2"/>
  <c r="K1002" i="2"/>
  <c r="K1045" i="2" s="1"/>
  <c r="AB956" i="2"/>
  <c r="AG955" i="2"/>
  <c r="AB955" i="2"/>
  <c r="AG954" i="2"/>
  <c r="AB954" i="2"/>
  <c r="AB953" i="2"/>
  <c r="AE953" i="2" s="1"/>
  <c r="AI953" i="2" s="1"/>
  <c r="AB952" i="2"/>
  <c r="AE952" i="2" s="1"/>
  <c r="AI952" i="2" s="1"/>
  <c r="AG951" i="2"/>
  <c r="AB951" i="2"/>
  <c r="AE951" i="2" s="1"/>
  <c r="AG950" i="2"/>
  <c r="AB950" i="2"/>
  <c r="AB949" i="2"/>
  <c r="AB948" i="2"/>
  <c r="AB947" i="2"/>
  <c r="AA952" i="2"/>
  <c r="AA953" i="2" s="1"/>
  <c r="AA954" i="2" s="1"/>
  <c r="AA955" i="2" s="1"/>
  <c r="AA956" i="2" s="1"/>
  <c r="AE947" i="2"/>
  <c r="AI947" i="2"/>
  <c r="AA948" i="2"/>
  <c r="AA949" i="2" s="1"/>
  <c r="AA950" i="2" s="1"/>
  <c r="AA951" i="2" s="1"/>
  <c r="AE948" i="2"/>
  <c r="AE949" i="2"/>
  <c r="AI949" i="2" s="1"/>
  <c r="AE954" i="2"/>
  <c r="AI954" i="2"/>
  <c r="AE955" i="2"/>
  <c r="AI955" i="2" s="1"/>
  <c r="AE956" i="2"/>
  <c r="AI956" i="2"/>
  <c r="AE957" i="2"/>
  <c r="AI957" i="2"/>
  <c r="AE958" i="2"/>
  <c r="AI958" i="2" s="1"/>
  <c r="AE959" i="2"/>
  <c r="AI959" i="2"/>
  <c r="AE960" i="2"/>
  <c r="AI960" i="2"/>
  <c r="AE961" i="2"/>
  <c r="AI961" i="2"/>
  <c r="AE962" i="2"/>
  <c r="AI962" i="2"/>
  <c r="AE963" i="2"/>
  <c r="AI963" i="2"/>
  <c r="AE964" i="2"/>
  <c r="AI964" i="2" s="1"/>
  <c r="AE965" i="2"/>
  <c r="AI965" i="2"/>
  <c r="AE966" i="2"/>
  <c r="AI966" i="2" s="1"/>
  <c r="AE967" i="2"/>
  <c r="AI967" i="2"/>
  <c r="AE968" i="2"/>
  <c r="AI968" i="2"/>
  <c r="AE969" i="2"/>
  <c r="AI969" i="2"/>
  <c r="AE970" i="2"/>
  <c r="AI970" i="2"/>
  <c r="AE971" i="2"/>
  <c r="AI971" i="2"/>
  <c r="AE972" i="2"/>
  <c r="AI972" i="2"/>
  <c r="AE973" i="2"/>
  <c r="AI973" i="2"/>
  <c r="AE974" i="2"/>
  <c r="AI974" i="2" s="1"/>
  <c r="AE975" i="2"/>
  <c r="AI975" i="2"/>
  <c r="AE976" i="2"/>
  <c r="AI976" i="2"/>
  <c r="AE977" i="2"/>
  <c r="AI977" i="2"/>
  <c r="AE978" i="2"/>
  <c r="AI978" i="2"/>
  <c r="AE979" i="2"/>
  <c r="AI979" i="2"/>
  <c r="AE980" i="2"/>
  <c r="AI980" i="2"/>
  <c r="AE981" i="2"/>
  <c r="AI981" i="2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C990" i="2"/>
  <c r="AD990" i="2"/>
  <c r="AH990" i="2"/>
  <c r="V952" i="2"/>
  <c r="U952" i="2"/>
  <c r="P952" i="2"/>
  <c r="S952" i="2" s="1"/>
  <c r="U951" i="2"/>
  <c r="P951" i="2"/>
  <c r="S951" i="2" s="1"/>
  <c r="P950" i="2"/>
  <c r="P949" i="2"/>
  <c r="P948" i="2"/>
  <c r="S948" i="2" s="1"/>
  <c r="W948" i="2" s="1"/>
  <c r="P947" i="2"/>
  <c r="S947" i="2"/>
  <c r="W947" i="2" s="1"/>
  <c r="O948" i="2"/>
  <c r="O949" i="2"/>
  <c r="O950" i="2" s="1"/>
  <c r="O951" i="2" s="1"/>
  <c r="O952" i="2" s="1"/>
  <c r="S949" i="2"/>
  <c r="W949" i="2" s="1"/>
  <c r="S950" i="2"/>
  <c r="W950" i="2" s="1"/>
  <c r="S953" i="2"/>
  <c r="W953" i="2" s="1"/>
  <c r="S954" i="2"/>
  <c r="W954" i="2" s="1"/>
  <c r="S955" i="2"/>
  <c r="W955" i="2" s="1"/>
  <c r="S956" i="2"/>
  <c r="W956" i="2"/>
  <c r="S957" i="2"/>
  <c r="W957" i="2"/>
  <c r="S958" i="2"/>
  <c r="W958" i="2" s="1"/>
  <c r="S959" i="2"/>
  <c r="W959" i="2"/>
  <c r="S960" i="2"/>
  <c r="W960" i="2"/>
  <c r="S961" i="2"/>
  <c r="W961" i="2" s="1"/>
  <c r="S962" i="2"/>
  <c r="W962" i="2"/>
  <c r="S963" i="2"/>
  <c r="W963" i="2"/>
  <c r="S964" i="2"/>
  <c r="W964" i="2"/>
  <c r="S965" i="2"/>
  <c r="W965" i="2"/>
  <c r="S966" i="2"/>
  <c r="W966" i="2" s="1"/>
  <c r="S967" i="2"/>
  <c r="W967" i="2"/>
  <c r="S968" i="2"/>
  <c r="W968" i="2"/>
  <c r="S969" i="2"/>
  <c r="W969" i="2"/>
  <c r="S970" i="2"/>
  <c r="W970" i="2"/>
  <c r="S971" i="2"/>
  <c r="W971" i="2"/>
  <c r="S972" i="2"/>
  <c r="W972" i="2"/>
  <c r="S973" i="2"/>
  <c r="W973" i="2"/>
  <c r="S974" i="2"/>
  <c r="W974" i="2"/>
  <c r="S975" i="2"/>
  <c r="W975" i="2"/>
  <c r="S976" i="2"/>
  <c r="W976" i="2"/>
  <c r="S977" i="2"/>
  <c r="W977" i="2"/>
  <c r="S978" i="2"/>
  <c r="W978" i="2"/>
  <c r="S979" i="2"/>
  <c r="W979" i="2"/>
  <c r="S980" i="2"/>
  <c r="W980" i="2"/>
  <c r="S981" i="2"/>
  <c r="W981" i="2"/>
  <c r="S982" i="2"/>
  <c r="W982" i="2"/>
  <c r="S983" i="2"/>
  <c r="W983" i="2"/>
  <c r="S984" i="2"/>
  <c r="W984" i="2"/>
  <c r="S985" i="2"/>
  <c r="W985" i="2"/>
  <c r="W986" i="2"/>
  <c r="S987" i="2"/>
  <c r="W987" i="2"/>
  <c r="W988" i="2"/>
  <c r="Q990" i="2"/>
  <c r="R990" i="2"/>
  <c r="V990" i="2"/>
  <c r="D957" i="2"/>
  <c r="G957" i="2" s="1"/>
  <c r="K957" i="2" s="1"/>
  <c r="D956" i="2"/>
  <c r="G956" i="2" s="1"/>
  <c r="K956" i="2" s="1"/>
  <c r="I955" i="2"/>
  <c r="D955" i="2"/>
  <c r="G955" i="2" s="1"/>
  <c r="K955" i="2" s="1"/>
  <c r="D954" i="2"/>
  <c r="D953" i="2"/>
  <c r="D952" i="2"/>
  <c r="G952" i="2" s="1"/>
  <c r="K952" i="2" s="1"/>
  <c r="D951" i="2"/>
  <c r="G951" i="2" s="1"/>
  <c r="K951" i="2" s="1"/>
  <c r="I950" i="2"/>
  <c r="D950" i="2"/>
  <c r="I949" i="2"/>
  <c r="D949" i="2"/>
  <c r="G949" i="2" s="1"/>
  <c r="D948" i="2"/>
  <c r="G948" i="2"/>
  <c r="K948" i="2" s="1"/>
  <c r="D947" i="2"/>
  <c r="G947" i="2" s="1"/>
  <c r="K947" i="2" s="1"/>
  <c r="C954" i="2"/>
  <c r="C955" i="2" s="1"/>
  <c r="C956" i="2" s="1"/>
  <c r="C957" i="2" s="1"/>
  <c r="C948" i="2"/>
  <c r="C949" i="2"/>
  <c r="C950" i="2" s="1"/>
  <c r="C951" i="2" s="1"/>
  <c r="C952" i="2" s="1"/>
  <c r="C953" i="2" s="1"/>
  <c r="G950" i="2"/>
  <c r="J990" i="2"/>
  <c r="G953" i="2"/>
  <c r="K953" i="2" s="1"/>
  <c r="G954" i="2"/>
  <c r="K954" i="2"/>
  <c r="G958" i="2"/>
  <c r="K958" i="2"/>
  <c r="G959" i="2"/>
  <c r="K959" i="2"/>
  <c r="G960" i="2"/>
  <c r="K960" i="2" s="1"/>
  <c r="G961" i="2"/>
  <c r="K961" i="2" s="1"/>
  <c r="G962" i="2"/>
  <c r="K962" i="2"/>
  <c r="G963" i="2"/>
  <c r="K963" i="2"/>
  <c r="G964" i="2"/>
  <c r="K964" i="2" s="1"/>
  <c r="G965" i="2"/>
  <c r="K965" i="2"/>
  <c r="G966" i="2"/>
  <c r="K966" i="2"/>
  <c r="G967" i="2"/>
  <c r="K967" i="2"/>
  <c r="G968" i="2"/>
  <c r="K968" i="2" s="1"/>
  <c r="G969" i="2"/>
  <c r="K969" i="2" s="1"/>
  <c r="G970" i="2"/>
  <c r="K970" i="2"/>
  <c r="G971" i="2"/>
  <c r="K971" i="2"/>
  <c r="G972" i="2"/>
  <c r="K972" i="2" s="1"/>
  <c r="G973" i="2"/>
  <c r="K973" i="2"/>
  <c r="G974" i="2"/>
  <c r="K974" i="2"/>
  <c r="G975" i="2"/>
  <c r="K975" i="2"/>
  <c r="G976" i="2"/>
  <c r="K976" i="2"/>
  <c r="G977" i="2"/>
  <c r="K977" i="2" s="1"/>
  <c r="G978" i="2"/>
  <c r="K978" i="2"/>
  <c r="G979" i="2"/>
  <c r="K979" i="2"/>
  <c r="G980" i="2"/>
  <c r="K980" i="2" s="1"/>
  <c r="G987" i="2"/>
  <c r="K987" i="2"/>
  <c r="E990" i="2"/>
  <c r="F990" i="2"/>
  <c r="W1045" i="2" l="1"/>
  <c r="S1045" i="2"/>
  <c r="AG990" i="2"/>
  <c r="AI951" i="2"/>
  <c r="AB990" i="2"/>
  <c r="AE950" i="2"/>
  <c r="AI950" i="2" s="1"/>
  <c r="AI948" i="2"/>
  <c r="U990" i="2"/>
  <c r="W952" i="2"/>
  <c r="W990" i="2" s="1"/>
  <c r="W951" i="2"/>
  <c r="P990" i="2"/>
  <c r="S990" i="2"/>
  <c r="K950" i="2"/>
  <c r="K990" i="2" s="1"/>
  <c r="I990" i="2"/>
  <c r="K949" i="2"/>
  <c r="D990" i="2"/>
  <c r="G990" i="2"/>
  <c r="AB896" i="2"/>
  <c r="AB895" i="2"/>
  <c r="AE895" i="2" s="1"/>
  <c r="AI895" i="2" s="1"/>
  <c r="AB894" i="2"/>
  <c r="AE894" i="2" s="1"/>
  <c r="AI894" i="2" s="1"/>
  <c r="AB893" i="2"/>
  <c r="AE893" i="2" s="1"/>
  <c r="AI893" i="2" s="1"/>
  <c r="AB892" i="2"/>
  <c r="AE892" i="2" s="1"/>
  <c r="AI892" i="2" s="1"/>
  <c r="AA893" i="2"/>
  <c r="AA894" i="2"/>
  <c r="AA895" i="2" s="1"/>
  <c r="AA896" i="2" s="1"/>
  <c r="AE896" i="2"/>
  <c r="AI896" i="2" s="1"/>
  <c r="AE897" i="2"/>
  <c r="AE898" i="2"/>
  <c r="AI898" i="2" s="1"/>
  <c r="AE899" i="2"/>
  <c r="AI899" i="2" s="1"/>
  <c r="AE900" i="2"/>
  <c r="AI900" i="2" s="1"/>
  <c r="AE901" i="2"/>
  <c r="AI901" i="2"/>
  <c r="AE902" i="2"/>
  <c r="AI902" i="2"/>
  <c r="AE903" i="2"/>
  <c r="AI903" i="2" s="1"/>
  <c r="AE904" i="2"/>
  <c r="AI904" i="2" s="1"/>
  <c r="AE905" i="2"/>
  <c r="AI905" i="2" s="1"/>
  <c r="AE906" i="2"/>
  <c r="AI906" i="2"/>
  <c r="AE907" i="2"/>
  <c r="AI907" i="2" s="1"/>
  <c r="AE908" i="2"/>
  <c r="AI908" i="2"/>
  <c r="AE909" i="2"/>
  <c r="AI909" i="2"/>
  <c r="AE910" i="2"/>
  <c r="AI910" i="2"/>
  <c r="AE911" i="2"/>
  <c r="AI911" i="2" s="1"/>
  <c r="AE912" i="2"/>
  <c r="AI912" i="2" s="1"/>
  <c r="AE913" i="2"/>
  <c r="AI913" i="2" s="1"/>
  <c r="AE914" i="2"/>
  <c r="AI914" i="2"/>
  <c r="AE915" i="2"/>
  <c r="AI915" i="2" s="1"/>
  <c r="AE916" i="2"/>
  <c r="AI916" i="2"/>
  <c r="AE917" i="2"/>
  <c r="AI917" i="2"/>
  <c r="AE918" i="2"/>
  <c r="AI918" i="2"/>
  <c r="AE919" i="2"/>
  <c r="AI919" i="2" s="1"/>
  <c r="AE920" i="2"/>
  <c r="AI920" i="2" s="1"/>
  <c r="AE921" i="2"/>
  <c r="AI921" i="2" s="1"/>
  <c r="AE922" i="2"/>
  <c r="AI922" i="2"/>
  <c r="AE923" i="2"/>
  <c r="AI923" i="2" s="1"/>
  <c r="AE924" i="2"/>
  <c r="AI924" i="2"/>
  <c r="AE925" i="2"/>
  <c r="AI925" i="2"/>
  <c r="AE926" i="2"/>
  <c r="AI926" i="2"/>
  <c r="AE927" i="2"/>
  <c r="AI927" i="2" s="1"/>
  <c r="AE928" i="2"/>
  <c r="AI928" i="2" s="1"/>
  <c r="AE929" i="2"/>
  <c r="AI929" i="2" s="1"/>
  <c r="AE930" i="2"/>
  <c r="AI930" i="2"/>
  <c r="AI931" i="2"/>
  <c r="AE932" i="2"/>
  <c r="AI932" i="2"/>
  <c r="AI933" i="2"/>
  <c r="AC935" i="2"/>
  <c r="AD935" i="2"/>
  <c r="AG935" i="2"/>
  <c r="AH935" i="2"/>
  <c r="P911" i="2"/>
  <c r="S911" i="2" s="1"/>
  <c r="W911" i="2" s="1"/>
  <c r="O911" i="2"/>
  <c r="P910" i="2"/>
  <c r="S910" i="2" s="1"/>
  <c r="W910" i="2" s="1"/>
  <c r="P909" i="2"/>
  <c r="P908" i="2"/>
  <c r="U907" i="2"/>
  <c r="P907" i="2"/>
  <c r="P906" i="2"/>
  <c r="S906" i="2" s="1"/>
  <c r="W906" i="2" s="1"/>
  <c r="P905" i="2"/>
  <c r="S905" i="2" s="1"/>
  <c r="W905" i="2" s="1"/>
  <c r="P904" i="2"/>
  <c r="S904" i="2" s="1"/>
  <c r="W904" i="2" s="1"/>
  <c r="P903" i="2"/>
  <c r="S903" i="2" s="1"/>
  <c r="W903" i="2" s="1"/>
  <c r="P902" i="2"/>
  <c r="S902" i="2" s="1"/>
  <c r="W902" i="2" s="1"/>
  <c r="P901" i="2"/>
  <c r="S901" i="2" s="1"/>
  <c r="W901" i="2" s="1"/>
  <c r="U900" i="2"/>
  <c r="P900" i="2"/>
  <c r="U899" i="2"/>
  <c r="P899" i="2"/>
  <c r="P898" i="2"/>
  <c r="P897" i="2"/>
  <c r="U896" i="2"/>
  <c r="P896" i="2"/>
  <c r="P895" i="2"/>
  <c r="S895" i="2" s="1"/>
  <c r="W895" i="2" s="1"/>
  <c r="P894" i="2"/>
  <c r="S894" i="2" s="1"/>
  <c r="W894" i="2" s="1"/>
  <c r="P893" i="2"/>
  <c r="U892" i="2"/>
  <c r="P892" i="2"/>
  <c r="S892" i="2" s="1"/>
  <c r="W892" i="2" s="1"/>
  <c r="O900" i="2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893" i="2"/>
  <c r="O894" i="2" s="1"/>
  <c r="O895" i="2" s="1"/>
  <c r="O896" i="2" s="1"/>
  <c r="O897" i="2" s="1"/>
  <c r="O898" i="2" s="1"/>
  <c r="O899" i="2" s="1"/>
  <c r="S893" i="2"/>
  <c r="W893" i="2" s="1"/>
  <c r="S896" i="2"/>
  <c r="S897" i="2"/>
  <c r="W897" i="2" s="1"/>
  <c r="S898" i="2"/>
  <c r="W898" i="2" s="1"/>
  <c r="V935" i="2"/>
  <c r="S899" i="2"/>
  <c r="W899" i="2" s="1"/>
  <c r="S900" i="2"/>
  <c r="W900" i="2" s="1"/>
  <c r="S907" i="2"/>
  <c r="W907" i="2" s="1"/>
  <c r="S908" i="2"/>
  <c r="W908" i="2" s="1"/>
  <c r="S909" i="2"/>
  <c r="W909" i="2" s="1"/>
  <c r="S912" i="2"/>
  <c r="W912" i="2" s="1"/>
  <c r="S913" i="2"/>
  <c r="W913" i="2"/>
  <c r="S914" i="2"/>
  <c r="W914" i="2" s="1"/>
  <c r="S915" i="2"/>
  <c r="W915" i="2"/>
  <c r="S916" i="2"/>
  <c r="W916" i="2" s="1"/>
  <c r="S917" i="2"/>
  <c r="W917" i="2"/>
  <c r="S918" i="2"/>
  <c r="W918" i="2"/>
  <c r="S919" i="2"/>
  <c r="W919" i="2" s="1"/>
  <c r="S920" i="2"/>
  <c r="W920" i="2" s="1"/>
  <c r="S921" i="2"/>
  <c r="W921" i="2"/>
  <c r="S922" i="2"/>
  <c r="W922" i="2" s="1"/>
  <c r="S923" i="2"/>
  <c r="W923" i="2"/>
  <c r="S924" i="2"/>
  <c r="W924" i="2" s="1"/>
  <c r="S925" i="2"/>
  <c r="W925" i="2"/>
  <c r="S926" i="2"/>
  <c r="W926" i="2"/>
  <c r="S927" i="2"/>
  <c r="W927" i="2" s="1"/>
  <c r="S928" i="2"/>
  <c r="W928" i="2" s="1"/>
  <c r="S929" i="2"/>
  <c r="W929" i="2"/>
  <c r="S930" i="2"/>
  <c r="W930" i="2" s="1"/>
  <c r="W931" i="2"/>
  <c r="S932" i="2"/>
  <c r="W932" i="2"/>
  <c r="W933" i="2"/>
  <c r="Q935" i="2"/>
  <c r="R935" i="2"/>
  <c r="D898" i="2"/>
  <c r="D897" i="2"/>
  <c r="G897" i="2" s="1"/>
  <c r="K897" i="2" s="1"/>
  <c r="J896" i="2"/>
  <c r="I896" i="2"/>
  <c r="D896" i="2"/>
  <c r="G896" i="2" s="1"/>
  <c r="K896" i="2" s="1"/>
  <c r="D895" i="2"/>
  <c r="G895" i="2" s="1"/>
  <c r="K895" i="2" s="1"/>
  <c r="D894" i="2"/>
  <c r="I893" i="2"/>
  <c r="D893" i="2"/>
  <c r="G893" i="2" s="1"/>
  <c r="K893" i="2" s="1"/>
  <c r="I892" i="2"/>
  <c r="D892" i="2"/>
  <c r="G892" i="2"/>
  <c r="C893" i="2"/>
  <c r="C894" i="2" s="1"/>
  <c r="C895" i="2" s="1"/>
  <c r="C896" i="2" s="1"/>
  <c r="C897" i="2" s="1"/>
  <c r="C898" i="2" s="1"/>
  <c r="G894" i="2"/>
  <c r="K894" i="2" s="1"/>
  <c r="G898" i="2"/>
  <c r="K898" i="2" s="1"/>
  <c r="G899" i="2"/>
  <c r="K899" i="2"/>
  <c r="G900" i="2"/>
  <c r="K900" i="2" s="1"/>
  <c r="G901" i="2"/>
  <c r="K901" i="2"/>
  <c r="G902" i="2"/>
  <c r="K902" i="2"/>
  <c r="G903" i="2"/>
  <c r="K903" i="2" s="1"/>
  <c r="G904" i="2"/>
  <c r="K904" i="2" s="1"/>
  <c r="G905" i="2"/>
  <c r="K905" i="2"/>
  <c r="G906" i="2"/>
  <c r="K906" i="2" s="1"/>
  <c r="G907" i="2"/>
  <c r="K907" i="2"/>
  <c r="G908" i="2"/>
  <c r="K908" i="2" s="1"/>
  <c r="G909" i="2"/>
  <c r="K909" i="2"/>
  <c r="G910" i="2"/>
  <c r="K910" i="2"/>
  <c r="G911" i="2"/>
  <c r="K911" i="2"/>
  <c r="G912" i="2"/>
  <c r="K912" i="2"/>
  <c r="G913" i="2"/>
  <c r="K913" i="2"/>
  <c r="G914" i="2"/>
  <c r="K914" i="2" s="1"/>
  <c r="G915" i="2"/>
  <c r="K915" i="2"/>
  <c r="G916" i="2"/>
  <c r="K916" i="2" s="1"/>
  <c r="G917" i="2"/>
  <c r="K917" i="2"/>
  <c r="G918" i="2"/>
  <c r="K918" i="2"/>
  <c r="G919" i="2"/>
  <c r="K919" i="2"/>
  <c r="G920" i="2"/>
  <c r="K920" i="2"/>
  <c r="G921" i="2"/>
  <c r="K921" i="2"/>
  <c r="G922" i="2"/>
  <c r="K922" i="2" s="1"/>
  <c r="G923" i="2"/>
  <c r="K923" i="2"/>
  <c r="G924" i="2"/>
  <c r="K924" i="2" s="1"/>
  <c r="G925" i="2"/>
  <c r="K925" i="2"/>
  <c r="G932" i="2"/>
  <c r="K932" i="2"/>
  <c r="E935" i="2"/>
  <c r="F935" i="2"/>
  <c r="J935" i="2"/>
  <c r="AI990" i="2" l="1"/>
  <c r="AE990" i="2"/>
  <c r="AB935" i="2"/>
  <c r="AE935" i="2"/>
  <c r="AI897" i="2"/>
  <c r="AI935" i="2" s="1"/>
  <c r="U935" i="2"/>
  <c r="P935" i="2"/>
  <c r="S935" i="2"/>
  <c r="W896" i="2"/>
  <c r="W935" i="2" s="1"/>
  <c r="I935" i="2"/>
  <c r="D935" i="2"/>
  <c r="K892" i="2"/>
  <c r="K935" i="2" s="1"/>
  <c r="G935" i="2"/>
  <c r="AG846" i="2"/>
  <c r="AB846" i="2"/>
  <c r="AG845" i="2"/>
  <c r="AB845" i="2"/>
  <c r="AE845" i="2" s="1"/>
  <c r="AI845" i="2" s="1"/>
  <c r="AB844" i="2"/>
  <c r="AE844" i="2" s="1"/>
  <c r="AI844" i="2" s="1"/>
  <c r="AG843" i="2"/>
  <c r="AG880" i="2" s="1"/>
  <c r="AB843" i="2"/>
  <c r="AB842" i="2"/>
  <c r="AE842" i="2" s="1"/>
  <c r="AI842" i="2" s="1"/>
  <c r="AG841" i="2"/>
  <c r="AB841" i="2"/>
  <c r="AB840" i="2"/>
  <c r="AB839" i="2"/>
  <c r="AG838" i="2"/>
  <c r="AB838" i="2"/>
  <c r="AG837" i="2"/>
  <c r="AB837" i="2"/>
  <c r="AE837" i="2"/>
  <c r="AI837" i="2" s="1"/>
  <c r="AA838" i="2"/>
  <c r="AA839" i="2" s="1"/>
  <c r="AA840" i="2" s="1"/>
  <c r="AA841" i="2" s="1"/>
  <c r="AA842" i="2" s="1"/>
  <c r="AA843" i="2" s="1"/>
  <c r="AA844" i="2" s="1"/>
  <c r="AA845" i="2" s="1"/>
  <c r="AA846" i="2" s="1"/>
  <c r="AE838" i="2"/>
  <c r="AI838" i="2" s="1"/>
  <c r="AE839" i="2"/>
  <c r="AI839" i="2" s="1"/>
  <c r="AH880" i="2"/>
  <c r="AE840" i="2"/>
  <c r="AE841" i="2"/>
  <c r="AI841" i="2" s="1"/>
  <c r="AE843" i="2"/>
  <c r="AE846" i="2"/>
  <c r="AI846" i="2"/>
  <c r="AE847" i="2"/>
  <c r="AI847" i="2"/>
  <c r="AE848" i="2"/>
  <c r="AI848" i="2"/>
  <c r="AE849" i="2"/>
  <c r="AI849" i="2"/>
  <c r="AE850" i="2"/>
  <c r="AI850" i="2"/>
  <c r="AE851" i="2"/>
  <c r="AI851" i="2" s="1"/>
  <c r="AE852" i="2"/>
  <c r="AI852" i="2"/>
  <c r="AE853" i="2"/>
  <c r="AI853" i="2" s="1"/>
  <c r="AE854" i="2"/>
  <c r="AI854" i="2"/>
  <c r="AE855" i="2"/>
  <c r="AI855" i="2"/>
  <c r="AE856" i="2"/>
  <c r="AI856" i="2"/>
  <c r="AE857" i="2"/>
  <c r="AI857" i="2"/>
  <c r="AE858" i="2"/>
  <c r="AI858" i="2"/>
  <c r="AE859" i="2"/>
  <c r="AI859" i="2" s="1"/>
  <c r="AE860" i="2"/>
  <c r="AI860" i="2"/>
  <c r="AE861" i="2"/>
  <c r="AI861" i="2" s="1"/>
  <c r="AE862" i="2"/>
  <c r="AI862" i="2"/>
  <c r="AE863" i="2"/>
  <c r="AI863" i="2"/>
  <c r="AE864" i="2"/>
  <c r="AI864" i="2"/>
  <c r="AE865" i="2"/>
  <c r="AI865" i="2"/>
  <c r="AE866" i="2"/>
  <c r="AI866" i="2"/>
  <c r="AE867" i="2"/>
  <c r="AI867" i="2" s="1"/>
  <c r="AE868" i="2"/>
  <c r="AI868" i="2"/>
  <c r="AE869" i="2"/>
  <c r="AI869" i="2" s="1"/>
  <c r="AE870" i="2"/>
  <c r="AI870" i="2"/>
  <c r="AE871" i="2"/>
  <c r="AI871" i="2"/>
  <c r="AE872" i="2"/>
  <c r="AI872" i="2"/>
  <c r="AE873" i="2"/>
  <c r="AI873" i="2"/>
  <c r="AE874" i="2"/>
  <c r="AI874" i="2"/>
  <c r="AE875" i="2"/>
  <c r="AI875" i="2" s="1"/>
  <c r="AI876" i="2"/>
  <c r="AE877" i="2"/>
  <c r="AI877" i="2"/>
  <c r="AI878" i="2"/>
  <c r="AC880" i="2"/>
  <c r="AD880" i="2"/>
  <c r="P855" i="2"/>
  <c r="P854" i="2"/>
  <c r="P853" i="2"/>
  <c r="P852" i="2"/>
  <c r="P851" i="2"/>
  <c r="P850" i="2"/>
  <c r="S850" i="2" s="1"/>
  <c r="W850" i="2" s="1"/>
  <c r="U849" i="2"/>
  <c r="P849" i="2"/>
  <c r="P848" i="2"/>
  <c r="P847" i="2"/>
  <c r="S847" i="2" s="1"/>
  <c r="W847" i="2" s="1"/>
  <c r="P846" i="2"/>
  <c r="U845" i="2"/>
  <c r="P845" i="2"/>
  <c r="S845" i="2" s="1"/>
  <c r="P844" i="2"/>
  <c r="V843" i="2"/>
  <c r="V880" i="2" s="1"/>
  <c r="U843" i="2"/>
  <c r="P843" i="2"/>
  <c r="S843" i="2" s="1"/>
  <c r="P842" i="2"/>
  <c r="S842" i="2" s="1"/>
  <c r="W842" i="2" s="1"/>
  <c r="P841" i="2"/>
  <c r="U840" i="2"/>
  <c r="P840" i="2"/>
  <c r="S840" i="2" s="1"/>
  <c r="P839" i="2"/>
  <c r="S839" i="2" s="1"/>
  <c r="W839" i="2" s="1"/>
  <c r="P838" i="2"/>
  <c r="S838" i="2" s="1"/>
  <c r="W838" i="2" s="1"/>
  <c r="P837" i="2"/>
  <c r="O847" i="2"/>
  <c r="O848" i="2" s="1"/>
  <c r="O849" i="2" s="1"/>
  <c r="O850" i="2" s="1"/>
  <c r="O851" i="2" s="1"/>
  <c r="O852" i="2" s="1"/>
  <c r="O853" i="2" s="1"/>
  <c r="O854" i="2" s="1"/>
  <c r="O855" i="2" s="1"/>
  <c r="O839" i="2"/>
  <c r="O840" i="2"/>
  <c r="O841" i="2"/>
  <c r="O842" i="2"/>
  <c r="O843" i="2"/>
  <c r="O844" i="2"/>
  <c r="O846" i="2"/>
  <c r="O838" i="2"/>
  <c r="S841" i="2"/>
  <c r="W841" i="2"/>
  <c r="S844" i="2"/>
  <c r="W844" i="2" s="1"/>
  <c r="S846" i="2"/>
  <c r="W846" i="2" s="1"/>
  <c r="S848" i="2"/>
  <c r="W848" i="2" s="1"/>
  <c r="S849" i="2"/>
  <c r="W849" i="2" s="1"/>
  <c r="S851" i="2"/>
  <c r="W851" i="2" s="1"/>
  <c r="S852" i="2"/>
  <c r="W852" i="2" s="1"/>
  <c r="S853" i="2"/>
  <c r="W853" i="2" s="1"/>
  <c r="S854" i="2"/>
  <c r="W854" i="2"/>
  <c r="S855" i="2"/>
  <c r="W855" i="2" s="1"/>
  <c r="S856" i="2"/>
  <c r="W856" i="2"/>
  <c r="S857" i="2"/>
  <c r="W857" i="2"/>
  <c r="S858" i="2"/>
  <c r="W858" i="2" s="1"/>
  <c r="S859" i="2"/>
  <c r="W859" i="2"/>
  <c r="S860" i="2"/>
  <c r="W860" i="2"/>
  <c r="S861" i="2"/>
  <c r="W861" i="2"/>
  <c r="S862" i="2"/>
  <c r="W862" i="2"/>
  <c r="S863" i="2"/>
  <c r="W863" i="2"/>
  <c r="S864" i="2"/>
  <c r="W864" i="2"/>
  <c r="S865" i="2"/>
  <c r="W865" i="2"/>
  <c r="S866" i="2"/>
  <c r="W866" i="2" s="1"/>
  <c r="S867" i="2"/>
  <c r="W867" i="2"/>
  <c r="S868" i="2"/>
  <c r="W868" i="2"/>
  <c r="S869" i="2"/>
  <c r="W869" i="2"/>
  <c r="S870" i="2"/>
  <c r="W870" i="2"/>
  <c r="S871" i="2"/>
  <c r="W871" i="2"/>
  <c r="S872" i="2"/>
  <c r="W872" i="2"/>
  <c r="S873" i="2"/>
  <c r="W873" i="2"/>
  <c r="S874" i="2"/>
  <c r="W874" i="2" s="1"/>
  <c r="S875" i="2"/>
  <c r="W875" i="2"/>
  <c r="W876" i="2"/>
  <c r="S877" i="2"/>
  <c r="W877" i="2"/>
  <c r="W878" i="2"/>
  <c r="Q880" i="2"/>
  <c r="R880" i="2"/>
  <c r="D838" i="2"/>
  <c r="G838" i="2" s="1"/>
  <c r="K838" i="2" s="1"/>
  <c r="I837" i="2"/>
  <c r="I880" i="2" s="1"/>
  <c r="D837" i="2"/>
  <c r="G837" i="2" s="1"/>
  <c r="K837" i="2" s="1"/>
  <c r="C838" i="2"/>
  <c r="G839" i="2"/>
  <c r="G840" i="2"/>
  <c r="K840" i="2" s="1"/>
  <c r="G841" i="2"/>
  <c r="K841" i="2"/>
  <c r="G842" i="2"/>
  <c r="K842" i="2" s="1"/>
  <c r="G843" i="2"/>
  <c r="K843" i="2"/>
  <c r="G844" i="2"/>
  <c r="K844" i="2"/>
  <c r="G845" i="2"/>
  <c r="K845" i="2"/>
  <c r="G846" i="2"/>
  <c r="K846" i="2" s="1"/>
  <c r="G847" i="2"/>
  <c r="K847" i="2"/>
  <c r="G848" i="2"/>
  <c r="K848" i="2"/>
  <c r="G849" i="2"/>
  <c r="K849" i="2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/>
  <c r="G857" i="2"/>
  <c r="K857" i="2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/>
  <c r="G865" i="2"/>
  <c r="K865" i="2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J880" i="2"/>
  <c r="AI843" i="2" l="1"/>
  <c r="AB880" i="2"/>
  <c r="AI840" i="2"/>
  <c r="AE880" i="2"/>
  <c r="AI880" i="2"/>
  <c r="W845" i="2"/>
  <c r="W843" i="2"/>
  <c r="U880" i="2"/>
  <c r="W840" i="2"/>
  <c r="P880" i="2"/>
  <c r="S837" i="2"/>
  <c r="W837" i="2" s="1"/>
  <c r="D880" i="2"/>
  <c r="G880" i="2"/>
  <c r="K839" i="2"/>
  <c r="K880" i="2" s="1"/>
  <c r="AB791" i="2"/>
  <c r="AB790" i="2"/>
  <c r="AG789" i="2"/>
  <c r="AB789" i="2"/>
  <c r="AB788" i="2"/>
  <c r="AB787" i="2"/>
  <c r="AE787" i="2" s="1"/>
  <c r="AI787" i="2" s="1"/>
  <c r="AG825" i="2"/>
  <c r="AH825" i="2"/>
  <c r="AB786" i="2"/>
  <c r="AE786" i="2" s="1"/>
  <c r="AB785" i="2"/>
  <c r="AH784" i="2"/>
  <c r="AB784" i="2"/>
  <c r="AE784" i="2" s="1"/>
  <c r="AI784" i="2" s="1"/>
  <c r="AB783" i="2"/>
  <c r="AE783" i="2" s="1"/>
  <c r="AI783" i="2" s="1"/>
  <c r="AG782" i="2"/>
  <c r="AB782" i="2"/>
  <c r="AE782" i="2" s="1"/>
  <c r="AA785" i="2"/>
  <c r="AA786" i="2"/>
  <c r="AA787" i="2"/>
  <c r="AA788" i="2"/>
  <c r="AA789" i="2"/>
  <c r="AA790" i="2"/>
  <c r="AA791" i="2"/>
  <c r="AA783" i="2"/>
  <c r="AA784" i="2" s="1"/>
  <c r="AE785" i="2"/>
  <c r="AI785" i="2" s="1"/>
  <c r="AE788" i="2"/>
  <c r="AI788" i="2" s="1"/>
  <c r="AE789" i="2"/>
  <c r="AI789" i="2" s="1"/>
  <c r="AE790" i="2"/>
  <c r="AI790" i="2"/>
  <c r="AE791" i="2"/>
  <c r="AI791" i="2" s="1"/>
  <c r="AE792" i="2"/>
  <c r="AI792" i="2"/>
  <c r="AE793" i="2"/>
  <c r="AI793" i="2"/>
  <c r="AE794" i="2"/>
  <c r="AI794" i="2"/>
  <c r="AE795" i="2"/>
  <c r="AI795" i="2"/>
  <c r="AE796" i="2"/>
  <c r="AI796" i="2"/>
  <c r="AE797" i="2"/>
  <c r="AI797" i="2" s="1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 s="1"/>
  <c r="AE806" i="2"/>
  <c r="AI806" i="2"/>
  <c r="AE807" i="2"/>
  <c r="AI807" i="2"/>
  <c r="AE808" i="2"/>
  <c r="AI808" i="2"/>
  <c r="AE809" i="2"/>
  <c r="AI809" i="2" s="1"/>
  <c r="AE810" i="2"/>
  <c r="AI810" i="2"/>
  <c r="AE811" i="2"/>
  <c r="AI811" i="2"/>
  <c r="AE812" i="2"/>
  <c r="AI812" i="2"/>
  <c r="AE813" i="2"/>
  <c r="AI813" i="2" s="1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 s="1"/>
  <c r="AI823" i="2"/>
  <c r="AC825" i="2"/>
  <c r="AD825" i="2"/>
  <c r="V783" i="2"/>
  <c r="P783" i="2"/>
  <c r="V782" i="2"/>
  <c r="V825" i="2" s="1"/>
  <c r="U782" i="2"/>
  <c r="U825" i="2" s="1"/>
  <c r="P782" i="2"/>
  <c r="P825" i="2" s="1"/>
  <c r="O783" i="2"/>
  <c r="S783" i="2"/>
  <c r="W783" i="2" s="1"/>
  <c r="S784" i="2"/>
  <c r="W784" i="2" s="1"/>
  <c r="S785" i="2"/>
  <c r="W785" i="2" s="1"/>
  <c r="S786" i="2"/>
  <c r="W786" i="2"/>
  <c r="S787" i="2"/>
  <c r="W787" i="2"/>
  <c r="S788" i="2"/>
  <c r="W788" i="2"/>
  <c r="S789" i="2"/>
  <c r="W789" i="2" s="1"/>
  <c r="S790" i="2"/>
  <c r="W790" i="2" s="1"/>
  <c r="S791" i="2"/>
  <c r="W791" i="2" s="1"/>
  <c r="S792" i="2"/>
  <c r="W792" i="2"/>
  <c r="S793" i="2"/>
  <c r="W793" i="2"/>
  <c r="S794" i="2"/>
  <c r="W794" i="2"/>
  <c r="S795" i="2"/>
  <c r="W795" i="2" s="1"/>
  <c r="S796" i="2"/>
  <c r="W796" i="2"/>
  <c r="S797" i="2"/>
  <c r="W797" i="2"/>
  <c r="S798" i="2"/>
  <c r="W798" i="2"/>
  <c r="S799" i="2"/>
  <c r="W799" i="2" s="1"/>
  <c r="S800" i="2"/>
  <c r="W800" i="2"/>
  <c r="S801" i="2"/>
  <c r="W801" i="2"/>
  <c r="S802" i="2"/>
  <c r="W802" i="2"/>
  <c r="S803" i="2"/>
  <c r="W803" i="2" s="1"/>
  <c r="S804" i="2"/>
  <c r="W804" i="2"/>
  <c r="S805" i="2"/>
  <c r="W805" i="2"/>
  <c r="S806" i="2"/>
  <c r="W806" i="2"/>
  <c r="S807" i="2"/>
  <c r="W807" i="2" s="1"/>
  <c r="S808" i="2"/>
  <c r="W808" i="2"/>
  <c r="S809" i="2"/>
  <c r="W809" i="2"/>
  <c r="S810" i="2"/>
  <c r="W810" i="2"/>
  <c r="S811" i="2"/>
  <c r="W811" i="2" s="1"/>
  <c r="S812" i="2"/>
  <c r="W812" i="2" s="1"/>
  <c r="S813" i="2"/>
  <c r="W813" i="2"/>
  <c r="S814" i="2"/>
  <c r="W814" i="2"/>
  <c r="S815" i="2"/>
  <c r="W815" i="2" s="1"/>
  <c r="S816" i="2"/>
  <c r="W816" i="2"/>
  <c r="S817" i="2"/>
  <c r="W817" i="2"/>
  <c r="S818" i="2"/>
  <c r="W818" i="2"/>
  <c r="S819" i="2"/>
  <c r="W819" i="2" s="1"/>
  <c r="S820" i="2"/>
  <c r="W820" i="2" s="1"/>
  <c r="W821" i="2"/>
  <c r="S822" i="2"/>
  <c r="W822" i="2"/>
  <c r="W823" i="2"/>
  <c r="Q825" i="2"/>
  <c r="R825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D783" i="2"/>
  <c r="G783" i="2" s="1"/>
  <c r="K783" i="2" s="1"/>
  <c r="D782" i="2"/>
  <c r="G782" i="2"/>
  <c r="K782" i="2" s="1"/>
  <c r="C783" i="2"/>
  <c r="C784" i="2"/>
  <c r="C785" i="2" s="1"/>
  <c r="C786" i="2" s="1"/>
  <c r="C787" i="2" s="1"/>
  <c r="C788" i="2" s="1"/>
  <c r="C789" i="2" s="1"/>
  <c r="G785" i="2"/>
  <c r="K785" i="2" s="1"/>
  <c r="G788" i="2"/>
  <c r="K788" i="2" s="1"/>
  <c r="G789" i="2"/>
  <c r="K789" i="2" s="1"/>
  <c r="G790" i="2"/>
  <c r="K790" i="2" s="1"/>
  <c r="G791" i="2"/>
  <c r="K791" i="2" s="1"/>
  <c r="G792" i="2"/>
  <c r="K792" i="2" s="1"/>
  <c r="G793" i="2"/>
  <c r="K793" i="2" s="1"/>
  <c r="G794" i="2"/>
  <c r="K794" i="2" s="1"/>
  <c r="G795" i="2"/>
  <c r="K795" i="2" s="1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 s="1"/>
  <c r="G802" i="2"/>
  <c r="K802" i="2" s="1"/>
  <c r="G803" i="2"/>
  <c r="K803" i="2"/>
  <c r="G804" i="2"/>
  <c r="K804" i="2"/>
  <c r="G805" i="2"/>
  <c r="K805" i="2" s="1"/>
  <c r="G806" i="2"/>
  <c r="K806" i="2" s="1"/>
  <c r="G807" i="2"/>
  <c r="K807" i="2"/>
  <c r="G808" i="2"/>
  <c r="K808" i="2" s="1"/>
  <c r="G809" i="2"/>
  <c r="K809" i="2" s="1"/>
  <c r="G810" i="2"/>
  <c r="K810" i="2" s="1"/>
  <c r="G811" i="2"/>
  <c r="K811" i="2"/>
  <c r="G812" i="2"/>
  <c r="K812" i="2"/>
  <c r="G813" i="2"/>
  <c r="K813" i="2" s="1"/>
  <c r="G814" i="2"/>
  <c r="K814" i="2" s="1"/>
  <c r="G815" i="2"/>
  <c r="K815" i="2"/>
  <c r="G822" i="2"/>
  <c r="K822" i="2" s="1"/>
  <c r="E825" i="2"/>
  <c r="F825" i="2"/>
  <c r="J825" i="2"/>
  <c r="W880" i="2" l="1"/>
  <c r="S880" i="2"/>
  <c r="AI786" i="2"/>
  <c r="AI825" i="2" s="1"/>
  <c r="AI782" i="2"/>
  <c r="AB825" i="2"/>
  <c r="AE825" i="2"/>
  <c r="S782" i="2"/>
  <c r="W782" i="2" s="1"/>
  <c r="W825" i="2" s="1"/>
  <c r="S825" i="2"/>
  <c r="K786" i="2"/>
  <c r="D825" i="2"/>
  <c r="K825" i="2"/>
  <c r="G825" i="2"/>
  <c r="AG729" i="2"/>
  <c r="AH729" i="2"/>
  <c r="AH770" i="2" s="1"/>
  <c r="AB729" i="2"/>
  <c r="AB728" i="2"/>
  <c r="AG727" i="2"/>
  <c r="AG770" i="2" s="1"/>
  <c r="AB727" i="2"/>
  <c r="AE727" i="2"/>
  <c r="AI727" i="2" s="1"/>
  <c r="AA728" i="2"/>
  <c r="AE728" i="2"/>
  <c r="AI728" i="2" s="1"/>
  <c r="AA729" i="2"/>
  <c r="AB770" i="2"/>
  <c r="AE730" i="2"/>
  <c r="AI730" i="2" s="1"/>
  <c r="AE731" i="2"/>
  <c r="AI731" i="2" s="1"/>
  <c r="AE732" i="2"/>
  <c r="AI732" i="2"/>
  <c r="AE733" i="2"/>
  <c r="AI733" i="2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 s="1"/>
  <c r="AE747" i="2"/>
  <c r="AI747" i="2"/>
  <c r="AE748" i="2"/>
  <c r="AI748" i="2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 s="1"/>
  <c r="AE755" i="2"/>
  <c r="AI755" i="2"/>
  <c r="AE756" i="2"/>
  <c r="AI756" i="2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 s="1"/>
  <c r="AE763" i="2"/>
  <c r="AI763" i="2"/>
  <c r="AE764" i="2"/>
  <c r="AI764" i="2"/>
  <c r="AE765" i="2"/>
  <c r="AI765" i="2"/>
  <c r="AI766" i="2"/>
  <c r="AE767" i="2"/>
  <c r="AI767" i="2"/>
  <c r="AI768" i="2"/>
  <c r="AC770" i="2"/>
  <c r="AD770" i="2"/>
  <c r="P735" i="2"/>
  <c r="S735" i="2" s="1"/>
  <c r="W735" i="2" s="1"/>
  <c r="P734" i="2"/>
  <c r="V733" i="2"/>
  <c r="V770" i="2" s="1"/>
  <c r="P733" i="2"/>
  <c r="U732" i="2"/>
  <c r="W732" i="2" s="1"/>
  <c r="P732" i="2"/>
  <c r="P731" i="2"/>
  <c r="S731" i="2" s="1"/>
  <c r="W731" i="2" s="1"/>
  <c r="U730" i="2"/>
  <c r="P730" i="2"/>
  <c r="U729" i="2"/>
  <c r="U770" i="2" s="1"/>
  <c r="P729" i="2"/>
  <c r="S729" i="2" s="1"/>
  <c r="P728" i="2"/>
  <c r="S728" i="2" s="1"/>
  <c r="W728" i="2" s="1"/>
  <c r="P727" i="2"/>
  <c r="S727" i="2" s="1"/>
  <c r="O728" i="2"/>
  <c r="O729" i="2" s="1"/>
  <c r="O730" i="2" s="1"/>
  <c r="O731" i="2" s="1"/>
  <c r="O732" i="2" s="1"/>
  <c r="O733" i="2" s="1"/>
  <c r="O734" i="2" s="1"/>
  <c r="O735" i="2" s="1"/>
  <c r="S730" i="2"/>
  <c r="W730" i="2" s="1"/>
  <c r="S732" i="2"/>
  <c r="S733" i="2"/>
  <c r="S734" i="2"/>
  <c r="W734" i="2"/>
  <c r="S736" i="2"/>
  <c r="W736" i="2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/>
  <c r="S744" i="2"/>
  <c r="W744" i="2"/>
  <c r="S745" i="2"/>
  <c r="W745" i="2"/>
  <c r="S746" i="2"/>
  <c r="W746" i="2" s="1"/>
  <c r="S747" i="2"/>
  <c r="W747" i="2"/>
  <c r="S748" i="2"/>
  <c r="W748" i="2"/>
  <c r="S749" i="2"/>
  <c r="W749" i="2"/>
  <c r="S750" i="2"/>
  <c r="W750" i="2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AE729" i="2" l="1"/>
  <c r="W733" i="2"/>
  <c r="W729" i="2"/>
  <c r="W727" i="2"/>
  <c r="W770" i="2" s="1"/>
  <c r="S770" i="2"/>
  <c r="P770" i="2"/>
  <c r="D743" i="2"/>
  <c r="G743" i="2" s="1"/>
  <c r="K743" i="2" s="1"/>
  <c r="D742" i="2"/>
  <c r="G742" i="2" s="1"/>
  <c r="K742" i="2" s="1"/>
  <c r="D741" i="2"/>
  <c r="G741" i="2" s="1"/>
  <c r="K741" i="2" s="1"/>
  <c r="D740" i="2"/>
  <c r="G740" i="2" s="1"/>
  <c r="K740" i="2" s="1"/>
  <c r="D739" i="2"/>
  <c r="D738" i="2"/>
  <c r="D737" i="2"/>
  <c r="D736" i="2"/>
  <c r="G736" i="2" s="1"/>
  <c r="K736" i="2" s="1"/>
  <c r="D735" i="2"/>
  <c r="D734" i="2"/>
  <c r="D733" i="2"/>
  <c r="D732" i="2"/>
  <c r="G732" i="2" s="1"/>
  <c r="K732" i="2" s="1"/>
  <c r="D731" i="2"/>
  <c r="G731" i="2" s="1"/>
  <c r="K731" i="2" s="1"/>
  <c r="D730" i="2"/>
  <c r="D729" i="2"/>
  <c r="G729" i="2" s="1"/>
  <c r="K729" i="2" s="1"/>
  <c r="D728" i="2"/>
  <c r="G728" i="2" s="1"/>
  <c r="K728" i="2" s="1"/>
  <c r="D727" i="2"/>
  <c r="G727" i="2"/>
  <c r="K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J770" i="2"/>
  <c r="G730" i="2"/>
  <c r="K730" i="2"/>
  <c r="G733" i="2"/>
  <c r="K733" i="2" s="1"/>
  <c r="G734" i="2"/>
  <c r="K734" i="2"/>
  <c r="G735" i="2"/>
  <c r="K735" i="2" s="1"/>
  <c r="G737" i="2"/>
  <c r="K737" i="2"/>
  <c r="G738" i="2"/>
  <c r="K738" i="2" s="1"/>
  <c r="G739" i="2"/>
  <c r="K739" i="2"/>
  <c r="G744" i="2"/>
  <c r="K744" i="2"/>
  <c r="G745" i="2"/>
  <c r="K745" i="2" s="1"/>
  <c r="G746" i="2"/>
  <c r="K746" i="2"/>
  <c r="G747" i="2"/>
  <c r="K747" i="2" s="1"/>
  <c r="G748" i="2"/>
  <c r="K748" i="2"/>
  <c r="G749" i="2"/>
  <c r="K749" i="2" s="1"/>
  <c r="G750" i="2"/>
  <c r="K750" i="2"/>
  <c r="G751" i="2"/>
  <c r="K751" i="2" s="1"/>
  <c r="G752" i="2"/>
  <c r="K752" i="2"/>
  <c r="G753" i="2"/>
  <c r="K753" i="2"/>
  <c r="G754" i="2"/>
  <c r="K754" i="2"/>
  <c r="G755" i="2"/>
  <c r="K755" i="2"/>
  <c r="G756" i="2"/>
  <c r="K756" i="2"/>
  <c r="G757" i="2"/>
  <c r="K757" i="2" s="1"/>
  <c r="G758" i="2"/>
  <c r="K758" i="2"/>
  <c r="G759" i="2"/>
  <c r="K759" i="2" s="1"/>
  <c r="G760" i="2"/>
  <c r="K760" i="2"/>
  <c r="G767" i="2"/>
  <c r="K767" i="2"/>
  <c r="E770" i="2"/>
  <c r="F770" i="2"/>
  <c r="I770" i="2"/>
  <c r="AI729" i="2" l="1"/>
  <c r="AI770" i="2" s="1"/>
  <c r="AE770" i="2"/>
  <c r="D770" i="2"/>
  <c r="K770" i="2"/>
  <c r="G770" i="2"/>
  <c r="AH674" i="2"/>
  <c r="AH715" i="2" s="1"/>
  <c r="AB674" i="2"/>
  <c r="AH673" i="2"/>
  <c r="AB673" i="2"/>
  <c r="AG672" i="2"/>
  <c r="AG715" i="2" s="1"/>
  <c r="AB672" i="2"/>
  <c r="AB715" i="2" s="1"/>
  <c r="AA673" i="2"/>
  <c r="AA674" i="2" s="1"/>
  <c r="AE673" i="2"/>
  <c r="AI673" i="2" s="1"/>
  <c r="AE674" i="2"/>
  <c r="AE675" i="2"/>
  <c r="AI675" i="2" s="1"/>
  <c r="AE676" i="2"/>
  <c r="AI676" i="2"/>
  <c r="AE677" i="2"/>
  <c r="AI677" i="2" s="1"/>
  <c r="AE678" i="2"/>
  <c r="AI678" i="2"/>
  <c r="AE679" i="2"/>
  <c r="AI679" i="2" s="1"/>
  <c r="AE680" i="2"/>
  <c r="AI680" i="2"/>
  <c r="AE681" i="2"/>
  <c r="AI681" i="2"/>
  <c r="AE682" i="2"/>
  <c r="AI682" i="2"/>
  <c r="AE683" i="2"/>
  <c r="AI683" i="2" s="1"/>
  <c r="AE684" i="2"/>
  <c r="AI684" i="2"/>
  <c r="AE685" i="2"/>
  <c r="AI685" i="2" s="1"/>
  <c r="AE686" i="2"/>
  <c r="AI686" i="2"/>
  <c r="AE687" i="2"/>
  <c r="AI687" i="2" s="1"/>
  <c r="AE688" i="2"/>
  <c r="AI688" i="2"/>
  <c r="AE689" i="2"/>
  <c r="AI689" i="2"/>
  <c r="AE690" i="2"/>
  <c r="AI690" i="2"/>
  <c r="AE691" i="2"/>
  <c r="AI691" i="2"/>
  <c r="AE692" i="2"/>
  <c r="AI692" i="2"/>
  <c r="AE693" i="2"/>
  <c r="AI693" i="2" s="1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 s="1"/>
  <c r="AE702" i="2"/>
  <c r="AI702" i="2"/>
  <c r="AE703" i="2"/>
  <c r="AI703" i="2" s="1"/>
  <c r="AE704" i="2"/>
  <c r="AI704" i="2"/>
  <c r="AE705" i="2"/>
  <c r="AI705" i="2"/>
  <c r="AE706" i="2"/>
  <c r="AI706" i="2"/>
  <c r="AE707" i="2"/>
  <c r="AI707" i="2"/>
  <c r="AE708" i="2"/>
  <c r="AI708" i="2"/>
  <c r="AE709" i="2"/>
  <c r="AI709" i="2" s="1"/>
  <c r="AE710" i="2"/>
  <c r="AI710" i="2"/>
  <c r="AI711" i="2"/>
  <c r="AE712" i="2"/>
  <c r="AI712" i="2"/>
  <c r="AI713" i="2"/>
  <c r="AC715" i="2"/>
  <c r="AD715" i="2"/>
  <c r="V676" i="2"/>
  <c r="U676" i="2"/>
  <c r="P676" i="2"/>
  <c r="S676" i="2" s="1"/>
  <c r="W676" i="2" s="1"/>
  <c r="P675" i="2"/>
  <c r="S675" i="2" s="1"/>
  <c r="W675" i="2" s="1"/>
  <c r="P674" i="2"/>
  <c r="V673" i="2"/>
  <c r="P672" i="2"/>
  <c r="S672" i="2"/>
  <c r="W672" i="2" s="1"/>
  <c r="O673" i="2"/>
  <c r="S673" i="2"/>
  <c r="O674" i="2"/>
  <c r="O675" i="2" s="1"/>
  <c r="U715" i="2"/>
  <c r="S677" i="2"/>
  <c r="W677" i="2"/>
  <c r="S678" i="2"/>
  <c r="W678" i="2"/>
  <c r="S679" i="2"/>
  <c r="W679" i="2"/>
  <c r="S680" i="2"/>
  <c r="W680" i="2"/>
  <c r="S681" i="2"/>
  <c r="W681" i="2"/>
  <c r="S682" i="2"/>
  <c r="W682" i="2" s="1"/>
  <c r="S683" i="2"/>
  <c r="W683" i="2"/>
  <c r="S684" i="2"/>
  <c r="W684" i="2"/>
  <c r="S685" i="2"/>
  <c r="W685" i="2"/>
  <c r="S686" i="2"/>
  <c r="W686" i="2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/>
  <c r="S696" i="2"/>
  <c r="W696" i="2"/>
  <c r="S697" i="2"/>
  <c r="W697" i="2"/>
  <c r="S698" i="2"/>
  <c r="W698" i="2" s="1"/>
  <c r="S699" i="2"/>
  <c r="W699" i="2"/>
  <c r="S700" i="2"/>
  <c r="W700" i="2"/>
  <c r="S701" i="2"/>
  <c r="W701" i="2"/>
  <c r="S702" i="2"/>
  <c r="W702" i="2"/>
  <c r="S703" i="2"/>
  <c r="W703" i="2"/>
  <c r="S704" i="2"/>
  <c r="W704" i="2"/>
  <c r="S705" i="2"/>
  <c r="W705" i="2"/>
  <c r="S706" i="2"/>
  <c r="W706" i="2" s="1"/>
  <c r="S707" i="2"/>
  <c r="W707" i="2"/>
  <c r="S708" i="2"/>
  <c r="W708" i="2"/>
  <c r="S709" i="2"/>
  <c r="W709" i="2"/>
  <c r="S710" i="2"/>
  <c r="W710" i="2" s="1"/>
  <c r="W711" i="2"/>
  <c r="S712" i="2"/>
  <c r="W712" i="2"/>
  <c r="W713" i="2"/>
  <c r="Q715" i="2"/>
  <c r="R715" i="2"/>
  <c r="V715" i="2"/>
  <c r="J674" i="2"/>
  <c r="D674" i="2"/>
  <c r="G674" i="2" s="1"/>
  <c r="K674" i="2" s="1"/>
  <c r="D673" i="2"/>
  <c r="G673" i="2" s="1"/>
  <c r="K673" i="2" s="1"/>
  <c r="D672" i="2"/>
  <c r="G672" i="2"/>
  <c r="K672" i="2" s="1"/>
  <c r="C673" i="2"/>
  <c r="C674" i="2" s="1"/>
  <c r="G675" i="2"/>
  <c r="I715" i="2"/>
  <c r="G676" i="2"/>
  <c r="K676" i="2" s="1"/>
  <c r="G677" i="2"/>
  <c r="K677" i="2" s="1"/>
  <c r="G678" i="2"/>
  <c r="K678" i="2" s="1"/>
  <c r="G679" i="2"/>
  <c r="K679" i="2"/>
  <c r="G680" i="2"/>
  <c r="K680" i="2" s="1"/>
  <c r="G681" i="2"/>
  <c r="K681" i="2" s="1"/>
  <c r="G682" i="2"/>
  <c r="K682" i="2" s="1"/>
  <c r="G683" i="2"/>
  <c r="K683" i="2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J715" i="2"/>
  <c r="AI674" i="2" l="1"/>
  <c r="AE672" i="2"/>
  <c r="AI672" i="2" s="1"/>
  <c r="AE715" i="2"/>
  <c r="P715" i="2"/>
  <c r="W673" i="2"/>
  <c r="S674" i="2"/>
  <c r="W674" i="2" s="1"/>
  <c r="D715" i="2"/>
  <c r="K675" i="2"/>
  <c r="K715" i="2" s="1"/>
  <c r="G715" i="2"/>
  <c r="AB622" i="2"/>
  <c r="AE622" i="2" s="1"/>
  <c r="AI622" i="2" s="1"/>
  <c r="AB621" i="2"/>
  <c r="AG620" i="2"/>
  <c r="AB620" i="2"/>
  <c r="AB660" i="2" s="1"/>
  <c r="AB619" i="2"/>
  <c r="AB618" i="2"/>
  <c r="AB617" i="2"/>
  <c r="AE617" i="2"/>
  <c r="AA618" i="2"/>
  <c r="AA619" i="2" s="1"/>
  <c r="AA620" i="2" s="1"/>
  <c r="AA621" i="2" s="1"/>
  <c r="AA622" i="2" s="1"/>
  <c r="AE618" i="2"/>
  <c r="AI618" i="2" s="1"/>
  <c r="AE619" i="2"/>
  <c r="AI619" i="2"/>
  <c r="AG660" i="2"/>
  <c r="AE621" i="2"/>
  <c r="AI621" i="2" s="1"/>
  <c r="AE623" i="2"/>
  <c r="AI623" i="2" s="1"/>
  <c r="AE624" i="2"/>
  <c r="AI624" i="2" s="1"/>
  <c r="AE625" i="2"/>
  <c r="AI625" i="2" s="1"/>
  <c r="AE626" i="2"/>
  <c r="AI626" i="2" s="1"/>
  <c r="AE627" i="2"/>
  <c r="AI627" i="2"/>
  <c r="AE628" i="2"/>
  <c r="AI628" i="2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/>
  <c r="AE648" i="2"/>
  <c r="AI648" i="2"/>
  <c r="AE649" i="2"/>
  <c r="AI649" i="2" s="1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/>
  <c r="AI656" i="2"/>
  <c r="AE657" i="2"/>
  <c r="AI657" i="2"/>
  <c r="AI658" i="2"/>
  <c r="AC660" i="2"/>
  <c r="AD660" i="2"/>
  <c r="AH660" i="2"/>
  <c r="V620" i="2"/>
  <c r="U620" i="2"/>
  <c r="P620" i="2"/>
  <c r="U619" i="2"/>
  <c r="P619" i="2"/>
  <c r="P618" i="2"/>
  <c r="S618" i="2" s="1"/>
  <c r="W618" i="2" s="1"/>
  <c r="V617" i="2"/>
  <c r="V660" i="2" s="1"/>
  <c r="P617" i="2"/>
  <c r="S617" i="2" s="1"/>
  <c r="O618" i="2"/>
  <c r="O619" i="2" s="1"/>
  <c r="O620" i="2" s="1"/>
  <c r="S619" i="2"/>
  <c r="W619" i="2" s="1"/>
  <c r="S620" i="2"/>
  <c r="W620" i="2" s="1"/>
  <c r="S621" i="2"/>
  <c r="W621" i="2"/>
  <c r="S622" i="2"/>
  <c r="W622" i="2" s="1"/>
  <c r="S623" i="2"/>
  <c r="W623" i="2"/>
  <c r="S624" i="2"/>
  <c r="W624" i="2"/>
  <c r="S625" i="2"/>
  <c r="W625" i="2" s="1"/>
  <c r="S626" i="2"/>
  <c r="W626" i="2" s="1"/>
  <c r="S627" i="2"/>
  <c r="W627" i="2"/>
  <c r="S628" i="2"/>
  <c r="W628" i="2"/>
  <c r="S629" i="2"/>
  <c r="W629" i="2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 s="1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 s="1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/>
  <c r="W658" i="2"/>
  <c r="Q660" i="2"/>
  <c r="R660" i="2"/>
  <c r="U660" i="2"/>
  <c r="D634" i="2"/>
  <c r="G634" i="2"/>
  <c r="K634" i="2" s="1"/>
  <c r="C634" i="2"/>
  <c r="D633" i="2"/>
  <c r="G633" i="2" s="1"/>
  <c r="K633" i="2" s="1"/>
  <c r="D632" i="2"/>
  <c r="D631" i="2"/>
  <c r="G631" i="2" s="1"/>
  <c r="K631" i="2" s="1"/>
  <c r="D630" i="2"/>
  <c r="G630" i="2" s="1"/>
  <c r="K630" i="2" s="1"/>
  <c r="D629" i="2"/>
  <c r="G629" i="2" s="1"/>
  <c r="K629" i="2" s="1"/>
  <c r="D628" i="2"/>
  <c r="G628" i="2" s="1"/>
  <c r="K628" i="2" s="1"/>
  <c r="D627" i="2"/>
  <c r="D626" i="2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I620" i="2"/>
  <c r="D620" i="2"/>
  <c r="D619" i="2"/>
  <c r="G619" i="2" s="1"/>
  <c r="K619" i="2" s="1"/>
  <c r="D618" i="2"/>
  <c r="D617" i="2"/>
  <c r="G617" i="2"/>
  <c r="K617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C632" i="2" s="1"/>
  <c r="C633" i="2" s="1"/>
  <c r="G618" i="2"/>
  <c r="K618" i="2" s="1"/>
  <c r="I660" i="2"/>
  <c r="G620" i="2"/>
  <c r="K620" i="2" s="1"/>
  <c r="G626" i="2"/>
  <c r="K626" i="2" s="1"/>
  <c r="G627" i="2"/>
  <c r="K627" i="2" s="1"/>
  <c r="G632" i="2"/>
  <c r="K632" i="2"/>
  <c r="G635" i="2"/>
  <c r="K635" i="2" s="1"/>
  <c r="G636" i="2"/>
  <c r="K636" i="2"/>
  <c r="G637" i="2"/>
  <c r="K637" i="2"/>
  <c r="G638" i="2"/>
  <c r="K638" i="2"/>
  <c r="G639" i="2"/>
  <c r="K639" i="2"/>
  <c r="G640" i="2"/>
  <c r="K640" i="2"/>
  <c r="G641" i="2"/>
  <c r="K641" i="2" s="1"/>
  <c r="G642" i="2"/>
  <c r="K642" i="2"/>
  <c r="G643" i="2"/>
  <c r="K643" i="2"/>
  <c r="G644" i="2"/>
  <c r="K644" i="2"/>
  <c r="G645" i="2"/>
  <c r="K645" i="2"/>
  <c r="G646" i="2"/>
  <c r="K646" i="2"/>
  <c r="G647" i="2"/>
  <c r="K647" i="2"/>
  <c r="G648" i="2"/>
  <c r="K648" i="2"/>
  <c r="G649" i="2"/>
  <c r="K649" i="2" s="1"/>
  <c r="G650" i="2"/>
  <c r="K650" i="2"/>
  <c r="G657" i="2"/>
  <c r="K657" i="2"/>
  <c r="E660" i="2"/>
  <c r="F660" i="2"/>
  <c r="J660" i="2"/>
  <c r="AI715" i="2" l="1"/>
  <c r="W715" i="2"/>
  <c r="S715" i="2"/>
  <c r="AE620" i="2"/>
  <c r="AI620" i="2" s="1"/>
  <c r="AI617" i="2"/>
  <c r="W617" i="2"/>
  <c r="P660" i="2"/>
  <c r="S660" i="2"/>
  <c r="W660" i="2"/>
  <c r="D660" i="2"/>
  <c r="K660" i="2"/>
  <c r="G660" i="2"/>
  <c r="P579" i="2"/>
  <c r="P578" i="2"/>
  <c r="S578" i="2" s="1"/>
  <c r="W578" i="2" s="1"/>
  <c r="P577" i="2"/>
  <c r="P576" i="2"/>
  <c r="P575" i="2"/>
  <c r="P574" i="2"/>
  <c r="S574" i="2" s="1"/>
  <c r="W574" i="2" s="1"/>
  <c r="P573" i="2"/>
  <c r="P572" i="2"/>
  <c r="S572" i="2" s="1"/>
  <c r="W572" i="2" s="1"/>
  <c r="P571" i="2"/>
  <c r="P570" i="2"/>
  <c r="P569" i="2"/>
  <c r="P568" i="2"/>
  <c r="S568" i="2" s="1"/>
  <c r="W568" i="2" s="1"/>
  <c r="P567" i="2"/>
  <c r="P566" i="2"/>
  <c r="P565" i="2"/>
  <c r="P564" i="2"/>
  <c r="P563" i="2"/>
  <c r="S563" i="2" s="1"/>
  <c r="P562" i="2"/>
  <c r="S562" i="2"/>
  <c r="W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S564" i="2"/>
  <c r="W564" i="2" s="1"/>
  <c r="S565" i="2"/>
  <c r="W565" i="2" s="1"/>
  <c r="S566" i="2"/>
  <c r="W566" i="2"/>
  <c r="S567" i="2"/>
  <c r="W567" i="2" s="1"/>
  <c r="S569" i="2"/>
  <c r="W569" i="2"/>
  <c r="S570" i="2"/>
  <c r="W570" i="2" s="1"/>
  <c r="S571" i="2"/>
  <c r="W571" i="2" s="1"/>
  <c r="S573" i="2"/>
  <c r="W573" i="2" s="1"/>
  <c r="S575" i="2"/>
  <c r="W575" i="2" s="1"/>
  <c r="S576" i="2"/>
  <c r="W576" i="2" s="1"/>
  <c r="S577" i="2"/>
  <c r="W577" i="2" s="1"/>
  <c r="S579" i="2"/>
  <c r="W579" i="2" s="1"/>
  <c r="S580" i="2"/>
  <c r="W580" i="2"/>
  <c r="S581" i="2"/>
  <c r="W581" i="2" s="1"/>
  <c r="S582" i="2"/>
  <c r="W582" i="2" s="1"/>
  <c r="S583" i="2"/>
  <c r="W583" i="2"/>
  <c r="S584" i="2"/>
  <c r="W584" i="2"/>
  <c r="S585" i="2"/>
  <c r="W585" i="2" s="1"/>
  <c r="S586" i="2"/>
  <c r="W586" i="2"/>
  <c r="S587" i="2"/>
  <c r="W587" i="2"/>
  <c r="S588" i="2"/>
  <c r="W588" i="2"/>
  <c r="S589" i="2"/>
  <c r="W589" i="2" s="1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 s="1"/>
  <c r="W603" i="2"/>
  <c r="Q605" i="2"/>
  <c r="R605" i="2"/>
  <c r="U605" i="2"/>
  <c r="V605" i="2"/>
  <c r="I564" i="2"/>
  <c r="D564" i="2"/>
  <c r="D563" i="2"/>
  <c r="D562" i="2"/>
  <c r="D605" i="2" s="1"/>
  <c r="G562" i="2"/>
  <c r="K562" i="2" s="1"/>
  <c r="C563" i="2"/>
  <c r="G563" i="2"/>
  <c r="K563" i="2"/>
  <c r="C564" i="2"/>
  <c r="G564" i="2"/>
  <c r="K564" i="2" s="1"/>
  <c r="G565" i="2"/>
  <c r="K565" i="2" s="1"/>
  <c r="G566" i="2"/>
  <c r="K566" i="2" s="1"/>
  <c r="G567" i="2"/>
  <c r="K567" i="2"/>
  <c r="G568" i="2"/>
  <c r="K568" i="2" s="1"/>
  <c r="G569" i="2"/>
  <c r="K569" i="2" s="1"/>
  <c r="G570" i="2"/>
  <c r="K570" i="2" s="1"/>
  <c r="G571" i="2"/>
  <c r="K571" i="2" s="1"/>
  <c r="G572" i="2"/>
  <c r="K572" i="2"/>
  <c r="G573" i="2"/>
  <c r="K573" i="2" s="1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 s="1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 s="1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E605" i="2"/>
  <c r="F605" i="2"/>
  <c r="I605" i="2"/>
  <c r="J605" i="2"/>
  <c r="AB567" i="2"/>
  <c r="AB566" i="2"/>
  <c r="AG565" i="2"/>
  <c r="AB565" i="2"/>
  <c r="AE565" i="2" s="1"/>
  <c r="AB564" i="2"/>
  <c r="AB563" i="2"/>
  <c r="AE563" i="2" s="1"/>
  <c r="AI563" i="2" s="1"/>
  <c r="AB562" i="2"/>
  <c r="AE562" i="2"/>
  <c r="AI562" i="2" s="1"/>
  <c r="AA563" i="2"/>
  <c r="AA564" i="2"/>
  <c r="AA565" i="2" s="1"/>
  <c r="AA566" i="2" s="1"/>
  <c r="AA567" i="2" s="1"/>
  <c r="AE564" i="2"/>
  <c r="AI564" i="2" s="1"/>
  <c r="AE566" i="2"/>
  <c r="AI566" i="2" s="1"/>
  <c r="AE567" i="2"/>
  <c r="AI567" i="2" s="1"/>
  <c r="AE568" i="2"/>
  <c r="AI568" i="2" s="1"/>
  <c r="AE569" i="2"/>
  <c r="AI569" i="2" s="1"/>
  <c r="AE570" i="2"/>
  <c r="AI570" i="2"/>
  <c r="AE571" i="2"/>
  <c r="AI571" i="2" s="1"/>
  <c r="AE572" i="2"/>
  <c r="AI572" i="2" s="1"/>
  <c r="AE573" i="2"/>
  <c r="AI573" i="2"/>
  <c r="AE574" i="2"/>
  <c r="AI574" i="2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/>
  <c r="AE581" i="2"/>
  <c r="AI581" i="2"/>
  <c r="AE582" i="2"/>
  <c r="AI582" i="2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/>
  <c r="AE589" i="2"/>
  <c r="AI589" i="2"/>
  <c r="AE590" i="2"/>
  <c r="AI590" i="2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/>
  <c r="AE599" i="2"/>
  <c r="AI599" i="2" s="1"/>
  <c r="AE600" i="2"/>
  <c r="AI600" i="2"/>
  <c r="AI601" i="2"/>
  <c r="AE602" i="2"/>
  <c r="AI602" i="2"/>
  <c r="AI603" i="2"/>
  <c r="AC605" i="2"/>
  <c r="AD605" i="2"/>
  <c r="AG605" i="2"/>
  <c r="AH605" i="2"/>
  <c r="AI660" i="2" l="1"/>
  <c r="AE660" i="2"/>
  <c r="P605" i="2"/>
  <c r="W563" i="2"/>
  <c r="S605" i="2"/>
  <c r="W605" i="2"/>
  <c r="G605" i="2"/>
  <c r="K605" i="2"/>
  <c r="AI565" i="2"/>
  <c r="AB605" i="2"/>
  <c r="AI605" i="2"/>
  <c r="AE605" i="2"/>
  <c r="AB517" i="2"/>
  <c r="AB516" i="2"/>
  <c r="AB515" i="2"/>
  <c r="AB514" i="2"/>
  <c r="AE514" i="2" s="1"/>
  <c r="AI514" i="2" s="1"/>
  <c r="AB513" i="2"/>
  <c r="AE513" i="2" s="1"/>
  <c r="AI513" i="2" s="1"/>
  <c r="AB512" i="2"/>
  <c r="AE512" i="2" s="1"/>
  <c r="AI512" i="2" s="1"/>
  <c r="AB511" i="2"/>
  <c r="AB510" i="2"/>
  <c r="AB509" i="2"/>
  <c r="AB508" i="2"/>
  <c r="AB507" i="2"/>
  <c r="AE507" i="2" s="1"/>
  <c r="AI507" i="2" s="1"/>
  <c r="AA509" i="2"/>
  <c r="AA510" i="2" s="1"/>
  <c r="AA511" i="2" s="1"/>
  <c r="AA512" i="2" s="1"/>
  <c r="AA513" i="2" s="1"/>
  <c r="AA514" i="2" s="1"/>
  <c r="AA515" i="2" s="1"/>
  <c r="AA516" i="2" s="1"/>
  <c r="AA517" i="2" s="1"/>
  <c r="AA508" i="2"/>
  <c r="AE508" i="2"/>
  <c r="AI508" i="2" s="1"/>
  <c r="AE509" i="2"/>
  <c r="AI509" i="2" s="1"/>
  <c r="AE510" i="2"/>
  <c r="AI510" i="2" s="1"/>
  <c r="AE511" i="2"/>
  <c r="AI511" i="2" s="1"/>
  <c r="AE515" i="2"/>
  <c r="AI515" i="2" s="1"/>
  <c r="AE516" i="2"/>
  <c r="AI516" i="2" s="1"/>
  <c r="AE517" i="2"/>
  <c r="AI517" i="2"/>
  <c r="AE518" i="2"/>
  <c r="AI518" i="2" s="1"/>
  <c r="AE519" i="2"/>
  <c r="AI519" i="2" s="1"/>
  <c r="AE520" i="2"/>
  <c r="AI520" i="2"/>
  <c r="AE521" i="2"/>
  <c r="AI521" i="2" s="1"/>
  <c r="AE522" i="2"/>
  <c r="AI522" i="2"/>
  <c r="AE523" i="2"/>
  <c r="AI523" i="2" s="1"/>
  <c r="AE524" i="2"/>
  <c r="AI524" i="2"/>
  <c r="AE525" i="2"/>
  <c r="AI525" i="2"/>
  <c r="AE526" i="2"/>
  <c r="AI526" i="2" s="1"/>
  <c r="AE527" i="2"/>
  <c r="AI527" i="2"/>
  <c r="AE528" i="2"/>
  <c r="AI528" i="2"/>
  <c r="AE529" i="2"/>
  <c r="AI529" i="2" s="1"/>
  <c r="AE530" i="2"/>
  <c r="AI530" i="2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 s="1"/>
  <c r="AE538" i="2"/>
  <c r="AI538" i="2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 s="1"/>
  <c r="AI546" i="2"/>
  <c r="AE547" i="2"/>
  <c r="AI547" i="2" s="1"/>
  <c r="AI548" i="2"/>
  <c r="AC550" i="2"/>
  <c r="AD550" i="2"/>
  <c r="AG550" i="2"/>
  <c r="AH550" i="2"/>
  <c r="U518" i="2"/>
  <c r="U550" i="2" s="1"/>
  <c r="P518" i="2"/>
  <c r="S518" i="2" s="1"/>
  <c r="P517" i="2"/>
  <c r="P516" i="2"/>
  <c r="S516" i="2" s="1"/>
  <c r="W516" i="2" s="1"/>
  <c r="P515" i="2"/>
  <c r="S515" i="2" s="1"/>
  <c r="W515" i="2" s="1"/>
  <c r="P514" i="2"/>
  <c r="S514" i="2" s="1"/>
  <c r="W514" i="2" s="1"/>
  <c r="P513" i="2"/>
  <c r="P512" i="2"/>
  <c r="S512" i="2" s="1"/>
  <c r="W512" i="2" s="1"/>
  <c r="P511" i="2"/>
  <c r="S511" i="2" s="1"/>
  <c r="W511" i="2" s="1"/>
  <c r="P510" i="2"/>
  <c r="S510" i="2" s="1"/>
  <c r="W510" i="2" s="1"/>
  <c r="P509" i="2"/>
  <c r="S509" i="2" s="1"/>
  <c r="W509" i="2" s="1"/>
  <c r="P508" i="2"/>
  <c r="P507" i="2"/>
  <c r="S507" i="2" s="1"/>
  <c r="W507" i="2" s="1"/>
  <c r="O508" i="2"/>
  <c r="O509" i="2" s="1"/>
  <c r="O510" i="2" s="1"/>
  <c r="O511" i="2" s="1"/>
  <c r="O512" i="2" s="1"/>
  <c r="O513" i="2" s="1"/>
  <c r="O514" i="2" s="1"/>
  <c r="O515" i="2" s="1"/>
  <c r="O517" i="2" s="1"/>
  <c r="O518" i="2" s="1"/>
  <c r="S508" i="2"/>
  <c r="V550" i="2"/>
  <c r="S513" i="2"/>
  <c r="W513" i="2"/>
  <c r="S517" i="2"/>
  <c r="W517" i="2" s="1"/>
  <c r="S519" i="2"/>
  <c r="W519" i="2"/>
  <c r="S520" i="2"/>
  <c r="W520" i="2" s="1"/>
  <c r="S521" i="2"/>
  <c r="W521" i="2"/>
  <c r="S522" i="2"/>
  <c r="W522" i="2"/>
  <c r="S523" i="2"/>
  <c r="W523" i="2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 s="1"/>
  <c r="S543" i="2"/>
  <c r="W543" i="2"/>
  <c r="S544" i="2"/>
  <c r="W544" i="2"/>
  <c r="S545" i="2"/>
  <c r="W545" i="2" s="1"/>
  <c r="W546" i="2"/>
  <c r="S547" i="2"/>
  <c r="W547" i="2"/>
  <c r="W548" i="2"/>
  <c r="Q550" i="2"/>
  <c r="R550" i="2"/>
  <c r="D510" i="2"/>
  <c r="D509" i="2"/>
  <c r="G509" i="2" s="1"/>
  <c r="K509" i="2" s="1"/>
  <c r="D508" i="2"/>
  <c r="G508" i="2" s="1"/>
  <c r="K508" i="2" s="1"/>
  <c r="J507" i="2"/>
  <c r="J550" i="2" s="1"/>
  <c r="I507" i="2"/>
  <c r="I550" i="2" s="1"/>
  <c r="D507" i="2"/>
  <c r="G507" i="2" s="1"/>
  <c r="F550" i="2"/>
  <c r="E550" i="2"/>
  <c r="G547" i="2"/>
  <c r="K547" i="2" s="1"/>
  <c r="G540" i="2"/>
  <c r="K540" i="2" s="1"/>
  <c r="G539" i="2"/>
  <c r="K539" i="2" s="1"/>
  <c r="G538" i="2"/>
  <c r="K538" i="2" s="1"/>
  <c r="K537" i="2"/>
  <c r="G537" i="2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K529" i="2"/>
  <c r="G529" i="2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G512" i="2"/>
  <c r="K512" i="2" s="1"/>
  <c r="G511" i="2"/>
  <c r="K511" i="2" s="1"/>
  <c r="G510" i="2"/>
  <c r="K510" i="2" s="1"/>
  <c r="C508" i="2"/>
  <c r="C509" i="2" s="1"/>
  <c r="C510" i="2" s="1"/>
  <c r="AB550" i="2" l="1"/>
  <c r="AI550" i="2"/>
  <c r="AE550" i="2"/>
  <c r="W518" i="2"/>
  <c r="P550" i="2"/>
  <c r="S550" i="2"/>
  <c r="W508" i="2"/>
  <c r="K507" i="2"/>
  <c r="K550" i="2" s="1"/>
  <c r="G550" i="2"/>
  <c r="D550" i="2"/>
  <c r="AG454" i="2"/>
  <c r="AI454" i="2" s="1"/>
  <c r="AB454" i="2"/>
  <c r="AB453" i="2"/>
  <c r="AE453" i="2" s="1"/>
  <c r="AB452" i="2"/>
  <c r="AE452" i="2" s="1"/>
  <c r="AI452" i="2" s="1"/>
  <c r="AA454" i="2"/>
  <c r="AA455" i="2"/>
  <c r="AA453" i="2"/>
  <c r="AE454" i="2"/>
  <c r="AE455" i="2"/>
  <c r="AI455" i="2" s="1"/>
  <c r="AE456" i="2"/>
  <c r="AI456" i="2" s="1"/>
  <c r="AE457" i="2"/>
  <c r="AI457" i="2"/>
  <c r="AE458" i="2"/>
  <c r="AI458" i="2" s="1"/>
  <c r="AE459" i="2"/>
  <c r="AI459" i="2" s="1"/>
  <c r="AE460" i="2"/>
  <c r="AI460" i="2"/>
  <c r="AE461" i="2"/>
  <c r="AI461" i="2"/>
  <c r="AE462" i="2"/>
  <c r="AI462" i="2"/>
  <c r="AE463" i="2"/>
  <c r="AI463" i="2" s="1"/>
  <c r="AE464" i="2"/>
  <c r="AI464" i="2" s="1"/>
  <c r="AE465" i="2"/>
  <c r="AI465" i="2"/>
  <c r="AE466" i="2"/>
  <c r="AI466" i="2" s="1"/>
  <c r="AE467" i="2"/>
  <c r="AI467" i="2"/>
  <c r="AE468" i="2"/>
  <c r="AI468" i="2"/>
  <c r="AE469" i="2"/>
  <c r="AI469" i="2"/>
  <c r="AE470" i="2"/>
  <c r="AI470" i="2"/>
  <c r="AE471" i="2"/>
  <c r="AI471" i="2" s="1"/>
  <c r="AE472" i="2"/>
  <c r="AI472" i="2" s="1"/>
  <c r="AE473" i="2"/>
  <c r="AI473" i="2"/>
  <c r="AE474" i="2"/>
  <c r="AI474" i="2" s="1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 s="1"/>
  <c r="AE481" i="2"/>
  <c r="AI481" i="2"/>
  <c r="AE482" i="2"/>
  <c r="AI482" i="2" s="1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H495" i="2"/>
  <c r="V454" i="2"/>
  <c r="P454" i="2"/>
  <c r="S454" i="2" s="1"/>
  <c r="P453" i="2"/>
  <c r="S453" i="2" s="1"/>
  <c r="V453" i="2"/>
  <c r="U453" i="2"/>
  <c r="V452" i="2"/>
  <c r="P452" i="2"/>
  <c r="S452" i="2"/>
  <c r="W452" i="2" s="1"/>
  <c r="U495" i="2"/>
  <c r="O453" i="2"/>
  <c r="O454" i="2" s="1"/>
  <c r="S455" i="2"/>
  <c r="W455" i="2"/>
  <c r="S456" i="2"/>
  <c r="W456" i="2" s="1"/>
  <c r="S457" i="2"/>
  <c r="W457" i="2"/>
  <c r="S458" i="2"/>
  <c r="W458" i="2" s="1"/>
  <c r="S459" i="2"/>
  <c r="W459" i="2"/>
  <c r="S460" i="2"/>
  <c r="W460" i="2"/>
  <c r="S461" i="2"/>
  <c r="W461" i="2"/>
  <c r="S462" i="2"/>
  <c r="W462" i="2"/>
  <c r="S463" i="2"/>
  <c r="W463" i="2"/>
  <c r="S464" i="2"/>
  <c r="W464" i="2" s="1"/>
  <c r="S465" i="2"/>
  <c r="W465" i="2"/>
  <c r="S466" i="2"/>
  <c r="W466" i="2" s="1"/>
  <c r="S467" i="2"/>
  <c r="W467" i="2"/>
  <c r="S468" i="2"/>
  <c r="W468" i="2"/>
  <c r="S469" i="2"/>
  <c r="W469" i="2"/>
  <c r="S470" i="2"/>
  <c r="W470" i="2"/>
  <c r="S471" i="2"/>
  <c r="W471" i="2"/>
  <c r="S472" i="2"/>
  <c r="W472" i="2" s="1"/>
  <c r="S473" i="2"/>
  <c r="W473" i="2"/>
  <c r="S474" i="2"/>
  <c r="W474" i="2" s="1"/>
  <c r="S475" i="2"/>
  <c r="W475" i="2"/>
  <c r="S476" i="2"/>
  <c r="W476" i="2"/>
  <c r="S477" i="2"/>
  <c r="W477" i="2"/>
  <c r="S478" i="2"/>
  <c r="W478" i="2"/>
  <c r="S479" i="2"/>
  <c r="W479" i="2"/>
  <c r="S480" i="2"/>
  <c r="W480" i="2" s="1"/>
  <c r="S481" i="2"/>
  <c r="W481" i="2"/>
  <c r="S482" i="2"/>
  <c r="W482" i="2" s="1"/>
  <c r="S483" i="2"/>
  <c r="W483" i="2"/>
  <c r="S484" i="2"/>
  <c r="W484" i="2"/>
  <c r="S485" i="2"/>
  <c r="W485" i="2"/>
  <c r="S486" i="2"/>
  <c r="W486" i="2"/>
  <c r="S487" i="2"/>
  <c r="W487" i="2"/>
  <c r="S488" i="2"/>
  <c r="W488" i="2" s="1"/>
  <c r="S489" i="2"/>
  <c r="W489" i="2"/>
  <c r="S490" i="2"/>
  <c r="W490" i="2" s="1"/>
  <c r="W491" i="2"/>
  <c r="S492" i="2"/>
  <c r="W492" i="2"/>
  <c r="W493" i="2"/>
  <c r="Q495" i="2"/>
  <c r="R495" i="2"/>
  <c r="W550" i="2" l="1"/>
  <c r="AG495" i="2"/>
  <c r="AB495" i="2"/>
  <c r="AI453" i="2"/>
  <c r="AI495" i="2" s="1"/>
  <c r="AE495" i="2"/>
  <c r="W454" i="2"/>
  <c r="S495" i="2"/>
  <c r="W453" i="2"/>
  <c r="P495" i="2"/>
  <c r="V495" i="2"/>
  <c r="W495" i="2"/>
  <c r="AB401" i="2"/>
  <c r="AE401" i="2" s="1"/>
  <c r="AI401" i="2" s="1"/>
  <c r="AB400" i="2"/>
  <c r="AB399" i="2"/>
  <c r="AB398" i="2"/>
  <c r="AG397" i="2"/>
  <c r="AB397" i="2"/>
  <c r="AA400" i="2"/>
  <c r="AA401" i="2" s="1"/>
  <c r="AE397" i="2"/>
  <c r="AA398" i="2"/>
  <c r="AE398" i="2"/>
  <c r="AI398" i="2" s="1"/>
  <c r="AE399" i="2"/>
  <c r="AI399" i="2" s="1"/>
  <c r="AE400" i="2"/>
  <c r="AI400" i="2" s="1"/>
  <c r="AE402" i="2"/>
  <c r="AI402" i="2" s="1"/>
  <c r="AE403" i="2"/>
  <c r="AI403" i="2" s="1"/>
  <c r="AE404" i="2"/>
  <c r="AI404" i="2" s="1"/>
  <c r="AE405" i="2"/>
  <c r="AI405" i="2"/>
  <c r="AE406" i="2"/>
  <c r="AI406" i="2"/>
  <c r="AE407" i="2"/>
  <c r="AI407" i="2"/>
  <c r="AE408" i="2"/>
  <c r="AI408" i="2"/>
  <c r="AE409" i="2"/>
  <c r="AI409" i="2"/>
  <c r="AE410" i="2"/>
  <c r="AI410" i="2" s="1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/>
  <c r="AE417" i="2"/>
  <c r="AI417" i="2"/>
  <c r="AE418" i="2"/>
  <c r="AI418" i="2" s="1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/>
  <c r="AE426" i="2"/>
  <c r="AI426" i="2" s="1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AG440" i="2"/>
  <c r="AH440" i="2"/>
  <c r="V401" i="2"/>
  <c r="P401" i="2"/>
  <c r="S401" i="2" s="1"/>
  <c r="W401" i="2" s="1"/>
  <c r="P400" i="2"/>
  <c r="P399" i="2"/>
  <c r="S398" i="2"/>
  <c r="U397" i="2"/>
  <c r="P397" i="2"/>
  <c r="S397" i="2"/>
  <c r="W397" i="2" s="1"/>
  <c r="O398" i="2"/>
  <c r="O399" i="2" s="1"/>
  <c r="O400" i="2" s="1"/>
  <c r="O401" i="2" s="1"/>
  <c r="S399" i="2"/>
  <c r="W399" i="2" s="1"/>
  <c r="S400" i="2"/>
  <c r="W400" i="2" s="1"/>
  <c r="S402" i="2"/>
  <c r="W402" i="2" s="1"/>
  <c r="S403" i="2"/>
  <c r="W403" i="2" s="1"/>
  <c r="S404" i="2"/>
  <c r="W404" i="2" s="1"/>
  <c r="U440" i="2"/>
  <c r="S405" i="2"/>
  <c r="W405" i="2" s="1"/>
  <c r="S406" i="2"/>
  <c r="W406" i="2"/>
  <c r="S407" i="2"/>
  <c r="W407" i="2"/>
  <c r="S408" i="2"/>
  <c r="W408" i="2" s="1"/>
  <c r="S409" i="2"/>
  <c r="W409" i="2" s="1"/>
  <c r="S410" i="2"/>
  <c r="W410" i="2" s="1"/>
  <c r="S411" i="2"/>
  <c r="W411" i="2"/>
  <c r="S412" i="2"/>
  <c r="W412" i="2" s="1"/>
  <c r="S413" i="2"/>
  <c r="W413" i="2"/>
  <c r="S414" i="2"/>
  <c r="W414" i="2" s="1"/>
  <c r="S415" i="2"/>
  <c r="W415" i="2"/>
  <c r="S416" i="2"/>
  <c r="W416" i="2"/>
  <c r="S417" i="2"/>
  <c r="W417" i="2" s="1"/>
  <c r="S418" i="2"/>
  <c r="W418" i="2"/>
  <c r="S419" i="2"/>
  <c r="W419" i="2"/>
  <c r="S420" i="2"/>
  <c r="W420" i="2" s="1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 s="1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 s="1"/>
  <c r="W436" i="2"/>
  <c r="S437" i="2"/>
  <c r="W437" i="2" s="1"/>
  <c r="W438" i="2"/>
  <c r="Q440" i="2"/>
  <c r="R440" i="2"/>
  <c r="V440" i="2"/>
  <c r="D411" i="2"/>
  <c r="G411" i="2" s="1"/>
  <c r="K411" i="2" s="1"/>
  <c r="I410" i="2"/>
  <c r="I440" i="2" s="1"/>
  <c r="D410" i="2"/>
  <c r="G410" i="2" s="1"/>
  <c r="K410" i="2" s="1"/>
  <c r="D409" i="2"/>
  <c r="G409" i="2" s="1"/>
  <c r="K409" i="2" s="1"/>
  <c r="D408" i="2"/>
  <c r="D407" i="2"/>
  <c r="D406" i="2"/>
  <c r="D405" i="2"/>
  <c r="G405" i="2" s="1"/>
  <c r="K405" i="2" s="1"/>
  <c r="D404" i="2"/>
  <c r="D403" i="2"/>
  <c r="D402" i="2"/>
  <c r="D401" i="2"/>
  <c r="G401" i="2" s="1"/>
  <c r="K401" i="2" s="1"/>
  <c r="D400" i="2"/>
  <c r="D399" i="2"/>
  <c r="G399" i="2" s="1"/>
  <c r="K399" i="2" s="1"/>
  <c r="D398" i="2"/>
  <c r="G398" i="2" s="1"/>
  <c r="D397" i="2"/>
  <c r="G397" i="2" s="1"/>
  <c r="K397" i="2" s="1"/>
  <c r="C398" i="2"/>
  <c r="C399" i="2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G400" i="2"/>
  <c r="K400" i="2"/>
  <c r="G402" i="2"/>
  <c r="K402" i="2" s="1"/>
  <c r="G403" i="2"/>
  <c r="K403" i="2" s="1"/>
  <c r="G404" i="2"/>
  <c r="K404" i="2"/>
  <c r="G406" i="2"/>
  <c r="K406" i="2" s="1"/>
  <c r="G407" i="2"/>
  <c r="K407" i="2" s="1"/>
  <c r="G408" i="2"/>
  <c r="K408" i="2" s="1"/>
  <c r="G412" i="2"/>
  <c r="K412" i="2" s="1"/>
  <c r="G413" i="2"/>
  <c r="K413" i="2" s="1"/>
  <c r="G414" i="2"/>
  <c r="K414" i="2"/>
  <c r="G415" i="2"/>
  <c r="K415" i="2" s="1"/>
  <c r="G416" i="2"/>
  <c r="K416" i="2"/>
  <c r="G417" i="2"/>
  <c r="K417" i="2"/>
  <c r="G418" i="2"/>
  <c r="K418" i="2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 s="1"/>
  <c r="G430" i="2"/>
  <c r="K430" i="2"/>
  <c r="G437" i="2"/>
  <c r="K437" i="2" s="1"/>
  <c r="E440" i="2"/>
  <c r="F440" i="2"/>
  <c r="J440" i="2"/>
  <c r="AI397" i="2" l="1"/>
  <c r="AI440" i="2" s="1"/>
  <c r="AE440" i="2"/>
  <c r="AB440" i="2"/>
  <c r="P440" i="2"/>
  <c r="W398" i="2"/>
  <c r="W440" i="2" s="1"/>
  <c r="S440" i="2"/>
  <c r="G440" i="2"/>
  <c r="K398" i="2"/>
  <c r="K440" i="2" s="1"/>
  <c r="D440" i="2"/>
  <c r="AB343" i="2"/>
  <c r="AG342" i="2"/>
  <c r="AH342" i="2"/>
  <c r="AG385" i="2"/>
  <c r="AC342" i="2"/>
  <c r="AC385" i="2" s="1"/>
  <c r="AB342" i="2"/>
  <c r="AB385" i="2" s="1"/>
  <c r="AA343" i="2"/>
  <c r="AE343" i="2"/>
  <c r="AI343" i="2" s="1"/>
  <c r="AE344" i="2"/>
  <c r="AH385" i="2"/>
  <c r="AI344" i="2"/>
  <c r="AE345" i="2"/>
  <c r="AI345" i="2" s="1"/>
  <c r="AE346" i="2"/>
  <c r="AI346" i="2"/>
  <c r="AE347" i="2"/>
  <c r="AI347" i="2"/>
  <c r="AE348" i="2"/>
  <c r="AI348" i="2" s="1"/>
  <c r="AE349" i="2"/>
  <c r="AI349" i="2" s="1"/>
  <c r="AE350" i="2"/>
  <c r="AI350" i="2"/>
  <c r="AE351" i="2"/>
  <c r="AI351" i="2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/>
  <c r="AE368" i="2"/>
  <c r="AI368" i="2"/>
  <c r="AE369" i="2"/>
  <c r="AI369" i="2" s="1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/>
  <c r="AE376" i="2"/>
  <c r="AI376" i="2"/>
  <c r="AE377" i="2"/>
  <c r="AI377" i="2" s="1"/>
  <c r="AE378" i="2"/>
  <c r="AI378" i="2"/>
  <c r="AE379" i="2"/>
  <c r="AI379" i="2"/>
  <c r="AE380" i="2"/>
  <c r="AI380" i="2" s="1"/>
  <c r="AI381" i="2"/>
  <c r="AE382" i="2"/>
  <c r="AI382" i="2"/>
  <c r="AI383" i="2"/>
  <c r="AD385" i="2"/>
  <c r="P357" i="2"/>
  <c r="P356" i="2"/>
  <c r="S356" i="2" s="1"/>
  <c r="W356" i="2" s="1"/>
  <c r="P355" i="2"/>
  <c r="P354" i="2"/>
  <c r="S354" i="2" s="1"/>
  <c r="W354" i="2" s="1"/>
  <c r="P353" i="2"/>
  <c r="P352" i="2"/>
  <c r="P351" i="2"/>
  <c r="S351" i="2" s="1"/>
  <c r="W351" i="2" s="1"/>
  <c r="P350" i="2"/>
  <c r="S350" i="2" s="1"/>
  <c r="W350" i="2" s="1"/>
  <c r="U349" i="2"/>
  <c r="P349" i="2"/>
  <c r="S349" i="2" s="1"/>
  <c r="P348" i="2"/>
  <c r="U347" i="2"/>
  <c r="U385" i="2" s="1"/>
  <c r="P347" i="2"/>
  <c r="P346" i="2"/>
  <c r="S346" i="2" s="1"/>
  <c r="W346" i="2" s="1"/>
  <c r="P345" i="2"/>
  <c r="P344" i="2"/>
  <c r="P343" i="2"/>
  <c r="P342" i="2"/>
  <c r="S342" i="2" s="1"/>
  <c r="O343" i="2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S343" i="2"/>
  <c r="W343" i="2" s="1"/>
  <c r="S344" i="2"/>
  <c r="W344" i="2" s="1"/>
  <c r="S345" i="2"/>
  <c r="W345" i="2" s="1"/>
  <c r="S347" i="2"/>
  <c r="W347" i="2" s="1"/>
  <c r="S348" i="2"/>
  <c r="W348" i="2" s="1"/>
  <c r="S352" i="2"/>
  <c r="W352" i="2" s="1"/>
  <c r="S353" i="2"/>
  <c r="W353" i="2" s="1"/>
  <c r="S355" i="2"/>
  <c r="W355" i="2"/>
  <c r="S357" i="2"/>
  <c r="W357" i="2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D358" i="2"/>
  <c r="D357" i="2"/>
  <c r="C357" i="2"/>
  <c r="C358" i="2"/>
  <c r="D356" i="2"/>
  <c r="G356" i="2" s="1"/>
  <c r="K356" i="2" s="1"/>
  <c r="D355" i="2"/>
  <c r="G355" i="2" s="1"/>
  <c r="K355" i="2" s="1"/>
  <c r="D354" i="2"/>
  <c r="D353" i="2"/>
  <c r="D352" i="2"/>
  <c r="D351" i="2"/>
  <c r="D350" i="2"/>
  <c r="C352" i="2"/>
  <c r="C353" i="2"/>
  <c r="C354" i="2"/>
  <c r="C355" i="2"/>
  <c r="C356" i="2"/>
  <c r="D349" i="2"/>
  <c r="G349" i="2" s="1"/>
  <c r="K349" i="2" s="1"/>
  <c r="D348" i="2"/>
  <c r="D347" i="2"/>
  <c r="G347" i="2" s="1"/>
  <c r="K347" i="2" s="1"/>
  <c r="D346" i="2"/>
  <c r="G346" i="2" s="1"/>
  <c r="K346" i="2" s="1"/>
  <c r="D345" i="2"/>
  <c r="G345" i="2" s="1"/>
  <c r="K345" i="2" s="1"/>
  <c r="D344" i="2"/>
  <c r="D343" i="2"/>
  <c r="D342" i="2"/>
  <c r="G342" i="2"/>
  <c r="K342" i="2" s="1"/>
  <c r="C343" i="2"/>
  <c r="C344" i="2" s="1"/>
  <c r="C345" i="2" s="1"/>
  <c r="C346" i="2" s="1"/>
  <c r="C347" i="2" s="1"/>
  <c r="C349" i="2" s="1"/>
  <c r="C350" i="2" s="1"/>
  <c r="C351" i="2" s="1"/>
  <c r="G343" i="2"/>
  <c r="K343" i="2"/>
  <c r="G348" i="2"/>
  <c r="K348" i="2" s="1"/>
  <c r="G350" i="2"/>
  <c r="K350" i="2" s="1"/>
  <c r="G351" i="2"/>
  <c r="K351" i="2"/>
  <c r="G352" i="2"/>
  <c r="G353" i="2"/>
  <c r="K353" i="2" s="1"/>
  <c r="G354" i="2"/>
  <c r="K354" i="2"/>
  <c r="G357" i="2"/>
  <c r="K357" i="2"/>
  <c r="G358" i="2"/>
  <c r="K358" i="2" s="1"/>
  <c r="G359" i="2"/>
  <c r="K359" i="2" s="1"/>
  <c r="G360" i="2"/>
  <c r="K360" i="2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 s="1"/>
  <c r="G368" i="2"/>
  <c r="K368" i="2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/>
  <c r="E385" i="2"/>
  <c r="F385" i="2"/>
  <c r="I385" i="2"/>
  <c r="J385" i="2"/>
  <c r="AE342" i="2" l="1"/>
  <c r="AI342" i="2" s="1"/>
  <c r="AI385" i="2" s="1"/>
  <c r="W349" i="2"/>
  <c r="P385" i="2"/>
  <c r="W342" i="2"/>
  <c r="W385" i="2" s="1"/>
  <c r="S385" i="2"/>
  <c r="D385" i="2"/>
  <c r="G344" i="2"/>
  <c r="K344" i="2" s="1"/>
  <c r="G385" i="2"/>
  <c r="K352" i="2"/>
  <c r="K385" i="2"/>
  <c r="AB290" i="2"/>
  <c r="AE290" i="2" s="1"/>
  <c r="AI290" i="2" s="1"/>
  <c r="AC289" i="2"/>
  <c r="AB289" i="2"/>
  <c r="AE289" i="2"/>
  <c r="AI289" i="2" s="1"/>
  <c r="AH289" i="2"/>
  <c r="AB288" i="2"/>
  <c r="AE288" i="2" s="1"/>
  <c r="AI288" i="2" s="1"/>
  <c r="AB287" i="2"/>
  <c r="AE287" i="2"/>
  <c r="AA288" i="2"/>
  <c r="AA289" i="2"/>
  <c r="AA290" i="2" s="1"/>
  <c r="AE291" i="2"/>
  <c r="AI291" i="2" s="1"/>
  <c r="AE292" i="2"/>
  <c r="AI292" i="2"/>
  <c r="AE293" i="2"/>
  <c r="AI293" i="2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/>
  <c r="AE301" i="2"/>
  <c r="AI301" i="2"/>
  <c r="AE302" i="2"/>
  <c r="AI302" i="2" s="1"/>
  <c r="AE303" i="2"/>
  <c r="AI303" i="2" s="1"/>
  <c r="AE304" i="2"/>
  <c r="AI304" i="2"/>
  <c r="AE305" i="2"/>
  <c r="AI305" i="2" s="1"/>
  <c r="AE306" i="2"/>
  <c r="AI306" i="2" s="1"/>
  <c r="AE307" i="2"/>
  <c r="AI307" i="2"/>
  <c r="AE308" i="2"/>
  <c r="AI308" i="2" s="1"/>
  <c r="AE309" i="2"/>
  <c r="AI309" i="2" s="1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 s="1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 s="1"/>
  <c r="AI326" i="2"/>
  <c r="AE327" i="2"/>
  <c r="AI327" i="2"/>
  <c r="AI328" i="2"/>
  <c r="AC330" i="2"/>
  <c r="AD330" i="2"/>
  <c r="AG330" i="2"/>
  <c r="AH330" i="2"/>
  <c r="P309" i="2"/>
  <c r="P308" i="2"/>
  <c r="P307" i="2"/>
  <c r="S307" i="2" s="1"/>
  <c r="W307" i="2" s="1"/>
  <c r="P306" i="2"/>
  <c r="V305" i="2"/>
  <c r="V330" i="2" s="1"/>
  <c r="P305" i="2"/>
  <c r="P304" i="2"/>
  <c r="S304" i="2" s="1"/>
  <c r="W304" i="2" s="1"/>
  <c r="P303" i="2"/>
  <c r="S303" i="2" s="1"/>
  <c r="W303" i="2" s="1"/>
  <c r="P302" i="2"/>
  <c r="S302" i="2" s="1"/>
  <c r="W302" i="2" s="1"/>
  <c r="P301" i="2"/>
  <c r="P300" i="2"/>
  <c r="S300" i="2" s="1"/>
  <c r="W300" i="2" s="1"/>
  <c r="P299" i="2"/>
  <c r="S299" i="2" s="1"/>
  <c r="W299" i="2" s="1"/>
  <c r="P298" i="2"/>
  <c r="P297" i="2"/>
  <c r="P296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P287" i="2"/>
  <c r="S287" i="2"/>
  <c r="O288" i="2"/>
  <c r="O289" i="2" s="1"/>
  <c r="O290" i="2" s="1"/>
  <c r="O291" i="2" s="1"/>
  <c r="O292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S288" i="2"/>
  <c r="W288" i="2" s="1"/>
  <c r="S289" i="2"/>
  <c r="W289" i="2" s="1"/>
  <c r="S290" i="2"/>
  <c r="W290" i="2"/>
  <c r="S294" i="2"/>
  <c r="W294" i="2" s="1"/>
  <c r="S296" i="2"/>
  <c r="W296" i="2" s="1"/>
  <c r="S297" i="2"/>
  <c r="W297" i="2" s="1"/>
  <c r="S298" i="2"/>
  <c r="W298" i="2" s="1"/>
  <c r="S301" i="2"/>
  <c r="W301" i="2" s="1"/>
  <c r="S305" i="2"/>
  <c r="W305" i="2" s="1"/>
  <c r="S306" i="2"/>
  <c r="W306" i="2"/>
  <c r="S308" i="2"/>
  <c r="W308" i="2" s="1"/>
  <c r="S309" i="2"/>
  <c r="W309" i="2" s="1"/>
  <c r="S310" i="2"/>
  <c r="W310" i="2" s="1"/>
  <c r="S311" i="2"/>
  <c r="W311" i="2"/>
  <c r="S312" i="2"/>
  <c r="W312" i="2"/>
  <c r="S313" i="2"/>
  <c r="W313" i="2"/>
  <c r="S314" i="2"/>
  <c r="W314" i="2"/>
  <c r="S315" i="2"/>
  <c r="W315" i="2" s="1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 s="1"/>
  <c r="S324" i="2"/>
  <c r="W324" i="2" s="1"/>
  <c r="S325" i="2"/>
  <c r="W325" i="2"/>
  <c r="W326" i="2"/>
  <c r="S327" i="2"/>
  <c r="W327" i="2"/>
  <c r="W328" i="2"/>
  <c r="Q330" i="2"/>
  <c r="R330" i="2"/>
  <c r="U330" i="2"/>
  <c r="D297" i="2"/>
  <c r="G297" i="2" s="1"/>
  <c r="K297" i="2" s="1"/>
  <c r="D296" i="2"/>
  <c r="D295" i="2"/>
  <c r="D294" i="2"/>
  <c r="D293" i="2"/>
  <c r="G293" i="2" s="1"/>
  <c r="K293" i="2" s="1"/>
  <c r="D292" i="2"/>
  <c r="D291" i="2"/>
  <c r="D290" i="2"/>
  <c r="D289" i="2"/>
  <c r="G289" i="2" s="1"/>
  <c r="K289" i="2" s="1"/>
  <c r="D288" i="2"/>
  <c r="D287" i="2"/>
  <c r="G287" i="2" s="1"/>
  <c r="K287" i="2" s="1"/>
  <c r="C293" i="2"/>
  <c r="C294" i="2" s="1"/>
  <c r="C295" i="2" s="1"/>
  <c r="C296" i="2" s="1"/>
  <c r="J330" i="2"/>
  <c r="C288" i="2"/>
  <c r="C289" i="2" s="1"/>
  <c r="C290" i="2" s="1"/>
  <c r="C291" i="2" s="1"/>
  <c r="C292" i="2" s="1"/>
  <c r="G288" i="2"/>
  <c r="K288" i="2" s="1"/>
  <c r="G290" i="2"/>
  <c r="K290" i="2" s="1"/>
  <c r="G291" i="2"/>
  <c r="K291" i="2" s="1"/>
  <c r="G292" i="2"/>
  <c r="K292" i="2" s="1"/>
  <c r="G294" i="2"/>
  <c r="K294" i="2" s="1"/>
  <c r="G295" i="2"/>
  <c r="K295" i="2"/>
  <c r="G296" i="2"/>
  <c r="K296" i="2"/>
  <c r="G298" i="2"/>
  <c r="K298" i="2"/>
  <c r="G299" i="2"/>
  <c r="K299" i="2" s="1"/>
  <c r="G300" i="2"/>
  <c r="K300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 s="1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 s="1"/>
  <c r="G317" i="2"/>
  <c r="K317" i="2" s="1"/>
  <c r="G318" i="2"/>
  <c r="K318" i="2"/>
  <c r="G319" i="2"/>
  <c r="K319" i="2"/>
  <c r="G320" i="2"/>
  <c r="K320" i="2"/>
  <c r="G327" i="2"/>
  <c r="K327" i="2"/>
  <c r="E330" i="2"/>
  <c r="F330" i="2"/>
  <c r="I330" i="2"/>
  <c r="AE385" i="2" l="1"/>
  <c r="AI287" i="2"/>
  <c r="AI330" i="2" s="1"/>
  <c r="AE330" i="2"/>
  <c r="AB330" i="2"/>
  <c r="P330" i="2"/>
  <c r="S292" i="2"/>
  <c r="W292" i="2" s="1"/>
  <c r="W287" i="2"/>
  <c r="W330" i="2" s="1"/>
  <c r="S330" i="2"/>
  <c r="D330" i="2"/>
  <c r="K330" i="2"/>
  <c r="G330" i="2"/>
  <c r="AB251" i="2"/>
  <c r="AE251" i="2" s="1"/>
  <c r="AI251" i="2" s="1"/>
  <c r="AB250" i="2"/>
  <c r="AB249" i="2"/>
  <c r="AE249" i="2" s="1"/>
  <c r="AI249" i="2" s="1"/>
  <c r="AB248" i="2"/>
  <c r="AE248" i="2" s="1"/>
  <c r="AI248" i="2" s="1"/>
  <c r="AB247" i="2"/>
  <c r="AB246" i="2"/>
  <c r="AE246" i="2" s="1"/>
  <c r="AI246" i="2" s="1"/>
  <c r="AB245" i="2"/>
  <c r="AB244" i="2"/>
  <c r="AB243" i="2"/>
  <c r="AB242" i="2"/>
  <c r="AE242" i="2" s="1"/>
  <c r="AI242" i="2" s="1"/>
  <c r="AB241" i="2"/>
  <c r="AB240" i="2"/>
  <c r="AE240" i="2" s="1"/>
  <c r="AI240" i="2" s="1"/>
  <c r="AB239" i="2"/>
  <c r="AE239" i="2" s="1"/>
  <c r="AI239" i="2" s="1"/>
  <c r="AB238" i="2"/>
  <c r="AB237" i="2"/>
  <c r="AB236" i="2"/>
  <c r="AB235" i="2"/>
  <c r="AE235" i="2" s="1"/>
  <c r="AI235" i="2" s="1"/>
  <c r="AB234" i="2"/>
  <c r="AB233" i="2"/>
  <c r="AB232" i="2"/>
  <c r="AE232" i="2" s="1"/>
  <c r="AA235" i="2"/>
  <c r="AA236" i="2"/>
  <c r="AA237" i="2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AA250" i="2" s="1"/>
  <c r="AA251" i="2" s="1"/>
  <c r="AA233" i="2"/>
  <c r="AA234" i="2" s="1"/>
  <c r="AE233" i="2"/>
  <c r="AI233" i="2" s="1"/>
  <c r="AE236" i="2"/>
  <c r="AI236" i="2" s="1"/>
  <c r="AE237" i="2"/>
  <c r="AI237" i="2" s="1"/>
  <c r="AE238" i="2"/>
  <c r="AI238" i="2" s="1"/>
  <c r="AE241" i="2"/>
  <c r="AI241" i="2"/>
  <c r="AE243" i="2"/>
  <c r="AI243" i="2" s="1"/>
  <c r="AE244" i="2"/>
  <c r="AI244" i="2" s="1"/>
  <c r="AE245" i="2"/>
  <c r="AI245" i="2" s="1"/>
  <c r="AE247" i="2"/>
  <c r="AI247" i="2" s="1"/>
  <c r="AE250" i="2"/>
  <c r="AI250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G275" i="2"/>
  <c r="AH275" i="2"/>
  <c r="P251" i="2"/>
  <c r="P250" i="2"/>
  <c r="P249" i="2"/>
  <c r="P248" i="2"/>
  <c r="S248" i="2" s="1"/>
  <c r="W248" i="2" s="1"/>
  <c r="P247" i="2"/>
  <c r="S247" i="2" s="1"/>
  <c r="W247" i="2" s="1"/>
  <c r="P246" i="2"/>
  <c r="P245" i="2"/>
  <c r="P244" i="2"/>
  <c r="P243" i="2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S237" i="2" s="1"/>
  <c r="W237" i="2" s="1"/>
  <c r="P236" i="2"/>
  <c r="S236" i="2"/>
  <c r="W236" i="2" s="1"/>
  <c r="P235" i="2"/>
  <c r="P234" i="2"/>
  <c r="P233" i="2"/>
  <c r="P232" i="2"/>
  <c r="S232" i="2"/>
  <c r="W232" i="2" s="1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S233" i="2"/>
  <c r="W233" i="2" s="1"/>
  <c r="V275" i="2"/>
  <c r="S234" i="2"/>
  <c r="W234" i="2" s="1"/>
  <c r="S240" i="2"/>
  <c r="W240" i="2" s="1"/>
  <c r="S241" i="2"/>
  <c r="W241" i="2" s="1"/>
  <c r="S243" i="2"/>
  <c r="W243" i="2" s="1"/>
  <c r="S244" i="2"/>
  <c r="W244" i="2" s="1"/>
  <c r="S245" i="2"/>
  <c r="W245" i="2"/>
  <c r="S246" i="2"/>
  <c r="W246" i="2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/>
  <c r="S259" i="2"/>
  <c r="W259" i="2" s="1"/>
  <c r="S260" i="2"/>
  <c r="W260" i="2"/>
  <c r="S261" i="2"/>
  <c r="W261" i="2"/>
  <c r="S262" i="2"/>
  <c r="W262" i="2" s="1"/>
  <c r="S263" i="2"/>
  <c r="W263" i="2" s="1"/>
  <c r="S264" i="2"/>
  <c r="W264" i="2"/>
  <c r="S265" i="2"/>
  <c r="W265" i="2" s="1"/>
  <c r="S266" i="2"/>
  <c r="W266" i="2"/>
  <c r="S267" i="2"/>
  <c r="W267" i="2" s="1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U275" i="2"/>
  <c r="D237" i="2"/>
  <c r="G237" i="2" s="1"/>
  <c r="K237" i="2" s="1"/>
  <c r="D236" i="2"/>
  <c r="D235" i="2"/>
  <c r="D234" i="2"/>
  <c r="G234" i="2" s="1"/>
  <c r="D233" i="2"/>
  <c r="G233" i="2" s="1"/>
  <c r="K233" i="2" s="1"/>
  <c r="J232" i="2"/>
  <c r="K232" i="2" s="1"/>
  <c r="D232" i="2"/>
  <c r="I275" i="2"/>
  <c r="F275" i="2"/>
  <c r="E275" i="2"/>
  <c r="G272" i="2"/>
  <c r="K272" i="2" s="1"/>
  <c r="G265" i="2"/>
  <c r="K265" i="2" s="1"/>
  <c r="K264" i="2"/>
  <c r="G264" i="2"/>
  <c r="K263" i="2"/>
  <c r="G263" i="2"/>
  <c r="G262" i="2"/>
  <c r="K262" i="2" s="1"/>
  <c r="G261" i="2"/>
  <c r="K261" i="2" s="1"/>
  <c r="G260" i="2"/>
  <c r="K260" i="2" s="1"/>
  <c r="K259" i="2"/>
  <c r="G259" i="2"/>
  <c r="G258" i="2"/>
  <c r="K258" i="2" s="1"/>
  <c r="G257" i="2"/>
  <c r="K257" i="2" s="1"/>
  <c r="K256" i="2"/>
  <c r="G256" i="2"/>
  <c r="K255" i="2"/>
  <c r="G255" i="2"/>
  <c r="G254" i="2"/>
  <c r="K254" i="2" s="1"/>
  <c r="G253" i="2"/>
  <c r="K253" i="2" s="1"/>
  <c r="G252" i="2"/>
  <c r="K252" i="2" s="1"/>
  <c r="K251" i="2"/>
  <c r="G251" i="2"/>
  <c r="G250" i="2"/>
  <c r="K250" i="2" s="1"/>
  <c r="G249" i="2"/>
  <c r="K249" i="2" s="1"/>
  <c r="K248" i="2"/>
  <c r="G248" i="2"/>
  <c r="G247" i="2"/>
  <c r="K247" i="2" s="1"/>
  <c r="G246" i="2"/>
  <c r="K246" i="2" s="1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G239" i="2"/>
  <c r="K239" i="2" s="1"/>
  <c r="G238" i="2"/>
  <c r="K238" i="2" s="1"/>
  <c r="G236" i="2"/>
  <c r="K236" i="2" s="1"/>
  <c r="G235" i="2"/>
  <c r="K235" i="2" s="1"/>
  <c r="C233" i="2"/>
  <c r="C234" i="2" s="1"/>
  <c r="C235" i="2" s="1"/>
  <c r="C236" i="2" s="1"/>
  <c r="C237" i="2" s="1"/>
  <c r="G232" i="2"/>
  <c r="AB275" i="2" l="1"/>
  <c r="AI232" i="2"/>
  <c r="AE234" i="2"/>
  <c r="AI234" i="2" s="1"/>
  <c r="P275" i="2"/>
  <c r="S235" i="2"/>
  <c r="D275" i="2"/>
  <c r="J275" i="2"/>
  <c r="K234" i="2"/>
  <c r="K275" i="2" s="1"/>
  <c r="G275" i="2"/>
  <c r="AB179" i="2"/>
  <c r="AB220" i="2" s="1"/>
  <c r="AB178" i="2"/>
  <c r="AG177" i="2"/>
  <c r="AG220" i="2" s="1"/>
  <c r="AB177" i="2"/>
  <c r="AE177" i="2"/>
  <c r="AA178" i="2"/>
  <c r="AA179" i="2" s="1"/>
  <c r="AE178" i="2"/>
  <c r="AI178" i="2" s="1"/>
  <c r="AE179" i="2"/>
  <c r="AI179" i="2" s="1"/>
  <c r="AE180" i="2"/>
  <c r="AE181" i="2"/>
  <c r="AI181" i="2" s="1"/>
  <c r="AE182" i="2"/>
  <c r="AI182" i="2"/>
  <c r="AE183" i="2"/>
  <c r="AI183" i="2" s="1"/>
  <c r="AE184" i="2"/>
  <c r="AI184" i="2"/>
  <c r="AE185" i="2"/>
  <c r="AI185" i="2"/>
  <c r="AE186" i="2"/>
  <c r="AI186" i="2"/>
  <c r="AE187" i="2"/>
  <c r="AI187" i="2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C220" i="2"/>
  <c r="AD220" i="2"/>
  <c r="AH220" i="2"/>
  <c r="P184" i="2"/>
  <c r="S184" i="2" s="1"/>
  <c r="W184" i="2" s="1"/>
  <c r="P183" i="2"/>
  <c r="U182" i="2"/>
  <c r="P182" i="2"/>
  <c r="P181" i="2"/>
  <c r="P180" i="2"/>
  <c r="P179" i="2"/>
  <c r="S179" i="2" s="1"/>
  <c r="W179" i="2" s="1"/>
  <c r="V178" i="2"/>
  <c r="V220" i="2" s="1"/>
  <c r="P178" i="2"/>
  <c r="P177" i="2"/>
  <c r="S177" i="2" s="1"/>
  <c r="W177" i="2" s="1"/>
  <c r="O178" i="2"/>
  <c r="O179" i="2" s="1"/>
  <c r="O180" i="2" s="1"/>
  <c r="O181" i="2" s="1"/>
  <c r="O182" i="2" s="1"/>
  <c r="O183" i="2" s="1"/>
  <c r="O184" i="2" s="1"/>
  <c r="S180" i="2"/>
  <c r="W180" i="2" s="1"/>
  <c r="S181" i="2"/>
  <c r="W181" i="2" s="1"/>
  <c r="S182" i="2"/>
  <c r="W182" i="2" s="1"/>
  <c r="S183" i="2"/>
  <c r="W183" i="2" s="1"/>
  <c r="S185" i="2"/>
  <c r="W185" i="2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AE275" i="2" l="1"/>
  <c r="AI275" i="2"/>
  <c r="W235" i="2"/>
  <c r="W275" i="2" s="1"/>
  <c r="S275" i="2"/>
  <c r="AI177" i="2"/>
  <c r="AE220" i="2"/>
  <c r="AI180" i="2"/>
  <c r="P220" i="2"/>
  <c r="S178" i="2"/>
  <c r="W178" i="2" s="1"/>
  <c r="W220" i="2" s="1"/>
  <c r="AB126" i="2"/>
  <c r="AG125" i="2"/>
  <c r="AG165" i="2" s="1"/>
  <c r="AB125" i="2"/>
  <c r="AE125" i="2" s="1"/>
  <c r="AI125" i="2" s="1"/>
  <c r="AB124" i="2"/>
  <c r="AB123" i="2"/>
  <c r="AB122" i="2"/>
  <c r="AE122" i="2" s="1"/>
  <c r="AA123" i="2"/>
  <c r="AE123" i="2"/>
  <c r="AI123" i="2" s="1"/>
  <c r="AA124" i="2"/>
  <c r="AA125" i="2" s="1"/>
  <c r="AA126" i="2" s="1"/>
  <c r="AE124" i="2"/>
  <c r="AI124" i="2" s="1"/>
  <c r="AE126" i="2"/>
  <c r="AI126" i="2" s="1"/>
  <c r="AE127" i="2"/>
  <c r="AI127" i="2" s="1"/>
  <c r="AE128" i="2"/>
  <c r="AI128" i="2" s="1"/>
  <c r="AE129" i="2"/>
  <c r="AI129" i="2" s="1"/>
  <c r="AE130" i="2"/>
  <c r="AI130" i="2"/>
  <c r="AE131" i="2"/>
  <c r="AI131" i="2" s="1"/>
  <c r="AE132" i="2"/>
  <c r="AI132" i="2"/>
  <c r="AE133" i="2"/>
  <c r="AI133" i="2" s="1"/>
  <c r="AE134" i="2"/>
  <c r="AI134" i="2" s="1"/>
  <c r="AE135" i="2"/>
  <c r="AI135" i="2"/>
  <c r="AE136" i="2"/>
  <c r="AI136" i="2"/>
  <c r="AE137" i="2"/>
  <c r="AI137" i="2" s="1"/>
  <c r="AE138" i="2"/>
  <c r="AI138" i="2"/>
  <c r="AE139" i="2"/>
  <c r="AI139" i="2"/>
  <c r="AE140" i="2"/>
  <c r="AI140" i="2"/>
  <c r="AE141" i="2"/>
  <c r="AI141" i="2" s="1"/>
  <c r="AE142" i="2"/>
  <c r="AI142" i="2" s="1"/>
  <c r="AE143" i="2"/>
  <c r="AI143" i="2"/>
  <c r="AE144" i="2"/>
  <c r="AI144" i="2"/>
  <c r="AE145" i="2"/>
  <c r="AI145" i="2" s="1"/>
  <c r="AE146" i="2"/>
  <c r="AI146" i="2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/>
  <c r="AE153" i="2"/>
  <c r="AI153" i="2" s="1"/>
  <c r="AE154" i="2"/>
  <c r="AI154" i="2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/>
  <c r="AI161" i="2"/>
  <c r="AE162" i="2"/>
  <c r="AI162" i="2"/>
  <c r="AI163" i="2"/>
  <c r="AC165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P124" i="2"/>
  <c r="S124" i="2" s="1"/>
  <c r="W124" i="2" s="1"/>
  <c r="V123" i="2"/>
  <c r="V165" i="2" s="1"/>
  <c r="P123" i="2"/>
  <c r="P122" i="2"/>
  <c r="S122" i="2" s="1"/>
  <c r="O123" i="2"/>
  <c r="O124" i="2" s="1"/>
  <c r="O125" i="2" s="1"/>
  <c r="O126" i="2" s="1"/>
  <c r="O127" i="2" s="1"/>
  <c r="O128" i="2" s="1"/>
  <c r="O129" i="2" s="1"/>
  <c r="S123" i="2"/>
  <c r="S125" i="2"/>
  <c r="W125" i="2" s="1"/>
  <c r="S130" i="2"/>
  <c r="W130" i="2"/>
  <c r="S131" i="2"/>
  <c r="W131" i="2" s="1"/>
  <c r="S132" i="2"/>
  <c r="W132" i="2"/>
  <c r="S133" i="2"/>
  <c r="W133" i="2" s="1"/>
  <c r="S134" i="2"/>
  <c r="W134" i="2" s="1"/>
  <c r="S135" i="2"/>
  <c r="W135" i="2" s="1"/>
  <c r="S136" i="2"/>
  <c r="W136" i="2"/>
  <c r="S137" i="2"/>
  <c r="W137" i="2" s="1"/>
  <c r="S138" i="2"/>
  <c r="W138" i="2"/>
  <c r="S139" i="2"/>
  <c r="W139" i="2"/>
  <c r="S140" i="2"/>
  <c r="W140" i="2"/>
  <c r="S141" i="2"/>
  <c r="W141" i="2" s="1"/>
  <c r="S142" i="2"/>
  <c r="W142" i="2"/>
  <c r="S143" i="2"/>
  <c r="W143" i="2"/>
  <c r="S144" i="2"/>
  <c r="W144" i="2"/>
  <c r="S145" i="2"/>
  <c r="W145" i="2" s="1"/>
  <c r="S146" i="2"/>
  <c r="W146" i="2"/>
  <c r="S147" i="2"/>
  <c r="W147" i="2"/>
  <c r="S148" i="2"/>
  <c r="W148" i="2"/>
  <c r="S149" i="2"/>
  <c r="W149" i="2" s="1"/>
  <c r="S150" i="2"/>
  <c r="W150" i="2"/>
  <c r="S151" i="2"/>
  <c r="W151" i="2"/>
  <c r="S152" i="2"/>
  <c r="W152" i="2"/>
  <c r="S153" i="2"/>
  <c r="W153" i="2" s="1"/>
  <c r="S154" i="2"/>
  <c r="W154" i="2"/>
  <c r="S155" i="2"/>
  <c r="W155" i="2"/>
  <c r="S156" i="2"/>
  <c r="W156" i="2"/>
  <c r="S157" i="2"/>
  <c r="W157" i="2" s="1"/>
  <c r="S158" i="2"/>
  <c r="W158" i="2"/>
  <c r="S159" i="2"/>
  <c r="W159" i="2"/>
  <c r="S160" i="2"/>
  <c r="W160" i="2"/>
  <c r="W161" i="2"/>
  <c r="S162" i="2"/>
  <c r="W162" i="2" s="1"/>
  <c r="W163" i="2"/>
  <c r="Q165" i="2"/>
  <c r="R165" i="2"/>
  <c r="U165" i="2"/>
  <c r="D137" i="2"/>
  <c r="G137" i="2" s="1"/>
  <c r="K137" i="2" s="1"/>
  <c r="D136" i="2"/>
  <c r="G136" i="2" s="1"/>
  <c r="K136" i="2" s="1"/>
  <c r="D135" i="2"/>
  <c r="D134" i="2"/>
  <c r="D133" i="2"/>
  <c r="G133" i="2" s="1"/>
  <c r="K133" i="2" s="1"/>
  <c r="D132" i="2"/>
  <c r="D131" i="2"/>
  <c r="D130" i="2"/>
  <c r="D129" i="2"/>
  <c r="D128" i="2"/>
  <c r="G128" i="2" s="1"/>
  <c r="K128" i="2" s="1"/>
  <c r="D127" i="2"/>
  <c r="G127" i="2" s="1"/>
  <c r="K127" i="2" s="1"/>
  <c r="D126" i="2"/>
  <c r="G126" i="2" s="1"/>
  <c r="K126" i="2" s="1"/>
  <c r="D125" i="2"/>
  <c r="I124" i="2"/>
  <c r="D124" i="2"/>
  <c r="D123" i="2"/>
  <c r="D122" i="2"/>
  <c r="C129" i="2"/>
  <c r="C130" i="2" s="1"/>
  <c r="C131" i="2" s="1"/>
  <c r="C132" i="2" s="1"/>
  <c r="C133" i="2" s="1"/>
  <c r="C134" i="2" s="1"/>
  <c r="C135" i="2" s="1"/>
  <c r="C136" i="2" s="1"/>
  <c r="C137" i="2" s="1"/>
  <c r="G122" i="2"/>
  <c r="K122" i="2"/>
  <c r="C123" i="2"/>
  <c r="G123" i="2"/>
  <c r="K123" i="2" s="1"/>
  <c r="C124" i="2"/>
  <c r="C125" i="2" s="1"/>
  <c r="C126" i="2" s="1"/>
  <c r="C127" i="2" s="1"/>
  <c r="C128" i="2" s="1"/>
  <c r="G124" i="2"/>
  <c r="K124" i="2" s="1"/>
  <c r="G125" i="2"/>
  <c r="G129" i="2"/>
  <c r="K129" i="2"/>
  <c r="G130" i="2"/>
  <c r="K130" i="2" s="1"/>
  <c r="G131" i="2"/>
  <c r="K131" i="2" s="1"/>
  <c r="G132" i="2"/>
  <c r="K132" i="2" s="1"/>
  <c r="G134" i="2"/>
  <c r="K134" i="2" s="1"/>
  <c r="G135" i="2"/>
  <c r="K135" i="2" s="1"/>
  <c r="G138" i="2"/>
  <c r="K138" i="2" s="1"/>
  <c r="G139" i="2"/>
  <c r="K139" i="2" s="1"/>
  <c r="G140" i="2"/>
  <c r="K140" i="2"/>
  <c r="G141" i="2"/>
  <c r="K141" i="2"/>
  <c r="G142" i="2"/>
  <c r="K142" i="2"/>
  <c r="G143" i="2"/>
  <c r="K143" i="2" s="1"/>
  <c r="G144" i="2"/>
  <c r="K144" i="2"/>
  <c r="G145" i="2"/>
  <c r="K145" i="2"/>
  <c r="G146" i="2"/>
  <c r="K146" i="2"/>
  <c r="G147" i="2"/>
  <c r="K147" i="2" s="1"/>
  <c r="G148" i="2"/>
  <c r="K148" i="2"/>
  <c r="G149" i="2"/>
  <c r="K149" i="2"/>
  <c r="G150" i="2"/>
  <c r="K150" i="2"/>
  <c r="G151" i="2"/>
  <c r="K151" i="2" s="1"/>
  <c r="G152" i="2"/>
  <c r="K152" i="2"/>
  <c r="G153" i="2"/>
  <c r="K153" i="2"/>
  <c r="G154" i="2"/>
  <c r="K154" i="2"/>
  <c r="G155" i="2"/>
  <c r="K155" i="2" s="1"/>
  <c r="G162" i="2"/>
  <c r="K162" i="2"/>
  <c r="E165" i="2"/>
  <c r="F165" i="2"/>
  <c r="I165" i="2"/>
  <c r="J165" i="2"/>
  <c r="AI220" i="2" l="1"/>
  <c r="S220" i="2"/>
  <c r="AI122" i="2"/>
  <c r="AI165" i="2" s="1"/>
  <c r="AE165" i="2"/>
  <c r="AB165" i="2"/>
  <c r="W123" i="2"/>
  <c r="W122" i="2"/>
  <c r="W165" i="2" s="1"/>
  <c r="S165" i="2"/>
  <c r="P165" i="2"/>
  <c r="D165" i="2"/>
  <c r="G165" i="2"/>
  <c r="K125" i="2"/>
  <c r="K165" i="2" s="1"/>
  <c r="AH71" i="2"/>
  <c r="AB71" i="2"/>
  <c r="AB70" i="2"/>
  <c r="AB69" i="2"/>
  <c r="AE69" i="2" s="1"/>
  <c r="AI69" i="2" s="1"/>
  <c r="AB68" i="2"/>
  <c r="AB67" i="2"/>
  <c r="AA68" i="2"/>
  <c r="AE67" i="2"/>
  <c r="AI67" i="2" s="1"/>
  <c r="AE68" i="2"/>
  <c r="AI68" i="2" s="1"/>
  <c r="AA69" i="2"/>
  <c r="AA70" i="2" s="1"/>
  <c r="AA71" i="2" s="1"/>
  <c r="AE70" i="2"/>
  <c r="AI70" i="2" s="1"/>
  <c r="AE71" i="2"/>
  <c r="AI71" i="2" s="1"/>
  <c r="AG110" i="2"/>
  <c r="AE72" i="2"/>
  <c r="AI72" i="2" s="1"/>
  <c r="AE73" i="2"/>
  <c r="AI73" i="2" s="1"/>
  <c r="AE74" i="2"/>
  <c r="AI74" i="2" s="1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 s="1"/>
  <c r="AE82" i="2"/>
  <c r="AI82" i="2"/>
  <c r="AE83" i="2"/>
  <c r="AI83" i="2"/>
  <c r="AE84" i="2"/>
  <c r="AI84" i="2"/>
  <c r="AE85" i="2"/>
  <c r="AI85" i="2" s="1"/>
  <c r="AE86" i="2"/>
  <c r="AI86" i="2"/>
  <c r="AE87" i="2"/>
  <c r="AI87" i="2"/>
  <c r="AE88" i="2"/>
  <c r="AI88" i="2"/>
  <c r="AE89" i="2"/>
  <c r="AI89" i="2" s="1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 s="1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C110" i="2"/>
  <c r="AD110" i="2"/>
  <c r="AH110" i="2"/>
  <c r="V70" i="2"/>
  <c r="V110" i="2" s="1"/>
  <c r="U70" i="2"/>
  <c r="P70" i="2"/>
  <c r="S70" i="2" s="1"/>
  <c r="W70" i="2" s="1"/>
  <c r="P69" i="2"/>
  <c r="P68" i="2"/>
  <c r="S68" i="2" s="1"/>
  <c r="W68" i="2" s="1"/>
  <c r="U67" i="2"/>
  <c r="P67" i="2"/>
  <c r="S67" i="2"/>
  <c r="O68" i="2"/>
  <c r="O69" i="2" s="1"/>
  <c r="O70" i="2" s="1"/>
  <c r="S69" i="2"/>
  <c r="W69" i="2"/>
  <c r="S71" i="2"/>
  <c r="W71" i="2"/>
  <c r="S72" i="2"/>
  <c r="W72" i="2" s="1"/>
  <c r="S73" i="2"/>
  <c r="W73" i="2" s="1"/>
  <c r="S74" i="2"/>
  <c r="W74" i="2" s="1"/>
  <c r="S75" i="2"/>
  <c r="W75" i="2"/>
  <c r="S76" i="2"/>
  <c r="W76" i="2"/>
  <c r="S77" i="2"/>
  <c r="W77" i="2" s="1"/>
  <c r="S78" i="2"/>
  <c r="W78" i="2" s="1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 s="1"/>
  <c r="S86" i="2"/>
  <c r="W86" i="2"/>
  <c r="S87" i="2"/>
  <c r="W87" i="2"/>
  <c r="S88" i="2"/>
  <c r="W88" i="2"/>
  <c r="S89" i="2"/>
  <c r="W89" i="2" s="1"/>
  <c r="S90" i="2"/>
  <c r="W90" i="2"/>
  <c r="S91" i="2"/>
  <c r="W91" i="2"/>
  <c r="S92" i="2"/>
  <c r="W92" i="2"/>
  <c r="S93" i="2"/>
  <c r="W93" i="2" s="1"/>
  <c r="S94" i="2"/>
  <c r="W94" i="2"/>
  <c r="S95" i="2"/>
  <c r="W95" i="2"/>
  <c r="S96" i="2"/>
  <c r="W96" i="2"/>
  <c r="S97" i="2"/>
  <c r="W97" i="2" s="1"/>
  <c r="S98" i="2"/>
  <c r="W98" i="2"/>
  <c r="S99" i="2"/>
  <c r="W99" i="2"/>
  <c r="S100" i="2"/>
  <c r="W100" i="2"/>
  <c r="S101" i="2"/>
  <c r="W101" i="2" s="1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D83" i="2"/>
  <c r="C83" i="2"/>
  <c r="D82" i="2"/>
  <c r="D81" i="2"/>
  <c r="G81" i="2" s="1"/>
  <c r="K81" i="2" s="1"/>
  <c r="D80" i="2"/>
  <c r="G80" i="2" s="1"/>
  <c r="K80" i="2" s="1"/>
  <c r="D79" i="2"/>
  <c r="G79" i="2" s="1"/>
  <c r="K79" i="2" s="1"/>
  <c r="D78" i="2"/>
  <c r="G78" i="2" s="1"/>
  <c r="K78" i="2" s="1"/>
  <c r="D77" i="2"/>
  <c r="D76" i="2"/>
  <c r="D75" i="2"/>
  <c r="D74" i="2"/>
  <c r="G74" i="2" s="1"/>
  <c r="K74" i="2" s="1"/>
  <c r="D73" i="2"/>
  <c r="G73" i="2" s="1"/>
  <c r="K73" i="2" s="1"/>
  <c r="D72" i="2"/>
  <c r="D71" i="2"/>
  <c r="D70" i="2"/>
  <c r="G70" i="2" s="1"/>
  <c r="K70" i="2" s="1"/>
  <c r="D69" i="2"/>
  <c r="D68" i="2"/>
  <c r="D67" i="2"/>
  <c r="G67" i="2"/>
  <c r="C68" i="2"/>
  <c r="C69" i="2" s="1"/>
  <c r="C70" i="2" s="1"/>
  <c r="C71" i="2" s="1"/>
  <c r="C72" i="2" s="1"/>
  <c r="C73" i="2" s="1"/>
  <c r="C75" i="2" s="1"/>
  <c r="C76" i="2" s="1"/>
  <c r="C77" i="2" s="1"/>
  <c r="C78" i="2" s="1"/>
  <c r="C79" i="2" s="1"/>
  <c r="C80" i="2" s="1"/>
  <c r="C81" i="2" s="1"/>
  <c r="C82" i="2" s="1"/>
  <c r="G68" i="2"/>
  <c r="K68" i="2" s="1"/>
  <c r="G69" i="2"/>
  <c r="K69" i="2" s="1"/>
  <c r="G71" i="2"/>
  <c r="K71" i="2" s="1"/>
  <c r="G72" i="2"/>
  <c r="K72" i="2"/>
  <c r="G75" i="2"/>
  <c r="K75" i="2" s="1"/>
  <c r="G76" i="2"/>
  <c r="K76" i="2" s="1"/>
  <c r="G77" i="2"/>
  <c r="K77" i="2" s="1"/>
  <c r="G82" i="2"/>
  <c r="K82" i="2" s="1"/>
  <c r="G83" i="2"/>
  <c r="K83" i="2"/>
  <c r="G84" i="2"/>
  <c r="K84" i="2"/>
  <c r="G85" i="2"/>
  <c r="K85" i="2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/>
  <c r="G94" i="2"/>
  <c r="K94" i="2" s="1"/>
  <c r="G95" i="2"/>
  <c r="K95" i="2"/>
  <c r="G96" i="2"/>
  <c r="K96" i="2"/>
  <c r="G97" i="2"/>
  <c r="K97" i="2"/>
  <c r="G98" i="2"/>
  <c r="K98" i="2"/>
  <c r="G99" i="2"/>
  <c r="K99" i="2" s="1"/>
  <c r="G100" i="2"/>
  <c r="K100" i="2"/>
  <c r="G107" i="2"/>
  <c r="K107" i="2"/>
  <c r="E110" i="2"/>
  <c r="F110" i="2"/>
  <c r="I110" i="2"/>
  <c r="J110" i="2"/>
  <c r="AB110" i="2" l="1"/>
  <c r="AI110" i="2"/>
  <c r="AE110" i="2"/>
  <c r="U110" i="2"/>
  <c r="P110" i="2"/>
  <c r="W67" i="2"/>
  <c r="S110" i="2"/>
  <c r="W110" i="2"/>
  <c r="D110" i="2"/>
  <c r="K67" i="2"/>
  <c r="K110" i="2" s="1"/>
  <c r="G110" i="2"/>
  <c r="AB21" i="2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J32" i="1"/>
  <c r="D32" i="1" s="1"/>
  <c r="J33" i="1"/>
  <c r="D33" i="1" s="1"/>
  <c r="J34" i="1"/>
  <c r="D34" i="1" s="1"/>
  <c r="J35" i="1"/>
  <c r="D35" i="1" s="1"/>
  <c r="J36" i="1"/>
  <c r="D36" i="1" s="1"/>
  <c r="J37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22" i="1"/>
  <c r="D22" i="1" s="1"/>
  <c r="J17" i="1"/>
  <c r="J15" i="1"/>
  <c r="D15" i="1" s="1"/>
  <c r="J14" i="1"/>
  <c r="D14" i="1" s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D38" i="1" s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HOME MART
POB, SINDANGAN</t>
        </r>
      </text>
    </comment>
    <comment ref="C67" authorId="0" shapeId="0" xr:uid="{ABFC9E97-9538-46BA-B198-67E105737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67" authorId="0" shapeId="0" xr:uid="{3C716625-F4CB-48D7-B7B2-872809351F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A67" authorId="0" shapeId="0" xr:uid="{5FB801B3-F403-4A56-8B06-E0DFF1D02A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68" authorId="0" shapeId="0" xr:uid="{D5C2AD63-5422-4357-BC97-7E5A0F77D3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HAGAN
DENOYAN, SIAYAN</t>
        </r>
      </text>
    </comment>
    <comment ref="O68" authorId="0" shapeId="0" xr:uid="{5ED0F291-01A2-4AF0-98EA-DB055000A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AA68" authorId="0" shapeId="0" xr:uid="{A986EA1C-3FF6-4110-B9F5-17A47CD489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MICHELLE
BAYBAY, LILOY</t>
        </r>
      </text>
    </comment>
    <comment ref="C69" authorId="0" shapeId="0" xr:uid="{ABF273C3-B0CB-4E9A-B1D8-2095C990F6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69" authorId="0" shapeId="0" xr:uid="{D19E0D02-2F73-4BDB-9C35-A287EBF579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AZUNA
TALINGA, SINDANGAN</t>
        </r>
      </text>
    </comment>
    <comment ref="AA69" authorId="0" shapeId="0" xr:uid="{2638F6B2-D58F-4706-9D22-B9501265D1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B2A593D9-21D6-42E2-9DCA-432DA5D1C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
DENOYAN, SIAYAN</t>
        </r>
      </text>
    </comment>
    <comment ref="O70" authorId="0" shapeId="0" xr:uid="{459317A9-BBF2-439E-BEBD-0C6A42B6E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70" authorId="0" shapeId="0" xr:uid="{81786ED6-8449-47CD-B532-85E7BB0144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1" authorId="0" shapeId="0" xr:uid="{EBDC1C7D-DD9A-4638-B243-6059C1422C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RONALD SABILLO
POB, SIAYAN</t>
        </r>
      </text>
    </comment>
    <comment ref="AA71" authorId="0" shapeId="0" xr:uid="{01B72538-0AEC-45FA-A13D-42834CDA4B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72" authorId="0" shapeId="0" xr:uid="{26F7505C-1D29-4116-9A0A-EBBD6999F0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73" authorId="0" shapeId="0" xr:uid="{C7FC34AD-261F-4F6E-BAF7-D8EF799BFD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74" authorId="0" shapeId="0" xr:uid="{D05580D3-B8BC-4B6E-83F2-53A426C49F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75" authorId="0" shapeId="0" xr:uid="{60C085C8-90C3-4180-B9B3-D3B3CCEAEC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76" authorId="0" shapeId="0" xr:uid="{3E7783AA-96A2-4900-924C-D4A5926F88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JEZZELLE STORE
POB, SIAYAN</t>
        </r>
      </text>
    </comment>
    <comment ref="C77" authorId="0" shapeId="0" xr:uid="{263CC2EF-5656-4CAE-A930-95AC2EA6B3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ALBORQUE
POB, SIAYAN</t>
        </r>
      </text>
    </comment>
    <comment ref="C78" authorId="0" shapeId="0" xr:uid="{FAD0E96D-8097-47BE-BB9C-D0977C830A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 STORE
DENOYAN, SIAYAN</t>
        </r>
      </text>
    </comment>
    <comment ref="C79" authorId="0" shapeId="0" xr:uid="{AD185CCA-9077-4976-8076-BDA524E3B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80" authorId="0" shapeId="0" xr:uid="{55597D48-45C1-4395-8109-C075C5ED8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81" authorId="0" shapeId="0" xr:uid="{EC9225A4-96D6-41EE-AA31-95FF7CB134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82" authorId="0" shapeId="0" xr:uid="{0FADF7EE-024E-4DAC-8313-6FE3D0928F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83" authorId="0" shapeId="0" xr:uid="{5ADC415A-4DC4-4BFA-B2D6-D157176D87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GODI CAMASURA STORE
DAPAON, SINDANGAN</t>
        </r>
      </text>
    </comment>
    <comment ref="C122" authorId="0" shapeId="0" xr:uid="{4D4BAAAA-7A28-4C22-B850-D88576A27F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AMOD STORE
LABAKID, SINDANGAN</t>
        </r>
      </text>
    </comment>
    <comment ref="O122" authorId="0" shapeId="0" xr:uid="{BD5A0937-76F0-409F-85B0-3E61E392D9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122" authorId="0" shapeId="0" xr:uid="{6C2DA341-9FA5-4486-A8A0-E820A96168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23" authorId="0" shapeId="0" xr:uid="{C3F6F6B6-3875-49B0-9C33-27D6DEC7D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123" authorId="0" shapeId="0" xr:uid="{23BE090F-502E-4109-A500-78DE085512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123" authorId="0" shapeId="0" xr:uid="{1AE9CE46-D432-4ACE-A115-F4E47CE26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24" authorId="0" shapeId="0" xr:uid="{826F84CD-E416-4651-8160-28488AA3B0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124" authorId="0" shapeId="0" xr:uid="{2AD19A65-42FD-4F42-A5FD-91D64A1B53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AA124" authorId="0" shapeId="0" xr:uid="{9536FC98-5F32-4299-B747-E1AB2BC46F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BORACOOL BEACH</t>
        </r>
      </text>
    </comment>
    <comment ref="C125" authorId="0" shapeId="0" xr:uid="{95300D7E-E30A-46E1-9E88-8CA17F8738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OTTO
DICOYONG, SINDANGAN</t>
        </r>
      </text>
    </comment>
    <comment ref="O125" authorId="0" shapeId="0" xr:uid="{EB6E0B03-B654-451F-A94B-E6336370E5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
TALINGA, SINDANGAN</t>
        </r>
      </text>
    </comment>
    <comment ref="AA125" authorId="0" shapeId="0" xr:uid="{788D9592-6620-499B-A908-1935C907CF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6" authorId="0" shapeId="0" xr:uid="{DC6C5A7C-80F1-43AA-A91F-55EE8A063B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SUMINGGIT STORE
DICOYONG, SINDANGAN</t>
        </r>
      </text>
    </comment>
    <comment ref="O126" authorId="0" shapeId="0" xr:uid="{D9164F66-6D33-4512-BB20-5BA869BDE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26" authorId="0" shapeId="0" xr:uid="{0FB382CA-8F73-482F-9804-C705FE316A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WILMA SALENAS
SALUG, COCKPIT</t>
        </r>
      </text>
    </comment>
    <comment ref="C127" authorId="0" shapeId="0" xr:uid="{E62C182B-16DF-49AB-AECF-8354EBCBED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JANESA MOLAS
DICOYONG, SINDANGAN</t>
        </r>
      </text>
    </comment>
    <comment ref="O127" authorId="0" shapeId="0" xr:uid="{CAAA1E53-F861-4F31-8B91-DADB754FFF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MAG-ASO
INUMAN, SINDANGAN</t>
        </r>
      </text>
    </comment>
    <comment ref="C128" authorId="0" shapeId="0" xr:uid="{F5100C22-6D00-4D3B-B017-5672FCB286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SAGAYSAY
DICOYONG, SINDANGAN</t>
        </r>
      </text>
    </comment>
    <comment ref="O128" authorId="0" shapeId="0" xr:uid="{23BF6461-9CBE-4F5E-98AE-526865ADDA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BLANCH VALENCIA
INUMAN, SINDANGAN</t>
        </r>
      </text>
    </comment>
    <comment ref="C129" authorId="0" shapeId="0" xr:uid="{A0B0222B-929D-4D6C-8CB7-374663CE7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PRECHIJOY STORE
DICOYONG, SINDANGAN</t>
        </r>
      </text>
    </comment>
    <comment ref="O129" authorId="0" shapeId="0" xr:uid="{C532E2E3-2028-461D-8868-A80670C6B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REMOLUNA STORE
INUMAN, SINDANGAN</t>
        </r>
      </text>
    </comment>
    <comment ref="C130" authorId="0" shapeId="0" xr:uid="{17E90E40-4CD0-4DEF-BDE8-26ECF0C1F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TACO JUANA
DICOYONG, SINDANGAN</t>
        </r>
      </text>
    </comment>
    <comment ref="C131" authorId="0" shapeId="0" xr:uid="{6483B23C-80F0-495B-80D7-7242942DB6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CRISTINA DEPOSA
DICOYONG, SINDANGAN</t>
        </r>
      </text>
    </comment>
    <comment ref="C132" authorId="0" shapeId="0" xr:uid="{62CC0038-B3AD-459A-AAFC-B901F1E77E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CLAIRE SAABEDRA
LABAKID, SINDANGAN</t>
        </r>
      </text>
    </comment>
    <comment ref="C133" authorId="0" shapeId="0" xr:uid="{76D9A3C4-676D-47EF-A6CE-47C3E3E29E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VILLALUNA STORE
LABAKID, SINDANGAN</t>
        </r>
      </text>
    </comment>
    <comment ref="C134" authorId="0" shapeId="0" xr:uid="{1CB366B7-BD9D-483F-8F71-9A19DB677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135" authorId="0" shapeId="0" xr:uid="{CF228208-3AE0-498C-ABFF-CFD119747E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C136" authorId="0" shapeId="0" xr:uid="{24FF73E2-CAEB-4E2C-9060-A78703EC37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C137" authorId="0" shapeId="0" xr:uid="{026319A2-108F-4E06-A245-E2F359654C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177" authorId="0" shapeId="0" xr:uid="{44427434-DC45-403E-A5AC-AF97BE16E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64E7BFA4-3DD4-4A2C-A968-8C61E2D0F9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O178" authorId="0" shapeId="0" xr:uid="{BFD314B6-D8AB-45B3-9DF7-D910A7F025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178" authorId="0" shapeId="0" xr:uid="{08DFD125-BFA9-485B-AAA5-4166D2B58B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O179" authorId="0" shapeId="0" xr:uid="{E30D243C-CFC5-4EBF-A630-274FD694A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AA179" authorId="0" shapeId="0" xr:uid="{D70B8BF3-16AB-422C-A045-50D2CA869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180" authorId="0" shapeId="0" xr:uid="{9A4D6DD3-EF72-4725-B984-FAD37E2ED5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181" authorId="0" shapeId="0" xr:uid="{8D6E9C1C-215F-4785-B8F0-BC2F9B1CE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182" authorId="0" shapeId="0" xr:uid="{1D72FE18-7FBF-4CBA-B79B-EA1FDC6373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GERIAN
GOLEO, SINDANGAN</t>
        </r>
      </text>
    </comment>
    <comment ref="O183" authorId="0" shapeId="0" xr:uid="{DB09F380-1855-413F-B02D-DDEC2605E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STORE
GOLEO, SINDANGAN</t>
        </r>
      </text>
    </comment>
    <comment ref="O184" authorId="0" shapeId="0" xr:uid="{0477F4C4-EA18-4A99-8D60-5B6B26E2E0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STORE
GOLEO, SINDANGAN</t>
        </r>
      </text>
    </comment>
    <comment ref="C232" authorId="0" shapeId="0" xr:uid="{239F5AAD-5A66-49AB-A40B-5326BFB8B0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VARIETY STORE
GUNYAN, SIAYAN</t>
        </r>
      </text>
    </comment>
    <comment ref="O232" authorId="0" shapeId="0" xr:uid="{2AE56EE4-E24D-4863-BCE2-0BEE3F855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232" authorId="0" shapeId="0" xr:uid="{E281E00B-1FD3-48E1-868C-A26096DFA3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RETUYA PACITA
BACONG, SALUG</t>
        </r>
      </text>
    </comment>
    <comment ref="C233" authorId="0" shapeId="0" xr:uid="{A8E6A141-933C-407E-B872-A1237382C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233" authorId="0" shapeId="0" xr:uid="{8AE42533-A7F0-4B6B-9CBB-3256148B37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233" authorId="0" shapeId="0" xr:uid="{EA3E3B85-CE48-4EC2-98CC-C4CCA63B9E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
BACONG, SALUG</t>
        </r>
      </text>
    </comment>
    <comment ref="C234" authorId="0" shapeId="0" xr:uid="{A649C4DD-FFA1-4A1B-9A7E-70869AB9F3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234" authorId="0" shapeId="0" xr:uid="{9CAFB6C0-40DE-4DF5-AC4C-D83E11EE84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AA234" authorId="0" shapeId="0" xr:uid="{1398F47B-5054-4E0B-A525-B51D520F3B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REVELO
BACONG, SALUG</t>
        </r>
      </text>
    </comment>
    <comment ref="C235" authorId="0" shapeId="0" xr:uid="{8A85EBB4-D188-4121-BA64-9C6311B2EC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235" authorId="0" shapeId="0" xr:uid="{8F99983A-A846-4020-9CEB-2D1B6A8A70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5" authorId="0" shapeId="0" xr:uid="{3227DCD8-3E50-4693-898C-82A0CB6AB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ARLYN
BACONG, SALUG</t>
        </r>
      </text>
    </comment>
    <comment ref="C236" authorId="0" shapeId="0" xr:uid="{C80A30B0-F66E-4403-ADE5-6E968015AC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O236" authorId="0" shapeId="0" xr:uid="{E1EC1378-B783-4E3C-99EB-28181A281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AA236" authorId="0" shapeId="0" xr:uid="{D135E2EA-2410-475A-B1EB-826FCB82D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FEDELA DUBDUBAN
STO. NIÑO, SALUG</t>
        </r>
      </text>
    </comment>
    <comment ref="C237" authorId="0" shapeId="0" xr:uid="{FCF7BB2B-E80E-485E-A421-EB092BC1B3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37" authorId="0" shapeId="0" xr:uid="{8527A761-1EB0-4957-BD32-D40C30CAD5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AA237" authorId="0" shapeId="0" xr:uid="{B6F43C2A-CE06-4EA0-A174-D5D5ADCD44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ADING
STO. NIÑO, SALUG</t>
        </r>
      </text>
    </comment>
    <comment ref="O238" authorId="0" shapeId="0" xr:uid="{22650836-6B30-488A-9F42-9014CD77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AA238" authorId="0" shapeId="0" xr:uid="{D69B1A26-A95D-4924-93EE-6B54CEBDE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PAUSAL FLOREDA
STO. NIÑO, SALUG</t>
        </r>
      </text>
    </comment>
    <comment ref="O239" authorId="0" shapeId="0" xr:uid="{A716BAC2-C661-4F67-AE46-EAA5118F86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LAMPAWOG STORE
MANGOP, BACUNGAN</t>
        </r>
      </text>
    </comment>
    <comment ref="AA239" authorId="0" shapeId="0" xr:uid="{79A3E35B-24AA-4F3C-AD5E-9AE947653E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4J'S BAKESHOP
BACONG, SALUG</t>
        </r>
      </text>
    </comment>
    <comment ref="O240" authorId="0" shapeId="0" xr:uid="{EA50934D-172D-44CF-BA55-827EC98D3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ACUJEDO STORE
MANGOP, BACUNGAN</t>
        </r>
      </text>
    </comment>
    <comment ref="AA240" authorId="0" shapeId="0" xr:uid="{9F54853A-D4D1-488D-9BE3-C4580D4163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BAYAWA, LUCILA
BACONG, SALUG</t>
        </r>
      </text>
    </comment>
    <comment ref="O241" authorId="0" shapeId="0" xr:uid="{3281DE54-09A0-4E32-BDF5-69F4CE50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AA241" authorId="0" shapeId="0" xr:uid="{42080A0E-B484-49D4-87C7-5133997A8F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BASTE STORE
BACONG, SALUG</t>
        </r>
      </text>
    </comment>
    <comment ref="O242" authorId="0" shapeId="0" xr:uid="{436351F6-D0FA-426F-9168-9534E7E917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AA242" authorId="0" shapeId="0" xr:uid="{144B729F-9664-4CBC-AA96-46C473BBC7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 / SLPA 2
BACONG, SALUG</t>
        </r>
      </text>
    </comment>
    <comment ref="O243" authorId="0" shapeId="0" xr:uid="{0A99B46B-C33B-4D3C-95AF-0F4EE4BE38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AA243" authorId="0" shapeId="0" xr:uid="{7B502FF9-9AD6-4C6F-B328-44208464AC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
POB, SALUG</t>
        </r>
      </text>
    </comment>
    <comment ref="O244" authorId="0" shapeId="0" xr:uid="{B33A51CC-44C2-4EEE-9B84-84EE3D44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
BOGABONGAN, BACUNGAN</t>
        </r>
      </text>
    </comment>
    <comment ref="AA244" authorId="0" shapeId="0" xr:uid="{F54248B5-2565-4D1E-995C-B7178485DB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O245" authorId="0" shapeId="0" xr:uid="{7304CACC-77AA-445E-81E6-D208EA966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BOGABUNGAN, BACUNGAN</t>
        </r>
      </text>
    </comment>
    <comment ref="AA245" authorId="0" shapeId="0" xr:uid="{22D93454-FB76-4B9D-87C4-AD443CE94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BOSSING EATERY
POB, SALUG</t>
        </r>
      </text>
    </comment>
    <comment ref="O246" authorId="0" shapeId="0" xr:uid="{3FE6AC3D-16CD-4EB4-85DA-DD5A1FF9CD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246" authorId="0" shapeId="0" xr:uid="{2F871804-A0B5-47C4-B616-809E2411AC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O247" authorId="0" shapeId="0" xr:uid="{EB9AB556-7CA9-4484-993B-3DFEF22C57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ALLAN STORE
POB, BACUNGAN</t>
        </r>
      </text>
    </comment>
    <comment ref="AA247" authorId="0" shapeId="0" xr:uid="{542BF779-B577-4EF0-8ACA-34FFF505A4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O248" authorId="0" shapeId="0" xr:uid="{CCB10596-E471-4B38-B26E-8BC58834A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AA248" authorId="0" shapeId="0" xr:uid="{0A29ACE7-0BC5-4CA4-9C12-2302BAC88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249" authorId="0" shapeId="0" xr:uid="{80D308F0-0CAC-428F-B746-A089BA7AB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PAJUAY STORE
MAWAL, BACUNGAN</t>
        </r>
      </text>
    </comment>
    <comment ref="AA249" authorId="0" shapeId="0" xr:uid="{1E1F1FCF-5BFE-47E9-8C6C-E15B2FCCB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LIPAYO, MARY ANN
CANAWAN, SALUG</t>
        </r>
      </text>
    </comment>
    <comment ref="O250" authorId="0" shapeId="0" xr:uid="{0383445D-B690-47EB-84A2-129BE2E85A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POB, BACUNGAN</t>
        </r>
      </text>
    </comment>
    <comment ref="AA250" authorId="0" shapeId="0" xr:uid="{7F952F1B-0F2C-4FE0-8E33-9D9886B6F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LAGDAMIN, FE
CANAWAN, SALUG</t>
        </r>
      </text>
    </comment>
    <comment ref="O251" authorId="0" shapeId="0" xr:uid="{0DF49949-8665-4ABE-A459-5BF9F6B7E4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DODONG
GOLEO, SINDANGAN</t>
        </r>
      </text>
    </comment>
    <comment ref="AA251" authorId="0" shapeId="0" xr:uid="{F27DCD09-F5FC-4890-83D2-4C576427D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ROCHEN'S EATERY
POB, SALUG</t>
        </r>
      </text>
    </comment>
    <comment ref="C287" authorId="0" shapeId="0" xr:uid="{6468E8C8-D3BD-414D-AE77-078231F4AA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287" authorId="0" shapeId="0" xr:uid="{16DFBD70-3C4D-4F40-A51F-B61ED21C7D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TATA CATIVA / ROEL
INUMAN, SINDANGAN</t>
        </r>
      </text>
    </comment>
    <comment ref="AA287" authorId="0" shapeId="0" xr:uid="{D3EA4A08-9E51-4333-ACF9-9FC273D85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88" authorId="0" shapeId="0" xr:uid="{40BD23EF-426F-4F55-8BE1-31D73E0E81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288" authorId="0" shapeId="0" xr:uid="{BA010E0C-8974-43D4-A9D8-17A8AA2572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288" authorId="0" shapeId="0" xr:uid="{8D7196D1-DB30-46BA-9C6C-7ABF8666B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3040EE1E-5F10-425F-9781-F7729344F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E9915322-EFC0-491D-8A00-E6FED1FEB6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INUMAN, SINDANGAN</t>
        </r>
      </text>
    </comment>
    <comment ref="AA289" authorId="0" shapeId="0" xr:uid="{8EF15639-0C2F-4184-8902-0656EF7A8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32029DE4-7DC7-4BFC-AFCD-34E446E36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O290" authorId="0" shapeId="0" xr:uid="{B393440E-7CE9-4E93-9F49-98E298D808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90" authorId="0" shapeId="0" xr:uid="{37FC554F-0DF0-40F0-995E-57D562F217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CAMANSI HAVANA
LAMAO, LILOY</t>
        </r>
      </text>
    </comment>
    <comment ref="C291" authorId="0" shapeId="0" xr:uid="{6B221B8B-7BCC-4428-84AC-6EF4E80019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91" authorId="0" shapeId="0" xr:uid="{783579F7-D6BC-43C4-9C7C-142D5BC9EC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INUMAN, SINDANGAN</t>
        </r>
      </text>
    </comment>
    <comment ref="C292" authorId="0" shapeId="0" xr:uid="{879974A6-04C2-4A1D-ABDC-62C7AD96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292" authorId="0" shapeId="0" xr:uid="{FB72951E-D216-407A-AEA0-64A1F11692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REMOLONA
INUMAN, SINDANGAN</t>
        </r>
      </text>
    </comment>
    <comment ref="C293" authorId="0" shapeId="0" xr:uid="{E44DD261-0C8E-4155-B839-B55A7EC851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293" authorId="0" shapeId="0" xr:uid="{E63D08D7-57AB-48FA-921E-6ECAEE18D3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GLENDA TUANDA
INUMAN, SINDANGAN</t>
        </r>
      </text>
    </comment>
    <comment ref="C294" authorId="0" shapeId="0" xr:uid="{D716860E-7CF8-4A50-B8B0-B7DE2F6FA1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SAIYAN</t>
        </r>
      </text>
    </comment>
    <comment ref="O294" authorId="0" shapeId="0" xr:uid="{13337DD2-0268-41E7-AAE5-48E49A1788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C295" authorId="0" shapeId="0" xr:uid="{AE3392C6-3579-43A5-B3BE-445E9C1879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295" authorId="0" shapeId="0" xr:uid="{1158D4A6-1535-4892-91E2-D3D9D369C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TALIP STOPRE
TALINGA, SINDANGAN</t>
        </r>
      </text>
    </comment>
    <comment ref="C296" authorId="0" shapeId="0" xr:uid="{F9B46052-9D07-419E-B37F-948584186D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ENOSENCIA DULAT
POLAYO, SIAYAN</t>
        </r>
      </text>
    </comment>
    <comment ref="O296" authorId="0" shapeId="0" xr:uid="{144D8197-D2B1-4CB7-BE36-3E58CDD0B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 STORE
TALINGA, SINDANGAN</t>
        </r>
      </text>
    </comment>
    <comment ref="C297" authorId="0" shapeId="0" xr:uid="{D8767C75-0872-4435-8047-E819B925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CATIG
DENOYAN, SIAYAN</t>
        </r>
      </text>
    </comment>
    <comment ref="O297" authorId="0" shapeId="0" xr:uid="{035DB921-F8EE-47CA-ADD6-F51E2BA6D4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298" authorId="0" shapeId="0" xr:uid="{6D7E762A-2E90-4194-8F4F-C37CB1E03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299" authorId="0" shapeId="0" xr:uid="{D34C713F-2CF3-4F83-B21F-1A9A5361F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FERVEY STORE
TALINGA, SINDANGAN</t>
        </r>
      </text>
    </comment>
    <comment ref="O300" authorId="0" shapeId="0" xr:uid="{C5B89F8D-D75F-44EC-BDEA-1441DD4615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CASSEY STORE
MARAS, SINDANGAN</t>
        </r>
      </text>
    </comment>
    <comment ref="O301" authorId="0" shapeId="0" xr:uid="{515E3959-C53C-4031-BC12-FE53F2889C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BUENAFLOR STORE
MARAS, SINDANGAN</t>
        </r>
      </text>
    </comment>
    <comment ref="O302" authorId="0" shapeId="0" xr:uid="{E4599002-6A54-4878-AB07-C812B2AFA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O303" authorId="0" shapeId="0" xr:uid="{D6A70D02-BA88-4DB2-A492-4347C29791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O304" authorId="0" shapeId="0" xr:uid="{06511485-AFD3-4953-BA0D-E2AF336F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MARIE
GOLEO, SINDANGAN</t>
        </r>
      </text>
    </comment>
    <comment ref="O305" authorId="0" shapeId="0" xr:uid="{CB7A99B3-DEE2-466D-874C-14A4F1B304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GAHUMAN, NILFA STORE
GOLEO, SINDANGAN</t>
        </r>
      </text>
    </comment>
    <comment ref="O306" authorId="0" shapeId="0" xr:uid="{4CBBBE5C-2E9F-4A57-9D81-6355BBBEEC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307" authorId="0" shapeId="0" xr:uid="{A3F027A6-BFD7-41AE-8AAB-3A40A0075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 STORE
GOLEO, SINDANGAN</t>
        </r>
      </text>
    </comment>
    <comment ref="O308" authorId="0" shapeId="0" xr:uid="{87910BCC-51DA-407E-9DA9-E7E3EA29E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ATE GEA
GOLEO, SINDANGAN</t>
        </r>
      </text>
    </comment>
    <comment ref="O309" authorId="0" shapeId="0" xr:uid="{C23C3D49-E70A-4A15-9EA8-D165D33123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342" authorId="0" shapeId="0" xr:uid="{05BD3E49-460E-4A20-ADA6-A7DD27965C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656E9F89-439A-4AC5-B066-58160BF78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342" authorId="0" shapeId="0" xr:uid="{7BBBE7E1-0259-4037-9D5C-17A15269BD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343" authorId="0" shapeId="0" xr:uid="{0A310308-A8C2-4399-8D19-F8D9DBF851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3" authorId="0" shapeId="0" xr:uid="{884C2C00-3F9C-43BD-B60A-F82D43F10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
LOWER INUMAN, SINDANGAN</t>
        </r>
      </text>
    </comment>
    <comment ref="AA343" authorId="0" shapeId="0" xr:uid="{DC79A120-1CE8-41B1-972F-42674F485B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 / CUENCA, ELINA
POB, SALUG</t>
        </r>
      </text>
    </comment>
    <comment ref="C344" authorId="0" shapeId="0" xr:uid="{3FA93FA2-3DE8-47FE-ABA2-877E1A1ACB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344" authorId="0" shapeId="0" xr:uid="{EC8CD616-AD99-4085-A49D-47D2142231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C345" authorId="0" shapeId="0" xr:uid="{819A38B8-D887-4B70-A9BD-DE3F4B2B29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ESQUADRO
RM, SINDANGAN</t>
        </r>
      </text>
    </comment>
    <comment ref="O345" authorId="0" shapeId="0" xr:uid="{D8812B04-D7E9-44E9-BFE1-6F995EA1F6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C346" authorId="0" shapeId="0" xr:uid="{9E17AAC6-BA4D-43F9-B095-9B18C59E3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O346" authorId="0" shapeId="0" xr:uid="{BC8E01A2-CFA5-4B83-9BC0-984766AD2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347" authorId="0" shapeId="0" xr:uid="{D2BD791B-39FD-462B-9B40-5529C96DE1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LENI DAMONSONG / DAMONSONG STORE
RM, SINDANGAN</t>
        </r>
      </text>
    </comment>
    <comment ref="O347" authorId="0" shapeId="0" xr:uid="{6FE44F95-9E8B-4CE2-AC14-D1F94E4AA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 STORE
TALINGA, BACUNGAN</t>
        </r>
      </text>
    </comment>
    <comment ref="C348" authorId="0" shapeId="0" xr:uid="{85CB09D8-F0DC-4075-ABD4-9E24B8E45C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348" authorId="0" shapeId="0" xr:uid="{E3730265-7F13-4D7C-86D5-AD7874470A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COSEM STORE
TALINGA, BACUNGAN</t>
        </r>
      </text>
    </comment>
    <comment ref="C349" authorId="0" shapeId="0" xr:uid="{7B08DE70-446F-4F6A-B3B6-FCC366C6A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95DCBAEF-1F9E-497A-A000-917421DE87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C350" authorId="0" shapeId="0" xr:uid="{AD365E82-3205-4777-BF86-538998BAF8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FBE8B56A-C495-4A6A-883B-01FB929924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INUMAN, SINDANGAN</t>
        </r>
      </text>
    </comment>
    <comment ref="C351" authorId="0" shapeId="0" xr:uid="{A89570C9-95EC-409D-B55E-01A5E7127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38A45387-6591-4D46-8B05-9790365E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SHANNES STORE
MARAS, SINDANGAN</t>
        </r>
      </text>
    </comment>
    <comment ref="C352" authorId="0" shapeId="0" xr:uid="{C08C5936-520C-4365-A6AD-B2839B473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352" authorId="0" shapeId="0" xr:uid="{98137CF6-DB90-436E-B559-ADD0A6A6AC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3" authorId="0" shapeId="0" xr:uid="{48E7F9F9-542E-42AE-8901-283682DF0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3" authorId="0" shapeId="0" xr:uid="{068B3856-8BA9-4C16-9220-E47557775E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4" authorId="0" shapeId="0" xr:uid="{36717E2E-7354-4321-8B2E-46D07DE238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GERLYN JUANO
DISUD, SINDANGAN</t>
        </r>
      </text>
    </comment>
    <comment ref="O354" authorId="0" shapeId="0" xr:uid="{F8AE155C-6B7A-4779-B6A5-5B58D1C3B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C355" authorId="0" shapeId="0" xr:uid="{34363BC0-D514-4E07-865D-A99A1F670A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DISUD, SINDANGAN</t>
        </r>
      </text>
    </comment>
    <comment ref="O355" authorId="0" shapeId="0" xr:uid="{CFDA8D02-C1E3-499C-8349-BBC71D4FC4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356" authorId="0" shapeId="0" xr:uid="{1CB6F213-147F-41A1-AB4F-E899BC489A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356" authorId="0" shapeId="0" xr:uid="{87C9945A-F9B2-428C-8F71-5CA656D5F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C357" authorId="0" shapeId="0" xr:uid="{5921DA66-7C0B-45D7-8693-A6621C7F6F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357" authorId="0" shapeId="0" xr:uid="{60E1F1A2-1C11-4FF4-891A-7D1BA7954B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C358" authorId="0" shapeId="0" xr:uid="{AA7C2E7D-E063-499D-8103-B50E94F7B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397" authorId="0" shapeId="0" xr:uid="{395E6058-B392-4C86-A780-F9AB53B9B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O397" authorId="0" shapeId="0" xr:uid="{B92C381E-617D-484B-9A25-FB39B3A109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397" authorId="0" shapeId="0" xr:uid="{F7D54265-EB2A-4593-AC5E-CAFB53238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398" authorId="0" shapeId="0" xr:uid="{2C7126B1-0883-4452-BDF4-7C6CF83F9D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DEGULO STORE
BALOK, SINDANGAN</t>
        </r>
      </text>
    </comment>
    <comment ref="O398" authorId="0" shapeId="0" xr:uid="{CB0057F8-8EDF-46DB-91C1-4BAA8C7B56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INUMAN, SINDANGAN</t>
        </r>
      </text>
    </comment>
    <comment ref="AA398" authorId="0" shapeId="0" xr:uid="{473E0D21-5A69-4762-81DC-0ED50B27DD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2B4274BD-1CB5-4179-AC27-13E8D42F4F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REAN BALOS
BALOK, SINDANGAN</t>
        </r>
      </text>
    </comment>
    <comment ref="O399" authorId="0" shapeId="0" xr:uid="{3BC89F4E-549C-4594-BF4E-C3D4AB9D05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399" authorId="0" shapeId="0" xr:uid="{ACC8F97F-D855-4D74-94DE-03F6EF7A2D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 ANALIZA
BAYBAY, LILOY</t>
        </r>
      </text>
    </comment>
    <comment ref="C400" authorId="0" shapeId="0" xr:uid="{3592B7B8-2E1F-4F7E-B0CD-5BEA0BB187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O400" authorId="0" shapeId="0" xr:uid="{C9EE66AD-494D-49DE-AFDA-1A715227E1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DARLENE STORE
GOLEO, SINDANGAN</t>
        </r>
      </text>
    </comment>
    <comment ref="AA400" authorId="0" shapeId="0" xr:uid="{411295CC-8DD7-40BB-9144-AEB9494919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SARI-SARI STORE</t>
        </r>
      </text>
    </comment>
    <comment ref="C401" authorId="0" shapeId="0" xr:uid="{3729A67B-B2CA-4D04-9E87-D85E7AAE81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401" authorId="0" shapeId="0" xr:uid="{9D791F26-4D38-41D7-AEC8-60BFE738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401" authorId="0" shapeId="0" xr:uid="{5BF9BE88-4DEF-4076-B37B-493A4BFD5F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402" authorId="0" shapeId="0" xr:uid="{8B02C38E-69B3-4440-8E34-6EEDB2BCC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403" authorId="0" shapeId="0" xr:uid="{6A342005-E045-4E49-938E-8F6E8EEA97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CATUBAY
DENOYAN, SIAYAN</t>
        </r>
      </text>
    </comment>
    <comment ref="C404" authorId="0" shapeId="0" xr:uid="{08891E8B-900A-4C72-AD15-240088FE2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JANETH UTAK
POLAYO, SIAYAN</t>
        </r>
      </text>
    </comment>
    <comment ref="C405" authorId="0" shapeId="0" xr:uid="{7866AEE4-64CD-442C-A97B-0CBAB1A629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406" authorId="0" shapeId="0" xr:uid="{7E675BE9-C3A9-4869-9BF6-3AF7609D0E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407" authorId="0" shapeId="0" xr:uid="{0A4C1C8D-74BA-45B5-A2EC-ED23C8BF7B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408" authorId="0" shapeId="0" xr:uid="{4280F8BA-01A7-430D-B4D2-A0C1272762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409" authorId="0" shapeId="0" xr:uid="{5E1D103A-CD18-4BC6-9110-30C422C95C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 STORE
POB, SIAYAN</t>
        </r>
      </text>
    </comment>
    <comment ref="C410" authorId="0" shapeId="0" xr:uid="{41197725-E173-47A3-BAFA-98E00C693F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11" authorId="0" shapeId="0" xr:uid="{CD0215BA-6BC6-472A-89FE-754932FBDF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ALIAH'S STORE
POB, SIAYAN</t>
        </r>
      </text>
    </comment>
    <comment ref="O452" authorId="0" shapeId="0" xr:uid="{38B640B9-CFE3-4716-BF9F-422286D092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
SINDANGAN</t>
        </r>
      </text>
    </comment>
    <comment ref="AA452" authorId="0" shapeId="0" xr:uid="{2439450B-267F-44E3-9059-8A6DB478B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O453" authorId="0" shapeId="0" xr:uid="{7B3586BD-4774-456A-99FB-DB8E4BAFD3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BACUNGAN</t>
        </r>
      </text>
    </comment>
    <comment ref="AA453" authorId="0" shapeId="0" xr:uid="{2409F77D-1200-403E-A20F-FE6ACD5161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454" authorId="0" shapeId="0" xr:uid="{F43F6282-C648-498E-ADF5-38CE038E66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454" authorId="0" shapeId="0" xr:uid="{88564A48-A478-4962-BFE4-172BE72EA0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 GALLEPOSO
POB, GODOD</t>
        </r>
      </text>
    </comment>
    <comment ref="AA455" authorId="0" shapeId="0" xr:uid="{86BDC839-54F4-4063-B84F-F3E558E0C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MARLIE STORE
MAUSWAGON, GODOD</t>
        </r>
      </text>
    </comment>
    <comment ref="C507" authorId="0" shapeId="0" xr:uid="{83FF9EFE-30B6-4214-99EC-9E4FAD1F26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507" authorId="0" shapeId="0" xr:uid="{3BEBB6ED-F493-4342-BF8A-0DB597AF74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07" authorId="0" shapeId="0" xr:uid="{E78FCEAC-DD65-4BF5-8EA4-A98C4CADDC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508" authorId="0" shapeId="0" xr:uid="{DD51B13E-EA43-4980-89A0-F70D28E435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508" authorId="0" shapeId="0" xr:uid="{C67BAE56-DC8C-45FD-A61B-E470D0879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STORE
KALAWIT, TINAPLAN, SINDANGAN</t>
        </r>
      </text>
    </comment>
    <comment ref="AA508" authorId="0" shapeId="0" xr:uid="{F11F85DE-ABED-43AF-966C-3E98A4CCD8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DANGAN STORE
MUCAS, SALUG</t>
        </r>
      </text>
    </comment>
    <comment ref="C509" authorId="0" shapeId="0" xr:uid="{3ED54F9C-82F6-4DEA-BDBB-FA243E27E4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09" authorId="0" shapeId="0" xr:uid="{CE6E6A41-37F9-4ED8-9C6C-41B1A2AF2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ANTAG
TINAPLAN, SINDANGAN</t>
        </r>
      </text>
    </comment>
    <comment ref="AA509" authorId="0" shapeId="0" xr:uid="{917A019B-3D7F-4243-8E46-0BFE53E405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JESUS REUTIQUIO</t>
        </r>
      </text>
    </comment>
    <comment ref="C510" authorId="0" shapeId="0" xr:uid="{ED3606B4-F624-4D6B-AE27-F67735E87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510" authorId="0" shapeId="0" xr:uid="{845AA881-420D-4AD8-A50C-571C0FE28E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TOP MOUNTAIN RESORT
TINAPLAN, SINDANGAN</t>
        </r>
      </text>
    </comment>
    <comment ref="AA510" authorId="0" shapeId="0" xr:uid="{87B77DE9-0FD0-4B84-A0C4-C37A5468A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NEMESIA PASLON
DELAPAZ, LILOY</t>
        </r>
      </text>
    </comment>
    <comment ref="O511" authorId="0" shapeId="0" xr:uid="{F3D4E0EB-FCD6-4168-8BB1-85B30607B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STORE
TINAPLAN, SINDANGAN</t>
        </r>
      </text>
    </comment>
    <comment ref="AA511" authorId="0" shapeId="0" xr:uid="{AF261A26-A802-4FF6-8C3E-039EC292A7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2" authorId="0" shapeId="0" xr:uid="{CF5FEC4A-5CF1-4974-8B90-CB7D14132E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CANDIZ STORE
TINAPLAN, SINDANGAN</t>
        </r>
      </text>
    </comment>
    <comment ref="AA512" authorId="0" shapeId="0" xr:uid="{29EB75AE-C3E4-4C62-BBE4-E59D5D339D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GAMALE VIVIAN
LILOY COCKPIT
VILLA SUICIDAL, LILOY</t>
        </r>
      </text>
    </comment>
    <comment ref="O513" authorId="0" shapeId="0" xr:uid="{6048FCAC-D8F4-4333-8BB3-CB4EB82F1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EDITHA TAMAC
TINAPLAN, SINDANGAN</t>
        </r>
      </text>
    </comment>
    <comment ref="AA513" authorId="0" shapeId="0" xr:uid="{1E378BE6-40E1-4046-AE76-5849BE3BD9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SUICIDAL, LILOY</t>
        </r>
      </text>
    </comment>
    <comment ref="O514" authorId="0" shapeId="0" xr:uid="{70B6DEBB-D68C-4262-8A1B-023C4CC01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ABUHAN
DAGOHOY, SINDANGAN</t>
        </r>
      </text>
    </comment>
    <comment ref="AA514" authorId="0" shapeId="0" xr:uid="{51CB177C-427F-4D23-888C-34C31F3F9F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 BUHIAN
LILOY COCKPIT
VILLA SUICIDAL LILOY</t>
        </r>
      </text>
    </comment>
    <comment ref="O515" authorId="0" shapeId="0" xr:uid="{B42B3736-3674-481C-A2EF-5774C20B18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
TALINGA, SINDANGAN</t>
        </r>
      </text>
    </comment>
    <comment ref="AA515" authorId="0" shapeId="0" xr:uid="{9FCE8139-91E2-4F25-A4D7-B86A77C58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ANTONIO BALASUELA
BAYBAY, LILOY</t>
        </r>
      </text>
    </comment>
    <comment ref="O516" authorId="0" shapeId="0" xr:uid="{00C2DB35-AD48-4DA7-9564-0FC4FAC3B5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BERMUDEZ
TALINGA, SINDANGAN</t>
        </r>
      </text>
    </comment>
    <comment ref="AA516" authorId="0" shapeId="0" xr:uid="{E0127F15-AB67-4133-BAEA-6CFB945659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DELA ORDONIO
LAMAO, LILOY</t>
        </r>
      </text>
    </comment>
    <comment ref="O517" authorId="0" shapeId="0" xr:uid="{4252E802-9D54-41B6-9D0B-726FA0E8D4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LAYAN
TALINGA, SINDANGAN</t>
        </r>
      </text>
    </comment>
    <comment ref="AA517" authorId="0" shapeId="0" xr:uid="{C3C762E4-216A-43D9-8608-061BECFE2D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JAME'S EATERY
BAYBAY, LILOY</t>
        </r>
      </text>
    </comment>
    <comment ref="O518" authorId="0" shapeId="0" xr:uid="{5A130D29-D808-4EE8-9A41-88FEAF173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C562" authorId="0" shapeId="0" xr:uid="{29CE5880-DC4D-4E91-A82F-0A97EA94AB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62" authorId="0" shapeId="0" xr:uid="{F613DF08-9A5B-40EA-BEF7-F0C25EBA68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RONIE O. JAMORA
POB, BACUNGAN</t>
        </r>
      </text>
    </comment>
    <comment ref="AA562" authorId="0" shapeId="0" xr:uid="{48A1DC8B-F6B7-41E5-897B-50A1E1058F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563" authorId="0" shapeId="0" xr:uid="{4A4F7853-89CA-4891-8A75-0D2ECCD612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63" authorId="0" shapeId="0" xr:uid="{F58C5FC2-AC94-4C2D-AC9F-FB67D5A71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63" authorId="0" shapeId="0" xr:uid="{3214E0E8-72C4-4A67-A492-6B19146FEC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564" authorId="0" shapeId="0" xr:uid="{4F6356B3-797C-402E-8EB7-E07F323114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564" authorId="0" shapeId="0" xr:uid="{08BB1ECF-6C37-4F83-92B8-8B9E9C150D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564" authorId="0" shapeId="0" xr:uid="{CDD1DFCB-97D5-4051-A3E9-4B5829B620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INOCENCIO
POB, SALUG</t>
        </r>
      </text>
    </comment>
    <comment ref="O565" authorId="0" shapeId="0" xr:uid="{470844A5-74FE-4FA7-A7DD-CA296925D5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SAFLOR STORE
RM, SALUG</t>
        </r>
      </text>
    </comment>
    <comment ref="AA565" authorId="0" shapeId="0" xr:uid="{6C349179-FB00-4A08-957B-50F5AD896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6" authorId="0" shapeId="0" xr:uid="{E1353352-46AC-49D7-A739-7EFD8A436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CONGE
PALANDOK, BACUNGAN</t>
        </r>
      </text>
    </comment>
    <comment ref="AA566" authorId="0" shapeId="0" xr:uid="{F7ED4F9E-D5D2-430B-8FCF-1D057840A8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7" authorId="0" shapeId="0" xr:uid="{5FA880AA-ED74-41AF-99AB-DB4C4C8837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AA567" authorId="0" shapeId="0" xr:uid="{1BD1E0BB-149E-44A9-AF9C-089B6B80A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OSSANAH STORE
BAYBAY, LILOY</t>
        </r>
      </text>
    </comment>
    <comment ref="O568" authorId="0" shapeId="0" xr:uid="{A82C465D-50EF-4977-8B6E-05652FC737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RAFOLS
BOGABONGAN, BACUNGAN</t>
        </r>
      </text>
    </comment>
    <comment ref="O569" authorId="0" shapeId="0" xr:uid="{FED64E5B-B4AD-4786-8047-6F640ABBC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DURAN
BOGABONGAN, BACUNGAN</t>
        </r>
      </text>
    </comment>
    <comment ref="O570" authorId="0" shapeId="0" xr:uid="{85B586FD-2D73-455A-AF7C-F03AB1CF2F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O571" authorId="0" shapeId="0" xr:uid="{C041E05D-8925-43BE-8B3E-576DA3101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BAEL
BOGABONGAN, BACUNGAN</t>
        </r>
      </text>
    </comment>
    <comment ref="O572" authorId="0" shapeId="0" xr:uid="{D6E9922E-1005-47B9-B43C-15B1F4C4CD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O573" authorId="0" shapeId="0" xr:uid="{4A018704-5F72-448F-89A8-BB3C9A8ECA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BACUNGAN
BOGABONGAN, BACUNGAN</t>
        </r>
      </text>
    </comment>
    <comment ref="O574" authorId="0" shapeId="0" xr:uid="{4FA7BB53-DFE0-496A-86BF-C93433396C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O575" authorId="0" shapeId="0" xr:uid="{12770D70-28CD-4AC8-ACCE-489688DE46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JENIA'S MINIMART
BOGABONGAN, BACUNGAN</t>
        </r>
      </text>
    </comment>
    <comment ref="O576" authorId="0" shapeId="0" xr:uid="{0122B3B3-D23D-4590-9EAC-CF11053E96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MARIEL
BOGABONGAN, BACUNGAN</t>
        </r>
      </text>
    </comment>
    <comment ref="O577" authorId="0" shapeId="0" xr:uid="{E9690F64-6BCE-4B92-B28F-992D275E99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MANIL, BACUNGAN</t>
        </r>
      </text>
    </comment>
    <comment ref="O578" authorId="0" shapeId="0" xr:uid="{5CC49F5D-7CD0-4DD4-B9B8-071C1E40E8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O579" authorId="0" shapeId="0" xr:uid="{A6D1714B-4A7F-45C3-B761-1D6DE081B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C617" authorId="0" shapeId="0" xr:uid="{7D17BFFA-FE56-43C8-9C0A-15956B60A9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17" authorId="0" shapeId="0" xr:uid="{31F20DC8-FEC1-4B0F-8768-A8911820DD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617" authorId="0" shapeId="0" xr:uid="{E50958D6-D347-4911-91F6-E49945985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618" authorId="0" shapeId="0" xr:uid="{44D54750-B415-4589-94E8-54D91BCC6E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BATION
PIAO, SINDANGAN</t>
        </r>
      </text>
    </comment>
    <comment ref="O618" authorId="0" shapeId="0" xr:uid="{9C7CC35D-68D8-40A0-9A44-E5B520061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8" authorId="0" shapeId="0" xr:uid="{1A41F10C-8186-4481-9E5C-7A318A1910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BA5C8E6F-EDB3-4553-9248-81C6BE3CF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619" authorId="0" shapeId="0" xr:uid="{4B9C0296-FCD0-400A-A722-FC63FFF248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ALDRIN TOBIAS / WCDC STORE
MANDIH, SINDANGAN</t>
        </r>
      </text>
    </comment>
    <comment ref="AA619" authorId="0" shapeId="0" xr:uid="{7F6E6689-8D66-402C-82E9-8AD55DABBB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620" authorId="0" shapeId="0" xr:uid="{2C98400E-6E94-4A0D-B00F-F65CAA509D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620" authorId="0" shapeId="0" xr:uid="{D8EF10FC-86EF-4CE5-9450-9D16861D3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620" authorId="0" shapeId="0" xr:uid="{DB8DBB1C-3B4C-4B0F-B3C6-4BB10DACE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ALBERT, TAN
BAYBAY, LILOY</t>
        </r>
      </text>
    </comment>
    <comment ref="C621" authorId="0" shapeId="0" xr:uid="{EA5B40F9-765D-4648-B488-F3DA396BD0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ALFREDO CATIG
POB, SIAYAN</t>
        </r>
      </text>
    </comment>
    <comment ref="AA621" authorId="0" shapeId="0" xr:uid="{EACF3267-8ECA-4808-8192-39E12177DB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622" authorId="0" shapeId="0" xr:uid="{47D6EBD6-6E36-4070-ACF1-2C8F6EDF1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AA622" authorId="0" shapeId="0" xr:uid="{7D2778D6-3317-4942-B469-4DF3F215A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623" authorId="0" shapeId="0" xr:uid="{8F1F58AE-200C-4050-8181-0991A4B3F5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C624" authorId="0" shapeId="0" xr:uid="{93152EFB-6081-4018-968B-FE3E352A0B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625" authorId="0" shapeId="0" xr:uid="{FED230A3-C28A-4614-AB8F-AF4EEA5FB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626" authorId="0" shapeId="0" xr:uid="{854D0184-DFA4-413A-8A9D-6DC25A17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627" authorId="0" shapeId="0" xr:uid="{C54C13D4-FB06-4572-B4D2-927C461A7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628" authorId="0" shapeId="0" xr:uid="{4A995678-8424-46F2-BBFB-27E25F5C2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629" authorId="0" shapeId="0" xr:uid="{3AB64E9E-9F22-493E-9FB1-8CA43A6B2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630" authorId="0" shapeId="0" xr:uid="{81E5C336-CEA4-4F95-915D-A0D777B12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631" authorId="0" shapeId="0" xr:uid="{1D6B5110-3B94-487C-9793-BDA010EA0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632" authorId="0" shapeId="0" xr:uid="{85868370-64A7-4486-A444-1269C73AE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C633" authorId="0" shapeId="0" xr:uid="{8B416FB6-EB23-404B-B8F8-E3D3A6054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634" authorId="0" shapeId="0" xr:uid="{E823D804-4519-4277-8ECF-268587F36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SOUNDCHECK
POB, SINDANGAN</t>
        </r>
      </text>
    </comment>
    <comment ref="C672" authorId="0" shapeId="0" xr:uid="{B752CF3B-3334-4802-9E08-131BFC760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72" authorId="0" shapeId="0" xr:uid="{94D22536-1EAE-427E-9BA5-801AF3C275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672" authorId="0" shapeId="0" xr:uid="{37B53540-5D77-4967-9641-6EE36D4164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VILMA
POB, SALUG</t>
        </r>
      </text>
    </comment>
    <comment ref="C673" authorId="0" shapeId="0" xr:uid="{83EFB1AA-C0AD-4935-B7C3-C872359A6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73" authorId="0" shapeId="0" xr:uid="{B065AF2E-A2E9-41BF-9636-E2D3AC9DD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3" authorId="0" shapeId="0" xr:uid="{32791BE7-B0DA-471A-9316-16ECE15B5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4" authorId="0" shapeId="0" xr:uid="{24F7DEE5-9E94-4846-9AFD-64C57CBBAD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674" authorId="0" shapeId="0" xr:uid="{98E06EE0-4B6B-4FF6-9538-3BB4CD5C9E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 STORE
TALINGA, BACUNGAN</t>
        </r>
      </text>
    </comment>
    <comment ref="AA674" authorId="0" shapeId="0" xr:uid="{688394F6-3C93-4F03-B756-FC4C8A34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SALENAS
SALUG COCKPIT
CARACOL, SALUG</t>
        </r>
      </text>
    </comment>
    <comment ref="O675" authorId="0" shapeId="0" xr:uid="{DB7FEA18-4170-4E3D-8901-A2AC0A3ED1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O676" authorId="0" shapeId="0" xr:uid="{B2A60632-A792-4A0C-81BE-54BE88E0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C727" authorId="0" shapeId="0" xr:uid="{91DE84AD-2251-411C-8D12-5D2528DB9C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727" authorId="0" shapeId="0" xr:uid="{5AB72F29-7786-44BA-B39F-BE943813E0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INUMAN, SINDANGAN</t>
        </r>
      </text>
    </comment>
    <comment ref="AA727" authorId="0" shapeId="0" xr:uid="{D47ECA81-007E-4D89-9B7F-67AED9AF6E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728" authorId="0" shapeId="0" xr:uid="{AFFBBD00-8940-4B39-A56E-D91DCE23DA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728" authorId="0" shapeId="0" xr:uid="{D3503D2B-F545-40FF-8EE3-B004E646A8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RUNIE JAMORA
POB, BACUNGAN</t>
        </r>
      </text>
    </comment>
    <comment ref="AA728" authorId="0" shapeId="0" xr:uid="{13FE3A29-8E90-4F68-BA26-7EE2C89468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29" authorId="0" shapeId="0" xr:uid="{6D7FBD9D-DAA8-4334-A229-577EF442E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729" authorId="0" shapeId="0" xr:uid="{A367DA0B-A9BA-4F05-9F1F-755C9EC6AE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729" authorId="0" shapeId="0" xr:uid="{D2ABA186-D7AA-4B22-B007-46251F1962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0" authorId="0" shapeId="0" xr:uid="{814FC09D-64DB-4ABE-8713-004604E8F4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30" authorId="0" shapeId="0" xr:uid="{0EC32471-0E3B-4A45-B1DC-1DBA1BD216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JENIFFER AVILA
POB, BACUNGAN</t>
        </r>
      </text>
    </comment>
    <comment ref="C731" authorId="0" shapeId="0" xr:uid="{74FBA3F8-C799-4A0B-A355-94988821E8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731" authorId="0" shapeId="0" xr:uid="{B3D39E6C-1110-4F5B-8335-601E97DFB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C732" authorId="0" shapeId="0" xr:uid="{528A3042-F7E5-47E1-AB55-A3862C1FD9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732" authorId="0" shapeId="0" xr:uid="{9E523A98-0AC8-42AF-B5A8-B17995EFAE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733" authorId="0" shapeId="0" xr:uid="{65ED2C89-106D-4FBE-A0F3-F63CB23F3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MAGWATE
RHM STORE
LAGAG, SINDANGAN</t>
        </r>
      </text>
    </comment>
    <comment ref="O733" authorId="0" shapeId="0" xr:uid="{072D5FCA-0CBD-4C70-BBEC-6D5E174C2B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734" authorId="0" shapeId="0" xr:uid="{94BCFF60-01DD-4B74-8ED6-816F9C3C0E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734" authorId="0" shapeId="0" xr:uid="{6D8EF890-ADC9-4341-8764-EF2DCEB5B4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 CARIÑO
GOLEO, SINDANGAN</t>
        </r>
      </text>
    </comment>
    <comment ref="C735" authorId="0" shapeId="0" xr:uid="{1B1BF8B7-2D84-493C-8A90-D032AE2C9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LEDAMA STORE
LAGAG, SINDANGAN</t>
        </r>
      </text>
    </comment>
    <comment ref="O735" authorId="0" shapeId="0" xr:uid="{FC0E5BF6-6C11-4B79-8AF3-273709E46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736" authorId="0" shapeId="0" xr:uid="{3FAFBEA0-C027-4638-A7C1-F20DBC8897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C737" authorId="0" shapeId="0" xr:uid="{CA4255DC-0E78-43FA-B412-84B54ECD5B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STORE
DENOYAN, SIAYAN</t>
        </r>
      </text>
    </comment>
    <comment ref="C738" authorId="0" shapeId="0" xr:uid="{7BA1F048-38D9-44A5-AC99-9C37F9C849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739" authorId="0" shapeId="0" xr:uid="{D6DB0A81-03DC-4329-B931-4AB08F310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740" authorId="0" shapeId="0" xr:uid="{D910F4D4-B468-4A52-9DFE-A89B4CDB78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741" authorId="0" shapeId="0" xr:uid="{1980D967-2DC5-4216-8E2C-CCC503B9B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742" authorId="0" shapeId="0" xr:uid="{E1BBE5A7-96D6-4C72-8C39-821DBABBC8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43" authorId="0" shapeId="0" xr:uid="{2BCF37B2-E6D2-4DC0-8B1F-19400262B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782" authorId="0" shapeId="0" xr:uid="{BE377993-5EBB-40E4-8165-A48A34868C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782" authorId="0" shapeId="0" xr:uid="{70FFEC61-B46F-4299-989E-F3F6E62890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82" authorId="0" shapeId="0" xr:uid="{11F25488-BE33-4DE1-8AC2-01FF7C2602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3" authorId="0" shapeId="0" xr:uid="{7915F275-1DF8-4769-8E1C-D31DCE1505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O783" authorId="0" shapeId="0" xr:uid="{52DC4688-EB4D-4986-B7C0-7CBABC3050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783" authorId="0" shapeId="0" xr:uid="{AAA50B24-505E-49EA-901B-B703B9535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4" authorId="0" shapeId="0" xr:uid="{92AF5874-CAD0-475F-8984-8ADF7EC471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AA784" authorId="0" shapeId="0" xr:uid="{A8081BD7-6B59-4C4A-BA4B-748117F038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785" authorId="0" shapeId="0" xr:uid="{6B232439-C44B-4DDC-AE41-143BEA9D0F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 STORE
LABAKID, SINDANGAN</t>
        </r>
      </text>
    </comment>
    <comment ref="AA785" authorId="0" shapeId="0" xr:uid="{66154677-213F-4F68-AA89-6F2EBB841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C786" authorId="0" shapeId="0" xr:uid="{8F11B3C4-F8B1-43A7-80BA-FF54FF7A7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IVY ONES
LABAKID, SINDANGAN</t>
        </r>
      </text>
    </comment>
    <comment ref="AA786" authorId="0" shapeId="0" xr:uid="{C1879D1D-1577-4C9C-954F-3B5B3A0D13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87" authorId="0" shapeId="0" xr:uid="{1868EC73-2A59-4A5E-B030-C04C90A814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DEPOSA
DEPOSA STORE
DICOYONG, SINDANGAN</t>
        </r>
      </text>
    </comment>
    <comment ref="AA787" authorId="0" shapeId="0" xr:uid="{0A344D36-D7D3-4812-9DA4-B5F30A18F1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88" authorId="0" shapeId="0" xr:uid="{30D8B568-6080-4B9A-8D78-CE67B43075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788" authorId="0" shapeId="0" xr:uid="{8C757C70-E919-4B27-BCA2-6034AFC9D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89" authorId="0" shapeId="0" xr:uid="{74758BC9-8D75-49F5-A6F4-C3A37064E9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 STORE
DAPAON, SINDANGAN</t>
        </r>
      </text>
    </comment>
    <comment ref="AA789" authorId="0" shapeId="0" xr:uid="{1E95BDE7-DC43-4AB0-A63C-A4F1EA423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AA790" authorId="0" shapeId="0" xr:uid="{11C52CBA-4774-4C6E-B699-F4B403016A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AA791" authorId="0" shapeId="0" xr:uid="{700422E6-7A8B-4900-86DA-99603B4811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C837" authorId="0" shapeId="0" xr:uid="{761E29A2-39F1-4740-B07F-A98B57E5D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37" authorId="0" shapeId="0" xr:uid="{EDFEA8E7-06B4-4908-87ED-C532247A33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APRIL ROSE STORE
GOLEO, SINDANGAN</t>
        </r>
      </text>
    </comment>
    <comment ref="AA837" authorId="0" shapeId="0" xr:uid="{ACFB7C42-26A4-4C96-83AD-00096008A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838" authorId="0" shapeId="0" xr:uid="{7151671D-FE14-4186-BEDB-84B6070719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GUNYAN, SIAYAN</t>
        </r>
      </text>
    </comment>
    <comment ref="O838" authorId="0" shapeId="0" xr:uid="{E7223C79-3E19-477B-A79C-57E648F68D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AA838" authorId="0" shapeId="0" xr:uid="{AE396F8A-7BE2-4A59-B6BD-3CAC4E36C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BACONG
BACONG, SALUG</t>
        </r>
      </text>
    </comment>
    <comment ref="O839" authorId="0" shapeId="0" xr:uid="{69F07B3A-6CA2-4CB0-B6EC-07E90EEB02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839" authorId="0" shapeId="0" xr:uid="{CEFBD633-A16E-45DF-A463-99B0B93971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O840" authorId="0" shapeId="0" xr:uid="{324847EF-FB3F-4757-AFA2-8E73F6BC2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NILFA
GOLEO, SINDANGAN</t>
        </r>
      </text>
    </comment>
    <comment ref="AA840" authorId="0" shapeId="0" xr:uid="{83F75FE1-96EB-4E3F-8B58-E034AFA67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LIPAYO MARY ANN
BACONG, SALUG</t>
        </r>
      </text>
    </comment>
    <comment ref="O841" authorId="0" shapeId="0" xr:uid="{D3580B6B-797D-4F73-8D55-E9CFD55C72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AA841" authorId="0" shapeId="0" xr:uid="{8A296088-0CFA-4EDC-824B-978171DF4D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O842" authorId="0" shapeId="0" xr:uid="{849B97F9-4968-48E2-8FCF-876CECED8D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842" authorId="0" shapeId="0" xr:uid="{2F943E6A-B18B-4FD6-94B7-525F84DCC0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O843" authorId="0" shapeId="0" xr:uid="{9938839E-50E0-4993-9840-B93EA15C0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843" authorId="0" shapeId="0" xr:uid="{4985293E-EA91-4837-BCCF-8619338EE5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O844" authorId="0" shapeId="0" xr:uid="{C8C9A5E9-DBD7-4ADC-BF50-C6EFCCF527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RHEDERA VILLA
TALINGA, SINDANGAN</t>
        </r>
      </text>
    </comment>
    <comment ref="AA844" authorId="0" shapeId="0" xr:uid="{77922DA7-80BF-40E0-9EE7-CAF950A481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O845" authorId="0" shapeId="0" xr:uid="{7B24122A-418D-4C18-BA31-1F27683E40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45" authorId="0" shapeId="0" xr:uid="{064D56EA-AB76-4D96-88A6-76A946971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846" authorId="0" shapeId="0" xr:uid="{CEA2CA45-397C-4548-BD7C-8703FDC0B4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AA846" authorId="0" shapeId="0" xr:uid="{B5A7B2E5-2F10-4198-A502-6172766C60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</t>
        </r>
      </text>
    </comment>
    <comment ref="O847" authorId="0" shapeId="0" xr:uid="{CEDB3E9D-129B-473D-808D-87A22A791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O848" authorId="0" shapeId="0" xr:uid="{B85284D3-E8BB-4312-B9CC-56413EB50D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EBALES STORE
MARAS, SINDANGAN</t>
        </r>
      </text>
    </comment>
    <comment ref="O849" authorId="0" shapeId="0" xr:uid="{08F18B98-E673-44EC-9DF0-51D40F6E16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O850" authorId="0" shapeId="0" xr:uid="{60490A75-5856-4D76-B557-59192C5F5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JOY GERMATA
MARAS, SINDANGAN</t>
        </r>
      </text>
    </comment>
    <comment ref="O851" authorId="0" shapeId="0" xr:uid="{E8671E18-0AD3-4801-B7D8-7006876CFD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CABARDO STORE
MARAS, SINDANGAN</t>
        </r>
      </text>
    </comment>
    <comment ref="O852" authorId="0" shapeId="0" xr:uid="{6B867864-36D9-4EB3-9559-612DFD49EA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ANN KATHLEEN STORE
MARAS, SINDANGAN</t>
        </r>
      </text>
    </comment>
    <comment ref="O853" authorId="0" shapeId="0" xr:uid="{06E8360E-9784-4A9F-AA7F-41419608D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O854" authorId="0" shapeId="0" xr:uid="{09B0AA1B-91BB-4592-9110-65111F9795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 &amp; G VALLECER STORE
MARAS, SINDANGAN</t>
        </r>
      </text>
    </comment>
    <comment ref="O855" authorId="0" shapeId="0" xr:uid="{E1D55800-A793-49D7-A05B-7A471E85DA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C892" authorId="0" shapeId="0" xr:uid="{C01A3EA3-6326-4BBB-A360-36551B76EA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TEBAN
GOLEO, SINDANGAN</t>
        </r>
      </text>
    </comment>
    <comment ref="O892" authorId="0" shapeId="0" xr:uid="{0B257D2D-A75B-4895-B47A-28C4A79F3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892" authorId="0" shapeId="0" xr:uid="{015D15A0-0946-49E6-81D5-16E7C1A7AC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893" authorId="0" shapeId="0" xr:uid="{02640998-C2E3-4B60-AF2E-011B274DD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893" authorId="0" shapeId="0" xr:uid="{42F1BC24-5DC0-4684-981D-2ABE1CC39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AA893" authorId="0" shapeId="0" xr:uid="{E0F38FE3-C124-4B78-8BB2-31B4B9F73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 LILOY</t>
        </r>
      </text>
    </comment>
    <comment ref="C894" authorId="0" shapeId="0" xr:uid="{602B0A11-3624-48A6-8FE3-179B7E2A6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894" authorId="0" shapeId="0" xr:uid="{A1819E7B-F170-4F76-9699-228479EF0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JANE
INUMAN, SINDANGAN</t>
        </r>
      </text>
    </comment>
    <comment ref="AA894" authorId="0" shapeId="0" xr:uid="{3DCE0F52-9A74-41CC-96B9-1F7EFF84A4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JAMOY
BAYBAY, LILOY</t>
        </r>
      </text>
    </comment>
    <comment ref="C895" authorId="0" shapeId="0" xr:uid="{64BC2C6E-B682-4155-85DE-882541B6DF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O895" authorId="0" shapeId="0" xr:uid="{4D662D19-AFAD-4567-AA54-894DAF8B93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895" authorId="0" shapeId="0" xr:uid="{1A8204D1-4254-4CB7-96CD-2A8D25E2A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896" authorId="0" shapeId="0" xr:uid="{FF11F8E8-9F75-4B94-8F0E-EA69AA48A2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96" authorId="0" shapeId="0" xr:uid="{25E4D8FB-D7B2-46A6-9449-52A232598C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896" authorId="0" shapeId="0" xr:uid="{927CD82F-0059-4BE2-8520-038F4B7162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897" authorId="0" shapeId="0" xr:uid="{FC24DF31-11E2-49D1-B3C8-E2EA686BB3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O897" authorId="0" shapeId="0" xr:uid="{F1122918-CDD9-47BE-8413-DF26AC876F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898" authorId="0" shapeId="0" xr:uid="{BDA151CF-67DF-4BA8-8696-72D783182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898" authorId="0" shapeId="0" xr:uid="{06FD59CD-757F-474A-AAFB-FB53806624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STORE
RM, SALUG</t>
        </r>
      </text>
    </comment>
    <comment ref="O899" authorId="0" shapeId="0" xr:uid="{C82D12BA-FE3C-4309-B875-664D5AC3D9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900" authorId="0" shapeId="0" xr:uid="{47C27607-A5A9-4C93-AC94-4ECBBF6E8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901" authorId="0" shapeId="0" xr:uid="{832A200B-33C0-4FD9-B7B8-6B3B697CB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O902" authorId="0" shapeId="0" xr:uid="{57BBEFFB-DCA7-4F0E-B553-571837677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DIANNE STORE
BOGABONGAN, BACUNGAN</t>
        </r>
      </text>
    </comment>
    <comment ref="O903" authorId="0" shapeId="0" xr:uid="{6F30C308-73A2-4E0F-8DD6-E09C0AB59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BOBOY
BOGABONGAN, BACUNGAN</t>
        </r>
      </text>
    </comment>
    <comment ref="O904" authorId="0" shapeId="0" xr:uid="{458D67E2-63B5-4FC2-826F-C2DB3A1FCB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BACUNGAN
BOGABONGAN, BACUNGAN</t>
        </r>
      </text>
    </comment>
    <comment ref="O905" authorId="0" shapeId="0" xr:uid="{44C6FF99-2843-43BD-A566-4F4B6E0DE6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 STORE
BOGABONGAN, BACUNGAN</t>
        </r>
      </text>
    </comment>
    <comment ref="O906" authorId="0" shapeId="0" xr:uid="{1CC0E32D-972C-4749-BBD7-41B36A54D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JENIAS STORE
BOGABONGAN, BACUNGAN</t>
        </r>
      </text>
    </comment>
    <comment ref="O907" authorId="0" shapeId="0" xr:uid="{A7CA3B46-F6BD-4FF1-9145-526D4694C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JACKIE CEROS
BOGABONGAN, BACUNGAN</t>
        </r>
      </text>
    </comment>
    <comment ref="O908" authorId="0" shapeId="0" xr:uid="{E9430453-4459-4C93-9750-CB2506DEBC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
BOGABONGAN, BACUNGAN</t>
        </r>
      </text>
    </comment>
    <comment ref="O909" authorId="0" shapeId="0" xr:uid="{49E3EF53-419C-4FAC-B658-C079E978C0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O910" authorId="0" shapeId="0" xr:uid="{1AB5A37C-C4AE-4714-9DC4-50576AF35C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911" authorId="0" shapeId="0" xr:uid="{E95BBF16-4399-43B7-9915-BD9F0A809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AKT JOY
DAPAON, SINDANGAN</t>
        </r>
      </text>
    </comment>
    <comment ref="C947" authorId="0" shapeId="0" xr:uid="{6BDD9BF1-E36A-4E50-8388-BF75EEFFF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947" authorId="0" shapeId="0" xr:uid="{5314551C-D47C-44AD-9930-C4D02B463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OYLANE STORE
DELOSOM, BACUNGAN</t>
        </r>
      </text>
    </comment>
    <comment ref="AA947" authorId="0" shapeId="0" xr:uid="{4EEC59AD-CB32-4859-BFA6-2B505585ED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POB, SALUG</t>
        </r>
      </text>
    </comment>
    <comment ref="C948" authorId="0" shapeId="0" xr:uid="{FD79D3CC-26AC-4235-A372-FAD03997E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O948" authorId="0" shapeId="0" xr:uid="{78EBA31E-FE11-4B0D-8331-B0DB085A6E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POB, BACUNGAN</t>
        </r>
      </text>
    </comment>
    <comment ref="AA948" authorId="0" shapeId="0" xr:uid="{4B1184EC-5353-4995-B1A5-38B2EF0B7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CAYACAP, TERESITA
POB, SALUG</t>
        </r>
      </text>
    </comment>
    <comment ref="C949" authorId="0" shapeId="0" xr:uid="{26EF4BC3-71CA-4DC7-BC51-11F5C66AF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949" authorId="0" shapeId="0" xr:uid="{6BAFFE2B-6919-491F-AAC7-FDB2A2C659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/ RUNIE O. JAMORA
POB, BACUNGAN</t>
        </r>
      </text>
    </comment>
    <comment ref="AA949" authorId="0" shapeId="0" xr:uid="{003D19BA-06DA-459E-8D0D-3D216FA9A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950" authorId="0" shapeId="0" xr:uid="{76508145-684D-42F6-BEF0-61DAD3A62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950" authorId="0" shapeId="0" xr:uid="{C1C9A8A9-1A9E-46FA-910A-B4052568D6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CHERRY STORE
GUSAO, BACUNGAN</t>
        </r>
      </text>
    </comment>
    <comment ref="AA950" authorId="0" shapeId="0" xr:uid="{89168F80-0867-422E-98E6-1B2DD45A8B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 ALBERT
BAYBAY, LILOY</t>
        </r>
      </text>
    </comment>
    <comment ref="C951" authorId="0" shapeId="0" xr:uid="{CBB1C2A6-804E-428C-92DC-8228AF76F7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951" authorId="0" shapeId="0" xr:uid="{AA41A830-2B75-4A45-913A-D599EC7FC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951" authorId="0" shapeId="0" xr:uid="{625EC9E3-0187-42B2-983C-A618F435B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952" authorId="0" shapeId="0" xr:uid="{3DEF72A2-54F1-48F6-84FE-1FD281B361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STORE
PIAO, SINDANGAN</t>
        </r>
      </text>
    </comment>
    <comment ref="O952" authorId="0" shapeId="0" xr:uid="{D3555E4A-5C54-4FA6-B676-8B0A286C76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952" authorId="0" shapeId="0" xr:uid="{D6E5AD90-1164-4362-9110-315667235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 ANALIZA
BAYBAY, LILOY</t>
        </r>
      </text>
    </comment>
    <comment ref="C953" authorId="0" shapeId="0" xr:uid="{3F770D94-01BC-43FA-B54C-B89230564C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AA953" authorId="0" shapeId="0" xr:uid="{027DF27A-4393-43E6-8369-C680237E4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GENITA
BAYBAY, LILOY</t>
        </r>
      </text>
    </comment>
    <comment ref="C954" authorId="0" shapeId="0" xr:uid="{F4D202AC-489A-47C7-8707-2D770A73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KRYSTAL DAWN STORE
POB, SINDANGAN</t>
        </r>
      </text>
    </comment>
    <comment ref="AA954" authorId="0" shapeId="0" xr:uid="{04B7A178-8533-4691-9AD6-0A082EE19A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955" authorId="0" shapeId="0" xr:uid="{1E76CE08-7FEF-4844-B3F8-AB43C710F0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AA955" authorId="0" shapeId="0" xr:uid="{71902B57-7F06-42E7-94A0-8461E058FA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956" authorId="0" shapeId="0" xr:uid="{DB99E416-D984-46DB-AE35-E28AFB87F8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AA956" authorId="0" shapeId="0" xr:uid="{431D74DA-AEA2-49D3-B3E3-B49123613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TIMAGOS, EATERY
BAYBAY, LILOY</t>
        </r>
      </text>
    </comment>
    <comment ref="C957" authorId="0" shapeId="0" xr:uid="{947DE67C-05E5-499E-95E4-69645CDA5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002" authorId="0" shapeId="0" xr:uid="{0612BB8B-A9D6-4595-B291-9EBCE55A63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002" authorId="0" shapeId="0" xr:uid="{08A17DC8-49B9-465C-91C0-1C1D680434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DINGGONG
INUMAN, SINDANGAN</t>
        </r>
      </text>
    </comment>
    <comment ref="AA1002" authorId="0" shapeId="0" xr:uid="{C370B9BA-15C3-4F4B-B88A-9A468A419A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1003" authorId="0" shapeId="0" xr:uid="{0D2FFE39-D2EA-405A-B736-890A851865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
POB, SINDANGAN</t>
        </r>
      </text>
    </comment>
    <comment ref="O1003" authorId="0" shapeId="0" xr:uid="{E5394F56-C732-465A-9137-38A4E32C0C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1003" authorId="0" shapeId="0" xr:uid="{DEC00184-0894-4F49-AD6F-144A1541A8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004" authorId="0" shapeId="0" xr:uid="{DB91E12A-5BD2-4109-B373-E7AE876C47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
POB, SINDANGAN</t>
        </r>
      </text>
    </comment>
    <comment ref="O1004" authorId="0" shapeId="0" xr:uid="{06DB0EE1-7A4D-424D-99B6-BD9C8C12E6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1004" authorId="0" shapeId="0" xr:uid="{469504AF-5280-4187-BB89-6E2E7DC70B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005" authorId="0" shapeId="0" xr:uid="{7BA25567-4F84-4264-8B90-3E0BCC7A58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SIR NEILVIN</t>
        </r>
      </text>
    </comment>
    <comment ref="O1005" authorId="0" shapeId="0" xr:uid="{E05AFE22-C5A2-4EE1-BE91-F1B2835B29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1006" authorId="0" shapeId="0" xr:uid="{F25BCBE6-5A1D-4932-9CB6-D095D0A140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006" authorId="0" shapeId="0" xr:uid="{AF0EDAC3-B32F-41AA-AC6D-1ACA924702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1007" authorId="0" shapeId="0" xr:uid="{0D6E655B-CFBC-49F6-A568-33AB789608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
DAPAON, SINDANGAN</t>
        </r>
      </text>
    </comment>
    <comment ref="O1008" authorId="0" shapeId="0" xr:uid="{DEAED444-FA64-404D-9686-0E50C48EE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C1057" authorId="0" shapeId="0" xr:uid="{356E37B3-007A-4B7C-9A2B-AE5D0BC20E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
BALOK,SINDANGAN</t>
        </r>
      </text>
    </comment>
    <comment ref="O1057" authorId="0" shapeId="0" xr:uid="{A52DB270-5912-4F28-8751-816E5486A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057" authorId="0" shapeId="0" xr:uid="{3C0BBF42-F329-410A-AB6D-A7E3F5702E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058" authorId="0" shapeId="0" xr:uid="{7D0D8035-7C56-4891-82B0-45338032D5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058" authorId="0" shapeId="0" xr:uid="{96857942-EEED-4258-A0D2-0B2E9BA8AD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RC BOGANOTAN
LOWER INUMAN, SINDANGAN</t>
        </r>
      </text>
    </comment>
    <comment ref="AA1058" authorId="0" shapeId="0" xr:uid="{30F262FB-35A1-4807-9921-CC1217C43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1059" authorId="0" shapeId="0" xr:uid="{CB08381D-A2CD-46EB-9541-B5F99B0463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059" authorId="0" shapeId="0" xr:uid="{B1A7AAFA-2EB0-4829-BBCD-A73633B0C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CECILLE
LOWER INUMAN, SINDANGAN</t>
        </r>
      </text>
    </comment>
    <comment ref="AA1059" authorId="0" shapeId="0" xr:uid="{2BFED030-7898-41D4-93A1-E2183BB325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C1060" authorId="0" shapeId="0" xr:uid="{A3F55D44-40AA-4C59-97B6-3E2BE0061A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060" authorId="0" shapeId="0" xr:uid="{EA466C3F-3355-4E08-A9CA-E22C9275BA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ARLENE BEÑAL
LOWER INUMAN, SINDANGAN</t>
        </r>
      </text>
    </comment>
    <comment ref="AA1060" authorId="0" shapeId="0" xr:uid="{EEB19874-9A96-4CFE-94F5-191AFB6859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1061" authorId="0" shapeId="0" xr:uid="{003598F1-E59D-4351-9958-37CD879D47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O1061" authorId="0" shapeId="0" xr:uid="{0982D1E3-1542-466F-97F6-C7013CB3D0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RUFU ANTIPUESTO
LOWER INUMAN, SINDANGAN</t>
        </r>
      </text>
    </comment>
    <comment ref="AA1061" authorId="0" shapeId="0" xr:uid="{AA32947F-0CC5-4C6F-A05E-F1C5174FFA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062" authorId="0" shapeId="0" xr:uid="{05C8922F-DC3C-4D03-AEAC-5BEF8C1FB2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GUMIMAO
TALINGA, SINDANGAN</t>
        </r>
      </text>
    </comment>
    <comment ref="O1063" authorId="0" shapeId="0" xr:uid="{86E5578B-CBC3-4A22-9446-32D83BF840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ELLEN MAMOS
TALINGA, BACUNGAN</t>
        </r>
      </text>
    </comment>
    <comment ref="O1064" authorId="0" shapeId="0" xr:uid="{DBA89DD8-F08B-4573-8108-D25F5B2E5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1065" authorId="0" shapeId="0" xr:uid="{059FA61C-8808-433C-8CE5-A37CDEDC6A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BACUNGAN</t>
        </r>
      </text>
    </comment>
    <comment ref="O1066" authorId="0" shapeId="0" xr:uid="{C64AFFDA-99AA-4F75-BAA4-CA5B5496B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ORTEGA
LOWER INUMAN, SINDANGAN</t>
        </r>
      </text>
    </comment>
    <comment ref="O1067" authorId="0" shapeId="0" xr:uid="{45C33654-F8B2-4A81-BEBC-7B29FE8E2E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1112" authorId="0" shapeId="0" xr:uid="{9548FCBA-BDC6-4631-A1BA-7172E6A5AC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KIN IDIAS
POB, SINDANGAN</t>
        </r>
      </text>
    </comment>
    <comment ref="O1112" authorId="0" shapeId="0" xr:uid="{C2B2470C-7F32-4D7D-925E-40FE5CB831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AVILA
GOLEO, SINDANGAN</t>
        </r>
      </text>
    </comment>
    <comment ref="AA1112" authorId="0" shapeId="0" xr:uid="{653B354F-2B85-4E76-8FCF-C5B5AA343C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113" authorId="0" shapeId="0" xr:uid="{4AB09223-AF13-4DD2-9B43-8E3816A332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1113" authorId="0" shapeId="0" xr:uid="{F32A0678-1341-432D-A082-C0908143E2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RUNIE JAMORA
POB, BACUNGAN</t>
        </r>
      </text>
    </comment>
    <comment ref="AA1113" authorId="0" shapeId="0" xr:uid="{3CA6125B-71EC-48E4-BE64-BAA58DB02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114" authorId="0" shapeId="0" xr:uid="{3CE863AF-D5DC-4305-A4D0-8D7A074D9F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114" authorId="0" shapeId="0" xr:uid="{30F4ED7A-8032-4C40-9D36-3525689AFE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AA1114" authorId="0" shapeId="0" xr:uid="{FAB3F17A-280A-4DFE-8C79-04BD9F3BCF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BENLOT MARK LUOIE
ST. NIÑO, SALUG</t>
        </r>
      </text>
    </comment>
    <comment ref="C1115" authorId="0" shapeId="0" xr:uid="{3678117C-0CEB-4BA7-83FE-B0B26B3B06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1115" authorId="0" shapeId="0" xr:uid="{E2939023-7F03-48A3-A186-9D67739194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1115" authorId="0" shapeId="0" xr:uid="{45FBE152-D8F9-4259-B5D9-3148B10D61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1116" authorId="0" shapeId="0" xr:uid="{06372F96-F4AC-4586-9EFE-239532AC2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LUCKY I STORE
POB, SIAYAN</t>
        </r>
      </text>
    </comment>
    <comment ref="O1116" authorId="0" shapeId="0" xr:uid="{F83D2C7A-04B3-4BAA-8ACB-6E6D7FE893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1116" authorId="0" shapeId="0" xr:uid="{1D9C4EBE-860A-43A1-99EF-D9815486E6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117" authorId="0" shapeId="0" xr:uid="{FD80B610-1A31-42B0-A510-0CA814306E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DENOYAN, SIAYAN</t>
        </r>
      </text>
    </comment>
    <comment ref="AA1117" authorId="0" shapeId="0" xr:uid="{D4C7D6F4-AF28-42C5-BE83-CA27956234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INOCENSIO
POB, SALUG</t>
        </r>
      </text>
    </comment>
    <comment ref="C1118" authorId="0" shapeId="0" xr:uid="{FA5A36F4-2BCF-4DF9-8C6A-F7F630374A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PIALA STORE
PIAO, SINDANGAN</t>
        </r>
      </text>
    </comment>
    <comment ref="AA1118" authorId="0" shapeId="0" xr:uid="{09F2D0DB-7954-4EBF-A123-22939E78A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119" authorId="0" shapeId="0" xr:uid="{7A178919-C37B-4E32-885D-0985267D4D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C1120" authorId="0" shapeId="0" xr:uid="{39BC6288-5E13-4C8A-9104-2F19E19EC3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1121" authorId="0" shapeId="0" xr:uid="{BE44F150-6C89-488E-B73E-C260D0896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C1122" authorId="0" shapeId="0" xr:uid="{DD0D09FD-C6D5-4193-9450-4633C2BECC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</commentList>
</comments>
</file>

<file path=xl/sharedStrings.xml><?xml version="1.0" encoding="utf-8"?>
<sst xmlns="http://schemas.openxmlformats.org/spreadsheetml/2006/main" count="1529" uniqueCount="97">
  <si>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</si>
  <si>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</si>
  <si>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</si>
  <si>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</si>
  <si>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</si>
  <si>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</si>
  <si>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</si>
  <si>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</si>
  <si>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</si>
  <si>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</si>
  <si>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</si>
  <si>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</si>
  <si>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</si>
  <si>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</si>
  <si>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</si>
  <si>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</si>
  <si>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</si>
  <si>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</si>
  <si>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</si>
  <si>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</si>
  <si>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</si>
  <si>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</si>
  <si>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</si>
  <si>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</si>
  <si>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</si>
  <si>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</si>
  <si>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</si>
  <si>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</si>
  <si>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</si>
  <si>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</si>
  <si>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</si>
  <si>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</si>
  <si>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</si>
  <si>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</si>
  <si>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</si>
  <si>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R3A</t>
  </si>
  <si>
    <t>R3B</t>
  </si>
  <si>
    <t>GICA, GRACE B.</t>
  </si>
  <si>
    <t>DECEMBER 2025</t>
  </si>
  <si>
    <t>DECEMBER 01, 2025</t>
  </si>
  <si>
    <t>7528-7543/7595-7604/7350,7451-7459</t>
  </si>
  <si>
    <t>TUESDAY</t>
  </si>
  <si>
    <t>DECEMBER 02, 2025</t>
  </si>
  <si>
    <t>7544-7660/7605-7608/7460-7464</t>
  </si>
  <si>
    <t>WEDNESDAY</t>
  </si>
  <si>
    <t>DECEMBER 03, 2025</t>
  </si>
  <si>
    <t>7661-7676/7609-7616/7465-7469</t>
  </si>
  <si>
    <t>THURSDAY</t>
  </si>
  <si>
    <t>DECEMBER 04, 2025</t>
  </si>
  <si>
    <t>/7617-7624/7470-7472</t>
  </si>
  <si>
    <t>FRIDAY</t>
  </si>
  <si>
    <t>DECEMBER 05, 2025</t>
  </si>
  <si>
    <t>7677-7682/7625-7644/7473-7492</t>
  </si>
  <si>
    <t>SATURDAY</t>
  </si>
  <si>
    <t>DECEMBER 06, 2025</t>
  </si>
  <si>
    <t>7683-7694/7645-7650,7701-7717/7493-7496</t>
  </si>
  <si>
    <t>DECEMBER 08, 2025</t>
  </si>
  <si>
    <t>7695-7700,7801-7811/7718-7733/7497-7498</t>
  </si>
  <si>
    <t>DECEMBER 09, 2025</t>
  </si>
  <si>
    <t>7812-7826/7734-7738/7499-7500,7751-7753</t>
  </si>
  <si>
    <t>DECEMBER 10, 2025</t>
  </si>
  <si>
    <t>/7739-7741/7851-7854</t>
  </si>
  <si>
    <t>DECEMBER 11, 2025</t>
  </si>
  <si>
    <t>7827-7830/7742-7750,7901-7903/7855-7865</t>
  </si>
  <si>
    <t>DECEMBER 12, 2025</t>
  </si>
  <si>
    <t>7831-7833/7904-7921/7756-7761</t>
  </si>
  <si>
    <t>DECEMBER 13, 2025</t>
  </si>
  <si>
    <t>12/13/2025</t>
  </si>
  <si>
    <t>7834-7851/7922-7925/7762-7767</t>
  </si>
  <si>
    <t>DECEMBER 15, 2025</t>
  </si>
  <si>
    <t>12/15/2025</t>
  </si>
  <si>
    <t>7952-7954/7926-7931/7768-7770</t>
  </si>
  <si>
    <t>DECEMBER 16, 2025</t>
  </si>
  <si>
    <t>12/16/2025</t>
  </si>
  <si>
    <t>7955-7971/7932-7940/7771-7773</t>
  </si>
  <si>
    <t>DECEMBER 17, 2025</t>
  </si>
  <si>
    <t>12/17/2025</t>
  </si>
  <si>
    <t>7972-7979/7941-7942/7866-7875</t>
  </si>
  <si>
    <t>DECEMBER 18, 2025</t>
  </si>
  <si>
    <t>12/18/2025</t>
  </si>
  <si>
    <t>7980-7981/7943-7950,8001-8011/7876-7885</t>
  </si>
  <si>
    <t>DECEMBER 19, 2025</t>
  </si>
  <si>
    <t>12/19/2025</t>
  </si>
  <si>
    <t>7982-7988/8012-8031/7886-7890</t>
  </si>
  <si>
    <t>DECEMBER 20, 2025</t>
  </si>
  <si>
    <t>12/20/2025</t>
  </si>
  <si>
    <t>7989-7999/8032-8037/7891-7900</t>
  </si>
  <si>
    <t>DECEMBER 22, 2025</t>
  </si>
  <si>
    <t>12/22/2025</t>
  </si>
  <si>
    <t>8000,8051-8054/8038-8045/7774-7776</t>
  </si>
  <si>
    <t>DECEMBER 23, 2025</t>
  </si>
  <si>
    <t>12/23/2025</t>
  </si>
  <si>
    <t>SUNDAC37:C38Y</t>
  </si>
  <si>
    <t>8055-8059/8046-8050,8101-8106/7777-7781</t>
  </si>
  <si>
    <t>DECEMBER 24, 2025</t>
  </si>
  <si>
    <t>12/24/2025</t>
  </si>
  <si>
    <t>8060-8070/8107-8112/7782-7788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</si>
</sst>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4" zoomScaleNormal="100" workbookViewId="0">
      <selection activeCell="F34" sqref="F3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6" t="s">
        <v>38</v>
      </c>
      <c r="B6" s="116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38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496677.5</v>
      </c>
      <c r="F11" s="14">
        <v>184970</v>
      </c>
      <c r="G11" s="14">
        <v>165168.5</v>
      </c>
      <c r="H11" s="14">
        <v>146539</v>
      </c>
      <c r="I11" s="14"/>
      <c r="J11" s="17">
        <f t="shared" si="1"/>
        <v>496677.5</v>
      </c>
    </row>
    <row r="12" spans="1:10" x14ac:dyDescent="0.25">
      <c r="A12" s="10">
        <f t="shared" ref="A12:A40" si="2">A11+1</f>
        <v>3</v>
      </c>
      <c r="B12" s="56" t="s">
        <v>9</v>
      </c>
      <c r="C12" s="12" t="s">
        <v>46</v>
      </c>
      <c r="D12" s="16">
        <f t="shared" si="0"/>
        <v>752031.5</v>
      </c>
      <c r="F12" s="14">
        <v>106675</v>
      </c>
      <c r="G12" s="14">
        <v>219800.5</v>
      </c>
      <c r="H12" s="14">
        <v>425556</v>
      </c>
      <c r="I12" s="14"/>
      <c r="J12" s="17">
        <f t="shared" si="1"/>
        <v>752031.5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479087.5</v>
      </c>
      <c r="F13" s="14"/>
      <c r="G13" s="14">
        <v>160644.5</v>
      </c>
      <c r="H13" s="14">
        <v>318443</v>
      </c>
      <c r="I13" s="14"/>
      <c r="J13" s="17">
        <f t="shared" si="1"/>
        <v>479087.5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671232.5</v>
      </c>
      <c r="F14" s="14">
        <v>404249</v>
      </c>
      <c r="G14" s="14">
        <v>126319</v>
      </c>
      <c r="H14" s="14">
        <v>140664.5</v>
      </c>
      <c r="I14" s="14"/>
      <c r="J14" s="17">
        <f t="shared" si="1"/>
        <v>671232.5</v>
      </c>
    </row>
    <row r="15" spans="1:10" x14ac:dyDescent="0.25">
      <c r="A15" s="10">
        <f t="shared" si="2"/>
        <v>6</v>
      </c>
      <c r="B15" s="56" t="s">
        <v>5</v>
      </c>
      <c r="C15" s="12" t="s">
        <v>55</v>
      </c>
      <c r="D15" s="16">
        <f t="shared" si="0"/>
        <v>709387</v>
      </c>
      <c r="F15" s="14">
        <v>289815</v>
      </c>
      <c r="G15" s="14">
        <v>157107</v>
      </c>
      <c r="H15" s="14">
        <v>262465</v>
      </c>
      <c r="I15" s="14"/>
      <c r="J15" s="17">
        <f t="shared" si="1"/>
        <v>709387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57</v>
      </c>
      <c r="D17" s="16">
        <f t="shared" si="0"/>
        <v>577659</v>
      </c>
      <c r="F17" s="14">
        <v>109009</v>
      </c>
      <c r="G17" s="14">
        <v>173131</v>
      </c>
      <c r="H17" s="14">
        <v>295519</v>
      </c>
      <c r="I17" s="14"/>
      <c r="J17" s="17">
        <f t="shared" si="1"/>
        <v>577659</v>
      </c>
    </row>
    <row r="18" spans="1:10" x14ac:dyDescent="0.25">
      <c r="A18" s="10">
        <f t="shared" si="2"/>
        <v>9</v>
      </c>
      <c r="B18" s="43" t="s">
        <v>8</v>
      </c>
      <c r="C18" s="12" t="s">
        <v>59</v>
      </c>
      <c r="D18" s="16">
        <f t="shared" si="0"/>
        <v>766289.5</v>
      </c>
      <c r="F18" s="14">
        <v>185221.5</v>
      </c>
      <c r="G18" s="14">
        <v>220000</v>
      </c>
      <c r="H18" s="14">
        <v>361068</v>
      </c>
      <c r="I18" s="14"/>
      <c r="J18" s="17">
        <f t="shared" si="1"/>
        <v>766289.5</v>
      </c>
    </row>
    <row r="19" spans="1:10" x14ac:dyDescent="0.25">
      <c r="A19" s="10">
        <f t="shared" si="2"/>
        <v>10</v>
      </c>
      <c r="B19" s="56" t="s">
        <v>9</v>
      </c>
      <c r="C19" s="12" t="s">
        <v>61</v>
      </c>
      <c r="D19" s="16">
        <f t="shared" si="0"/>
        <v>490739</v>
      </c>
      <c r="F19" s="14"/>
      <c r="G19" s="14">
        <v>339020</v>
      </c>
      <c r="H19" s="14">
        <v>151719</v>
      </c>
      <c r="I19" s="14"/>
      <c r="J19" s="17">
        <f t="shared" si="1"/>
        <v>490739</v>
      </c>
    </row>
    <row r="20" spans="1:10" x14ac:dyDescent="0.25">
      <c r="A20" s="10">
        <f t="shared" si="2"/>
        <v>11</v>
      </c>
      <c r="B20" s="11" t="s">
        <v>30</v>
      </c>
      <c r="C20" s="12" t="s">
        <v>63</v>
      </c>
      <c r="D20" s="16">
        <f t="shared" si="0"/>
        <v>944477.5</v>
      </c>
      <c r="F20" s="14">
        <v>493907</v>
      </c>
      <c r="G20" s="14">
        <v>166582.5</v>
      </c>
      <c r="H20" s="14">
        <v>283988</v>
      </c>
      <c r="I20" s="14"/>
      <c r="J20" s="17">
        <f t="shared" si="1"/>
        <v>944477.5</v>
      </c>
    </row>
    <row r="21" spans="1:10" x14ac:dyDescent="0.25">
      <c r="A21" s="10">
        <f t="shared" si="2"/>
        <v>12</v>
      </c>
      <c r="B21" s="43" t="s">
        <v>4</v>
      </c>
      <c r="C21" s="12" t="s">
        <v>65</v>
      </c>
      <c r="D21" s="16">
        <f t="shared" si="0"/>
        <v>1347622.5</v>
      </c>
      <c r="F21" s="14">
        <v>683726</v>
      </c>
      <c r="G21" s="14">
        <v>160349</v>
      </c>
      <c r="H21" s="14">
        <v>503547.5</v>
      </c>
      <c r="I21" s="14"/>
      <c r="J21" s="17">
        <f t="shared" si="1"/>
        <v>1347622.5</v>
      </c>
    </row>
    <row r="22" spans="1:10" x14ac:dyDescent="0.25">
      <c r="A22" s="10">
        <f t="shared" si="2"/>
        <v>13</v>
      </c>
      <c r="B22" s="56" t="s">
        <v>5</v>
      </c>
      <c r="C22" s="12" t="s">
        <v>68</v>
      </c>
      <c r="D22" s="16">
        <f t="shared" si="0"/>
        <v>1196165.5</v>
      </c>
      <c r="F22" s="14">
        <v>326400.5</v>
      </c>
      <c r="G22" s="14">
        <v>645565</v>
      </c>
      <c r="H22" s="14">
        <v>224200</v>
      </c>
      <c r="I22" s="14"/>
      <c r="J22" s="17">
        <f t="shared" si="1"/>
        <v>1196165.5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 t="s">
        <v>71</v>
      </c>
      <c r="D24" s="16">
        <f t="shared" ref="D24:D28" si="3">J24</f>
        <v>1252109.5</v>
      </c>
      <c r="F24" s="14">
        <v>448967</v>
      </c>
      <c r="G24" s="14">
        <v>449111.5</v>
      </c>
      <c r="H24" s="14">
        <v>354031</v>
      </c>
      <c r="I24" s="14"/>
      <c r="J24" s="17">
        <f t="shared" si="1"/>
        <v>1252109.5</v>
      </c>
    </row>
    <row r="25" spans="1:10" x14ac:dyDescent="0.25">
      <c r="A25" s="10">
        <f t="shared" si="2"/>
        <v>16</v>
      </c>
      <c r="B25" s="43" t="s">
        <v>8</v>
      </c>
      <c r="C25" s="12" t="s">
        <v>74</v>
      </c>
      <c r="D25" s="16">
        <f t="shared" si="3"/>
        <v>958361</v>
      </c>
      <c r="F25" s="14">
        <v>209954.5</v>
      </c>
      <c r="G25" s="14">
        <v>289875.5</v>
      </c>
      <c r="H25" s="14">
        <v>458531</v>
      </c>
      <c r="I25" s="14"/>
      <c r="J25" s="17">
        <f t="shared" si="1"/>
        <v>958361</v>
      </c>
    </row>
    <row r="26" spans="1:10" x14ac:dyDescent="0.25">
      <c r="A26" s="10">
        <f t="shared" si="2"/>
        <v>17</v>
      </c>
      <c r="B26" s="56" t="s">
        <v>9</v>
      </c>
      <c r="C26" s="12" t="s">
        <v>77</v>
      </c>
      <c r="D26" s="16">
        <f t="shared" si="3"/>
        <v>1458706</v>
      </c>
      <c r="F26" s="14">
        <v>157455</v>
      </c>
      <c r="G26" s="14">
        <v>408977</v>
      </c>
      <c r="H26" s="14">
        <v>892274</v>
      </c>
      <c r="I26" s="14"/>
      <c r="J26" s="17">
        <f t="shared" si="1"/>
        <v>1458706</v>
      </c>
    </row>
    <row r="27" spans="1:10" x14ac:dyDescent="0.25">
      <c r="A27" s="10">
        <f t="shared" si="2"/>
        <v>18</v>
      </c>
      <c r="B27" s="11" t="s">
        <v>30</v>
      </c>
      <c r="C27" s="12" t="s">
        <v>80</v>
      </c>
      <c r="D27" s="16">
        <f t="shared" si="3"/>
        <v>948677.5</v>
      </c>
      <c r="F27" s="14">
        <v>407714</v>
      </c>
      <c r="G27" s="14">
        <v>223605.5</v>
      </c>
      <c r="H27" s="14">
        <v>317358</v>
      </c>
      <c r="I27" s="14"/>
      <c r="J27" s="17">
        <f t="shared" si="1"/>
        <v>948677.5</v>
      </c>
    </row>
    <row r="28" spans="1:10" x14ac:dyDescent="0.25">
      <c r="A28" s="10">
        <f t="shared" si="2"/>
        <v>19</v>
      </c>
      <c r="B28" s="43" t="s">
        <v>4</v>
      </c>
      <c r="C28" s="12" t="s">
        <v>83</v>
      </c>
      <c r="D28" s="16">
        <f t="shared" si="3"/>
        <v>1236037.5</v>
      </c>
      <c r="F28" s="14">
        <v>765768</v>
      </c>
      <c r="G28" s="14">
        <v>203572.5</v>
      </c>
      <c r="H28" s="14">
        <v>266697</v>
      </c>
      <c r="I28" s="14"/>
      <c r="J28" s="17">
        <f t="shared" si="1"/>
        <v>1236037.5</v>
      </c>
    </row>
    <row r="29" spans="1:10" x14ac:dyDescent="0.25">
      <c r="A29" s="10">
        <f t="shared" si="2"/>
        <v>20</v>
      </c>
      <c r="B29" s="56" t="s">
        <v>5</v>
      </c>
      <c r="C29" s="12" t="s">
        <v>86</v>
      </c>
      <c r="D29" s="16">
        <f t="shared" ref="D29:D36" si="4">J29</f>
        <v>1221189</v>
      </c>
      <c r="F29" s="14">
        <v>451062.5</v>
      </c>
      <c r="G29" s="14">
        <v>295332.5</v>
      </c>
      <c r="H29" s="14">
        <v>474794</v>
      </c>
      <c r="I29" s="14"/>
      <c r="J29" s="17">
        <f t="shared" si="1"/>
        <v>1221189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 t="s">
        <v>89</v>
      </c>
      <c r="D31" s="16">
        <f t="shared" si="4"/>
        <v>1120444</v>
      </c>
      <c r="E31" s="14"/>
      <c r="F31" s="14">
        <v>565954</v>
      </c>
      <c r="G31" s="14">
        <v>347571</v>
      </c>
      <c r="H31" s="14">
        <v>206919</v>
      </c>
      <c r="I31" s="14"/>
      <c r="J31" s="17">
        <f t="shared" si="1"/>
        <v>1120444</v>
      </c>
    </row>
    <row r="32" spans="1:10" x14ac:dyDescent="0.25">
      <c r="A32" s="10">
        <f t="shared" si="2"/>
        <v>23</v>
      </c>
      <c r="B32" s="43" t="s">
        <v>8</v>
      </c>
      <c r="C32" s="12" t="s">
        <v>93</v>
      </c>
      <c r="D32" s="16">
        <f t="shared" si="4"/>
        <v>2221277.5</v>
      </c>
      <c r="E32" s="15"/>
      <c r="F32" s="15">
        <v>1301751</v>
      </c>
      <c r="G32" s="14">
        <v>371260.5</v>
      </c>
      <c r="H32" s="54">
        <v>548266</v>
      </c>
      <c r="I32" s="54"/>
      <c r="J32" s="17">
        <f t="shared" si="1"/>
        <v>2221277.5</v>
      </c>
    </row>
    <row r="33" spans="1:10" x14ac:dyDescent="0.25">
      <c r="A33" s="10">
        <f t="shared" si="2"/>
        <v>24</v>
      </c>
      <c r="B33" s="56" t="s">
        <v>9</v>
      </c>
      <c r="C33" s="12" t="s">
        <v>96</v>
      </c>
      <c r="D33" s="16">
        <f t="shared" si="4"/>
        <v>1441872.5</v>
      </c>
      <c r="E33" s="15"/>
      <c r="F33" s="15">
        <v>335604</v>
      </c>
      <c r="G33" s="14">
        <v>597858.5</v>
      </c>
      <c r="H33" s="14">
        <v>508410</v>
      </c>
      <c r="I33" s="14"/>
      <c r="J33" s="17">
        <f t="shared" si="1"/>
        <v>1441872.5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92</v>
      </c>
      <c r="D37" s="55" t="s">
        <v>29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7</v>
      </c>
      <c r="C38" s="12"/>
      <c r="D38" s="16">
        <f t="shared" ref="D38:D40" si="5">J38</f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5"/>
        <v>0</v>
      </c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7" t="s">
        <v>10</v>
      </c>
      <c r="B42" s="118"/>
      <c r="C42" s="119"/>
      <c r="D42" s="48">
        <f>SUM(D2:D41)</f>
        <v>20793622</v>
      </c>
      <c r="J42" s="49">
        <f>SUM(J10:J41)</f>
        <v>20793622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1132" zoomScale="115" zoomScaleNormal="115" workbookViewId="0">
      <selection activeCell="AE1155" sqref="AE115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37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6" t="s">
        <v>17</v>
      </c>
      <c r="E10" s="126"/>
      <c r="F10" s="77"/>
      <c r="G10" s="27"/>
      <c r="I10" s="124" t="s">
        <v>18</v>
      </c>
      <c r="J10" s="125"/>
      <c r="K10" s="122" t="s">
        <v>19</v>
      </c>
      <c r="N10" s="25"/>
      <c r="O10" s="26"/>
      <c r="P10" s="126" t="s">
        <v>17</v>
      </c>
      <c r="Q10" s="126"/>
      <c r="R10" s="77"/>
      <c r="S10" s="27"/>
      <c r="U10" s="124" t="s">
        <v>18</v>
      </c>
      <c r="V10" s="125"/>
      <c r="W10" s="122" t="s">
        <v>19</v>
      </c>
      <c r="Z10" s="25"/>
      <c r="AA10" s="26"/>
      <c r="AB10" s="126" t="s">
        <v>17</v>
      </c>
      <c r="AC10" s="126"/>
      <c r="AD10" s="77"/>
      <c r="AE10" s="27"/>
      <c r="AG10" s="124" t="s">
        <v>18</v>
      </c>
      <c r="AH10" s="125"/>
      <c r="AI10" s="122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23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23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23"/>
    </row>
    <row r="12" spans="1:35" x14ac:dyDescent="0.25">
      <c r="A12" s="10">
        <v>1</v>
      </c>
      <c r="B12" s="30">
        <v>45669</v>
      </c>
      <c r="C12" s="91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91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91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91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91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91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91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91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91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91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91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91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91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91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91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91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37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26" t="s">
        <v>17</v>
      </c>
      <c r="E65" s="126"/>
      <c r="F65" s="95"/>
      <c r="G65" s="27"/>
      <c r="I65" s="124" t="s">
        <v>18</v>
      </c>
      <c r="J65" s="125"/>
      <c r="K65" s="122" t="s">
        <v>19</v>
      </c>
      <c r="N65" s="25"/>
      <c r="O65" s="26"/>
      <c r="P65" s="126" t="s">
        <v>17</v>
      </c>
      <c r="Q65" s="126"/>
      <c r="R65" s="95"/>
      <c r="S65" s="27"/>
      <c r="U65" s="124" t="s">
        <v>18</v>
      </c>
      <c r="V65" s="125"/>
      <c r="W65" s="122" t="s">
        <v>19</v>
      </c>
      <c r="Z65" s="25"/>
      <c r="AA65" s="26"/>
      <c r="AB65" s="126" t="s">
        <v>17</v>
      </c>
      <c r="AC65" s="126"/>
      <c r="AD65" s="95"/>
      <c r="AE65" s="27"/>
      <c r="AG65" s="124" t="s">
        <v>18</v>
      </c>
      <c r="AH65" s="125"/>
      <c r="AI65" s="122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23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23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23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45700</v>
      </c>
      <c r="C67" s="91">
        <v>7544</v>
      </c>
      <c r="D67" s="32">
        <f>5634+614+1192+852</f>
        <v>8292</v>
      </c>
      <c r="E67" s="32"/>
      <c r="F67" s="32"/>
      <c r="G67" s="32">
        <f t="shared" ref="G67:G100" si="19">SUM(D67:E67)</f>
        <v>8292</v>
      </c>
      <c r="H67" s="12"/>
      <c r="I67" s="12"/>
      <c r="J67" s="12"/>
      <c r="K67" s="12">
        <f t="shared" ref="K67:K100" si="20">SUM(G67:J67)</f>
        <v>8292</v>
      </c>
      <c r="M67" s="10">
        <v>1</v>
      </c>
      <c r="N67" s="30">
        <v>45700</v>
      </c>
      <c r="O67" s="31">
        <v>7605</v>
      </c>
      <c r="P67" s="32">
        <f>11268+832+1300</f>
        <v>13400</v>
      </c>
      <c r="Q67" s="32"/>
      <c r="R67" s="32"/>
      <c r="S67" s="32">
        <f>SUM(P67:Q67)</f>
        <v>13400</v>
      </c>
      <c r="T67" s="12"/>
      <c r="U67" s="12">
        <f>222+10.5</f>
        <v>232.5</v>
      </c>
      <c r="V67" s="12"/>
      <c r="W67" s="12">
        <f>SUM(S67:V67)</f>
        <v>13632.5</v>
      </c>
      <c r="Y67" s="10">
        <v>1</v>
      </c>
      <c r="Z67" s="30">
        <v>45700</v>
      </c>
      <c r="AA67" s="31">
        <v>7460</v>
      </c>
      <c r="AB67" s="32">
        <f>626*22+1842+229</f>
        <v>15843</v>
      </c>
      <c r="AC67" s="32"/>
      <c r="AD67" s="32"/>
      <c r="AE67" s="32">
        <f>SUM(AB67:AC67)</f>
        <v>15843</v>
      </c>
      <c r="AF67" s="12"/>
      <c r="AG67" s="12">
        <v>777</v>
      </c>
      <c r="AH67" s="12"/>
      <c r="AI67" s="12">
        <f>SUM(AE67:AH67)</f>
        <v>16620</v>
      </c>
      <c r="AK67" s="62"/>
      <c r="AL67" s="65"/>
      <c r="AM67" s="87"/>
      <c r="AN67" s="121"/>
      <c r="AO67" s="121"/>
      <c r="AP67" s="87"/>
      <c r="AQ67" s="62"/>
      <c r="AR67" s="121"/>
      <c r="AS67" s="121"/>
      <c r="AT67" s="120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45700</v>
      </c>
      <c r="C68" s="91">
        <f>C67+1</f>
        <v>7545</v>
      </c>
      <c r="D68" s="32">
        <f>37560+229</f>
        <v>37789</v>
      </c>
      <c r="E68" s="32"/>
      <c r="F68" s="32"/>
      <c r="G68" s="32">
        <f t="shared" si="19"/>
        <v>37789</v>
      </c>
      <c r="H68" s="12"/>
      <c r="I68" s="12"/>
      <c r="J68" s="12"/>
      <c r="K68" s="12">
        <f t="shared" si="20"/>
        <v>37789</v>
      </c>
      <c r="M68" s="10">
        <v>2</v>
      </c>
      <c r="N68" s="30">
        <v>45700</v>
      </c>
      <c r="O68" s="31">
        <f>O67+1</f>
        <v>7606</v>
      </c>
      <c r="P68" s="32">
        <f>19406+614+832+95+650</f>
        <v>21597</v>
      </c>
      <c r="Q68" s="32"/>
      <c r="R68" s="32"/>
      <c r="S68" s="32">
        <f t="shared" ref="S68:S99" si="21">SUM(P68:Q68)</f>
        <v>21597</v>
      </c>
      <c r="T68" s="12"/>
      <c r="U68" s="12">
        <v>18</v>
      </c>
      <c r="V68" s="12"/>
      <c r="W68" s="12">
        <f t="shared" ref="W68:W99" si="22">SUM(S68:V68)</f>
        <v>21615</v>
      </c>
      <c r="Y68" s="10">
        <v>2</v>
      </c>
      <c r="Z68" s="30">
        <v>45700</v>
      </c>
      <c r="AA68" s="31">
        <f>AA67+1</f>
        <v>7461</v>
      </c>
      <c r="AB68" s="32">
        <f>626*93+614*9+674*2</f>
        <v>65092</v>
      </c>
      <c r="AC68" s="32"/>
      <c r="AD68" s="32"/>
      <c r="AE68" s="32">
        <f t="shared" ref="AE68:AE70" si="23">SUM(AB68:AC68)</f>
        <v>65092</v>
      </c>
      <c r="AF68" s="12"/>
      <c r="AG68" s="12"/>
      <c r="AH68" s="12"/>
      <c r="AI68" s="12">
        <f t="shared" ref="AI68:AI99" si="24">SUM(AE68:AH68)</f>
        <v>65092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20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45700</v>
      </c>
      <c r="C69" s="91">
        <f t="shared" ref="C69:C83" si="25">C68+1</f>
        <v>7546</v>
      </c>
      <c r="D69" s="33">
        <f>1878+596+38</f>
        <v>2512</v>
      </c>
      <c r="E69" s="33"/>
      <c r="F69" s="33"/>
      <c r="G69" s="33">
        <f t="shared" si="19"/>
        <v>2512</v>
      </c>
      <c r="H69" s="34"/>
      <c r="I69" s="34"/>
      <c r="J69" s="34"/>
      <c r="K69" s="34">
        <f t="shared" si="20"/>
        <v>2512</v>
      </c>
      <c r="M69" s="10">
        <v>3</v>
      </c>
      <c r="N69" s="30">
        <v>45700</v>
      </c>
      <c r="O69" s="31">
        <f t="shared" ref="O69:O70" si="26">O68+1</f>
        <v>7607</v>
      </c>
      <c r="P69" s="32">
        <f>1878+614+9.5*3</f>
        <v>2520.5</v>
      </c>
      <c r="Q69" s="32"/>
      <c r="R69" s="32"/>
      <c r="S69" s="32">
        <f t="shared" si="21"/>
        <v>2520.5</v>
      </c>
      <c r="T69" s="12"/>
      <c r="U69" s="12">
        <v>4.5</v>
      </c>
      <c r="V69" s="12"/>
      <c r="W69" s="12">
        <f t="shared" si="22"/>
        <v>2525</v>
      </c>
      <c r="Y69" s="10">
        <v>3</v>
      </c>
      <c r="Z69" s="30">
        <v>45700</v>
      </c>
      <c r="AA69" s="31">
        <f t="shared" ref="AA69:AA71" si="27">AA68+1</f>
        <v>7462</v>
      </c>
      <c r="AB69" s="33">
        <f>28170+3070+3576+458</f>
        <v>35274</v>
      </c>
      <c r="AC69" s="33">
        <v>-336</v>
      </c>
      <c r="AD69" s="32"/>
      <c r="AE69" s="32">
        <f t="shared" si="23"/>
        <v>34938</v>
      </c>
      <c r="AF69" s="12"/>
      <c r="AG69" s="12"/>
      <c r="AH69" s="12"/>
      <c r="AI69" s="12">
        <f t="shared" si="24"/>
        <v>34938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45700</v>
      </c>
      <c r="C70" s="91">
        <f t="shared" si="25"/>
        <v>7547</v>
      </c>
      <c r="D70" s="32">
        <f>2504+38</f>
        <v>2542</v>
      </c>
      <c r="E70" s="32"/>
      <c r="F70" s="32"/>
      <c r="G70" s="32">
        <f t="shared" si="19"/>
        <v>2542</v>
      </c>
      <c r="H70" s="12"/>
      <c r="I70" s="12"/>
      <c r="J70" s="12"/>
      <c r="K70" s="12">
        <f t="shared" si="20"/>
        <v>2542</v>
      </c>
      <c r="M70" s="10">
        <v>4</v>
      </c>
      <c r="N70" s="30">
        <v>45700</v>
      </c>
      <c r="O70" s="31">
        <f t="shared" si="26"/>
        <v>7608</v>
      </c>
      <c r="P70" s="32">
        <f>111428+3070+11920+1832+1300</f>
        <v>129550</v>
      </c>
      <c r="Q70" s="32">
        <v>-1899</v>
      </c>
      <c r="R70" s="32"/>
      <c r="S70" s="32">
        <f t="shared" si="21"/>
        <v>127651</v>
      </c>
      <c r="T70" s="12"/>
      <c r="U70" s="12">
        <f>468</f>
        <v>468</v>
      </c>
      <c r="V70" s="12">
        <f>-111*72+-84*3</f>
        <v>-8244</v>
      </c>
      <c r="W70" s="12">
        <f t="shared" si="22"/>
        <v>119875</v>
      </c>
      <c r="Y70" s="10">
        <v>4</v>
      </c>
      <c r="Z70" s="30">
        <v>45700</v>
      </c>
      <c r="AA70" s="31">
        <f t="shared" si="27"/>
        <v>7463</v>
      </c>
      <c r="AB70" s="32">
        <f>626*30+596*3+852*2+1005*2+832*2+229*2</f>
        <v>26404</v>
      </c>
      <c r="AC70" s="32"/>
      <c r="AD70" s="32"/>
      <c r="AE70" s="32">
        <f t="shared" si="23"/>
        <v>26404</v>
      </c>
      <c r="AF70" s="12"/>
      <c r="AH70" s="12"/>
      <c r="AI70" s="12">
        <f t="shared" si="24"/>
        <v>26404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45700</v>
      </c>
      <c r="C71" s="91">
        <f t="shared" si="25"/>
        <v>7548</v>
      </c>
      <c r="D71" s="32">
        <f>18780+2022</f>
        <v>20802</v>
      </c>
      <c r="E71" s="32"/>
      <c r="F71" s="32"/>
      <c r="G71" s="32">
        <f t="shared" si="19"/>
        <v>20802</v>
      </c>
      <c r="H71" s="12"/>
      <c r="I71" s="12"/>
      <c r="J71" s="12"/>
      <c r="K71" s="12">
        <f t="shared" si="20"/>
        <v>20802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45700</v>
      </c>
      <c r="AA71" s="31">
        <f t="shared" si="27"/>
        <v>7464</v>
      </c>
      <c r="AB71" s="32">
        <f>1878+2384</f>
        <v>4262</v>
      </c>
      <c r="AC71" s="32"/>
      <c r="AD71" s="32"/>
      <c r="AE71" s="32">
        <f t="shared" ref="AE71:AE76" si="28">SUM(AB71:AC71)</f>
        <v>4262</v>
      </c>
      <c r="AF71" s="12"/>
      <c r="AG71" s="12"/>
      <c r="AH71" s="12">
        <f>-111*13</f>
        <v>-1443</v>
      </c>
      <c r="AI71" s="12">
        <f t="shared" si="24"/>
        <v>2819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45700</v>
      </c>
      <c r="C72" s="91">
        <f t="shared" si="25"/>
        <v>7549</v>
      </c>
      <c r="D72" s="32">
        <f>4382+2384+104.5</f>
        <v>6870.5</v>
      </c>
      <c r="E72" s="32"/>
      <c r="F72" s="32"/>
      <c r="G72" s="32">
        <f t="shared" si="19"/>
        <v>6870.5</v>
      </c>
      <c r="H72" s="12"/>
      <c r="I72" s="12">
        <v>108</v>
      </c>
      <c r="J72" s="12"/>
      <c r="K72" s="12">
        <f t="shared" si="20"/>
        <v>6978.5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45700</v>
      </c>
      <c r="C73" s="91">
        <f t="shared" si="25"/>
        <v>7550</v>
      </c>
      <c r="D73" s="32">
        <f>3130+47.5</f>
        <v>3177.5</v>
      </c>
      <c r="E73" s="32"/>
      <c r="F73" s="32"/>
      <c r="G73" s="32">
        <f t="shared" si="19"/>
        <v>3177.5</v>
      </c>
      <c r="H73" s="12"/>
      <c r="I73" s="12"/>
      <c r="J73" s="12"/>
      <c r="K73" s="12">
        <f t="shared" si="20"/>
        <v>3177.5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45700</v>
      </c>
      <c r="C74" s="91">
        <v>7651</v>
      </c>
      <c r="D74" s="32">
        <f>8138+674+1102+650</f>
        <v>10564</v>
      </c>
      <c r="E74" s="32"/>
      <c r="F74" s="32"/>
      <c r="G74" s="32">
        <f t="shared" si="19"/>
        <v>10564</v>
      </c>
      <c r="H74" s="12"/>
      <c r="I74" s="12">
        <v>27</v>
      </c>
      <c r="J74" s="12"/>
      <c r="K74" s="12">
        <f t="shared" si="20"/>
        <v>10591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45700</v>
      </c>
      <c r="C75" s="91">
        <f t="shared" si="25"/>
        <v>7652</v>
      </c>
      <c r="D75" s="32">
        <f>1252+19</f>
        <v>1271</v>
      </c>
      <c r="E75" s="32"/>
      <c r="F75" s="32"/>
      <c r="G75" s="32">
        <f t="shared" si="19"/>
        <v>1271</v>
      </c>
      <c r="H75" s="12"/>
      <c r="I75" s="12"/>
      <c r="J75" s="12"/>
      <c r="K75" s="12">
        <f t="shared" si="20"/>
        <v>1271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45700</v>
      </c>
      <c r="C76" s="91">
        <f t="shared" si="25"/>
        <v>7653</v>
      </c>
      <c r="D76" s="32">
        <f>28796+7152+832+500</f>
        <v>37280</v>
      </c>
      <c r="E76" s="32"/>
      <c r="F76" s="32"/>
      <c r="G76" s="32">
        <f t="shared" si="19"/>
        <v>37280</v>
      </c>
      <c r="H76" s="12"/>
      <c r="I76" s="12">
        <v>27</v>
      </c>
      <c r="J76" s="12"/>
      <c r="K76" s="12">
        <f t="shared" si="20"/>
        <v>37307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45700</v>
      </c>
      <c r="C77" s="91">
        <f t="shared" si="25"/>
        <v>7654</v>
      </c>
      <c r="D77" s="32">
        <f>6260+95</f>
        <v>6355</v>
      </c>
      <c r="E77" s="32"/>
      <c r="F77" s="32"/>
      <c r="G77" s="32">
        <f t="shared" si="19"/>
        <v>6355</v>
      </c>
      <c r="H77" s="12"/>
      <c r="I77" s="12"/>
      <c r="J77" s="12"/>
      <c r="K77" s="12">
        <f t="shared" si="20"/>
        <v>6355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45700</v>
      </c>
      <c r="C78" s="91">
        <f t="shared" si="25"/>
        <v>7655</v>
      </c>
      <c r="D78" s="32">
        <f>4382+596+76</f>
        <v>5054</v>
      </c>
      <c r="E78" s="32"/>
      <c r="F78" s="32"/>
      <c r="G78" s="32">
        <f t="shared" si="19"/>
        <v>5054</v>
      </c>
      <c r="H78" s="12"/>
      <c r="I78" s="12"/>
      <c r="J78" s="10"/>
      <c r="K78" s="12">
        <f t="shared" si="20"/>
        <v>5054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45700</v>
      </c>
      <c r="C79" s="91">
        <f t="shared" si="25"/>
        <v>7656</v>
      </c>
      <c r="D79" s="32">
        <f>9390+1348</f>
        <v>10738</v>
      </c>
      <c r="E79" s="32"/>
      <c r="F79" s="32"/>
      <c r="G79" s="32">
        <f t="shared" si="19"/>
        <v>10738</v>
      </c>
      <c r="H79" s="12"/>
      <c r="I79" s="12"/>
      <c r="J79" s="12"/>
      <c r="K79" s="12">
        <f t="shared" si="20"/>
        <v>10738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45700</v>
      </c>
      <c r="C80" s="91">
        <f t="shared" si="25"/>
        <v>7657</v>
      </c>
      <c r="D80" s="32">
        <f>12520+190</f>
        <v>12710</v>
      </c>
      <c r="E80" s="32"/>
      <c r="F80" s="32"/>
      <c r="G80" s="32">
        <f t="shared" si="19"/>
        <v>12710</v>
      </c>
      <c r="H80" s="12"/>
      <c r="I80" s="12"/>
      <c r="J80" s="12"/>
      <c r="K80" s="12">
        <f t="shared" si="20"/>
        <v>12710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45700</v>
      </c>
      <c r="C81" s="91">
        <f t="shared" si="25"/>
        <v>7658</v>
      </c>
      <c r="D81" s="32">
        <f>10016+152+650</f>
        <v>10818</v>
      </c>
      <c r="E81" s="32"/>
      <c r="F81" s="32"/>
      <c r="G81" s="32">
        <f t="shared" si="19"/>
        <v>10818</v>
      </c>
      <c r="H81" s="12"/>
      <c r="I81" s="12"/>
      <c r="J81" s="12"/>
      <c r="K81" s="12">
        <f t="shared" si="20"/>
        <v>10818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>
        <v>45700</v>
      </c>
      <c r="C82" s="91">
        <f t="shared" si="25"/>
        <v>7659</v>
      </c>
      <c r="D82" s="32">
        <f>2504+650</f>
        <v>3154</v>
      </c>
      <c r="E82" s="32"/>
      <c r="F82" s="32"/>
      <c r="G82" s="32">
        <f t="shared" si="19"/>
        <v>3154</v>
      </c>
      <c r="H82" s="12"/>
      <c r="I82" s="12"/>
      <c r="J82" s="12"/>
      <c r="K82" s="12">
        <f t="shared" si="20"/>
        <v>3154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>
        <v>45700</v>
      </c>
      <c r="C83" s="91">
        <f t="shared" si="25"/>
        <v>7660</v>
      </c>
      <c r="D83" s="32">
        <f>3756+1228+57</f>
        <v>5041</v>
      </c>
      <c r="E83" s="32"/>
      <c r="F83" s="32"/>
      <c r="G83" s="32">
        <f t="shared" si="19"/>
        <v>5041</v>
      </c>
      <c r="H83" s="12"/>
      <c r="I83" s="12"/>
      <c r="J83" s="12"/>
      <c r="K83" s="12">
        <f t="shared" si="20"/>
        <v>5041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11" t="s">
        <v>27</v>
      </c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91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184970</v>
      </c>
      <c r="E110" s="38">
        <f t="shared" ref="E110:F110" si="38">SUM(E67:E107)</f>
        <v>0</v>
      </c>
      <c r="F110" s="38">
        <f t="shared" si="38"/>
        <v>0</v>
      </c>
      <c r="G110" s="38">
        <f>SUM(G67:G109)</f>
        <v>184970</v>
      </c>
      <c r="H110" s="4"/>
      <c r="I110" s="39">
        <f>SUM(I67:I109)</f>
        <v>162</v>
      </c>
      <c r="J110" s="39">
        <f>SUM(J67:J109)</f>
        <v>0</v>
      </c>
      <c r="K110" s="40">
        <f>SUM(K67:K109)</f>
        <v>185132</v>
      </c>
      <c r="N110" s="57"/>
      <c r="O110" s="57"/>
      <c r="P110" s="38">
        <f>SUM(P67:P109)</f>
        <v>167067.5</v>
      </c>
      <c r="Q110" s="38">
        <f>SUM(Q67:Q91)</f>
        <v>-1899</v>
      </c>
      <c r="R110" s="38">
        <f>SUM(R67:R91)</f>
        <v>0</v>
      </c>
      <c r="S110" s="38">
        <f>SUM(S67:S109)</f>
        <v>165168.5</v>
      </c>
      <c r="T110" s="4"/>
      <c r="U110" s="41">
        <f>SUM(U67:U109)</f>
        <v>723</v>
      </c>
      <c r="V110" s="41">
        <f>SUM(V67:V91)</f>
        <v>-8244</v>
      </c>
      <c r="W110" s="42">
        <f>SUM(W67:W109)</f>
        <v>157647.5</v>
      </c>
      <c r="Z110" s="57"/>
      <c r="AA110" s="57"/>
      <c r="AB110" s="38">
        <f>SUM(AB67:AB109)</f>
        <v>146875</v>
      </c>
      <c r="AC110" s="38">
        <f>SUM(AC67:AC91)</f>
        <v>-336</v>
      </c>
      <c r="AD110" s="38">
        <f>SUM(AD67:AD91)</f>
        <v>0</v>
      </c>
      <c r="AE110" s="38">
        <f>SUM(AE67:AE109)</f>
        <v>146539</v>
      </c>
      <c r="AF110" s="4"/>
      <c r="AG110" s="41">
        <f>SUM(AG67:AG109)</f>
        <v>777</v>
      </c>
      <c r="AH110" s="41">
        <f>SUM(AH67:AH91)</f>
        <v>-1443</v>
      </c>
      <c r="AI110" s="42">
        <f>SUM(AI67:AI109)</f>
        <v>145873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37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6" t="s">
        <v>17</v>
      </c>
      <c r="E120" s="126"/>
      <c r="F120" s="96"/>
      <c r="G120" s="27"/>
      <c r="I120" s="124" t="s">
        <v>18</v>
      </c>
      <c r="J120" s="125"/>
      <c r="K120" s="122" t="s">
        <v>19</v>
      </c>
      <c r="N120" s="25"/>
      <c r="O120" s="26"/>
      <c r="P120" s="126" t="s">
        <v>17</v>
      </c>
      <c r="Q120" s="126"/>
      <c r="R120" s="96"/>
      <c r="S120" s="27"/>
      <c r="U120" s="124" t="s">
        <v>18</v>
      </c>
      <c r="V120" s="125"/>
      <c r="W120" s="122" t="s">
        <v>19</v>
      </c>
      <c r="Z120" s="25"/>
      <c r="AA120" s="26"/>
      <c r="AB120" s="126" t="s">
        <v>17</v>
      </c>
      <c r="AC120" s="126"/>
      <c r="AD120" s="96"/>
      <c r="AE120" s="27"/>
      <c r="AG120" s="124" t="s">
        <v>18</v>
      </c>
      <c r="AH120" s="125"/>
      <c r="AI120" s="12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23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23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2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45728</v>
      </c>
      <c r="C122" s="91">
        <v>7661</v>
      </c>
      <c r="D122" s="32">
        <f>6260+95</f>
        <v>6355</v>
      </c>
      <c r="E122" s="32"/>
      <c r="F122" s="32"/>
      <c r="G122" s="32">
        <f t="shared" ref="G122:G155" si="39">SUM(D122:E122)</f>
        <v>6355</v>
      </c>
      <c r="H122" s="12"/>
      <c r="I122" s="12"/>
      <c r="J122" s="12"/>
      <c r="K122" s="12">
        <f t="shared" ref="K122:K155" si="40">SUM(G122:J122)</f>
        <v>6355</v>
      </c>
      <c r="M122" s="10">
        <v>1</v>
      </c>
      <c r="N122" s="30">
        <v>45728</v>
      </c>
      <c r="O122" s="31">
        <v>7609</v>
      </c>
      <c r="P122" s="32">
        <f>626*3+596+66.5</f>
        <v>2540.5</v>
      </c>
      <c r="Q122" s="32"/>
      <c r="R122" s="32"/>
      <c r="S122" s="32">
        <f>SUM(P122:Q122)</f>
        <v>2540.5</v>
      </c>
      <c r="T122" s="12"/>
      <c r="U122" s="12"/>
      <c r="V122" s="12">
        <v>-555</v>
      </c>
      <c r="W122" s="12">
        <f>SUM(S122:V122)</f>
        <v>1985.5</v>
      </c>
      <c r="Y122" s="10">
        <v>1</v>
      </c>
      <c r="Z122" s="30">
        <v>45728</v>
      </c>
      <c r="AA122" s="31">
        <v>7465</v>
      </c>
      <c r="AB122" s="32">
        <f>202824+6140+59004+1664</f>
        <v>269632</v>
      </c>
      <c r="AC122" s="32">
        <v>-2610</v>
      </c>
      <c r="AD122" s="32"/>
      <c r="AE122" s="32">
        <f>SUM(AB122:AC122)</f>
        <v>267022</v>
      </c>
      <c r="AF122" s="12"/>
      <c r="AG122" s="12">
        <v>16872</v>
      </c>
      <c r="AH122" s="12"/>
      <c r="AI122" s="12">
        <f>SUM(AE122:AH122)</f>
        <v>283894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45728</v>
      </c>
      <c r="C123" s="91">
        <f>C122+1</f>
        <v>7662</v>
      </c>
      <c r="D123" s="32">
        <f>18780+614</f>
        <v>19394</v>
      </c>
      <c r="E123" s="32"/>
      <c r="F123" s="32"/>
      <c r="G123" s="32">
        <f t="shared" si="39"/>
        <v>19394</v>
      </c>
      <c r="H123" s="12"/>
      <c r="I123" s="12"/>
      <c r="J123" s="12"/>
      <c r="K123" s="12">
        <f t="shared" si="40"/>
        <v>19394</v>
      </c>
      <c r="M123" s="10">
        <v>2</v>
      </c>
      <c r="N123" s="30">
        <v>45728</v>
      </c>
      <c r="O123" s="31">
        <f>O122+1</f>
        <v>7610</v>
      </c>
      <c r="P123" s="32">
        <f>202824+2977</f>
        <v>205801</v>
      </c>
      <c r="Q123" s="32">
        <v>-3033</v>
      </c>
      <c r="R123" s="32"/>
      <c r="S123" s="32">
        <f t="shared" ref="S123:S154" si="41">SUM(P123:Q123)</f>
        <v>202768</v>
      </c>
      <c r="T123" s="12"/>
      <c r="U123" s="12">
        <v>546</v>
      </c>
      <c r="V123" s="12">
        <f>-588</f>
        <v>-588</v>
      </c>
      <c r="W123" s="12">
        <f t="shared" ref="W123:W154" si="42">SUM(S123:V123)</f>
        <v>202726</v>
      </c>
      <c r="Y123" s="10">
        <v>2</v>
      </c>
      <c r="Z123" s="30">
        <v>45728</v>
      </c>
      <c r="AA123" s="31">
        <f>AA122+1</f>
        <v>7466</v>
      </c>
      <c r="AB123" s="32">
        <f>31300+3070+458</f>
        <v>34828</v>
      </c>
      <c r="AC123" s="32">
        <v>-330</v>
      </c>
      <c r="AD123" s="32"/>
      <c r="AE123" s="32">
        <f t="shared" ref="AE123:AE125" si="43">SUM(AB123:AC123)</f>
        <v>34498</v>
      </c>
      <c r="AF123" s="12"/>
      <c r="AG123" s="12"/>
      <c r="AH123" s="12"/>
      <c r="AI123" s="12">
        <f t="shared" ref="AI123:AI154" si="44">SUM(AE123:AH123)</f>
        <v>34498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45728</v>
      </c>
      <c r="C124" s="91">
        <f t="shared" ref="C124:C137" si="45">C123+1</f>
        <v>7663</v>
      </c>
      <c r="D124" s="33">
        <f>8138+123.5+1950</f>
        <v>10211.5</v>
      </c>
      <c r="E124" s="33"/>
      <c r="F124" s="33"/>
      <c r="G124" s="33">
        <f t="shared" si="39"/>
        <v>10211.5</v>
      </c>
      <c r="H124" s="34"/>
      <c r="I124" s="34">
        <f>27+10.5</f>
        <v>37.5</v>
      </c>
      <c r="J124" s="34"/>
      <c r="K124" s="34">
        <f t="shared" si="40"/>
        <v>10249</v>
      </c>
      <c r="M124" s="10">
        <v>3</v>
      </c>
      <c r="N124" s="30">
        <v>45728</v>
      </c>
      <c r="O124" s="31">
        <f t="shared" ref="O124:O129" si="46">O123+1</f>
        <v>7611</v>
      </c>
      <c r="P124" s="32">
        <f>1252+614+19</f>
        <v>1885</v>
      </c>
      <c r="Q124" s="32"/>
      <c r="R124" s="32"/>
      <c r="S124" s="32">
        <f t="shared" si="41"/>
        <v>1885</v>
      </c>
      <c r="T124" s="12"/>
      <c r="U124" s="12"/>
      <c r="V124" s="12"/>
      <c r="W124" s="12">
        <f t="shared" si="42"/>
        <v>1885</v>
      </c>
      <c r="Y124" s="10">
        <v>3</v>
      </c>
      <c r="Z124" s="30">
        <v>45728</v>
      </c>
      <c r="AA124" s="31">
        <f t="shared" ref="AA124:AA126" si="47">AA123+1</f>
        <v>7467</v>
      </c>
      <c r="AB124" s="33">
        <f>18780+229</f>
        <v>19009</v>
      </c>
      <c r="AC124" s="33"/>
      <c r="AD124" s="32"/>
      <c r="AE124" s="32">
        <f t="shared" si="43"/>
        <v>19009</v>
      </c>
      <c r="AF124" s="12"/>
      <c r="AG124" s="12"/>
      <c r="AH124" s="12"/>
      <c r="AI124" s="12">
        <f t="shared" si="44"/>
        <v>19009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45728</v>
      </c>
      <c r="C125" s="91">
        <f t="shared" si="45"/>
        <v>7664</v>
      </c>
      <c r="D125" s="32">
        <f>626+9.5</f>
        <v>635.5</v>
      </c>
      <c r="E125" s="32"/>
      <c r="F125" s="32"/>
      <c r="G125" s="32">
        <f t="shared" si="39"/>
        <v>635.5</v>
      </c>
      <c r="H125" s="12"/>
      <c r="I125" s="12"/>
      <c r="J125" s="12"/>
      <c r="K125" s="12">
        <f t="shared" si="40"/>
        <v>635.5</v>
      </c>
      <c r="M125" s="10">
        <v>4</v>
      </c>
      <c r="N125" s="30">
        <v>45728</v>
      </c>
      <c r="O125" s="31">
        <f t="shared" si="46"/>
        <v>7612</v>
      </c>
      <c r="P125" s="32">
        <f>1252+614+19</f>
        <v>1885</v>
      </c>
      <c r="Q125" s="32"/>
      <c r="R125" s="32"/>
      <c r="S125" s="32">
        <f t="shared" si="41"/>
        <v>1885</v>
      </c>
      <c r="T125" s="12"/>
      <c r="U125" s="12"/>
      <c r="V125" s="12"/>
      <c r="W125" s="12">
        <f t="shared" si="42"/>
        <v>1885</v>
      </c>
      <c r="Y125" s="10">
        <v>4</v>
      </c>
      <c r="Z125" s="30">
        <v>45728</v>
      </c>
      <c r="AA125" s="31">
        <f t="shared" si="47"/>
        <v>7468</v>
      </c>
      <c r="AB125" s="32">
        <f>626*108+596*30+1145</f>
        <v>86633</v>
      </c>
      <c r="AC125" s="32"/>
      <c r="AD125" s="32"/>
      <c r="AE125" s="32">
        <f t="shared" si="43"/>
        <v>86633</v>
      </c>
      <c r="AF125" s="12"/>
      <c r="AG125">
        <f>15318+390</f>
        <v>15708</v>
      </c>
      <c r="AH125" s="12"/>
      <c r="AI125" s="12">
        <f t="shared" si="44"/>
        <v>102341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45728</v>
      </c>
      <c r="C126" s="91">
        <f t="shared" si="45"/>
        <v>7665</v>
      </c>
      <c r="D126" s="32">
        <f>6260+614+674+596</f>
        <v>8144</v>
      </c>
      <c r="E126" s="32"/>
      <c r="F126" s="32"/>
      <c r="G126" s="32">
        <f t="shared" si="39"/>
        <v>8144</v>
      </c>
      <c r="H126" s="12"/>
      <c r="I126" s="12"/>
      <c r="J126" s="12"/>
      <c r="K126" s="12">
        <f t="shared" si="40"/>
        <v>8144</v>
      </c>
      <c r="M126" s="10">
        <v>5</v>
      </c>
      <c r="N126" s="30">
        <v>45728</v>
      </c>
      <c r="O126" s="31">
        <f t="shared" si="46"/>
        <v>7613</v>
      </c>
      <c r="P126" s="32">
        <f>674+596+9.5</f>
        <v>1279.5</v>
      </c>
      <c r="Q126" s="32"/>
      <c r="R126" s="32"/>
      <c r="S126" s="32">
        <f t="shared" si="41"/>
        <v>1279.5</v>
      </c>
      <c r="T126" s="12"/>
      <c r="U126" s="12"/>
      <c r="V126" s="12"/>
      <c r="W126" s="12">
        <f t="shared" si="42"/>
        <v>1279.5</v>
      </c>
      <c r="Y126" s="10">
        <v>5</v>
      </c>
      <c r="Z126" s="30">
        <v>45728</v>
      </c>
      <c r="AA126" s="31">
        <f t="shared" si="47"/>
        <v>7469</v>
      </c>
      <c r="AB126" s="32">
        <f>15024+3370</f>
        <v>18394</v>
      </c>
      <c r="AC126" s="32"/>
      <c r="AD126" s="32"/>
      <c r="AE126" s="32">
        <f t="shared" ref="AE126:AE131" si="48">SUM(AB126:AC126)</f>
        <v>18394</v>
      </c>
      <c r="AF126" s="12"/>
      <c r="AG126" s="12"/>
      <c r="AH126" s="12">
        <v>-5550</v>
      </c>
      <c r="AI126" s="12">
        <f t="shared" si="44"/>
        <v>12844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45728</v>
      </c>
      <c r="C127" s="91">
        <f t="shared" si="45"/>
        <v>7666</v>
      </c>
      <c r="D127" s="32">
        <f>9390+2384+180.5</f>
        <v>11954.5</v>
      </c>
      <c r="E127" s="32"/>
      <c r="F127" s="32"/>
      <c r="G127" s="32">
        <f t="shared" si="39"/>
        <v>11954.5</v>
      </c>
      <c r="H127" s="12"/>
      <c r="I127" s="12"/>
      <c r="J127" s="12"/>
      <c r="K127" s="12">
        <f t="shared" si="40"/>
        <v>11954.5</v>
      </c>
      <c r="M127" s="10">
        <v>6</v>
      </c>
      <c r="N127" s="30">
        <v>45728</v>
      </c>
      <c r="O127" s="31">
        <f t="shared" si="46"/>
        <v>7614</v>
      </c>
      <c r="P127" s="32">
        <f>4382+1788+95</f>
        <v>6265</v>
      </c>
      <c r="Q127" s="32"/>
      <c r="R127" s="32"/>
      <c r="S127" s="32">
        <f t="shared" si="41"/>
        <v>6265</v>
      </c>
      <c r="T127" s="12"/>
      <c r="U127" s="12"/>
      <c r="V127" s="10"/>
      <c r="W127" s="12">
        <f t="shared" si="42"/>
        <v>6265</v>
      </c>
      <c r="Y127" s="10">
        <v>6</v>
      </c>
      <c r="Z127" s="30"/>
      <c r="AA127" s="11" t="s">
        <v>27</v>
      </c>
      <c r="AB127" s="32"/>
      <c r="AC127" s="32"/>
      <c r="AD127" s="32"/>
      <c r="AE127" s="32">
        <f t="shared" si="48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45728</v>
      </c>
      <c r="C128" s="91">
        <f t="shared" si="45"/>
        <v>7667</v>
      </c>
      <c r="D128" s="32">
        <f>1252+19</f>
        <v>1271</v>
      </c>
      <c r="E128" s="32"/>
      <c r="F128" s="32"/>
      <c r="G128" s="32">
        <f t="shared" si="39"/>
        <v>1271</v>
      </c>
      <c r="H128" s="12"/>
      <c r="I128" s="12"/>
      <c r="J128" s="12"/>
      <c r="K128" s="12">
        <f t="shared" si="40"/>
        <v>1271</v>
      </c>
      <c r="M128" s="10">
        <v>7</v>
      </c>
      <c r="N128" s="30">
        <v>45728</v>
      </c>
      <c r="O128" s="31">
        <f t="shared" si="46"/>
        <v>7615</v>
      </c>
      <c r="P128" s="32">
        <f>2504+38</f>
        <v>2542</v>
      </c>
      <c r="Q128" s="32"/>
      <c r="R128" s="32"/>
      <c r="S128" s="32">
        <f t="shared" si="41"/>
        <v>2542</v>
      </c>
      <c r="T128" s="12"/>
      <c r="U128" s="12">
        <v>333</v>
      </c>
      <c r="V128" s="12"/>
      <c r="W128" s="12">
        <f t="shared" si="42"/>
        <v>2875</v>
      </c>
      <c r="Y128" s="10">
        <v>7</v>
      </c>
      <c r="Z128" s="30"/>
      <c r="AA128" s="31"/>
      <c r="AB128" s="32"/>
      <c r="AC128" s="32"/>
      <c r="AD128" s="32"/>
      <c r="AE128" s="32">
        <f t="shared" si="48"/>
        <v>0</v>
      </c>
      <c r="AF128" s="12"/>
      <c r="AG128" s="58"/>
      <c r="AH128" s="12"/>
      <c r="AI128" s="12">
        <f t="shared" si="44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45728</v>
      </c>
      <c r="C129" s="91">
        <f t="shared" si="45"/>
        <v>7668</v>
      </c>
      <c r="D129" s="32">
        <f>10016+152</f>
        <v>10168</v>
      </c>
      <c r="E129" s="32"/>
      <c r="F129" s="32"/>
      <c r="G129" s="32">
        <f t="shared" si="39"/>
        <v>10168</v>
      </c>
      <c r="H129" s="12"/>
      <c r="I129" s="12"/>
      <c r="J129" s="12"/>
      <c r="K129" s="12">
        <f t="shared" si="40"/>
        <v>10168</v>
      </c>
      <c r="M129" s="10">
        <v>8</v>
      </c>
      <c r="N129" s="30">
        <v>45728</v>
      </c>
      <c r="O129" s="31">
        <f t="shared" si="46"/>
        <v>7616</v>
      </c>
      <c r="P129" s="32">
        <f>626+9.5</f>
        <v>635.5</v>
      </c>
      <c r="Q129" s="32"/>
      <c r="R129" s="32"/>
      <c r="S129" s="32">
        <f t="shared" si="41"/>
        <v>635.5</v>
      </c>
      <c r="T129" s="12"/>
      <c r="U129" s="12"/>
      <c r="V129" s="12"/>
      <c r="W129" s="12">
        <f t="shared" si="42"/>
        <v>635.5</v>
      </c>
      <c r="Y129" s="10">
        <v>8</v>
      </c>
      <c r="Z129" s="30"/>
      <c r="AA129" s="31"/>
      <c r="AB129" s="32"/>
      <c r="AC129" s="32"/>
      <c r="AE129" s="32">
        <f t="shared" si="48"/>
        <v>0</v>
      </c>
      <c r="AF129" s="12"/>
      <c r="AG129" s="12"/>
      <c r="AH129" s="12"/>
      <c r="AI129" s="12">
        <f t="shared" si="44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45728</v>
      </c>
      <c r="C130" s="91">
        <f t="shared" si="45"/>
        <v>7669</v>
      </c>
      <c r="D130" s="32">
        <f>3756+57</f>
        <v>3813</v>
      </c>
      <c r="E130" s="32"/>
      <c r="F130" s="32"/>
      <c r="G130" s="32">
        <f t="shared" si="39"/>
        <v>3813</v>
      </c>
      <c r="H130" s="12"/>
      <c r="I130" s="12"/>
      <c r="J130" s="12"/>
      <c r="K130" s="12">
        <f t="shared" si="40"/>
        <v>3813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41"/>
        <v>0</v>
      </c>
      <c r="T130" s="12"/>
      <c r="U130" s="12"/>
      <c r="V130" s="12"/>
      <c r="W130" s="12">
        <f t="shared" si="42"/>
        <v>0</v>
      </c>
      <c r="Y130" s="10">
        <v>9</v>
      </c>
      <c r="Z130" s="30"/>
      <c r="AA130" s="31"/>
      <c r="AC130" s="32"/>
      <c r="AD130" s="32"/>
      <c r="AE130" s="32">
        <f t="shared" si="48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45728</v>
      </c>
      <c r="C131" s="91">
        <f t="shared" si="45"/>
        <v>7670</v>
      </c>
      <c r="D131" s="32">
        <f>9390+614+142.5</f>
        <v>10146.5</v>
      </c>
      <c r="E131" s="32"/>
      <c r="F131" s="32"/>
      <c r="G131" s="32">
        <f t="shared" si="39"/>
        <v>10146.5</v>
      </c>
      <c r="H131" s="12"/>
      <c r="I131" s="12">
        <v>999</v>
      </c>
      <c r="J131" s="12"/>
      <c r="K131" s="12">
        <f t="shared" si="40"/>
        <v>11145.5</v>
      </c>
      <c r="M131" s="10">
        <v>10</v>
      </c>
      <c r="N131" s="30"/>
      <c r="O131" s="31"/>
      <c r="P131" s="32"/>
      <c r="Q131" s="32"/>
      <c r="R131" s="32"/>
      <c r="S131" s="32">
        <f t="shared" si="41"/>
        <v>0</v>
      </c>
      <c r="T131" s="12"/>
      <c r="U131" s="12"/>
      <c r="V131" s="12"/>
      <c r="W131" s="12">
        <f t="shared" si="42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8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45728</v>
      </c>
      <c r="C132" s="91">
        <f t="shared" si="45"/>
        <v>7671</v>
      </c>
      <c r="D132" s="32">
        <f>1252+596+28.5</f>
        <v>1876.5</v>
      </c>
      <c r="E132" s="32"/>
      <c r="F132" s="32"/>
      <c r="G132" s="32">
        <f t="shared" si="39"/>
        <v>1876.5</v>
      </c>
      <c r="H132" s="12"/>
      <c r="I132" s="12"/>
      <c r="J132" s="12"/>
      <c r="K132" s="12">
        <f t="shared" si="40"/>
        <v>1876.5</v>
      </c>
      <c r="M132" s="10">
        <v>11</v>
      </c>
      <c r="N132" s="30"/>
      <c r="O132" s="31"/>
      <c r="P132" s="32"/>
      <c r="Q132" s="32"/>
      <c r="R132" s="32"/>
      <c r="S132" s="32">
        <f t="shared" si="41"/>
        <v>0</v>
      </c>
      <c r="T132" s="12"/>
      <c r="U132" s="12"/>
      <c r="V132" s="12"/>
      <c r="W132" s="12">
        <f t="shared" si="42"/>
        <v>0</v>
      </c>
      <c r="Y132" s="10">
        <v>11</v>
      </c>
      <c r="Z132" s="30"/>
      <c r="AB132" s="32"/>
      <c r="AC132" s="32"/>
      <c r="AD132" s="32"/>
      <c r="AE132" s="32">
        <f t="shared" ref="AE132:AE160" si="49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45728</v>
      </c>
      <c r="C133" s="91">
        <f t="shared" si="45"/>
        <v>7672</v>
      </c>
      <c r="D133" s="32">
        <f>6260+614+95</f>
        <v>6969</v>
      </c>
      <c r="E133" s="32"/>
      <c r="F133" s="32"/>
      <c r="G133" s="32">
        <f t="shared" si="39"/>
        <v>6969</v>
      </c>
      <c r="H133" s="12"/>
      <c r="I133" s="12"/>
      <c r="J133" s="10"/>
      <c r="K133" s="12">
        <f t="shared" si="40"/>
        <v>6969</v>
      </c>
      <c r="M133" s="10">
        <v>12</v>
      </c>
      <c r="N133" s="30"/>
      <c r="O133" s="31"/>
      <c r="P133" s="32"/>
      <c r="Q133" s="32"/>
      <c r="R133" s="32"/>
      <c r="S133" s="32">
        <f t="shared" si="41"/>
        <v>0</v>
      </c>
      <c r="T133" s="12"/>
      <c r="U133" s="12"/>
      <c r="V133" s="12"/>
      <c r="W133" s="12">
        <f t="shared" si="42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9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45728</v>
      </c>
      <c r="C134" s="91">
        <f t="shared" si="45"/>
        <v>7673</v>
      </c>
      <c r="D134" s="32">
        <f>3130+596+47.5</f>
        <v>3773.5</v>
      </c>
      <c r="E134" s="32"/>
      <c r="F134" s="32"/>
      <c r="G134" s="32">
        <f t="shared" si="39"/>
        <v>3773.5</v>
      </c>
      <c r="H134" s="12"/>
      <c r="I134" s="12"/>
      <c r="J134" s="12"/>
      <c r="K134" s="12">
        <f t="shared" si="40"/>
        <v>3773.5</v>
      </c>
      <c r="M134" s="10">
        <v>13</v>
      </c>
      <c r="N134" s="30"/>
      <c r="O134" s="31"/>
      <c r="P134" s="32"/>
      <c r="Q134" s="32"/>
      <c r="R134" s="32"/>
      <c r="S134" s="32">
        <f t="shared" si="41"/>
        <v>0</v>
      </c>
      <c r="T134" s="12"/>
      <c r="U134" s="12"/>
      <c r="V134" s="12"/>
      <c r="W134" s="12">
        <f t="shared" si="42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9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45728</v>
      </c>
      <c r="C135" s="91">
        <f t="shared" si="45"/>
        <v>7674</v>
      </c>
      <c r="D135" s="32">
        <f>3130+614+1192+66.5</f>
        <v>5002.5</v>
      </c>
      <c r="E135" s="32"/>
      <c r="F135" s="32"/>
      <c r="G135" s="32">
        <f t="shared" si="39"/>
        <v>5002.5</v>
      </c>
      <c r="H135" s="12"/>
      <c r="I135" s="12"/>
      <c r="J135" s="12"/>
      <c r="K135" s="12">
        <f t="shared" si="40"/>
        <v>5002.5</v>
      </c>
      <c r="M135" s="10">
        <v>14</v>
      </c>
      <c r="N135" s="30"/>
      <c r="O135" s="31"/>
      <c r="P135" s="32"/>
      <c r="Q135" s="32"/>
      <c r="R135" s="32"/>
      <c r="S135" s="32">
        <f t="shared" si="41"/>
        <v>0</v>
      </c>
      <c r="T135" s="12"/>
      <c r="U135" s="12"/>
      <c r="V135" s="12"/>
      <c r="W135" s="12">
        <f t="shared" si="42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9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45728</v>
      </c>
      <c r="C136" s="91">
        <f t="shared" si="45"/>
        <v>7675</v>
      </c>
      <c r="D136" s="32">
        <f>3756+57</f>
        <v>3813</v>
      </c>
      <c r="E136" s="32"/>
      <c r="F136" s="32"/>
      <c r="G136" s="32">
        <f t="shared" si="39"/>
        <v>3813</v>
      </c>
      <c r="H136" s="12"/>
      <c r="I136" s="12"/>
      <c r="J136" s="12"/>
      <c r="K136" s="12">
        <f t="shared" si="40"/>
        <v>3813</v>
      </c>
      <c r="M136" s="10">
        <v>15</v>
      </c>
      <c r="N136" s="30"/>
      <c r="O136" s="31"/>
      <c r="P136" s="32"/>
      <c r="Q136" s="32"/>
      <c r="R136" s="32"/>
      <c r="S136" s="32">
        <f t="shared" si="41"/>
        <v>0</v>
      </c>
      <c r="T136" s="12"/>
      <c r="U136" s="12"/>
      <c r="V136" s="12"/>
      <c r="W136" s="12">
        <f t="shared" si="42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9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45728</v>
      </c>
      <c r="C137" s="91">
        <f t="shared" si="45"/>
        <v>7676</v>
      </c>
      <c r="D137" s="32">
        <f>2504+596+9.5*5</f>
        <v>3147.5</v>
      </c>
      <c r="E137" s="32"/>
      <c r="F137" s="32"/>
      <c r="G137" s="32">
        <f t="shared" si="39"/>
        <v>3147.5</v>
      </c>
      <c r="H137" s="12"/>
      <c r="I137" s="12"/>
      <c r="J137" s="12"/>
      <c r="K137" s="12">
        <f t="shared" si="40"/>
        <v>3147.5</v>
      </c>
      <c r="M137" s="10">
        <v>16</v>
      </c>
      <c r="N137" s="30"/>
      <c r="P137" s="32"/>
      <c r="Q137" s="32"/>
      <c r="R137" s="32"/>
      <c r="S137" s="32">
        <f t="shared" si="41"/>
        <v>0</v>
      </c>
      <c r="T137" s="12"/>
      <c r="U137" s="12"/>
      <c r="V137" s="12"/>
      <c r="W137" s="12">
        <f t="shared" si="42"/>
        <v>0</v>
      </c>
      <c r="Y137" s="10">
        <v>16</v>
      </c>
      <c r="Z137" s="30"/>
      <c r="AB137" s="32"/>
      <c r="AC137" s="32"/>
      <c r="AD137" s="32"/>
      <c r="AE137" s="32">
        <f t="shared" si="49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11" t="s">
        <v>27</v>
      </c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/>
      <c r="O138" s="31"/>
      <c r="P138" s="35"/>
      <c r="Q138" s="32"/>
      <c r="R138" s="32"/>
      <c r="S138" s="32">
        <f t="shared" si="41"/>
        <v>0</v>
      </c>
      <c r="T138" s="12"/>
      <c r="U138" s="12"/>
      <c r="V138" s="12"/>
      <c r="W138" s="12">
        <f t="shared" si="42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9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/>
      <c r="O139" s="31"/>
      <c r="P139" s="32"/>
      <c r="Q139" s="32"/>
      <c r="R139" s="32"/>
      <c r="S139" s="32">
        <f t="shared" si="41"/>
        <v>0</v>
      </c>
      <c r="T139" s="12"/>
      <c r="U139" s="12"/>
      <c r="V139" s="12"/>
      <c r="W139" s="12">
        <f t="shared" si="42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9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/>
      <c r="O140" s="31"/>
      <c r="P140" s="32"/>
      <c r="Q140" s="32"/>
      <c r="R140" s="32"/>
      <c r="S140" s="32">
        <f t="shared" si="41"/>
        <v>0</v>
      </c>
      <c r="T140" s="12"/>
      <c r="U140" s="12"/>
      <c r="V140" s="12"/>
      <c r="W140" s="12">
        <f t="shared" si="42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9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91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/>
      <c r="O141" s="31"/>
      <c r="P141" s="32"/>
      <c r="Q141" s="32"/>
      <c r="R141" s="32"/>
      <c r="S141" s="32">
        <f t="shared" si="41"/>
        <v>0</v>
      </c>
      <c r="T141" s="12"/>
      <c r="U141" s="12"/>
      <c r="V141" s="12"/>
      <c r="W141" s="12">
        <f t="shared" si="42"/>
        <v>0</v>
      </c>
      <c r="Y141" s="10">
        <v>20</v>
      </c>
      <c r="Z141" s="30"/>
      <c r="AB141" s="32"/>
      <c r="AC141" s="32"/>
      <c r="AD141" s="32"/>
      <c r="AE141" s="32">
        <f t="shared" si="49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/>
      <c r="P142" s="46"/>
      <c r="Q142" s="31"/>
      <c r="R142" s="31"/>
      <c r="S142" s="32">
        <f t="shared" si="41"/>
        <v>0</v>
      </c>
      <c r="T142" s="10"/>
      <c r="U142" s="10"/>
      <c r="V142" s="10"/>
      <c r="W142" s="12">
        <f t="shared" si="42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9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9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9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1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9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9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B147" s="47"/>
      <c r="AC147" s="31"/>
      <c r="AD147" s="31"/>
      <c r="AE147" s="32">
        <f t="shared" si="49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9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9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9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B151" s="47"/>
      <c r="AC151" s="31"/>
      <c r="AD151" s="31"/>
      <c r="AE151" s="32">
        <f t="shared" si="49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B152" s="47"/>
      <c r="AC152" s="31"/>
      <c r="AD152" s="31"/>
      <c r="AE152" s="32">
        <f t="shared" si="49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9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9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50">SUM(P155:Q155)</f>
        <v>0</v>
      </c>
      <c r="T155" s="10"/>
      <c r="U155" s="10"/>
      <c r="V155" s="10"/>
      <c r="W155" s="12">
        <f t="shared" ref="W155:W163" si="51">SUM(S155:V155)</f>
        <v>0</v>
      </c>
      <c r="Y155" s="10">
        <v>34</v>
      </c>
      <c r="Z155" s="30"/>
      <c r="AB155" s="47"/>
      <c r="AC155" s="31"/>
      <c r="AD155" s="31"/>
      <c r="AE155" s="32">
        <f t="shared" si="49"/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50"/>
        <v>0</v>
      </c>
      <c r="T156" s="10"/>
      <c r="U156" s="10"/>
      <c r="V156" s="10"/>
      <c r="W156" s="12">
        <f t="shared" si="5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50"/>
        <v>0</v>
      </c>
      <c r="T157" s="10"/>
      <c r="U157" s="10"/>
      <c r="V157" s="10"/>
      <c r="W157" s="12">
        <f t="shared" si="5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50"/>
        <v>0</v>
      </c>
      <c r="T158" s="10"/>
      <c r="U158" s="10"/>
      <c r="V158" s="10"/>
      <c r="W158" s="12">
        <f t="shared" si="5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50"/>
        <v>0</v>
      </c>
      <c r="T159" s="10"/>
      <c r="U159" s="10"/>
      <c r="V159" s="10"/>
      <c r="W159" s="12">
        <f t="shared" si="5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50"/>
        <v>0</v>
      </c>
      <c r="T160" s="10"/>
      <c r="U160" s="10"/>
      <c r="V160" s="10"/>
      <c r="W160" s="12">
        <f t="shared" si="5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1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106675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106675</v>
      </c>
      <c r="H165" s="4"/>
      <c r="I165" s="39">
        <f>SUM(I122:I164)</f>
        <v>1036.5</v>
      </c>
      <c r="J165" s="39">
        <f>SUM(J122:J164)</f>
        <v>0</v>
      </c>
      <c r="K165" s="40">
        <f>SUM(K122:K164)</f>
        <v>107711.5</v>
      </c>
      <c r="N165" s="57"/>
      <c r="O165" s="57"/>
      <c r="P165" s="38">
        <f>SUM(P122:P164)</f>
        <v>222833.5</v>
      </c>
      <c r="Q165" s="38">
        <f>SUM(Q122:Q146)</f>
        <v>-3033</v>
      </c>
      <c r="R165" s="38">
        <f>SUM(R122:R146)</f>
        <v>0</v>
      </c>
      <c r="S165" s="38">
        <f>SUM(S122:S164)</f>
        <v>219800.5</v>
      </c>
      <c r="T165" s="4"/>
      <c r="U165" s="41">
        <f>SUM(U122:U164)</f>
        <v>879</v>
      </c>
      <c r="V165" s="41">
        <f>SUM(V122:V146)</f>
        <v>-1143</v>
      </c>
      <c r="W165" s="42">
        <f>SUM(W122:W164)</f>
        <v>219536.5</v>
      </c>
      <c r="Z165" s="57"/>
      <c r="AA165" s="57"/>
      <c r="AB165" s="38">
        <f>SUM(AB122:AB164)</f>
        <v>428496</v>
      </c>
      <c r="AC165" s="38">
        <f>SUM(AC122:AC146)</f>
        <v>-2940</v>
      </c>
      <c r="AD165" s="38">
        <f>SUM(AD122:AD146)</f>
        <v>0</v>
      </c>
      <c r="AE165" s="38">
        <f>SUM(AE122:AE164)</f>
        <v>425556</v>
      </c>
      <c r="AF165" s="4"/>
      <c r="AG165" s="41">
        <f>SUM(AG122:AG164)</f>
        <v>32580</v>
      </c>
      <c r="AH165" s="41">
        <f>SUM(AH122:AH146)</f>
        <v>-5550</v>
      </c>
      <c r="AI165" s="42">
        <f>SUM(AI122:AI164)</f>
        <v>452586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3"/>
      <c r="C167" s="93"/>
      <c r="D167" s="93"/>
      <c r="E167" s="93"/>
      <c r="F167" s="93"/>
      <c r="G167" s="93"/>
      <c r="H167" s="62"/>
      <c r="I167" s="62"/>
      <c r="J167" s="62"/>
      <c r="K167" s="62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3"/>
      <c r="C168" s="93"/>
      <c r="D168" s="93"/>
      <c r="E168" s="93"/>
      <c r="F168" s="93"/>
      <c r="G168" s="93"/>
      <c r="H168" s="62"/>
      <c r="I168" s="62"/>
      <c r="J168" s="62"/>
      <c r="K168" s="62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3"/>
      <c r="C169" s="93"/>
      <c r="D169" s="93"/>
      <c r="E169" s="93"/>
      <c r="F169" s="93"/>
      <c r="G169" s="93"/>
      <c r="H169" s="62"/>
      <c r="I169" s="62"/>
      <c r="J169" s="62"/>
      <c r="K169" s="62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3"/>
      <c r="C170" s="93"/>
      <c r="D170" s="93"/>
      <c r="E170" s="93"/>
      <c r="F170" s="93"/>
      <c r="G170" s="93"/>
      <c r="H170" s="62"/>
      <c r="I170" s="62"/>
      <c r="J170" s="62"/>
      <c r="K170" s="62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3"/>
      <c r="C171" s="93"/>
      <c r="D171" s="93"/>
      <c r="E171" s="93"/>
      <c r="F171" s="93"/>
      <c r="G171" s="93"/>
      <c r="H171" s="62"/>
      <c r="I171" s="62"/>
      <c r="J171" s="62"/>
      <c r="K171" s="62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3"/>
      <c r="C172" s="93"/>
      <c r="D172" s="93"/>
      <c r="E172" s="93"/>
      <c r="F172" s="93"/>
      <c r="G172" s="93"/>
      <c r="H172" s="62"/>
      <c r="I172" s="93"/>
      <c r="J172" s="74"/>
      <c r="K172" s="62"/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3"/>
      <c r="C173" s="93"/>
      <c r="D173" s="93"/>
      <c r="E173" s="93"/>
      <c r="F173" s="93"/>
      <c r="G173" s="93"/>
      <c r="H173" s="62"/>
      <c r="I173" s="65"/>
      <c r="J173" s="65"/>
      <c r="K173" s="62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37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3"/>
      <c r="C174" s="93"/>
      <c r="D174" s="93"/>
      <c r="E174" s="93"/>
      <c r="F174" s="93"/>
      <c r="G174" s="93"/>
      <c r="H174" s="62"/>
      <c r="I174" s="62"/>
      <c r="J174" s="62"/>
      <c r="K174" s="62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3"/>
      <c r="D175" s="121"/>
      <c r="E175" s="121"/>
      <c r="F175" s="93"/>
      <c r="G175" s="93"/>
      <c r="H175" s="62"/>
      <c r="I175" s="121"/>
      <c r="J175" s="121"/>
      <c r="K175" s="120"/>
      <c r="N175" s="25"/>
      <c r="O175" s="26"/>
      <c r="P175" s="126" t="s">
        <v>17</v>
      </c>
      <c r="Q175" s="126"/>
      <c r="R175" s="97"/>
      <c r="S175" s="27"/>
      <c r="U175" s="124" t="s">
        <v>18</v>
      </c>
      <c r="V175" s="125"/>
      <c r="W175" s="122" t="s">
        <v>19</v>
      </c>
      <c r="Z175" s="25"/>
      <c r="AA175" s="26"/>
      <c r="AB175" s="126" t="s">
        <v>17</v>
      </c>
      <c r="AC175" s="126"/>
      <c r="AD175" s="97"/>
      <c r="AE175" s="27"/>
      <c r="AG175" s="124" t="s">
        <v>18</v>
      </c>
      <c r="AH175" s="125"/>
      <c r="AI175" s="122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A176" s="62"/>
      <c r="B176" s="93"/>
      <c r="C176" s="93"/>
      <c r="D176" s="81"/>
      <c r="E176" s="82"/>
      <c r="F176" s="83"/>
      <c r="G176" s="83"/>
      <c r="H176" s="62"/>
      <c r="I176" s="92"/>
      <c r="J176" s="92"/>
      <c r="K176" s="120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23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23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4"/>
      <c r="D177" s="60"/>
      <c r="E177" s="60"/>
      <c r="F177" s="60"/>
      <c r="G177" s="60"/>
      <c r="H177" s="61"/>
      <c r="I177" s="61"/>
      <c r="J177" s="61"/>
      <c r="K177" s="61"/>
      <c r="M177" s="10">
        <v>1</v>
      </c>
      <c r="N177" s="30">
        <v>45759</v>
      </c>
      <c r="O177" s="31">
        <v>7617</v>
      </c>
      <c r="P177" s="32">
        <f>8764+614+133</f>
        <v>9511</v>
      </c>
      <c r="Q177" s="32"/>
      <c r="R177" s="32"/>
      <c r="S177" s="32">
        <f>SUM(P177:Q177)</f>
        <v>9511</v>
      </c>
      <c r="T177" s="12"/>
      <c r="U177" s="12"/>
      <c r="V177" s="12">
        <v>-888</v>
      </c>
      <c r="W177" s="12">
        <f>SUM(S177:V177)</f>
        <v>8623</v>
      </c>
      <c r="Y177" s="10">
        <v>1</v>
      </c>
      <c r="Z177" s="30">
        <v>45759</v>
      </c>
      <c r="AA177" s="31">
        <v>7470</v>
      </c>
      <c r="AB177" s="32">
        <f>75120+1175+17880+1102+1374</f>
        <v>96651</v>
      </c>
      <c r="AC177" s="32">
        <v>-912</v>
      </c>
      <c r="AD177" s="32"/>
      <c r="AE177" s="32">
        <f>SUM(AB177:AC177)</f>
        <v>95739</v>
      </c>
      <c r="AF177" s="12"/>
      <c r="AG177" s="12">
        <f>5661+468</f>
        <v>6129</v>
      </c>
      <c r="AH177" s="12"/>
      <c r="AI177" s="12">
        <f>SUM(AE177:AH177)</f>
        <v>101868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4"/>
      <c r="D178" s="60"/>
      <c r="E178" s="60"/>
      <c r="F178" s="60"/>
      <c r="G178" s="60"/>
      <c r="H178" s="61"/>
      <c r="I178" s="61"/>
      <c r="J178" s="61"/>
      <c r="K178" s="61"/>
      <c r="M178" s="10">
        <v>2</v>
      </c>
      <c r="N178" s="30">
        <v>45759</v>
      </c>
      <c r="O178" s="31">
        <f>O177+1</f>
        <v>7618</v>
      </c>
      <c r="P178" s="32">
        <f>106420+5001+7050+5960+1175+1102+687+650*10</f>
        <v>133895</v>
      </c>
      <c r="Q178" s="32">
        <v>-1620</v>
      </c>
      <c r="R178" s="32"/>
      <c r="S178" s="32">
        <f t="shared" ref="S178:S209" si="58">SUM(P178:Q178)</f>
        <v>132275</v>
      </c>
      <c r="T178" s="12"/>
      <c r="U178" s="12">
        <v>12432</v>
      </c>
      <c r="V178" s="12">
        <f>-120+-168+-84+-168</f>
        <v>-540</v>
      </c>
      <c r="W178" s="12">
        <f t="shared" ref="W178:W209" si="59">SUM(S178:V178)</f>
        <v>144167</v>
      </c>
      <c r="Y178" s="10">
        <v>2</v>
      </c>
      <c r="Z178" s="30">
        <v>45759</v>
      </c>
      <c r="AA178" s="31">
        <f>AA177+1</f>
        <v>7471</v>
      </c>
      <c r="AB178" s="32">
        <f>169020+17880+3328+2748</f>
        <v>192976</v>
      </c>
      <c r="AC178" s="32">
        <v>-1824</v>
      </c>
      <c r="AD178" s="32"/>
      <c r="AE178" s="32">
        <f t="shared" ref="AE178:AE180" si="60">SUM(AB178:AC178)</f>
        <v>191152</v>
      </c>
      <c r="AF178" s="12"/>
      <c r="AG178" s="12"/>
      <c r="AH178" s="12"/>
      <c r="AI178" s="12">
        <f t="shared" ref="AI178:AI209" si="61">SUM(AE178:AH178)</f>
        <v>191152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4"/>
      <c r="D179" s="60"/>
      <c r="E179" s="60"/>
      <c r="F179" s="60"/>
      <c r="G179" s="60"/>
      <c r="H179" s="61"/>
      <c r="I179" s="61"/>
      <c r="J179" s="61"/>
      <c r="K179" s="61"/>
      <c r="M179" s="10">
        <v>3</v>
      </c>
      <c r="N179" s="30">
        <v>45759</v>
      </c>
      <c r="O179" s="31">
        <f t="shared" ref="O179:O184" si="62">O178+1</f>
        <v>7619</v>
      </c>
      <c r="P179" s="32">
        <f>626+9.5</f>
        <v>635.5</v>
      </c>
      <c r="Q179" s="32"/>
      <c r="R179" s="32"/>
      <c r="S179" s="32">
        <f t="shared" si="58"/>
        <v>635.5</v>
      </c>
      <c r="T179" s="12"/>
      <c r="U179" s="12"/>
      <c r="V179" s="12"/>
      <c r="W179" s="12">
        <f t="shared" si="59"/>
        <v>635.5</v>
      </c>
      <c r="Y179" s="10">
        <v>3</v>
      </c>
      <c r="Z179" s="30">
        <v>45759</v>
      </c>
      <c r="AA179" s="31">
        <f t="shared" ref="AA179" si="63">AA178+1</f>
        <v>7472</v>
      </c>
      <c r="AB179" s="33">
        <f>25040+5960+852</f>
        <v>31852</v>
      </c>
      <c r="AC179" s="33">
        <v>-300</v>
      </c>
      <c r="AD179" s="32"/>
      <c r="AE179" s="32">
        <f t="shared" si="60"/>
        <v>31552</v>
      </c>
      <c r="AF179" s="12"/>
      <c r="AG179" s="12"/>
      <c r="AH179" s="12"/>
      <c r="AI179" s="12">
        <f t="shared" si="61"/>
        <v>31552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4"/>
      <c r="D180" s="60"/>
      <c r="E180" s="60"/>
      <c r="F180" s="60"/>
      <c r="G180" s="60"/>
      <c r="H180" s="61"/>
      <c r="I180" s="61"/>
      <c r="J180" s="61"/>
      <c r="K180" s="61"/>
      <c r="M180" s="10">
        <v>4</v>
      </c>
      <c r="N180" s="30">
        <v>45759</v>
      </c>
      <c r="O180" s="31">
        <f t="shared" si="62"/>
        <v>7620</v>
      </c>
      <c r="P180" s="32">
        <f>7512+614+596*3+142.5</f>
        <v>10056.5</v>
      </c>
      <c r="Q180" s="32"/>
      <c r="R180" s="32"/>
      <c r="S180" s="32">
        <f t="shared" si="58"/>
        <v>10056.5</v>
      </c>
      <c r="T180" s="12"/>
      <c r="U180" s="12"/>
      <c r="V180" s="12"/>
      <c r="W180" s="12">
        <f t="shared" si="59"/>
        <v>10056.5</v>
      </c>
      <c r="Y180" s="10">
        <v>4</v>
      </c>
      <c r="Z180" s="30"/>
      <c r="AA180" s="11" t="s">
        <v>27</v>
      </c>
      <c r="AB180" s="32"/>
      <c r="AC180" s="32"/>
      <c r="AD180" s="32"/>
      <c r="AE180" s="32">
        <f t="shared" si="60"/>
        <v>0</v>
      </c>
      <c r="AF180" s="12"/>
      <c r="AH180" s="12"/>
      <c r="AI180" s="12">
        <f t="shared" si="61"/>
        <v>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4"/>
      <c r="D181" s="60"/>
      <c r="E181" s="60"/>
      <c r="F181" s="60"/>
      <c r="G181" s="60"/>
      <c r="H181" s="61"/>
      <c r="I181" s="61"/>
      <c r="J181" s="61"/>
      <c r="K181" s="61"/>
      <c r="M181" s="10">
        <v>5</v>
      </c>
      <c r="N181" s="30">
        <v>45759</v>
      </c>
      <c r="O181" s="31">
        <f t="shared" si="62"/>
        <v>7621</v>
      </c>
      <c r="P181" s="32">
        <f>2504+614+38</f>
        <v>3156</v>
      </c>
      <c r="Q181" s="32"/>
      <c r="R181" s="32"/>
      <c r="S181" s="32">
        <f t="shared" si="58"/>
        <v>3156</v>
      </c>
      <c r="T181" s="12"/>
      <c r="U181" s="12">
        <v>222</v>
      </c>
      <c r="V181" s="12"/>
      <c r="W181" s="12">
        <f t="shared" si="59"/>
        <v>3378</v>
      </c>
      <c r="Y181" s="10">
        <v>5</v>
      </c>
      <c r="Z181" s="30"/>
      <c r="AA181" s="31"/>
      <c r="AB181" s="32"/>
      <c r="AC181" s="32"/>
      <c r="AD181" s="32"/>
      <c r="AE181" s="32">
        <f t="shared" ref="AE181:AE215" si="64">SUM(AB181:AC181)</f>
        <v>0</v>
      </c>
      <c r="AF181" s="12"/>
      <c r="AG181" s="12"/>
      <c r="AH181" s="12"/>
      <c r="AI181" s="12">
        <f t="shared" si="61"/>
        <v>0</v>
      </c>
      <c r="AK181" s="62"/>
      <c r="AL181" s="65"/>
      <c r="AM181" s="87"/>
      <c r="AN181" s="121"/>
      <c r="AO181" s="121"/>
      <c r="AP181" s="87"/>
      <c r="AQ181" s="62"/>
      <c r="AR181" s="121"/>
      <c r="AS181" s="121"/>
      <c r="AT181" s="120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4"/>
      <c r="D182" s="60"/>
      <c r="E182" s="60"/>
      <c r="F182" s="60"/>
      <c r="G182" s="60"/>
      <c r="H182" s="61"/>
      <c r="I182" s="61"/>
      <c r="J182" s="61"/>
      <c r="K182" s="61"/>
      <c r="M182" s="10">
        <v>6</v>
      </c>
      <c r="N182" s="30">
        <v>45759</v>
      </c>
      <c r="O182" s="31">
        <f t="shared" si="62"/>
        <v>7622</v>
      </c>
      <c r="P182" s="32">
        <f>1252+19+500</f>
        <v>1771</v>
      </c>
      <c r="Q182" s="32"/>
      <c r="R182" s="32"/>
      <c r="S182" s="32">
        <f t="shared" si="58"/>
        <v>1771</v>
      </c>
      <c r="T182" s="12"/>
      <c r="U182" s="12">
        <f>1.5*2</f>
        <v>3</v>
      </c>
      <c r="V182" s="10"/>
      <c r="W182" s="12">
        <f t="shared" si="59"/>
        <v>1774</v>
      </c>
      <c r="Y182" s="10">
        <v>6</v>
      </c>
      <c r="Z182" s="30"/>
      <c r="AB182" s="32"/>
      <c r="AC182" s="32"/>
      <c r="AD182" s="32"/>
      <c r="AE182" s="32">
        <f t="shared" si="64"/>
        <v>0</v>
      </c>
      <c r="AF182" s="12"/>
      <c r="AG182" s="12"/>
      <c r="AH182" s="10"/>
      <c r="AI182" s="12">
        <f t="shared" si="61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20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4"/>
      <c r="D183" s="60"/>
      <c r="E183" s="60"/>
      <c r="F183" s="60"/>
      <c r="G183" s="60"/>
      <c r="H183" s="61"/>
      <c r="I183" s="61"/>
      <c r="J183" s="61"/>
      <c r="K183" s="61"/>
      <c r="M183" s="10">
        <v>7</v>
      </c>
      <c r="N183" s="30">
        <v>45759</v>
      </c>
      <c r="O183" s="31">
        <f t="shared" si="62"/>
        <v>7623</v>
      </c>
      <c r="P183" s="32">
        <f>1878+614+112</f>
        <v>2604</v>
      </c>
      <c r="Q183" s="32"/>
      <c r="R183" s="32"/>
      <c r="S183" s="32">
        <f t="shared" si="58"/>
        <v>2604</v>
      </c>
      <c r="T183" s="12"/>
      <c r="U183" s="12"/>
      <c r="V183" s="12"/>
      <c r="W183" s="12">
        <f t="shared" si="59"/>
        <v>2604</v>
      </c>
      <c r="Y183" s="10">
        <v>7</v>
      </c>
      <c r="Z183" s="30"/>
      <c r="AA183" s="31"/>
      <c r="AB183" s="32"/>
      <c r="AC183" s="32"/>
      <c r="AD183" s="32"/>
      <c r="AE183" s="32">
        <f t="shared" si="64"/>
        <v>0</v>
      </c>
      <c r="AF183" s="12"/>
      <c r="AG183" s="58"/>
      <c r="AH183" s="12"/>
      <c r="AI183" s="12">
        <f t="shared" si="61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4"/>
      <c r="D184" s="60"/>
      <c r="E184" s="60"/>
      <c r="F184" s="60"/>
      <c r="G184" s="60"/>
      <c r="H184" s="61"/>
      <c r="I184" s="61"/>
      <c r="J184" s="61"/>
      <c r="K184" s="61"/>
      <c r="M184" s="10">
        <v>8</v>
      </c>
      <c r="N184" s="30">
        <v>45759</v>
      </c>
      <c r="O184" s="31">
        <f t="shared" si="62"/>
        <v>7624</v>
      </c>
      <c r="P184" s="32">
        <f>626+9.5</f>
        <v>635.5</v>
      </c>
      <c r="Q184" s="32"/>
      <c r="R184" s="32"/>
      <c r="S184" s="32">
        <f t="shared" si="58"/>
        <v>635.5</v>
      </c>
      <c r="T184" s="12"/>
      <c r="U184" s="12"/>
      <c r="V184" s="12"/>
      <c r="W184" s="12">
        <f t="shared" si="59"/>
        <v>635.5</v>
      </c>
      <c r="Y184" s="10">
        <v>8</v>
      </c>
      <c r="Z184" s="30"/>
      <c r="AA184" s="31"/>
      <c r="AB184" s="32"/>
      <c r="AC184" s="32"/>
      <c r="AE184" s="32">
        <f t="shared" si="64"/>
        <v>0</v>
      </c>
      <c r="AF184" s="12"/>
      <c r="AG184" s="12"/>
      <c r="AH184" s="12"/>
      <c r="AI184" s="12">
        <f t="shared" si="61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4"/>
      <c r="D185" s="60"/>
      <c r="E185" s="60"/>
      <c r="F185" s="60"/>
      <c r="G185" s="60"/>
      <c r="H185" s="61"/>
      <c r="I185" s="61"/>
      <c r="J185" s="61"/>
      <c r="K185" s="61"/>
      <c r="M185" s="10">
        <v>9</v>
      </c>
      <c r="N185" s="30"/>
      <c r="O185" s="11" t="s">
        <v>27</v>
      </c>
      <c r="P185" s="32"/>
      <c r="Q185" s="32"/>
      <c r="R185" s="32"/>
      <c r="S185" s="32">
        <f t="shared" si="58"/>
        <v>0</v>
      </c>
      <c r="T185" s="12"/>
      <c r="U185" s="12"/>
      <c r="V185" s="12"/>
      <c r="W185" s="12">
        <f t="shared" si="59"/>
        <v>0</v>
      </c>
      <c r="Y185" s="10">
        <v>9</v>
      </c>
      <c r="Z185" s="30"/>
      <c r="AA185" s="31"/>
      <c r="AC185" s="32"/>
      <c r="AD185" s="32"/>
      <c r="AE185" s="32">
        <f t="shared" si="64"/>
        <v>0</v>
      </c>
      <c r="AF185" s="12"/>
      <c r="AH185" s="12"/>
      <c r="AI185" s="12">
        <f t="shared" si="61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M186" s="10">
        <v>10</v>
      </c>
      <c r="N186" s="30"/>
      <c r="O186" s="31"/>
      <c r="P186" s="32"/>
      <c r="Q186" s="32"/>
      <c r="R186" s="32"/>
      <c r="S186" s="32">
        <f t="shared" si="58"/>
        <v>0</v>
      </c>
      <c r="T186" s="12"/>
      <c r="U186" s="12"/>
      <c r="V186" s="12"/>
      <c r="W186" s="12">
        <f t="shared" si="59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4"/>
        <v>0</v>
      </c>
      <c r="AF186" s="12"/>
      <c r="AG186" s="12"/>
      <c r="AH186" s="12"/>
      <c r="AI186" s="12">
        <f t="shared" si="61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4"/>
      <c r="D187" s="60"/>
      <c r="E187" s="60"/>
      <c r="F187" s="60"/>
      <c r="G187" s="60"/>
      <c r="H187" s="61"/>
      <c r="I187" s="61"/>
      <c r="J187" s="61"/>
      <c r="K187" s="61"/>
      <c r="M187" s="10">
        <v>11</v>
      </c>
      <c r="N187" s="30"/>
      <c r="O187" s="31"/>
      <c r="P187" s="32"/>
      <c r="Q187" s="32"/>
      <c r="R187" s="32"/>
      <c r="S187" s="32">
        <f t="shared" si="58"/>
        <v>0</v>
      </c>
      <c r="T187" s="12"/>
      <c r="U187" s="12"/>
      <c r="V187" s="12"/>
      <c r="W187" s="12">
        <f t="shared" si="59"/>
        <v>0</v>
      </c>
      <c r="Y187" s="10">
        <v>11</v>
      </c>
      <c r="Z187" s="30"/>
      <c r="AA187" s="11"/>
      <c r="AB187" s="32"/>
      <c r="AC187" s="32"/>
      <c r="AD187" s="32"/>
      <c r="AE187" s="32">
        <f t="shared" si="64"/>
        <v>0</v>
      </c>
      <c r="AF187" s="12"/>
      <c r="AG187" s="12"/>
      <c r="AH187" s="12"/>
      <c r="AI187" s="12">
        <f t="shared" si="61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4"/>
      <c r="D188" s="60"/>
      <c r="E188" s="60"/>
      <c r="F188" s="60"/>
      <c r="G188" s="60"/>
      <c r="H188" s="61"/>
      <c r="I188" s="61"/>
      <c r="J188" s="62"/>
      <c r="K188" s="61"/>
      <c r="M188" s="10">
        <v>12</v>
      </c>
      <c r="N188" s="30"/>
      <c r="O188" s="31"/>
      <c r="P188" s="32"/>
      <c r="Q188" s="32"/>
      <c r="R188" s="32"/>
      <c r="S188" s="32">
        <f t="shared" si="58"/>
        <v>0</v>
      </c>
      <c r="T188" s="12"/>
      <c r="U188" s="12"/>
      <c r="V188" s="12"/>
      <c r="W188" s="12">
        <f t="shared" si="59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4"/>
        <v>0</v>
      </c>
      <c r="AF188" s="12"/>
      <c r="AG188" s="12"/>
      <c r="AH188" s="12"/>
      <c r="AI188" s="12">
        <f t="shared" si="61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4"/>
      <c r="D189" s="60"/>
      <c r="E189" s="60"/>
      <c r="F189" s="60"/>
      <c r="G189" s="60"/>
      <c r="H189" s="61"/>
      <c r="I189" s="61"/>
      <c r="J189" s="61"/>
      <c r="K189" s="61"/>
      <c r="M189" s="10">
        <v>13</v>
      </c>
      <c r="N189" s="30"/>
      <c r="O189" s="31"/>
      <c r="P189" s="32"/>
      <c r="Q189" s="32"/>
      <c r="R189" s="32"/>
      <c r="S189" s="32">
        <f t="shared" si="58"/>
        <v>0</v>
      </c>
      <c r="T189" s="12"/>
      <c r="U189" s="12"/>
      <c r="V189" s="12"/>
      <c r="W189" s="12">
        <f t="shared" si="59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4"/>
        <v>0</v>
      </c>
      <c r="AF189" s="12"/>
      <c r="AG189" s="12"/>
      <c r="AH189" s="12"/>
      <c r="AI189" s="12">
        <f t="shared" si="61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4"/>
      <c r="D190" s="60"/>
      <c r="E190" s="60"/>
      <c r="F190" s="60"/>
      <c r="G190" s="60"/>
      <c r="H190" s="61"/>
      <c r="I190" s="61"/>
      <c r="J190" s="61"/>
      <c r="K190" s="61"/>
      <c r="M190" s="10">
        <v>14</v>
      </c>
      <c r="N190" s="30"/>
      <c r="O190" s="31"/>
      <c r="P190" s="32"/>
      <c r="Q190" s="32"/>
      <c r="R190" s="32"/>
      <c r="S190" s="32">
        <f t="shared" si="58"/>
        <v>0</v>
      </c>
      <c r="T190" s="12"/>
      <c r="U190" s="12"/>
      <c r="V190" s="12"/>
      <c r="W190" s="12">
        <f t="shared" si="59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4"/>
        <v>0</v>
      </c>
      <c r="AF190" s="12"/>
      <c r="AG190" s="12"/>
      <c r="AH190" s="12"/>
      <c r="AI190" s="12">
        <f t="shared" si="61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4"/>
      <c r="D191" s="60"/>
      <c r="E191" s="60"/>
      <c r="F191" s="60"/>
      <c r="G191" s="60"/>
      <c r="H191" s="61"/>
      <c r="I191" s="61"/>
      <c r="J191" s="61"/>
      <c r="K191" s="61"/>
      <c r="M191" s="10">
        <v>15</v>
      </c>
      <c r="N191" s="30"/>
      <c r="O191" s="31"/>
      <c r="P191" s="32"/>
      <c r="Q191" s="32"/>
      <c r="R191" s="32"/>
      <c r="S191" s="32">
        <f t="shared" si="58"/>
        <v>0</v>
      </c>
      <c r="T191" s="12"/>
      <c r="U191" s="12"/>
      <c r="V191" s="12"/>
      <c r="W191" s="12">
        <f t="shared" si="59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4"/>
        <v>0</v>
      </c>
      <c r="AF191" s="12"/>
      <c r="AG191" s="12"/>
      <c r="AH191" s="12"/>
      <c r="AI191" s="12">
        <f t="shared" si="61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4"/>
      <c r="D192" s="60"/>
      <c r="E192" s="60"/>
      <c r="F192" s="60"/>
      <c r="G192" s="60"/>
      <c r="H192" s="61"/>
      <c r="I192" s="61"/>
      <c r="J192" s="61"/>
      <c r="K192" s="61"/>
      <c r="M192" s="10">
        <v>16</v>
      </c>
      <c r="N192" s="30"/>
      <c r="P192" s="32"/>
      <c r="Q192" s="32"/>
      <c r="R192" s="32"/>
      <c r="S192" s="32">
        <f t="shared" si="58"/>
        <v>0</v>
      </c>
      <c r="T192" s="12"/>
      <c r="U192" s="12"/>
      <c r="V192" s="12"/>
      <c r="W192" s="12">
        <f t="shared" si="59"/>
        <v>0</v>
      </c>
      <c r="Y192" s="10">
        <v>16</v>
      </c>
      <c r="Z192" s="30"/>
      <c r="AB192" s="32"/>
      <c r="AC192" s="32"/>
      <c r="AD192" s="32"/>
      <c r="AE192" s="32">
        <f t="shared" si="64"/>
        <v>0</v>
      </c>
      <c r="AF192" s="12"/>
      <c r="AG192" s="12"/>
      <c r="AH192" s="12"/>
      <c r="AI192" s="12">
        <f t="shared" si="61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4"/>
      <c r="D193" s="60"/>
      <c r="E193" s="60"/>
      <c r="F193" s="60"/>
      <c r="G193" s="60"/>
      <c r="H193" s="61"/>
      <c r="I193" s="61"/>
      <c r="J193" s="61"/>
      <c r="K193" s="61"/>
      <c r="M193" s="10">
        <v>17</v>
      </c>
      <c r="N193" s="30"/>
      <c r="O193" s="31"/>
      <c r="P193" s="35"/>
      <c r="Q193" s="32"/>
      <c r="R193" s="32"/>
      <c r="S193" s="32">
        <f t="shared" si="58"/>
        <v>0</v>
      </c>
      <c r="T193" s="12"/>
      <c r="U193" s="12"/>
      <c r="V193" s="12"/>
      <c r="W193" s="12">
        <f t="shared" si="59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4"/>
        <v>0</v>
      </c>
      <c r="AF193" s="12"/>
      <c r="AG193" s="12"/>
      <c r="AH193" s="12"/>
      <c r="AI193" s="12">
        <f t="shared" si="61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4"/>
      <c r="D194" s="60"/>
      <c r="E194" s="60"/>
      <c r="F194" s="60"/>
      <c r="G194" s="60"/>
      <c r="H194" s="61"/>
      <c r="I194" s="61"/>
      <c r="J194" s="61"/>
      <c r="K194" s="61"/>
      <c r="M194" s="10">
        <v>18</v>
      </c>
      <c r="N194" s="30"/>
      <c r="O194" s="31"/>
      <c r="P194" s="32"/>
      <c r="Q194" s="32"/>
      <c r="R194" s="32"/>
      <c r="S194" s="32">
        <f t="shared" si="58"/>
        <v>0</v>
      </c>
      <c r="T194" s="12"/>
      <c r="U194" s="12"/>
      <c r="V194" s="12"/>
      <c r="W194" s="12">
        <f t="shared" si="59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4"/>
        <v>0</v>
      </c>
      <c r="AF194" s="12"/>
      <c r="AG194" s="12"/>
      <c r="AH194" s="12"/>
      <c r="AI194" s="12">
        <f t="shared" si="61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4"/>
      <c r="D195" s="60"/>
      <c r="E195" s="60"/>
      <c r="F195" s="60"/>
      <c r="G195" s="60"/>
      <c r="H195" s="61"/>
      <c r="I195" s="61"/>
      <c r="J195" s="61"/>
      <c r="K195" s="61"/>
      <c r="M195" s="10">
        <v>19</v>
      </c>
      <c r="N195" s="30"/>
      <c r="O195" s="31"/>
      <c r="P195" s="32"/>
      <c r="Q195" s="32"/>
      <c r="R195" s="32"/>
      <c r="S195" s="32">
        <f t="shared" si="58"/>
        <v>0</v>
      </c>
      <c r="T195" s="12"/>
      <c r="U195" s="12"/>
      <c r="V195" s="12"/>
      <c r="W195" s="12">
        <f t="shared" si="59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4"/>
        <v>0</v>
      </c>
      <c r="AF195" s="12"/>
      <c r="AG195" s="12"/>
      <c r="AH195" s="12"/>
      <c r="AI195" s="12">
        <f t="shared" si="61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4"/>
      <c r="D196" s="60"/>
      <c r="E196" s="60"/>
      <c r="F196" s="60"/>
      <c r="G196" s="60"/>
      <c r="H196" s="61"/>
      <c r="I196" s="61"/>
      <c r="J196" s="61"/>
      <c r="K196" s="61"/>
      <c r="M196" s="10">
        <v>20</v>
      </c>
      <c r="N196" s="30"/>
      <c r="O196" s="31"/>
      <c r="P196" s="32"/>
      <c r="Q196" s="32"/>
      <c r="R196" s="32"/>
      <c r="S196" s="32">
        <f t="shared" si="58"/>
        <v>0</v>
      </c>
      <c r="T196" s="12"/>
      <c r="U196" s="12"/>
      <c r="V196" s="12"/>
      <c r="W196" s="12">
        <f t="shared" si="59"/>
        <v>0</v>
      </c>
      <c r="Y196" s="10">
        <v>20</v>
      </c>
      <c r="Z196" s="30"/>
      <c r="AB196" s="32"/>
      <c r="AC196" s="32"/>
      <c r="AD196" s="32"/>
      <c r="AE196" s="32">
        <f t="shared" si="64"/>
        <v>0</v>
      </c>
      <c r="AF196" s="12"/>
      <c r="AG196" s="12"/>
      <c r="AH196" s="12"/>
      <c r="AI196" s="12">
        <f t="shared" si="61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4"/>
      <c r="D197" s="60"/>
      <c r="E197" s="60"/>
      <c r="F197" s="60"/>
      <c r="G197" s="60"/>
      <c r="H197" s="62"/>
      <c r="I197" s="62"/>
      <c r="J197" s="62"/>
      <c r="K197" s="61"/>
      <c r="M197" s="10">
        <v>21</v>
      </c>
      <c r="N197" s="30"/>
      <c r="P197" s="46"/>
      <c r="Q197" s="31"/>
      <c r="R197" s="31"/>
      <c r="S197" s="32">
        <f t="shared" si="58"/>
        <v>0</v>
      </c>
      <c r="T197" s="10"/>
      <c r="U197" s="10"/>
      <c r="V197" s="10"/>
      <c r="W197" s="12">
        <f t="shared" si="59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4"/>
        <v>0</v>
      </c>
      <c r="AF197" s="10"/>
      <c r="AG197" s="10"/>
      <c r="AH197" s="10"/>
      <c r="AI197" s="12">
        <f t="shared" si="61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4"/>
      <c r="D198" s="60"/>
      <c r="E198" s="60"/>
      <c r="F198" s="60"/>
      <c r="G198" s="60"/>
      <c r="H198" s="62"/>
      <c r="I198" s="62"/>
      <c r="J198" s="62"/>
      <c r="K198" s="61"/>
      <c r="M198" s="10">
        <v>22</v>
      </c>
      <c r="N198" s="30"/>
      <c r="P198" s="45"/>
      <c r="Q198" s="31"/>
      <c r="R198" s="31"/>
      <c r="S198" s="32">
        <f t="shared" si="58"/>
        <v>0</v>
      </c>
      <c r="T198" s="10"/>
      <c r="U198" s="10"/>
      <c r="V198" s="10"/>
      <c r="W198" s="12">
        <f t="shared" si="59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4"/>
        <v>0</v>
      </c>
      <c r="AF198" s="10"/>
      <c r="AG198" s="10"/>
      <c r="AH198" s="10"/>
      <c r="AI198" s="12">
        <f t="shared" si="61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4"/>
      <c r="D199" s="60"/>
      <c r="E199" s="60"/>
      <c r="F199" s="60"/>
      <c r="G199" s="60"/>
      <c r="H199" s="62"/>
      <c r="I199" s="62"/>
      <c r="J199" s="61"/>
      <c r="K199" s="61"/>
      <c r="M199" s="10">
        <v>23</v>
      </c>
      <c r="N199" s="30"/>
      <c r="O199" s="31"/>
      <c r="P199" s="47"/>
      <c r="S199" s="32">
        <f t="shared" si="58"/>
        <v>0</v>
      </c>
      <c r="T199" s="10"/>
      <c r="U199" s="10"/>
      <c r="V199" s="10"/>
      <c r="W199" s="12">
        <f t="shared" si="59"/>
        <v>0</v>
      </c>
      <c r="Y199" s="10">
        <v>23</v>
      </c>
      <c r="Z199" s="30"/>
      <c r="AA199" s="31"/>
      <c r="AB199" s="47"/>
      <c r="AE199" s="32">
        <f t="shared" si="64"/>
        <v>0</v>
      </c>
      <c r="AF199" s="10"/>
      <c r="AG199" s="10"/>
      <c r="AH199" s="10"/>
      <c r="AI199" s="12">
        <f t="shared" si="61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4"/>
      <c r="D200" s="60"/>
      <c r="E200" s="60"/>
      <c r="F200" s="60"/>
      <c r="G200" s="60"/>
      <c r="H200" s="62"/>
      <c r="I200" s="62"/>
      <c r="J200" s="62"/>
      <c r="K200" s="61"/>
      <c r="M200" s="10">
        <v>24</v>
      </c>
      <c r="N200" s="30"/>
      <c r="O200" s="11"/>
      <c r="P200" s="47"/>
      <c r="Q200" s="31"/>
      <c r="R200" s="31"/>
      <c r="S200" s="32">
        <f t="shared" si="58"/>
        <v>0</v>
      </c>
      <c r="T200" s="10"/>
      <c r="U200" s="10"/>
      <c r="V200" s="10"/>
      <c r="W200" s="12">
        <f t="shared" si="59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4"/>
        <v>0</v>
      </c>
      <c r="AF200" s="10"/>
      <c r="AG200" s="10"/>
      <c r="AH200" s="10"/>
      <c r="AI200" s="12">
        <f t="shared" si="61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3"/>
      <c r="D201" s="60"/>
      <c r="E201" s="60"/>
      <c r="F201" s="60"/>
      <c r="G201" s="60"/>
      <c r="H201" s="62"/>
      <c r="I201" s="62"/>
      <c r="J201" s="62"/>
      <c r="K201" s="61"/>
      <c r="M201" s="10">
        <v>25</v>
      </c>
      <c r="N201" s="30"/>
      <c r="O201" s="31"/>
      <c r="P201" s="47"/>
      <c r="Q201" s="31"/>
      <c r="R201" s="31"/>
      <c r="S201" s="32">
        <f t="shared" si="58"/>
        <v>0</v>
      </c>
      <c r="T201" s="10"/>
      <c r="U201" s="10"/>
      <c r="V201" s="10"/>
      <c r="W201" s="12">
        <f t="shared" si="59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4"/>
        <v>0</v>
      </c>
      <c r="AF201" s="10"/>
      <c r="AG201" s="10"/>
      <c r="AH201" s="10"/>
      <c r="AI201" s="12">
        <f t="shared" si="61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4"/>
      <c r="D202" s="60"/>
      <c r="E202" s="60"/>
      <c r="F202" s="60"/>
      <c r="G202" s="60"/>
      <c r="H202" s="62"/>
      <c r="I202" s="62"/>
      <c r="J202" s="62"/>
      <c r="K202" s="61"/>
      <c r="M202" s="10">
        <v>26</v>
      </c>
      <c r="N202" s="30"/>
      <c r="O202" s="31"/>
      <c r="P202" s="47"/>
      <c r="Q202" s="31"/>
      <c r="R202" s="31"/>
      <c r="S202" s="32">
        <f t="shared" si="58"/>
        <v>0</v>
      </c>
      <c r="T202" s="10"/>
      <c r="U202" s="10"/>
      <c r="V202" s="10"/>
      <c r="W202" s="12">
        <f t="shared" si="59"/>
        <v>0</v>
      </c>
      <c r="Y202" s="10">
        <v>26</v>
      </c>
      <c r="Z202" s="30"/>
      <c r="AB202" s="47"/>
      <c r="AC202" s="31"/>
      <c r="AD202" s="31"/>
      <c r="AE202" s="32">
        <f t="shared" si="64"/>
        <v>0</v>
      </c>
      <c r="AF202" s="10"/>
      <c r="AG202" s="10"/>
      <c r="AH202" s="10"/>
      <c r="AI202" s="12">
        <f t="shared" si="61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4"/>
      <c r="D203" s="60"/>
      <c r="E203" s="60"/>
      <c r="F203" s="60"/>
      <c r="G203" s="60"/>
      <c r="H203" s="62"/>
      <c r="I203" s="62"/>
      <c r="J203" s="62"/>
      <c r="K203" s="61"/>
      <c r="M203" s="10">
        <v>27</v>
      </c>
      <c r="N203" s="30"/>
      <c r="O203" s="31"/>
      <c r="P203" s="47"/>
      <c r="Q203" s="31"/>
      <c r="R203" s="31"/>
      <c r="S203" s="32">
        <f t="shared" si="58"/>
        <v>0</v>
      </c>
      <c r="T203" s="10"/>
      <c r="U203" s="10"/>
      <c r="V203" s="10"/>
      <c r="W203" s="12">
        <f t="shared" si="59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4"/>
        <v>0</v>
      </c>
      <c r="AF203" s="10"/>
      <c r="AG203" s="10"/>
      <c r="AH203" s="10"/>
      <c r="AI203" s="12">
        <f t="shared" si="61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4"/>
      <c r="D204" s="60"/>
      <c r="E204" s="60"/>
      <c r="F204" s="60"/>
      <c r="G204" s="60"/>
      <c r="H204" s="62"/>
      <c r="I204" s="62"/>
      <c r="J204" s="62"/>
      <c r="K204" s="61"/>
      <c r="M204" s="10">
        <v>28</v>
      </c>
      <c r="N204" s="30"/>
      <c r="O204" s="31"/>
      <c r="P204" s="47"/>
      <c r="Q204" s="31"/>
      <c r="R204" s="31"/>
      <c r="S204" s="32">
        <f t="shared" si="58"/>
        <v>0</v>
      </c>
      <c r="T204" s="10"/>
      <c r="U204" s="10"/>
      <c r="V204" s="10"/>
      <c r="W204" s="12">
        <f t="shared" si="59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4"/>
        <v>0</v>
      </c>
      <c r="AF204" s="10"/>
      <c r="AG204" s="10"/>
      <c r="AH204" s="10"/>
      <c r="AI204" s="12">
        <f t="shared" si="61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4"/>
      <c r="D205" s="60"/>
      <c r="E205" s="60"/>
      <c r="F205" s="60"/>
      <c r="G205" s="60"/>
      <c r="H205" s="62"/>
      <c r="I205" s="62"/>
      <c r="J205" s="62"/>
      <c r="K205" s="61"/>
      <c r="M205" s="10">
        <v>29</v>
      </c>
      <c r="N205" s="30"/>
      <c r="P205" s="47"/>
      <c r="Q205" s="31"/>
      <c r="R205" s="31"/>
      <c r="S205" s="32">
        <f t="shared" si="58"/>
        <v>0</v>
      </c>
      <c r="T205" s="10"/>
      <c r="U205" s="10"/>
      <c r="V205" s="10"/>
      <c r="W205" s="12">
        <f t="shared" si="59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4"/>
        <v>0</v>
      </c>
      <c r="AF205" s="10"/>
      <c r="AG205" s="10"/>
      <c r="AH205" s="10"/>
      <c r="AI205" s="12">
        <f t="shared" si="61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4"/>
      <c r="D206" s="60"/>
      <c r="E206" s="60"/>
      <c r="F206" s="60"/>
      <c r="G206" s="60"/>
      <c r="H206" s="62"/>
      <c r="I206" s="62"/>
      <c r="J206" s="62"/>
      <c r="K206" s="61"/>
      <c r="M206" s="10">
        <v>30</v>
      </c>
      <c r="N206" s="30"/>
      <c r="P206" s="47"/>
      <c r="Q206" s="31"/>
      <c r="R206" s="31"/>
      <c r="S206" s="32">
        <f t="shared" si="58"/>
        <v>0</v>
      </c>
      <c r="T206" s="10"/>
      <c r="U206" s="10"/>
      <c r="V206" s="10"/>
      <c r="W206" s="12">
        <f t="shared" si="59"/>
        <v>0</v>
      </c>
      <c r="Y206" s="10">
        <v>30</v>
      </c>
      <c r="Z206" s="30"/>
      <c r="AB206" s="47"/>
      <c r="AC206" s="31"/>
      <c r="AD206" s="31"/>
      <c r="AE206" s="32">
        <f t="shared" si="64"/>
        <v>0</v>
      </c>
      <c r="AF206" s="10"/>
      <c r="AG206" s="10"/>
      <c r="AH206" s="10"/>
      <c r="AI206" s="12">
        <f t="shared" si="61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4"/>
      <c r="D207" s="60"/>
      <c r="E207" s="60"/>
      <c r="F207" s="60"/>
      <c r="G207" s="60"/>
      <c r="H207" s="62"/>
      <c r="I207" s="62"/>
      <c r="J207" s="62"/>
      <c r="K207" s="61"/>
      <c r="M207" s="10">
        <v>31</v>
      </c>
      <c r="N207" s="30"/>
      <c r="O207" s="31"/>
      <c r="P207" s="47"/>
      <c r="Q207" s="31"/>
      <c r="R207" s="31"/>
      <c r="S207" s="32">
        <f t="shared" si="58"/>
        <v>0</v>
      </c>
      <c r="T207" s="10"/>
      <c r="U207" s="10"/>
      <c r="V207" s="10"/>
      <c r="W207" s="12">
        <f t="shared" si="59"/>
        <v>0</v>
      </c>
      <c r="Y207" s="10">
        <v>31</v>
      </c>
      <c r="Z207" s="30"/>
      <c r="AB207" s="47"/>
      <c r="AC207" s="31"/>
      <c r="AD207" s="31"/>
      <c r="AE207" s="32">
        <f t="shared" si="64"/>
        <v>0</v>
      </c>
      <c r="AF207" s="10"/>
      <c r="AG207" s="10"/>
      <c r="AH207" s="10"/>
      <c r="AI207" s="12">
        <f t="shared" si="61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4"/>
      <c r="D208" s="60"/>
      <c r="E208" s="60"/>
      <c r="F208" s="60"/>
      <c r="G208" s="60"/>
      <c r="H208" s="62"/>
      <c r="I208" s="62"/>
      <c r="J208" s="62"/>
      <c r="K208" s="61"/>
      <c r="M208" s="10">
        <v>32</v>
      </c>
      <c r="N208" s="30"/>
      <c r="P208" s="47"/>
      <c r="Q208" s="31"/>
      <c r="R208" s="31"/>
      <c r="S208" s="32">
        <f t="shared" si="58"/>
        <v>0</v>
      </c>
      <c r="T208" s="10"/>
      <c r="U208" s="10"/>
      <c r="V208" s="10"/>
      <c r="W208" s="12">
        <f t="shared" si="59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4"/>
        <v>0</v>
      </c>
      <c r="AF208" s="10"/>
      <c r="AG208" s="10"/>
      <c r="AH208" s="10"/>
      <c r="AI208" s="12">
        <f t="shared" si="61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4"/>
      <c r="D209" s="60"/>
      <c r="E209" s="60"/>
      <c r="F209" s="60"/>
      <c r="G209" s="60"/>
      <c r="H209" s="62"/>
      <c r="I209" s="62"/>
      <c r="J209" s="62"/>
      <c r="K209" s="61"/>
      <c r="M209" s="10">
        <v>33</v>
      </c>
      <c r="N209" s="30"/>
      <c r="O209" s="31"/>
      <c r="P209" s="47"/>
      <c r="Q209" s="31"/>
      <c r="R209" s="31"/>
      <c r="S209" s="32">
        <f t="shared" si="58"/>
        <v>0</v>
      </c>
      <c r="T209" s="10"/>
      <c r="U209" s="10"/>
      <c r="V209" s="10"/>
      <c r="W209" s="12">
        <f t="shared" si="59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4"/>
        <v>0</v>
      </c>
      <c r="AF209" s="10"/>
      <c r="AG209" s="10"/>
      <c r="AH209" s="10"/>
      <c r="AI209" s="12">
        <f t="shared" si="61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4"/>
      <c r="D210" s="60"/>
      <c r="E210" s="60"/>
      <c r="F210" s="60"/>
      <c r="G210" s="60"/>
      <c r="H210" s="62"/>
      <c r="I210" s="62"/>
      <c r="J210" s="62"/>
      <c r="K210" s="61"/>
      <c r="M210" s="10">
        <v>34</v>
      </c>
      <c r="N210" s="30"/>
      <c r="O210" s="31"/>
      <c r="P210" s="47"/>
      <c r="Q210" s="31"/>
      <c r="R210" s="31"/>
      <c r="S210" s="32">
        <f t="shared" ref="S210:S215" si="65">SUM(P210:Q210)</f>
        <v>0</v>
      </c>
      <c r="T210" s="10"/>
      <c r="U210" s="10"/>
      <c r="V210" s="10"/>
      <c r="W210" s="12">
        <f t="shared" ref="W210:W218" si="66">SUM(S210:V210)</f>
        <v>0</v>
      </c>
      <c r="Y210" s="10">
        <v>34</v>
      </c>
      <c r="Z210" s="30"/>
      <c r="AB210" s="47"/>
      <c r="AC210" s="31"/>
      <c r="AD210" s="31"/>
      <c r="AE210" s="32">
        <f t="shared" si="64"/>
        <v>0</v>
      </c>
      <c r="AF210" s="10"/>
      <c r="AG210" s="10"/>
      <c r="AH210" s="10"/>
      <c r="AI210" s="12">
        <f t="shared" ref="AI210:AI218" si="67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3"/>
      <c r="D211" s="60"/>
      <c r="E211" s="60"/>
      <c r="F211" s="60"/>
      <c r="G211" s="60"/>
      <c r="H211" s="62"/>
      <c r="I211" s="62"/>
      <c r="J211" s="62"/>
      <c r="K211" s="61"/>
      <c r="M211" s="10">
        <v>35</v>
      </c>
      <c r="N211" s="30"/>
      <c r="O211" s="31"/>
      <c r="P211" s="47"/>
      <c r="Q211" s="31"/>
      <c r="R211" s="31"/>
      <c r="S211" s="32">
        <f t="shared" si="65"/>
        <v>0</v>
      </c>
      <c r="T211" s="10"/>
      <c r="U211" s="10"/>
      <c r="V211" s="10"/>
      <c r="W211" s="12">
        <f t="shared" si="66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7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3"/>
      <c r="D212" s="60"/>
      <c r="E212" s="60"/>
      <c r="F212" s="60"/>
      <c r="G212" s="60"/>
      <c r="H212" s="62"/>
      <c r="I212" s="62"/>
      <c r="J212" s="62"/>
      <c r="K212" s="61"/>
      <c r="M212" s="10">
        <v>36</v>
      </c>
      <c r="N212" s="30"/>
      <c r="O212" s="31"/>
      <c r="P212" s="47"/>
      <c r="Q212" s="31"/>
      <c r="R212" s="31"/>
      <c r="S212" s="32">
        <f t="shared" si="65"/>
        <v>0</v>
      </c>
      <c r="T212" s="10"/>
      <c r="U212" s="10"/>
      <c r="V212" s="10"/>
      <c r="W212" s="12">
        <f t="shared" si="66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7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3"/>
      <c r="D213" s="60"/>
      <c r="E213" s="60"/>
      <c r="F213" s="60"/>
      <c r="G213" s="60"/>
      <c r="H213" s="62"/>
      <c r="I213" s="62"/>
      <c r="J213" s="62"/>
      <c r="K213" s="61"/>
      <c r="M213" s="10">
        <v>37</v>
      </c>
      <c r="N213" s="30"/>
      <c r="P213" s="47"/>
      <c r="Q213" s="31"/>
      <c r="R213" s="31"/>
      <c r="S213" s="32">
        <f t="shared" si="65"/>
        <v>0</v>
      </c>
      <c r="T213" s="10"/>
      <c r="U213" s="10"/>
      <c r="V213" s="10"/>
      <c r="W213" s="12">
        <f t="shared" si="66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7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3"/>
      <c r="D214" s="60"/>
      <c r="E214" s="60"/>
      <c r="F214" s="60"/>
      <c r="G214" s="60"/>
      <c r="H214" s="62"/>
      <c r="I214" s="62"/>
      <c r="J214" s="62"/>
      <c r="K214" s="61"/>
      <c r="M214" s="10">
        <v>38</v>
      </c>
      <c r="N214" s="30"/>
      <c r="O214" s="31"/>
      <c r="P214" s="47"/>
      <c r="Q214" s="31"/>
      <c r="R214" s="31"/>
      <c r="S214" s="32">
        <f t="shared" si="65"/>
        <v>0</v>
      </c>
      <c r="T214" s="10"/>
      <c r="U214" s="10"/>
      <c r="V214" s="10"/>
      <c r="W214" s="12">
        <f t="shared" si="66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7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3"/>
      <c r="D215" s="60"/>
      <c r="E215" s="60"/>
      <c r="F215" s="60"/>
      <c r="G215" s="60"/>
      <c r="H215" s="62"/>
      <c r="I215" s="62"/>
      <c r="J215" s="62"/>
      <c r="K215" s="61"/>
      <c r="M215" s="10">
        <v>39</v>
      </c>
      <c r="N215" s="30"/>
      <c r="O215" s="31"/>
      <c r="P215" s="47"/>
      <c r="Q215" s="31"/>
      <c r="R215" s="31"/>
      <c r="S215" s="32">
        <f t="shared" si="65"/>
        <v>0</v>
      </c>
      <c r="T215" s="10"/>
      <c r="U215" s="10"/>
      <c r="V215" s="10"/>
      <c r="W215" s="12">
        <f t="shared" si="66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7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3"/>
      <c r="D216" s="60"/>
      <c r="E216" s="60"/>
      <c r="F216" s="60"/>
      <c r="G216" s="60"/>
      <c r="H216" s="62"/>
      <c r="I216" s="62"/>
      <c r="J216" s="62"/>
      <c r="K216" s="61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6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7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3"/>
      <c r="D217" s="60"/>
      <c r="E217" s="60"/>
      <c r="F217" s="60"/>
      <c r="G217" s="60"/>
      <c r="H217" s="62"/>
      <c r="I217" s="62"/>
      <c r="J217" s="62"/>
      <c r="K217" s="61"/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6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7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6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7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3"/>
      <c r="C219" s="93"/>
      <c r="D219" s="93"/>
      <c r="E219" s="93"/>
      <c r="F219" s="93"/>
      <c r="G219" s="93"/>
      <c r="H219" s="62"/>
      <c r="I219" s="62"/>
      <c r="J219" s="62"/>
      <c r="K219" s="62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3"/>
      <c r="C220" s="93"/>
      <c r="D220" s="70"/>
      <c r="E220" s="70"/>
      <c r="F220" s="70"/>
      <c r="G220" s="70"/>
      <c r="H220" s="63"/>
      <c r="I220" s="70"/>
      <c r="J220" s="70"/>
      <c r="K220" s="70"/>
      <c r="N220" s="57"/>
      <c r="O220" s="57"/>
      <c r="P220" s="38">
        <f>SUM(P177:P219)</f>
        <v>162264.5</v>
      </c>
      <c r="Q220" s="38">
        <f>SUM(Q177:Q201)</f>
        <v>-1620</v>
      </c>
      <c r="R220" s="38">
        <f>SUM(R177:R201)</f>
        <v>0</v>
      </c>
      <c r="S220" s="38">
        <f>SUM(S177:S219)</f>
        <v>160644.5</v>
      </c>
      <c r="T220" s="4"/>
      <c r="U220" s="41">
        <f>SUM(U177:U219)</f>
        <v>12657</v>
      </c>
      <c r="V220" s="41">
        <f>SUM(V177:V201)</f>
        <v>-1428</v>
      </c>
      <c r="W220" s="42">
        <f>SUM(W177:W219)</f>
        <v>171873.5</v>
      </c>
      <c r="Z220" s="57"/>
      <c r="AA220" s="57"/>
      <c r="AB220" s="38">
        <f>SUM(AB177:AB219)</f>
        <v>321479</v>
      </c>
      <c r="AC220" s="38">
        <f>SUM(AC177:AC201)</f>
        <v>-3036</v>
      </c>
      <c r="AD220" s="38">
        <f>SUM(AD177:AD201)</f>
        <v>0</v>
      </c>
      <c r="AE220" s="38">
        <f>SUM(AE177:AE219)</f>
        <v>318443</v>
      </c>
      <c r="AF220" s="4"/>
      <c r="AG220" s="41">
        <f>SUM(AG177:AG219)</f>
        <v>6129</v>
      </c>
      <c r="AH220" s="41">
        <f>SUM(AH177:AH201)</f>
        <v>0</v>
      </c>
      <c r="AI220" s="42">
        <f>SUM(AI177:AI219)</f>
        <v>324572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37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6" t="s">
        <v>17</v>
      </c>
      <c r="E230" s="126"/>
      <c r="F230" s="98"/>
      <c r="G230" s="27"/>
      <c r="I230" s="124" t="s">
        <v>18</v>
      </c>
      <c r="J230" s="125"/>
      <c r="K230" s="122" t="s">
        <v>19</v>
      </c>
      <c r="N230" s="25"/>
      <c r="O230" s="26"/>
      <c r="P230" s="126" t="s">
        <v>17</v>
      </c>
      <c r="Q230" s="126"/>
      <c r="R230" s="98"/>
      <c r="S230" s="27"/>
      <c r="U230" s="124" t="s">
        <v>18</v>
      </c>
      <c r="V230" s="125"/>
      <c r="W230" s="122" t="s">
        <v>19</v>
      </c>
      <c r="Z230" s="25"/>
      <c r="AA230" s="26"/>
      <c r="AB230" s="126" t="s">
        <v>17</v>
      </c>
      <c r="AC230" s="126"/>
      <c r="AD230" s="98"/>
      <c r="AE230" s="27"/>
      <c r="AG230" s="124" t="s">
        <v>18</v>
      </c>
      <c r="AH230" s="125"/>
      <c r="AI230" s="12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23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23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23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45789</v>
      </c>
      <c r="C232" s="91">
        <v>7677</v>
      </c>
      <c r="D232" s="32">
        <f>270432+29800+4580</f>
        <v>304812</v>
      </c>
      <c r="E232" s="32">
        <v>-3012</v>
      </c>
      <c r="F232" s="32"/>
      <c r="G232" s="32">
        <f t="shared" ref="G232:G265" si="70">SUM(D232:E232)</f>
        <v>301800</v>
      </c>
      <c r="H232" s="12"/>
      <c r="I232" s="12">
        <v>858</v>
      </c>
      <c r="J232" s="12">
        <f>-30414+-1932</f>
        <v>-32346</v>
      </c>
      <c r="K232" s="12">
        <f t="shared" ref="K232:K265" si="71">SUM(G232:J232)</f>
        <v>270312</v>
      </c>
      <c r="M232" s="10">
        <v>1</v>
      </c>
      <c r="N232" s="30">
        <v>45789</v>
      </c>
      <c r="O232" s="31">
        <v>7625</v>
      </c>
      <c r="P232" s="32">
        <f>626*6+614+9.5*6</f>
        <v>4427</v>
      </c>
      <c r="Q232" s="32"/>
      <c r="R232" s="32"/>
      <c r="S232" s="32">
        <f>SUM(P232:Q232)</f>
        <v>4427</v>
      </c>
      <c r="T232" s="12"/>
      <c r="U232" s="12"/>
      <c r="V232" s="12"/>
      <c r="W232" s="12">
        <f>SUM(S232:V232)</f>
        <v>4427</v>
      </c>
      <c r="Y232" s="10">
        <v>1</v>
      </c>
      <c r="Z232" s="30">
        <v>45789</v>
      </c>
      <c r="AA232" s="31">
        <v>7473</v>
      </c>
      <c r="AB232" s="32">
        <f>6260+614+5960</f>
        <v>12834</v>
      </c>
      <c r="AC232" s="32"/>
      <c r="AD232" s="32"/>
      <c r="AE232" s="32">
        <f>SUM(AB232:AC232)</f>
        <v>12834</v>
      </c>
      <c r="AF232" s="12"/>
      <c r="AG232" s="12">
        <v>1665</v>
      </c>
      <c r="AH232" s="12"/>
      <c r="AI232" s="12">
        <f>SUM(AE232:AH232)</f>
        <v>14499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45789</v>
      </c>
      <c r="C233" s="91">
        <f>C232+1</f>
        <v>7678</v>
      </c>
      <c r="D233" s="32">
        <f>33804+1228+229</f>
        <v>35261</v>
      </c>
      <c r="E233" s="32"/>
      <c r="F233" s="32"/>
      <c r="G233" s="32">
        <f t="shared" si="70"/>
        <v>35261</v>
      </c>
      <c r="H233" s="12"/>
      <c r="I233" s="12"/>
      <c r="J233" s="12"/>
      <c r="K233" s="12">
        <f t="shared" si="71"/>
        <v>35261</v>
      </c>
      <c r="M233" s="10">
        <v>2</v>
      </c>
      <c r="N233" s="30">
        <v>45789</v>
      </c>
      <c r="O233" s="31">
        <f>O232+1</f>
        <v>7626</v>
      </c>
      <c r="P233" s="32">
        <f>626*12+114</f>
        <v>7626</v>
      </c>
      <c r="Q233" s="32"/>
      <c r="R233" s="32"/>
      <c r="S233" s="32">
        <f t="shared" ref="S233:S264" si="72">SUM(P233:Q233)</f>
        <v>7626</v>
      </c>
      <c r="T233" s="12"/>
      <c r="U233" s="12"/>
      <c r="V233" s="12"/>
      <c r="W233" s="12">
        <f t="shared" ref="W233:W264" si="73">SUM(S233:V233)</f>
        <v>7626</v>
      </c>
      <c r="Y233" s="10">
        <v>2</v>
      </c>
      <c r="Z233" s="30">
        <v>45789</v>
      </c>
      <c r="AA233" s="31">
        <f>AA232+1</f>
        <v>7474</v>
      </c>
      <c r="AB233" s="32">
        <f>1878+28.5</f>
        <v>1906.5</v>
      </c>
      <c r="AC233" s="32"/>
      <c r="AD233" s="32"/>
      <c r="AE233" s="32">
        <f t="shared" ref="AE233:AE235" si="74">SUM(AB233:AC233)</f>
        <v>1906.5</v>
      </c>
      <c r="AF233" s="12"/>
      <c r="AG233" s="12">
        <v>18</v>
      </c>
      <c r="AH233" s="12"/>
      <c r="AI233" s="12">
        <f t="shared" ref="AI233:AI264" si="75">SUM(AE233:AH233)</f>
        <v>1924.5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45789</v>
      </c>
      <c r="C234" s="91">
        <f t="shared" ref="C234:C237" si="76">C233+1</f>
        <v>7679</v>
      </c>
      <c r="D234" s="33">
        <f>6260+614+95</f>
        <v>6969</v>
      </c>
      <c r="E234" s="33"/>
      <c r="F234" s="33"/>
      <c r="G234" s="33">
        <f t="shared" si="70"/>
        <v>6969</v>
      </c>
      <c r="H234" s="34"/>
      <c r="I234" s="34"/>
      <c r="J234" s="34"/>
      <c r="K234" s="34">
        <f t="shared" si="71"/>
        <v>6969</v>
      </c>
      <c r="M234" s="10">
        <v>3</v>
      </c>
      <c r="N234" s="30">
        <v>45789</v>
      </c>
      <c r="O234" s="31">
        <f t="shared" ref="O234:O251" si="77">O233+1</f>
        <v>7627</v>
      </c>
      <c r="P234" s="32">
        <f>626+9.5</f>
        <v>635.5</v>
      </c>
      <c r="Q234" s="32"/>
      <c r="R234" s="32"/>
      <c r="S234" s="32">
        <f t="shared" si="72"/>
        <v>635.5</v>
      </c>
      <c r="T234" s="12"/>
      <c r="U234" s="12"/>
      <c r="V234" s="12">
        <v>-555</v>
      </c>
      <c r="W234" s="12">
        <f t="shared" si="73"/>
        <v>80.5</v>
      </c>
      <c r="Y234" s="10">
        <v>3</v>
      </c>
      <c r="Z234" s="30">
        <v>45789</v>
      </c>
      <c r="AA234" s="31">
        <f t="shared" ref="AA234:AA251" si="78">AA233+1</f>
        <v>7475</v>
      </c>
      <c r="AB234" s="33">
        <f>8764+133</f>
        <v>8897</v>
      </c>
      <c r="AC234" s="33"/>
      <c r="AD234" s="32"/>
      <c r="AE234" s="32">
        <f t="shared" si="74"/>
        <v>8897</v>
      </c>
      <c r="AF234" s="12"/>
      <c r="AG234" s="12"/>
      <c r="AH234" s="12"/>
      <c r="AI234" s="12">
        <f t="shared" si="75"/>
        <v>8897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45789</v>
      </c>
      <c r="C235" s="91">
        <f t="shared" si="76"/>
        <v>7680</v>
      </c>
      <c r="D235" s="32">
        <f>3130</f>
        <v>3130</v>
      </c>
      <c r="E235" s="32"/>
      <c r="F235" s="32"/>
      <c r="G235" s="32">
        <f t="shared" si="70"/>
        <v>3130</v>
      </c>
      <c r="H235" s="12"/>
      <c r="I235" s="12">
        <v>555</v>
      </c>
      <c r="J235" s="12"/>
      <c r="K235" s="12">
        <f t="shared" si="71"/>
        <v>3685</v>
      </c>
      <c r="M235" s="10">
        <v>4</v>
      </c>
      <c r="N235" s="30">
        <v>45789</v>
      </c>
      <c r="O235" s="31">
        <f t="shared" si="77"/>
        <v>7628</v>
      </c>
      <c r="P235" s="32">
        <f>626*48+458</f>
        <v>30506</v>
      </c>
      <c r="Q235" s="32"/>
      <c r="R235" s="32"/>
      <c r="S235" s="32">
        <f t="shared" si="72"/>
        <v>30506</v>
      </c>
      <c r="T235" s="12"/>
      <c r="U235" s="12">
        <v>72</v>
      </c>
      <c r="V235" s="12"/>
      <c r="W235" s="12">
        <f t="shared" si="73"/>
        <v>30578</v>
      </c>
      <c r="Y235" s="10">
        <v>4</v>
      </c>
      <c r="Z235" s="30">
        <v>45789</v>
      </c>
      <c r="AA235" s="31">
        <f t="shared" si="78"/>
        <v>7476</v>
      </c>
      <c r="AB235" s="32">
        <f>3756+2384+95</f>
        <v>6235</v>
      </c>
      <c r="AC235" s="32"/>
      <c r="AD235" s="32"/>
      <c r="AE235" s="32">
        <f t="shared" si="74"/>
        <v>6235</v>
      </c>
      <c r="AF235" s="12"/>
      <c r="AH235" s="12"/>
      <c r="AI235" s="12">
        <f t="shared" si="75"/>
        <v>6235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45789</v>
      </c>
      <c r="C236" s="91">
        <f t="shared" si="76"/>
        <v>7681</v>
      </c>
      <c r="D236" s="32">
        <f>45650</f>
        <v>45650</v>
      </c>
      <c r="E236" s="32"/>
      <c r="F236" s="32"/>
      <c r="G236" s="32">
        <f t="shared" si="70"/>
        <v>45650</v>
      </c>
      <c r="H236" s="12"/>
      <c r="I236" s="12"/>
      <c r="J236" s="12"/>
      <c r="K236" s="12">
        <f t="shared" si="71"/>
        <v>45650</v>
      </c>
      <c r="M236" s="10">
        <v>5</v>
      </c>
      <c r="N236" s="30">
        <v>45789</v>
      </c>
      <c r="O236" s="31">
        <f t="shared" si="77"/>
        <v>7629</v>
      </c>
      <c r="P236" s="32">
        <f>1878+596+38.5</f>
        <v>2512.5</v>
      </c>
      <c r="Q236" s="32"/>
      <c r="R236" s="32"/>
      <c r="S236" s="32">
        <f t="shared" si="72"/>
        <v>2512.5</v>
      </c>
      <c r="T236" s="12"/>
      <c r="U236" s="12"/>
      <c r="V236" s="12"/>
      <c r="W236" s="12">
        <f t="shared" si="73"/>
        <v>2512.5</v>
      </c>
      <c r="Y236" s="10">
        <v>5</v>
      </c>
      <c r="Z236" s="30">
        <v>45789</v>
      </c>
      <c r="AA236" s="31">
        <f t="shared" si="78"/>
        <v>7477</v>
      </c>
      <c r="AB236" s="32">
        <f>6260</f>
        <v>6260</v>
      </c>
      <c r="AC236" s="32"/>
      <c r="AD236" s="32"/>
      <c r="AE236" s="32">
        <f t="shared" ref="AE236:AE270" si="79">SUM(AB236:AC236)</f>
        <v>6260</v>
      </c>
      <c r="AF236" s="12"/>
      <c r="AG236" s="12">
        <v>40.5</v>
      </c>
      <c r="AH236" s="12"/>
      <c r="AI236" s="12">
        <f t="shared" si="75"/>
        <v>6300.5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45789</v>
      </c>
      <c r="C237" s="91">
        <f t="shared" si="76"/>
        <v>7682</v>
      </c>
      <c r="D237" s="32">
        <f>11268+171</f>
        <v>11439</v>
      </c>
      <c r="E237" s="32"/>
      <c r="F237" s="32"/>
      <c r="G237" s="32">
        <f t="shared" si="70"/>
        <v>11439</v>
      </c>
      <c r="H237" s="12"/>
      <c r="I237" s="12">
        <v>27</v>
      </c>
      <c r="J237" s="12"/>
      <c r="K237" s="12">
        <f t="shared" si="71"/>
        <v>11466</v>
      </c>
      <c r="M237" s="10">
        <v>6</v>
      </c>
      <c r="N237" s="30">
        <v>45789</v>
      </c>
      <c r="O237" s="31">
        <f t="shared" si="77"/>
        <v>7630</v>
      </c>
      <c r="P237" s="32">
        <f>1252+614+19</f>
        <v>1885</v>
      </c>
      <c r="Q237" s="32"/>
      <c r="R237" s="32"/>
      <c r="S237" s="32">
        <f t="shared" si="72"/>
        <v>1885</v>
      </c>
      <c r="T237" s="12"/>
      <c r="U237" s="12"/>
      <c r="V237" s="10"/>
      <c r="W237" s="12">
        <f t="shared" si="73"/>
        <v>1885</v>
      </c>
      <c r="Y237" s="10">
        <v>6</v>
      </c>
      <c r="Z237" s="30">
        <v>45789</v>
      </c>
      <c r="AA237" s="31">
        <f t="shared" si="78"/>
        <v>7478</v>
      </c>
      <c r="AB237" s="32">
        <f>1878+28.5</f>
        <v>1906.5</v>
      </c>
      <c r="AC237" s="32"/>
      <c r="AD237" s="32"/>
      <c r="AE237" s="32">
        <f t="shared" si="79"/>
        <v>1906.5</v>
      </c>
      <c r="AF237" s="12"/>
      <c r="AG237" s="12"/>
      <c r="AH237" s="10"/>
      <c r="AI237" s="12">
        <f t="shared" si="75"/>
        <v>1906.5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11" t="s">
        <v>27</v>
      </c>
      <c r="D238" s="32"/>
      <c r="E238" s="32"/>
      <c r="F238" s="32"/>
      <c r="G238" s="32">
        <f t="shared" si="70"/>
        <v>0</v>
      </c>
      <c r="H238" s="12"/>
      <c r="I238" s="12"/>
      <c r="J238" s="12"/>
      <c r="K238" s="12">
        <f t="shared" si="71"/>
        <v>0</v>
      </c>
      <c r="M238" s="10">
        <v>7</v>
      </c>
      <c r="N238" s="30">
        <v>45789</v>
      </c>
      <c r="O238" s="31">
        <f t="shared" si="77"/>
        <v>7631</v>
      </c>
      <c r="P238" s="32">
        <f>2504+38</f>
        <v>2542</v>
      </c>
      <c r="Q238" s="32"/>
      <c r="R238" s="32"/>
      <c r="S238" s="32">
        <f t="shared" si="72"/>
        <v>2542</v>
      </c>
      <c r="T238" s="12"/>
      <c r="U238" s="12">
        <v>85.5</v>
      </c>
      <c r="V238" s="12"/>
      <c r="W238" s="12">
        <f t="shared" si="73"/>
        <v>2627.5</v>
      </c>
      <c r="Y238" s="10">
        <v>7</v>
      </c>
      <c r="Z238" s="30">
        <v>45789</v>
      </c>
      <c r="AA238" s="31">
        <f t="shared" si="78"/>
        <v>7479</v>
      </c>
      <c r="AB238" s="32">
        <f>1252+19</f>
        <v>1271</v>
      </c>
      <c r="AC238" s="32"/>
      <c r="AD238" s="32"/>
      <c r="AE238" s="32">
        <f t="shared" si="79"/>
        <v>1271</v>
      </c>
      <c r="AF238" s="12"/>
      <c r="AG238" s="58"/>
      <c r="AH238" s="12"/>
      <c r="AI238" s="12">
        <f t="shared" si="75"/>
        <v>1271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91"/>
      <c r="D239" s="32"/>
      <c r="E239" s="32"/>
      <c r="F239" s="32"/>
      <c r="G239" s="32">
        <f t="shared" si="70"/>
        <v>0</v>
      </c>
      <c r="H239" s="12"/>
      <c r="I239" s="12"/>
      <c r="J239" s="12"/>
      <c r="K239" s="12">
        <f t="shared" si="71"/>
        <v>0</v>
      </c>
      <c r="M239" s="10">
        <v>8</v>
      </c>
      <c r="N239" s="30">
        <v>45789</v>
      </c>
      <c r="O239" s="31">
        <f t="shared" si="77"/>
        <v>7632</v>
      </c>
      <c r="P239" s="32">
        <f>6886+336</f>
        <v>7222</v>
      </c>
      <c r="Q239" s="32"/>
      <c r="R239" s="32"/>
      <c r="S239" s="32">
        <f t="shared" si="72"/>
        <v>7222</v>
      </c>
      <c r="T239" s="12"/>
      <c r="U239" s="12"/>
      <c r="V239" s="12"/>
      <c r="W239" s="12">
        <f t="shared" si="73"/>
        <v>7222</v>
      </c>
      <c r="Y239" s="10">
        <v>8</v>
      </c>
      <c r="Z239" s="30">
        <v>45789</v>
      </c>
      <c r="AA239" s="31">
        <f t="shared" si="78"/>
        <v>7480</v>
      </c>
      <c r="AB239" s="32">
        <f>3130+47.5</f>
        <v>3177.5</v>
      </c>
      <c r="AC239" s="32"/>
      <c r="AE239" s="32">
        <f t="shared" si="79"/>
        <v>3177.5</v>
      </c>
      <c r="AF239" s="12"/>
      <c r="AG239" s="12"/>
      <c r="AH239" s="12"/>
      <c r="AI239" s="12">
        <f t="shared" si="75"/>
        <v>3177.5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91"/>
      <c r="D240" s="32"/>
      <c r="E240" s="32"/>
      <c r="F240" s="32"/>
      <c r="G240" s="32">
        <f t="shared" si="70"/>
        <v>0</v>
      </c>
      <c r="H240" s="12"/>
      <c r="I240" s="12"/>
      <c r="J240" s="12"/>
      <c r="K240" s="12">
        <f t="shared" si="71"/>
        <v>0</v>
      </c>
      <c r="M240" s="10">
        <v>9</v>
      </c>
      <c r="N240" s="30">
        <v>45789</v>
      </c>
      <c r="O240" s="31">
        <f t="shared" si="77"/>
        <v>7633</v>
      </c>
      <c r="P240" s="32">
        <f>3756+224</f>
        <v>3980</v>
      </c>
      <c r="Q240" s="32"/>
      <c r="R240" s="32"/>
      <c r="S240" s="32">
        <f t="shared" si="72"/>
        <v>3980</v>
      </c>
      <c r="T240" s="12"/>
      <c r="U240" s="12">
        <v>22.5</v>
      </c>
      <c r="V240" s="12"/>
      <c r="W240" s="12">
        <f t="shared" si="73"/>
        <v>4002.5</v>
      </c>
      <c r="Y240" s="10">
        <v>9</v>
      </c>
      <c r="Z240" s="30">
        <v>45789</v>
      </c>
      <c r="AA240" s="31">
        <f t="shared" si="78"/>
        <v>7481</v>
      </c>
      <c r="AB240">
        <f>1228</f>
        <v>1228</v>
      </c>
      <c r="AC240" s="32"/>
      <c r="AD240" s="32"/>
      <c r="AE240" s="32">
        <f t="shared" si="79"/>
        <v>1228</v>
      </c>
      <c r="AF240" s="12"/>
      <c r="AH240" s="12"/>
      <c r="AI240" s="12">
        <f t="shared" si="75"/>
        <v>1228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0"/>
        <v>0</v>
      </c>
      <c r="H241" s="12"/>
      <c r="I241" s="12"/>
      <c r="J241" s="12"/>
      <c r="K241" s="12">
        <f t="shared" si="71"/>
        <v>0</v>
      </c>
      <c r="M241" s="10">
        <v>10</v>
      </c>
      <c r="N241" s="30">
        <v>45789</v>
      </c>
      <c r="O241" s="31">
        <f t="shared" si="77"/>
        <v>7634</v>
      </c>
      <c r="P241" s="32">
        <f>1788+28.5</f>
        <v>1816.5</v>
      </c>
      <c r="Q241" s="32"/>
      <c r="R241" s="32"/>
      <c r="S241" s="32">
        <f t="shared" si="72"/>
        <v>1816.5</v>
      </c>
      <c r="T241" s="12"/>
      <c r="U241" s="12"/>
      <c r="V241" s="12"/>
      <c r="W241" s="12">
        <f t="shared" si="73"/>
        <v>1816.5</v>
      </c>
      <c r="Y241" s="10">
        <v>10</v>
      </c>
      <c r="Z241" s="30">
        <v>45789</v>
      </c>
      <c r="AA241" s="31">
        <f t="shared" si="78"/>
        <v>7482</v>
      </c>
      <c r="AB241" s="32">
        <f>1192+852+19</f>
        <v>2063</v>
      </c>
      <c r="AC241" s="32"/>
      <c r="AD241" s="32"/>
      <c r="AE241" s="32">
        <f t="shared" si="79"/>
        <v>2063</v>
      </c>
      <c r="AF241" s="12"/>
      <c r="AG241" s="12"/>
      <c r="AH241" s="12"/>
      <c r="AI241" s="12">
        <f t="shared" si="75"/>
        <v>2063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0"/>
        <v>0</v>
      </c>
      <c r="H242" s="12"/>
      <c r="I242" s="12"/>
      <c r="J242" s="12"/>
      <c r="K242" s="12">
        <f t="shared" si="71"/>
        <v>0</v>
      </c>
      <c r="M242" s="10">
        <v>11</v>
      </c>
      <c r="N242" s="30">
        <v>45789</v>
      </c>
      <c r="O242" s="31">
        <f t="shared" si="77"/>
        <v>7635</v>
      </c>
      <c r="P242" s="32">
        <f>1878+28.5</f>
        <v>1906.5</v>
      </c>
      <c r="Q242" s="32"/>
      <c r="R242" s="32"/>
      <c r="S242" s="32">
        <f t="shared" si="72"/>
        <v>1906.5</v>
      </c>
      <c r="T242" s="12"/>
      <c r="U242" s="12"/>
      <c r="V242" s="12"/>
      <c r="W242" s="12">
        <f t="shared" si="73"/>
        <v>1906.5</v>
      </c>
      <c r="Y242" s="10">
        <v>11</v>
      </c>
      <c r="Z242" s="30">
        <v>45789</v>
      </c>
      <c r="AA242" s="31">
        <f t="shared" si="78"/>
        <v>7483</v>
      </c>
      <c r="AB242" s="32">
        <f>7512+852+832</f>
        <v>9196</v>
      </c>
      <c r="AC242" s="32"/>
      <c r="AD242" s="32"/>
      <c r="AE242" s="32">
        <f t="shared" si="79"/>
        <v>9196</v>
      </c>
      <c r="AF242" s="12"/>
      <c r="AG242" s="12"/>
      <c r="AH242" s="12"/>
      <c r="AI242" s="12">
        <f t="shared" si="75"/>
        <v>9196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0"/>
        <v>0</v>
      </c>
      <c r="H243" s="12"/>
      <c r="I243" s="12"/>
      <c r="J243" s="10"/>
      <c r="K243" s="12">
        <f t="shared" si="71"/>
        <v>0</v>
      </c>
      <c r="M243" s="10">
        <v>12</v>
      </c>
      <c r="N243" s="30">
        <v>45789</v>
      </c>
      <c r="O243" s="31">
        <f t="shared" si="77"/>
        <v>7636</v>
      </c>
      <c r="P243" s="32">
        <f>3130+47.5</f>
        <v>3177.5</v>
      </c>
      <c r="Q243" s="32"/>
      <c r="R243" s="32"/>
      <c r="S243" s="32">
        <f t="shared" si="72"/>
        <v>3177.5</v>
      </c>
      <c r="T243" s="12"/>
      <c r="U243" s="12">
        <v>13.5</v>
      </c>
      <c r="V243" s="12"/>
      <c r="W243" s="12">
        <f t="shared" si="73"/>
        <v>3191</v>
      </c>
      <c r="Y243" s="10">
        <v>12</v>
      </c>
      <c r="Z243" s="30">
        <v>45789</v>
      </c>
      <c r="AA243" s="31">
        <f t="shared" si="78"/>
        <v>7484</v>
      </c>
      <c r="AB243" s="32">
        <f>3130+596</f>
        <v>3726</v>
      </c>
      <c r="AC243" s="32"/>
      <c r="AD243" s="32"/>
      <c r="AE243" s="32">
        <f t="shared" si="79"/>
        <v>3726</v>
      </c>
      <c r="AF243" s="12"/>
      <c r="AG243" s="12"/>
      <c r="AH243" s="12"/>
      <c r="AI243" s="12">
        <f t="shared" si="75"/>
        <v>3726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0"/>
        <v>0</v>
      </c>
      <c r="H244" s="12"/>
      <c r="I244" s="12"/>
      <c r="J244" s="12"/>
      <c r="K244" s="12">
        <f t="shared" si="71"/>
        <v>0</v>
      </c>
      <c r="M244" s="10">
        <v>13</v>
      </c>
      <c r="N244" s="30">
        <v>45789</v>
      </c>
      <c r="O244" s="31">
        <f t="shared" si="77"/>
        <v>7637</v>
      </c>
      <c r="P244" s="32">
        <f>1252+19</f>
        <v>1271</v>
      </c>
      <c r="Q244" s="32"/>
      <c r="R244" s="32"/>
      <c r="S244" s="32">
        <f t="shared" si="72"/>
        <v>1271</v>
      </c>
      <c r="T244" s="12"/>
      <c r="U244" s="12"/>
      <c r="V244" s="12"/>
      <c r="W244" s="12">
        <f t="shared" si="73"/>
        <v>1271</v>
      </c>
      <c r="Y244" s="10">
        <v>13</v>
      </c>
      <c r="Z244" s="30">
        <v>45789</v>
      </c>
      <c r="AA244" s="31">
        <f t="shared" si="78"/>
        <v>7485</v>
      </c>
      <c r="AB244" s="32">
        <f>5634</f>
        <v>5634</v>
      </c>
      <c r="AC244" s="32"/>
      <c r="AD244" s="32"/>
      <c r="AE244" s="32">
        <f t="shared" si="79"/>
        <v>5634</v>
      </c>
      <c r="AF244" s="12"/>
      <c r="AG244" s="12"/>
      <c r="AH244" s="12"/>
      <c r="AI244" s="12">
        <f t="shared" si="75"/>
        <v>5634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0"/>
        <v>0</v>
      </c>
      <c r="H245" s="12"/>
      <c r="I245" s="12"/>
      <c r="J245" s="12"/>
      <c r="K245" s="12">
        <f t="shared" si="71"/>
        <v>0</v>
      </c>
      <c r="M245" s="10">
        <v>14</v>
      </c>
      <c r="N245" s="30">
        <v>45789</v>
      </c>
      <c r="O245" s="31">
        <f t="shared" si="77"/>
        <v>7638</v>
      </c>
      <c r="P245" s="32">
        <f>1252+19</f>
        <v>1271</v>
      </c>
      <c r="Q245" s="32"/>
      <c r="R245" s="32"/>
      <c r="S245" s="32">
        <f t="shared" si="72"/>
        <v>1271</v>
      </c>
      <c r="T245" s="12"/>
      <c r="U245" s="12"/>
      <c r="V245" s="12"/>
      <c r="W245" s="12">
        <f t="shared" si="73"/>
        <v>1271</v>
      </c>
      <c r="Y245" s="10">
        <v>14</v>
      </c>
      <c r="Z245" s="30">
        <v>45789</v>
      </c>
      <c r="AA245" s="31">
        <f t="shared" si="78"/>
        <v>7486</v>
      </c>
      <c r="AB245" s="32">
        <f>3130+614+2022+596+852+1005+832+229+500</f>
        <v>9780</v>
      </c>
      <c r="AC245" s="32"/>
      <c r="AD245" s="32"/>
      <c r="AE245" s="32">
        <f t="shared" si="79"/>
        <v>9780</v>
      </c>
      <c r="AF245" s="12"/>
      <c r="AG245" s="12"/>
      <c r="AH245" s="12"/>
      <c r="AI245" s="12">
        <f t="shared" si="75"/>
        <v>9780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0"/>
        <v>0</v>
      </c>
      <c r="H246" s="12"/>
      <c r="I246" s="12"/>
      <c r="J246" s="12"/>
      <c r="K246" s="12">
        <f t="shared" si="71"/>
        <v>0</v>
      </c>
      <c r="M246" s="10">
        <v>15</v>
      </c>
      <c r="N246" s="30">
        <v>45789</v>
      </c>
      <c r="O246" s="31">
        <f t="shared" si="77"/>
        <v>7639</v>
      </c>
      <c r="P246" s="32">
        <f>20032</f>
        <v>20032</v>
      </c>
      <c r="Q246" s="32"/>
      <c r="R246" s="32"/>
      <c r="S246" s="32">
        <f t="shared" si="72"/>
        <v>20032</v>
      </c>
      <c r="T246" s="12"/>
      <c r="U246" s="12"/>
      <c r="V246" s="12"/>
      <c r="W246" s="12">
        <f t="shared" si="73"/>
        <v>20032</v>
      </c>
      <c r="Y246" s="10">
        <v>15</v>
      </c>
      <c r="Z246" s="30">
        <v>45789</v>
      </c>
      <c r="AA246" s="31">
        <f t="shared" si="78"/>
        <v>7487</v>
      </c>
      <c r="AB246" s="32">
        <f>6140</f>
        <v>6140</v>
      </c>
      <c r="AC246" s="32"/>
      <c r="AD246" s="32"/>
      <c r="AE246" s="32">
        <f t="shared" si="79"/>
        <v>6140</v>
      </c>
      <c r="AF246" s="12"/>
      <c r="AG246" s="12"/>
      <c r="AH246" s="12"/>
      <c r="AI246" s="12">
        <f t="shared" si="75"/>
        <v>6140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91"/>
      <c r="D247" s="32"/>
      <c r="E247" s="32"/>
      <c r="F247" s="32"/>
      <c r="G247" s="32">
        <f t="shared" si="70"/>
        <v>0</v>
      </c>
      <c r="H247" s="12"/>
      <c r="I247" s="12"/>
      <c r="J247" s="12"/>
      <c r="K247" s="12">
        <f t="shared" si="71"/>
        <v>0</v>
      </c>
      <c r="M247" s="10">
        <v>16</v>
      </c>
      <c r="N247" s="30">
        <v>45789</v>
      </c>
      <c r="O247" s="31">
        <f t="shared" si="77"/>
        <v>7640</v>
      </c>
      <c r="P247" s="32">
        <f>626*27+674</f>
        <v>17576</v>
      </c>
      <c r="Q247" s="32"/>
      <c r="R247" s="32"/>
      <c r="S247" s="32">
        <f t="shared" si="72"/>
        <v>17576</v>
      </c>
      <c r="T247" s="12"/>
      <c r="U247" s="12"/>
      <c r="V247" s="12"/>
      <c r="W247" s="12">
        <f t="shared" si="73"/>
        <v>17576</v>
      </c>
      <c r="Y247" s="10">
        <v>16</v>
      </c>
      <c r="Z247" s="30">
        <v>45789</v>
      </c>
      <c r="AA247" s="31">
        <f t="shared" si="78"/>
        <v>7488</v>
      </c>
      <c r="AB247" s="32">
        <f>9390+3070+114</f>
        <v>12574</v>
      </c>
      <c r="AC247" s="32"/>
      <c r="AD247" s="32"/>
      <c r="AE247" s="32">
        <f t="shared" si="79"/>
        <v>12574</v>
      </c>
      <c r="AF247" s="12"/>
      <c r="AG247" s="12"/>
      <c r="AH247" s="12"/>
      <c r="AI247" s="12">
        <f t="shared" si="75"/>
        <v>12574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D248" s="32"/>
      <c r="E248" s="32"/>
      <c r="F248" s="32"/>
      <c r="G248" s="32">
        <f t="shared" si="70"/>
        <v>0</v>
      </c>
      <c r="H248" s="12"/>
      <c r="I248" s="12"/>
      <c r="J248" s="12"/>
      <c r="K248" s="12">
        <f t="shared" si="71"/>
        <v>0</v>
      </c>
      <c r="M248" s="10">
        <v>17</v>
      </c>
      <c r="N248" s="30">
        <v>45789</v>
      </c>
      <c r="O248" s="31">
        <f t="shared" si="77"/>
        <v>7641</v>
      </c>
      <c r="P248" s="35">
        <f>5634+596+9.5*10</f>
        <v>6325</v>
      </c>
      <c r="Q248" s="32"/>
      <c r="R248" s="32"/>
      <c r="S248" s="32">
        <f t="shared" si="72"/>
        <v>6325</v>
      </c>
      <c r="T248" s="12"/>
      <c r="U248" s="12"/>
      <c r="V248" s="12"/>
      <c r="W248" s="12">
        <f t="shared" si="73"/>
        <v>6325</v>
      </c>
      <c r="Y248" s="10">
        <v>17</v>
      </c>
      <c r="Z248" s="30">
        <v>45789</v>
      </c>
      <c r="AA248" s="31">
        <f t="shared" si="78"/>
        <v>7489</v>
      </c>
      <c r="AB248" s="35">
        <f>31300+458</f>
        <v>31758</v>
      </c>
      <c r="AC248" s="32">
        <v>-300</v>
      </c>
      <c r="AD248" s="32"/>
      <c r="AE248" s="32">
        <f t="shared" si="79"/>
        <v>31458</v>
      </c>
      <c r="AF248" s="12"/>
      <c r="AG248" s="12"/>
      <c r="AH248" s="12">
        <v>-234</v>
      </c>
      <c r="AI248" s="12">
        <f t="shared" si="75"/>
        <v>31224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0"/>
        <v>0</v>
      </c>
      <c r="H249" s="12"/>
      <c r="I249" s="12"/>
      <c r="J249" s="12"/>
      <c r="K249" s="12">
        <f t="shared" si="71"/>
        <v>0</v>
      </c>
      <c r="M249" s="10">
        <v>18</v>
      </c>
      <c r="N249" s="30">
        <v>45789</v>
      </c>
      <c r="O249" s="31">
        <f t="shared" si="77"/>
        <v>7642</v>
      </c>
      <c r="P249" s="32">
        <f>6260+596+104.5</f>
        <v>6960.5</v>
      </c>
      <c r="Q249" s="32"/>
      <c r="R249" s="32"/>
      <c r="S249" s="32">
        <f t="shared" si="72"/>
        <v>6960.5</v>
      </c>
      <c r="T249" s="12"/>
      <c r="U249" s="12"/>
      <c r="V249" s="12"/>
      <c r="W249" s="12">
        <f t="shared" si="73"/>
        <v>6960.5</v>
      </c>
      <c r="Y249" s="10">
        <v>18</v>
      </c>
      <c r="Z249" s="30">
        <v>45789</v>
      </c>
      <c r="AA249" s="31">
        <f t="shared" si="78"/>
        <v>7490</v>
      </c>
      <c r="AB249" s="32">
        <f>6260+9.5*10</f>
        <v>6355</v>
      </c>
      <c r="AC249" s="32"/>
      <c r="AD249" s="32"/>
      <c r="AE249" s="32">
        <f t="shared" si="79"/>
        <v>6355</v>
      </c>
      <c r="AF249" s="12"/>
      <c r="AG249" s="12"/>
      <c r="AH249" s="12"/>
      <c r="AI249" s="12">
        <f t="shared" si="75"/>
        <v>6355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0"/>
        <v>0</v>
      </c>
      <c r="H250" s="12"/>
      <c r="I250" s="12"/>
      <c r="J250" s="12"/>
      <c r="K250" s="12">
        <f t="shared" si="71"/>
        <v>0</v>
      </c>
      <c r="M250" s="10">
        <v>19</v>
      </c>
      <c r="N250" s="30">
        <v>45789</v>
      </c>
      <c r="O250" s="31">
        <f t="shared" si="77"/>
        <v>7643</v>
      </c>
      <c r="P250" s="32">
        <f>1252+1348+1192+229</f>
        <v>4021</v>
      </c>
      <c r="Q250" s="32"/>
      <c r="R250" s="32"/>
      <c r="S250" s="32">
        <f t="shared" si="72"/>
        <v>4021</v>
      </c>
      <c r="T250" s="12"/>
      <c r="U250" s="12"/>
      <c r="V250" s="12"/>
      <c r="W250" s="12">
        <f t="shared" si="73"/>
        <v>4021</v>
      </c>
      <c r="Y250" s="10">
        <v>19</v>
      </c>
      <c r="Z250" s="30">
        <v>45789</v>
      </c>
      <c r="AA250" s="31">
        <f t="shared" si="78"/>
        <v>7491</v>
      </c>
      <c r="AB250" s="32">
        <f>1252+19</f>
        <v>1271</v>
      </c>
      <c r="AC250" s="32"/>
      <c r="AD250" s="32"/>
      <c r="AE250" s="32">
        <f t="shared" si="79"/>
        <v>1271</v>
      </c>
      <c r="AF250" s="12"/>
      <c r="AG250" s="12"/>
      <c r="AH250" s="12"/>
      <c r="AI250" s="12">
        <f t="shared" si="75"/>
        <v>1271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0"/>
        <v>0</v>
      </c>
      <c r="H251" s="12"/>
      <c r="I251" s="12"/>
      <c r="J251" s="12"/>
      <c r="K251" s="12">
        <f t="shared" si="71"/>
        <v>0</v>
      </c>
      <c r="M251" s="10">
        <v>20</v>
      </c>
      <c r="N251" s="30">
        <v>45789</v>
      </c>
      <c r="O251" s="31">
        <f t="shared" si="77"/>
        <v>7644</v>
      </c>
      <c r="P251" s="32">
        <f>626</f>
        <v>626</v>
      </c>
      <c r="Q251" s="32"/>
      <c r="R251" s="32"/>
      <c r="S251" s="32">
        <f t="shared" si="72"/>
        <v>626</v>
      </c>
      <c r="T251" s="12"/>
      <c r="U251" s="12"/>
      <c r="V251" s="12"/>
      <c r="W251" s="12">
        <f t="shared" si="73"/>
        <v>626</v>
      </c>
      <c r="Y251" s="10">
        <v>20</v>
      </c>
      <c r="Z251" s="30">
        <v>45789</v>
      </c>
      <c r="AA251" s="31">
        <f t="shared" si="78"/>
        <v>7492</v>
      </c>
      <c r="AB251" s="32">
        <f>8138+614</f>
        <v>8752</v>
      </c>
      <c r="AC251" s="32"/>
      <c r="AD251" s="32"/>
      <c r="AE251" s="32">
        <f t="shared" si="79"/>
        <v>8752</v>
      </c>
      <c r="AF251" s="12"/>
      <c r="AG251" s="12"/>
      <c r="AH251" s="12">
        <v>-666</v>
      </c>
      <c r="AI251" s="12">
        <f t="shared" si="75"/>
        <v>8086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0"/>
        <v>0</v>
      </c>
      <c r="H252" s="10"/>
      <c r="I252" s="10"/>
      <c r="J252" s="10"/>
      <c r="K252" s="12">
        <f t="shared" si="71"/>
        <v>0</v>
      </c>
      <c r="M252" s="10">
        <v>21</v>
      </c>
      <c r="N252" s="30"/>
      <c r="O252" s="11" t="s">
        <v>27</v>
      </c>
      <c r="P252" s="46"/>
      <c r="Q252" s="31"/>
      <c r="R252" s="31"/>
      <c r="S252" s="32">
        <f t="shared" si="72"/>
        <v>0</v>
      </c>
      <c r="T252" s="10"/>
      <c r="U252" s="10"/>
      <c r="V252" s="10"/>
      <c r="W252" s="12">
        <f t="shared" si="73"/>
        <v>0</v>
      </c>
      <c r="Y252" s="10">
        <v>21</v>
      </c>
      <c r="Z252" s="30"/>
      <c r="AA252" s="11" t="s">
        <v>27</v>
      </c>
      <c r="AB252" s="46"/>
      <c r="AC252" s="31"/>
      <c r="AD252" s="31"/>
      <c r="AE252" s="32">
        <f t="shared" si="79"/>
        <v>0</v>
      </c>
      <c r="AF252" s="10"/>
      <c r="AG252" s="10"/>
      <c r="AH252" s="10"/>
      <c r="AI252" s="12">
        <f t="shared" si="75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0"/>
        <v>0</v>
      </c>
      <c r="H253" s="10"/>
      <c r="I253" s="10"/>
      <c r="J253" s="10"/>
      <c r="K253" s="12">
        <f t="shared" si="71"/>
        <v>0</v>
      </c>
      <c r="M253" s="10">
        <v>22</v>
      </c>
      <c r="N253" s="30"/>
      <c r="O253" s="31"/>
      <c r="P253" s="45"/>
      <c r="Q253" s="31"/>
      <c r="R253" s="31"/>
      <c r="S253" s="32">
        <f t="shared" si="72"/>
        <v>0</v>
      </c>
      <c r="T253" s="10"/>
      <c r="U253" s="10"/>
      <c r="V253" s="10"/>
      <c r="W253" s="12">
        <f t="shared" si="73"/>
        <v>0</v>
      </c>
      <c r="Y253" s="10">
        <v>22</v>
      </c>
      <c r="Z253" s="30"/>
      <c r="AB253" s="45"/>
      <c r="AC253" s="31"/>
      <c r="AD253" s="31"/>
      <c r="AE253" s="32">
        <f t="shared" si="79"/>
        <v>0</v>
      </c>
      <c r="AF253" s="10"/>
      <c r="AG253" s="10"/>
      <c r="AH253" s="10"/>
      <c r="AI253" s="12">
        <f t="shared" si="75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57"/>
      <c r="D254" s="32"/>
      <c r="E254" s="32"/>
      <c r="F254" s="32"/>
      <c r="G254" s="32">
        <f t="shared" si="70"/>
        <v>0</v>
      </c>
      <c r="H254" s="10"/>
      <c r="I254" s="10"/>
      <c r="J254" s="12"/>
      <c r="K254" s="12">
        <f t="shared" si="71"/>
        <v>0</v>
      </c>
      <c r="M254" s="10">
        <v>23</v>
      </c>
      <c r="N254" s="30"/>
      <c r="O254" s="31"/>
      <c r="P254" s="47"/>
      <c r="S254" s="32">
        <f t="shared" si="72"/>
        <v>0</v>
      </c>
      <c r="T254" s="10"/>
      <c r="U254" s="10"/>
      <c r="V254" s="10"/>
      <c r="W254" s="12">
        <f t="shared" si="73"/>
        <v>0</v>
      </c>
      <c r="Y254" s="10">
        <v>23</v>
      </c>
      <c r="Z254" s="30"/>
      <c r="AA254" s="31"/>
      <c r="AB254" s="47"/>
      <c r="AE254" s="32">
        <f t="shared" si="79"/>
        <v>0</v>
      </c>
      <c r="AF254" s="10"/>
      <c r="AG254" s="10"/>
      <c r="AH254" s="10"/>
      <c r="AI254" s="12">
        <f t="shared" si="75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31"/>
      <c r="D255" s="32"/>
      <c r="E255" s="32"/>
      <c r="F255" s="32"/>
      <c r="G255" s="32">
        <f t="shared" si="70"/>
        <v>0</v>
      </c>
      <c r="H255" s="10"/>
      <c r="I255" s="10"/>
      <c r="J255" s="10"/>
      <c r="K255" s="12">
        <f t="shared" si="71"/>
        <v>0</v>
      </c>
      <c r="M255" s="10">
        <v>24</v>
      </c>
      <c r="N255" s="30"/>
      <c r="O255" s="31"/>
      <c r="P255" s="47"/>
      <c r="Q255" s="31"/>
      <c r="R255" s="31"/>
      <c r="S255" s="32">
        <f t="shared" si="72"/>
        <v>0</v>
      </c>
      <c r="T255" s="10"/>
      <c r="U255" s="10"/>
      <c r="V255" s="10"/>
      <c r="W255" s="12">
        <f t="shared" si="73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9"/>
        <v>0</v>
      </c>
      <c r="AF255" s="10"/>
      <c r="AG255" s="10"/>
      <c r="AH255" s="10"/>
      <c r="AI255" s="12">
        <f t="shared" si="75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31"/>
      <c r="D256" s="32"/>
      <c r="E256" s="32"/>
      <c r="F256" s="32"/>
      <c r="G256" s="32">
        <f t="shared" si="70"/>
        <v>0</v>
      </c>
      <c r="H256" s="10"/>
      <c r="I256" s="10"/>
      <c r="J256" s="10"/>
      <c r="K256" s="12">
        <f t="shared" si="71"/>
        <v>0</v>
      </c>
      <c r="M256" s="10">
        <v>25</v>
      </c>
      <c r="N256" s="30"/>
      <c r="O256" s="31"/>
      <c r="P256" s="47"/>
      <c r="Q256" s="31"/>
      <c r="R256" s="31"/>
      <c r="S256" s="32">
        <f t="shared" si="72"/>
        <v>0</v>
      </c>
      <c r="T256" s="10"/>
      <c r="U256" s="10"/>
      <c r="V256" s="10"/>
      <c r="W256" s="12">
        <f t="shared" si="73"/>
        <v>0</v>
      </c>
      <c r="Y256" s="10">
        <v>25</v>
      </c>
      <c r="Z256" s="30"/>
      <c r="AA256" s="11"/>
      <c r="AB256" s="47"/>
      <c r="AC256" s="31"/>
      <c r="AD256" s="31"/>
      <c r="AE256" s="32">
        <f t="shared" si="79"/>
        <v>0</v>
      </c>
      <c r="AF256" s="10"/>
      <c r="AG256" s="10"/>
      <c r="AH256" s="10"/>
      <c r="AI256" s="12">
        <f t="shared" si="75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11"/>
      <c r="D257" s="32"/>
      <c r="E257" s="32"/>
      <c r="F257" s="32"/>
      <c r="G257" s="32">
        <f t="shared" si="70"/>
        <v>0</v>
      </c>
      <c r="H257" s="10"/>
      <c r="I257" s="10"/>
      <c r="J257" s="10"/>
      <c r="K257" s="12">
        <f t="shared" si="71"/>
        <v>0</v>
      </c>
      <c r="M257" s="10">
        <v>26</v>
      </c>
      <c r="N257" s="30"/>
      <c r="P257" s="47"/>
      <c r="Q257" s="31"/>
      <c r="R257" s="31"/>
      <c r="S257" s="32">
        <f t="shared" si="72"/>
        <v>0</v>
      </c>
      <c r="T257" s="10"/>
      <c r="U257" s="10"/>
      <c r="V257" s="10"/>
      <c r="W257" s="12">
        <f t="shared" si="73"/>
        <v>0</v>
      </c>
      <c r="Y257" s="10">
        <v>26</v>
      </c>
      <c r="Z257" s="30"/>
      <c r="AB257" s="47"/>
      <c r="AC257" s="31"/>
      <c r="AD257" s="31"/>
      <c r="AE257" s="32">
        <f t="shared" si="79"/>
        <v>0</v>
      </c>
      <c r="AF257" s="10"/>
      <c r="AG257" s="10"/>
      <c r="AH257" s="10"/>
      <c r="AI257" s="12">
        <f t="shared" si="75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57"/>
      <c r="D258" s="32"/>
      <c r="E258" s="32"/>
      <c r="F258" s="32"/>
      <c r="G258" s="32">
        <f t="shared" si="70"/>
        <v>0</v>
      </c>
      <c r="H258" s="10"/>
      <c r="I258" s="10"/>
      <c r="J258" s="10"/>
      <c r="K258" s="12">
        <f t="shared" si="71"/>
        <v>0</v>
      </c>
      <c r="M258" s="10">
        <v>27</v>
      </c>
      <c r="N258" s="30"/>
      <c r="O258" s="31"/>
      <c r="P258" s="47"/>
      <c r="Q258" s="31"/>
      <c r="R258" s="31"/>
      <c r="S258" s="32">
        <f t="shared" si="72"/>
        <v>0</v>
      </c>
      <c r="T258" s="10"/>
      <c r="U258" s="10"/>
      <c r="V258" s="10"/>
      <c r="W258" s="12">
        <f t="shared" si="73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9"/>
        <v>0</v>
      </c>
      <c r="AF258" s="10"/>
      <c r="AG258" s="10"/>
      <c r="AH258" s="10"/>
      <c r="AI258" s="12">
        <f t="shared" si="75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31"/>
      <c r="D259" s="32"/>
      <c r="E259" s="32"/>
      <c r="F259" s="32"/>
      <c r="G259" s="32">
        <f t="shared" si="70"/>
        <v>0</v>
      </c>
      <c r="H259" s="10"/>
      <c r="I259" s="10"/>
      <c r="J259" s="10"/>
      <c r="K259" s="12">
        <f t="shared" si="71"/>
        <v>0</v>
      </c>
      <c r="M259" s="10">
        <v>28</v>
      </c>
      <c r="N259" s="30"/>
      <c r="O259" s="31"/>
      <c r="P259" s="47"/>
      <c r="Q259" s="31"/>
      <c r="R259" s="31"/>
      <c r="S259" s="32">
        <f t="shared" si="72"/>
        <v>0</v>
      </c>
      <c r="T259" s="10"/>
      <c r="U259" s="10"/>
      <c r="V259" s="10"/>
      <c r="W259" s="12">
        <f t="shared" si="73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9"/>
        <v>0</v>
      </c>
      <c r="AF259" s="10"/>
      <c r="AG259" s="10"/>
      <c r="AH259" s="10"/>
      <c r="AI259" s="12">
        <f t="shared" si="75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31"/>
      <c r="D260" s="32"/>
      <c r="E260" s="32"/>
      <c r="F260" s="32"/>
      <c r="G260" s="32">
        <f t="shared" si="70"/>
        <v>0</v>
      </c>
      <c r="H260" s="10"/>
      <c r="I260" s="10"/>
      <c r="J260" s="10"/>
      <c r="K260" s="12">
        <f t="shared" si="71"/>
        <v>0</v>
      </c>
      <c r="M260" s="10">
        <v>29</v>
      </c>
      <c r="N260" s="30"/>
      <c r="P260" s="47"/>
      <c r="Q260" s="31"/>
      <c r="R260" s="31"/>
      <c r="S260" s="32">
        <f t="shared" si="72"/>
        <v>0</v>
      </c>
      <c r="T260" s="10"/>
      <c r="U260" s="10"/>
      <c r="V260" s="10"/>
      <c r="W260" s="12">
        <f t="shared" si="73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9"/>
        <v>0</v>
      </c>
      <c r="AF260" s="10"/>
      <c r="AG260" s="10"/>
      <c r="AH260" s="10"/>
      <c r="AI260" s="12">
        <f t="shared" si="75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57"/>
      <c r="D261" s="32"/>
      <c r="E261" s="32"/>
      <c r="F261" s="32"/>
      <c r="G261" s="32">
        <f t="shared" si="70"/>
        <v>0</v>
      </c>
      <c r="H261" s="10"/>
      <c r="I261" s="10"/>
      <c r="J261" s="10"/>
      <c r="K261" s="12">
        <f t="shared" si="71"/>
        <v>0</v>
      </c>
      <c r="M261" s="10">
        <v>30</v>
      </c>
      <c r="N261" s="30"/>
      <c r="P261" s="47"/>
      <c r="Q261" s="31"/>
      <c r="R261" s="31"/>
      <c r="S261" s="32">
        <f t="shared" si="72"/>
        <v>0</v>
      </c>
      <c r="T261" s="10"/>
      <c r="U261" s="10"/>
      <c r="V261" s="10"/>
      <c r="W261" s="12">
        <f t="shared" si="73"/>
        <v>0</v>
      </c>
      <c r="Y261" s="10">
        <v>30</v>
      </c>
      <c r="Z261" s="30"/>
      <c r="AB261" s="47"/>
      <c r="AC261" s="31"/>
      <c r="AD261" s="31"/>
      <c r="AE261" s="32">
        <f t="shared" si="79"/>
        <v>0</v>
      </c>
      <c r="AF261" s="10"/>
      <c r="AG261" s="10"/>
      <c r="AH261" s="10"/>
      <c r="AI261" s="12">
        <f t="shared" si="75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70"/>
        <v>0</v>
      </c>
      <c r="H262" s="10"/>
      <c r="I262" s="10"/>
      <c r="J262" s="10"/>
      <c r="K262" s="12">
        <f t="shared" si="71"/>
        <v>0</v>
      </c>
      <c r="M262" s="10">
        <v>31</v>
      </c>
      <c r="N262" s="30"/>
      <c r="O262" s="31"/>
      <c r="P262" s="47"/>
      <c r="Q262" s="31"/>
      <c r="R262" s="31"/>
      <c r="S262" s="32">
        <f t="shared" si="72"/>
        <v>0</v>
      </c>
      <c r="T262" s="10"/>
      <c r="U262" s="10"/>
      <c r="V262" s="10"/>
      <c r="W262" s="12">
        <f t="shared" si="73"/>
        <v>0</v>
      </c>
      <c r="Y262" s="10">
        <v>31</v>
      </c>
      <c r="Z262" s="30"/>
      <c r="AB262" s="47"/>
      <c r="AC262" s="31"/>
      <c r="AD262" s="31"/>
      <c r="AE262" s="32">
        <f t="shared" si="79"/>
        <v>0</v>
      </c>
      <c r="AF262" s="10"/>
      <c r="AG262" s="10"/>
      <c r="AH262" s="10"/>
      <c r="AI262" s="12">
        <f t="shared" si="75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70"/>
        <v>0</v>
      </c>
      <c r="H263" s="10"/>
      <c r="I263" s="10"/>
      <c r="J263" s="10"/>
      <c r="K263" s="12">
        <f t="shared" si="71"/>
        <v>0</v>
      </c>
      <c r="M263" s="10">
        <v>32</v>
      </c>
      <c r="N263" s="30"/>
      <c r="P263" s="47"/>
      <c r="Q263" s="31"/>
      <c r="R263" s="31"/>
      <c r="S263" s="32">
        <f t="shared" si="72"/>
        <v>0</v>
      </c>
      <c r="T263" s="10"/>
      <c r="U263" s="10"/>
      <c r="V263" s="10"/>
      <c r="W263" s="12">
        <f t="shared" si="73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9"/>
        <v>0</v>
      </c>
      <c r="AF263" s="10"/>
      <c r="AG263" s="10"/>
      <c r="AH263" s="10"/>
      <c r="AI263" s="12">
        <f t="shared" si="75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70"/>
        <v>0</v>
      </c>
      <c r="H264" s="10"/>
      <c r="I264" s="10"/>
      <c r="J264" s="10"/>
      <c r="K264" s="12">
        <f t="shared" si="71"/>
        <v>0</v>
      </c>
      <c r="M264" s="10">
        <v>33</v>
      </c>
      <c r="N264" s="30"/>
      <c r="O264" s="31"/>
      <c r="P264" s="47"/>
      <c r="Q264" s="31"/>
      <c r="R264" s="31"/>
      <c r="S264" s="32">
        <f t="shared" si="72"/>
        <v>0</v>
      </c>
      <c r="T264" s="10"/>
      <c r="U264" s="10"/>
      <c r="V264" s="10"/>
      <c r="W264" s="12">
        <f t="shared" si="73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9"/>
        <v>0</v>
      </c>
      <c r="AF264" s="10"/>
      <c r="AG264" s="10"/>
      <c r="AH264" s="10"/>
      <c r="AI264" s="12">
        <f t="shared" si="75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70"/>
        <v>0</v>
      </c>
      <c r="H265" s="10"/>
      <c r="I265" s="10"/>
      <c r="J265" s="10"/>
      <c r="K265" s="12">
        <f t="shared" si="71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0">SUM(P265:Q265)</f>
        <v>0</v>
      </c>
      <c r="T265" s="10"/>
      <c r="U265" s="10"/>
      <c r="V265" s="10"/>
      <c r="W265" s="12">
        <f t="shared" ref="W265:W273" si="81">SUM(S265:V265)</f>
        <v>0</v>
      </c>
      <c r="Y265" s="10">
        <v>34</v>
      </c>
      <c r="Z265" s="30"/>
      <c r="AB265" s="47"/>
      <c r="AC265" s="31"/>
      <c r="AD265" s="31"/>
      <c r="AE265" s="32">
        <f t="shared" si="79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0"/>
        <v>0</v>
      </c>
      <c r="T266" s="10"/>
      <c r="U266" s="10"/>
      <c r="V266" s="10"/>
      <c r="W266" s="12">
        <f t="shared" si="8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9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0"/>
        <v>0</v>
      </c>
      <c r="T267" s="10"/>
      <c r="U267" s="10"/>
      <c r="V267" s="10"/>
      <c r="W267" s="12">
        <f t="shared" si="8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9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0"/>
        <v>0</v>
      </c>
      <c r="T268" s="10"/>
      <c r="U268" s="10"/>
      <c r="V268" s="10"/>
      <c r="W268" s="12">
        <f t="shared" si="8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9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0"/>
        <v>0</v>
      </c>
      <c r="T269" s="10"/>
      <c r="U269" s="10"/>
      <c r="V269" s="10"/>
      <c r="W269" s="12">
        <f t="shared" si="8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9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0"/>
        <v>0</v>
      </c>
      <c r="T270" s="10"/>
      <c r="U270" s="10"/>
      <c r="V270" s="10"/>
      <c r="W270" s="12">
        <f t="shared" si="8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9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10"/>
      <c r="N272" s="30"/>
      <c r="O272" s="31"/>
      <c r="P272" s="47"/>
      <c r="Q272" s="31"/>
      <c r="R272" s="31"/>
      <c r="S272" s="32">
        <f t="shared" ref="S272" si="85">SUM(P272:Q272)</f>
        <v>0</v>
      </c>
      <c r="T272" s="10"/>
      <c r="U272" s="10"/>
      <c r="V272" s="10"/>
      <c r="W272" s="12">
        <f t="shared" si="81"/>
        <v>0</v>
      </c>
      <c r="Y272" s="10"/>
      <c r="Z272" s="30"/>
      <c r="AA272" s="31"/>
      <c r="AB272" s="47"/>
      <c r="AC272" s="31"/>
      <c r="AD272" s="31"/>
      <c r="AE272" s="32">
        <f t="shared" ref="AE272" si="86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407261</v>
      </c>
      <c r="E275" s="38">
        <f t="shared" ref="E275:F275" si="87">SUM(E232:E272)</f>
        <v>-3012</v>
      </c>
      <c r="F275" s="38">
        <f t="shared" si="87"/>
        <v>0</v>
      </c>
      <c r="G275" s="38">
        <f>SUM(G232:G274)</f>
        <v>404249</v>
      </c>
      <c r="H275" s="4"/>
      <c r="I275" s="39">
        <f>SUM(I232:I274)</f>
        <v>1440</v>
      </c>
      <c r="J275" s="39">
        <f>SUM(J232:J274)</f>
        <v>-32346</v>
      </c>
      <c r="K275" s="40">
        <f>SUM(K232:K274)</f>
        <v>373343</v>
      </c>
      <c r="N275" s="57"/>
      <c r="O275" s="57"/>
      <c r="P275" s="38">
        <f>SUM(P232:P274)</f>
        <v>126319</v>
      </c>
      <c r="Q275" s="38">
        <f>SUM(Q232:Q256)</f>
        <v>0</v>
      </c>
      <c r="R275" s="38">
        <f>SUM(R232:R256)</f>
        <v>0</v>
      </c>
      <c r="S275" s="38">
        <f>SUM(S232:S274)</f>
        <v>126319</v>
      </c>
      <c r="T275" s="4"/>
      <c r="U275" s="41">
        <f>SUM(U232:U274)</f>
        <v>193.5</v>
      </c>
      <c r="V275" s="41">
        <f>SUM(V232:V256)</f>
        <v>-555</v>
      </c>
      <c r="W275" s="42">
        <f>SUM(W232:W274)</f>
        <v>125957.5</v>
      </c>
      <c r="Z275" s="57"/>
      <c r="AA275" s="57"/>
      <c r="AB275" s="38">
        <f>SUM(AB232:AB274)</f>
        <v>140964.5</v>
      </c>
      <c r="AC275" s="38">
        <f>SUM(AC232:AC256)</f>
        <v>-300</v>
      </c>
      <c r="AD275" s="38">
        <f>SUM(AD232:AD256)</f>
        <v>0</v>
      </c>
      <c r="AE275" s="38">
        <f>SUM(AE232:AE274)</f>
        <v>140664.5</v>
      </c>
      <c r="AF275" s="4"/>
      <c r="AG275" s="41">
        <f>SUM(AG232:AG274)</f>
        <v>1723.5</v>
      </c>
      <c r="AH275" s="41">
        <f>SUM(AH232:AH256)</f>
        <v>-900</v>
      </c>
      <c r="AI275" s="42">
        <f>SUM(AI232:AI274)</f>
        <v>141488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37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6" t="s">
        <v>17</v>
      </c>
      <c r="E285" s="126"/>
      <c r="F285" s="99"/>
      <c r="G285" s="27"/>
      <c r="I285" s="124" t="s">
        <v>18</v>
      </c>
      <c r="J285" s="125"/>
      <c r="K285" s="122" t="s">
        <v>19</v>
      </c>
      <c r="N285" s="25"/>
      <c r="O285" s="26"/>
      <c r="P285" s="126" t="s">
        <v>17</v>
      </c>
      <c r="Q285" s="126"/>
      <c r="R285" s="99"/>
      <c r="S285" s="27"/>
      <c r="U285" s="124" t="s">
        <v>18</v>
      </c>
      <c r="V285" s="125"/>
      <c r="W285" s="122" t="s">
        <v>19</v>
      </c>
      <c r="Z285" s="25"/>
      <c r="AA285" s="26"/>
      <c r="AB285" s="126" t="s">
        <v>17</v>
      </c>
      <c r="AC285" s="126"/>
      <c r="AD285" s="99"/>
      <c r="AE285" s="27"/>
      <c r="AG285" s="124" t="s">
        <v>18</v>
      </c>
      <c r="AH285" s="125"/>
      <c r="AI285" s="12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23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23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2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45820</v>
      </c>
      <c r="C287" s="91">
        <v>7683</v>
      </c>
      <c r="D287" s="32">
        <f>3756+57</f>
        <v>3813</v>
      </c>
      <c r="E287" s="32"/>
      <c r="F287" s="32"/>
      <c r="G287" s="32">
        <f t="shared" ref="G287:G320" si="88">SUM(D287:E287)</f>
        <v>3813</v>
      </c>
      <c r="H287" s="12"/>
      <c r="I287" s="12"/>
      <c r="J287" s="12"/>
      <c r="K287" s="12">
        <f t="shared" ref="K287:K320" si="89">SUM(G287:J287)</f>
        <v>3813</v>
      </c>
      <c r="M287" s="10">
        <v>1</v>
      </c>
      <c r="N287" s="30">
        <v>45820</v>
      </c>
      <c r="O287" s="31">
        <v>7645</v>
      </c>
      <c r="P287" s="32">
        <f>5008+336+1192+9.5</f>
        <v>6545.5</v>
      </c>
      <c r="Q287" s="32"/>
      <c r="R287" s="32"/>
      <c r="S287" s="32">
        <f>SUM(P287:Q287)</f>
        <v>6545.5</v>
      </c>
      <c r="T287" s="12"/>
      <c r="U287" s="12">
        <v>444</v>
      </c>
      <c r="V287" s="12"/>
      <c r="W287" s="12">
        <f>SUM(S287:V287)</f>
        <v>6989.5</v>
      </c>
      <c r="Y287" s="10">
        <v>1</v>
      </c>
      <c r="Z287" s="30">
        <v>45820</v>
      </c>
      <c r="AA287" s="31">
        <v>7493</v>
      </c>
      <c r="AB287" s="32">
        <f>62600+1704+916</f>
        <v>65220</v>
      </c>
      <c r="AC287" s="32">
        <v>-612</v>
      </c>
      <c r="AD287" s="32"/>
      <c r="AE287" s="32">
        <f>SUM(AB287:AC287)</f>
        <v>64608</v>
      </c>
      <c r="AF287" s="12"/>
      <c r="AG287" s="12">
        <v>31.5</v>
      </c>
      <c r="AH287" s="12"/>
      <c r="AI287" s="12">
        <f>SUM(AE287:AH287)</f>
        <v>64639.5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45820</v>
      </c>
      <c r="C288" s="91">
        <f>C287+1</f>
        <v>7684</v>
      </c>
      <c r="D288" s="32">
        <f>2504+596+47.5</f>
        <v>3147.5</v>
      </c>
      <c r="E288" s="32"/>
      <c r="F288" s="32"/>
      <c r="G288" s="32">
        <f t="shared" si="88"/>
        <v>3147.5</v>
      </c>
      <c r="H288" s="12"/>
      <c r="I288" s="12"/>
      <c r="J288" s="12"/>
      <c r="K288" s="12">
        <f t="shared" si="89"/>
        <v>3147.5</v>
      </c>
      <c r="M288" s="10">
        <v>2</v>
      </c>
      <c r="N288" s="30">
        <v>45820</v>
      </c>
      <c r="O288" s="31">
        <f>O287+1</f>
        <v>7646</v>
      </c>
      <c r="P288" s="32">
        <f>6260+9.5*10</f>
        <v>6355</v>
      </c>
      <c r="Q288" s="32"/>
      <c r="R288" s="32"/>
      <c r="S288" s="32">
        <f t="shared" ref="S288:S319" si="90">SUM(P288:Q288)</f>
        <v>6355</v>
      </c>
      <c r="T288" s="12"/>
      <c r="U288" s="12"/>
      <c r="V288" s="12"/>
      <c r="W288" s="12">
        <f t="shared" ref="W288:W319" si="91">SUM(S288:V288)</f>
        <v>6355</v>
      </c>
      <c r="Y288" s="10">
        <v>2</v>
      </c>
      <c r="Z288" s="30">
        <v>45820</v>
      </c>
      <c r="AA288" s="31">
        <f>AA287+1</f>
        <v>7494</v>
      </c>
      <c r="AB288" s="32">
        <f>62600+1842+5960+1664+1348</f>
        <v>73414</v>
      </c>
      <c r="AC288" s="32">
        <v>-702</v>
      </c>
      <c r="AD288" s="32"/>
      <c r="AE288" s="32">
        <f t="shared" ref="AE288:AE290" si="92">SUM(AB288:AC288)</f>
        <v>72712</v>
      </c>
      <c r="AF288" s="12"/>
      <c r="AG288" s="12"/>
      <c r="AH288" s="12"/>
      <c r="AI288" s="12">
        <f t="shared" ref="AI288:AI319" si="93">SUM(AE288:AH288)</f>
        <v>72712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45820</v>
      </c>
      <c r="C289" s="91">
        <f t="shared" ref="C289:C296" si="94">C288+1</f>
        <v>7685</v>
      </c>
      <c r="D289" s="33">
        <f>56966+8940+458</f>
        <v>66364</v>
      </c>
      <c r="E289" s="33"/>
      <c r="F289" s="33"/>
      <c r="G289" s="33">
        <f t="shared" si="88"/>
        <v>66364</v>
      </c>
      <c r="H289" s="34"/>
      <c r="I289" s="34"/>
      <c r="J289" s="34"/>
      <c r="K289" s="34">
        <f t="shared" si="89"/>
        <v>66364</v>
      </c>
      <c r="M289" s="10">
        <v>3</v>
      </c>
      <c r="N289" s="30">
        <v>45820</v>
      </c>
      <c r="O289" s="31">
        <f t="shared" ref="O289:O309" si="95">O288+1</f>
        <v>7647</v>
      </c>
      <c r="P289" s="32">
        <f>3756+336+1192</f>
        <v>5284</v>
      </c>
      <c r="Q289" s="32"/>
      <c r="R289" s="32"/>
      <c r="S289" s="32">
        <f t="shared" si="90"/>
        <v>5284</v>
      </c>
      <c r="T289" s="12"/>
      <c r="U289" s="12"/>
      <c r="V289" s="12"/>
      <c r="W289" s="12">
        <f t="shared" si="91"/>
        <v>5284</v>
      </c>
      <c r="Y289" s="10">
        <v>3</v>
      </c>
      <c r="Z289" s="30">
        <v>45820</v>
      </c>
      <c r="AA289" s="31">
        <f t="shared" ref="AA289:AA290" si="96">AA288+1</f>
        <v>7495</v>
      </c>
      <c r="AB289" s="33">
        <f>626*125+1145</f>
        <v>79395</v>
      </c>
      <c r="AC289" s="33">
        <f>-125*6</f>
        <v>-750</v>
      </c>
      <c r="AD289" s="32"/>
      <c r="AE289" s="32">
        <f t="shared" si="92"/>
        <v>78645</v>
      </c>
      <c r="AF289" s="12"/>
      <c r="AG289" s="12"/>
      <c r="AH289" s="12">
        <f>-444+-46</f>
        <v>-490</v>
      </c>
      <c r="AI289" s="12">
        <f t="shared" si="93"/>
        <v>78155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45820</v>
      </c>
      <c r="C290" s="91">
        <f t="shared" si="94"/>
        <v>7686</v>
      </c>
      <c r="D290" s="32">
        <f>1878+28.5</f>
        <v>1906.5</v>
      </c>
      <c r="E290" s="32"/>
      <c r="F290" s="32"/>
      <c r="G290" s="32">
        <f t="shared" si="88"/>
        <v>1906.5</v>
      </c>
      <c r="H290" s="12"/>
      <c r="I290" s="12"/>
      <c r="J290" s="12"/>
      <c r="K290" s="12">
        <f t="shared" si="89"/>
        <v>1906.5</v>
      </c>
      <c r="M290" s="10">
        <v>4</v>
      </c>
      <c r="N290" s="30">
        <v>45820</v>
      </c>
      <c r="O290" s="31">
        <f t="shared" si="95"/>
        <v>7648</v>
      </c>
      <c r="P290" s="32">
        <f>6260+95</f>
        <v>6355</v>
      </c>
      <c r="Q290" s="32"/>
      <c r="R290" s="32"/>
      <c r="S290" s="32">
        <f t="shared" si="90"/>
        <v>6355</v>
      </c>
      <c r="T290" s="12"/>
      <c r="U290" s="12"/>
      <c r="V290" s="12"/>
      <c r="W290" s="12">
        <f t="shared" si="91"/>
        <v>6355</v>
      </c>
      <c r="Y290" s="10">
        <v>4</v>
      </c>
      <c r="Z290" s="30">
        <v>45820</v>
      </c>
      <c r="AA290" s="31">
        <f t="shared" si="96"/>
        <v>7496</v>
      </c>
      <c r="AB290" s="32">
        <f>37560+8940</f>
        <v>46500</v>
      </c>
      <c r="AC290" s="32"/>
      <c r="AD290" s="32"/>
      <c r="AE290" s="32">
        <f t="shared" si="92"/>
        <v>46500</v>
      </c>
      <c r="AF290" s="12"/>
      <c r="AH290" s="12"/>
      <c r="AI290" s="12">
        <f t="shared" si="93"/>
        <v>46500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45820</v>
      </c>
      <c r="C291" s="91">
        <f t="shared" si="94"/>
        <v>7687</v>
      </c>
      <c r="D291" s="32">
        <f>43820+6556</f>
        <v>50376</v>
      </c>
      <c r="E291" s="32"/>
      <c r="F291" s="32"/>
      <c r="G291" s="32">
        <f t="shared" si="88"/>
        <v>50376</v>
      </c>
      <c r="H291" s="12"/>
      <c r="I291" s="12"/>
      <c r="J291" s="12"/>
      <c r="K291" s="12">
        <f t="shared" si="89"/>
        <v>50376</v>
      </c>
      <c r="M291" s="10">
        <v>5</v>
      </c>
      <c r="N291" s="30">
        <v>45820</v>
      </c>
      <c r="O291" s="31">
        <f t="shared" si="95"/>
        <v>7649</v>
      </c>
      <c r="P291" s="32">
        <f>5008+76</f>
        <v>5084</v>
      </c>
      <c r="Q291" s="32"/>
      <c r="R291" s="32"/>
      <c r="S291" s="32">
        <f t="shared" si="90"/>
        <v>5084</v>
      </c>
      <c r="T291" s="12"/>
      <c r="U291" s="12"/>
      <c r="V291" s="12"/>
      <c r="W291" s="12">
        <f t="shared" si="91"/>
        <v>5084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25" si="97">SUM(AB291:AC291)</f>
        <v>0</v>
      </c>
      <c r="AF291" s="12"/>
      <c r="AG291" s="12"/>
      <c r="AH291" s="12"/>
      <c r="AI291" s="12">
        <f t="shared" si="93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45820</v>
      </c>
      <c r="C292" s="91">
        <f t="shared" si="94"/>
        <v>7688</v>
      </c>
      <c r="D292" s="32">
        <f>2504+596+47.5</f>
        <v>3147.5</v>
      </c>
      <c r="E292" s="32"/>
      <c r="F292" s="32"/>
      <c r="G292" s="32">
        <f t="shared" si="88"/>
        <v>3147.5</v>
      </c>
      <c r="H292" s="12"/>
      <c r="I292" s="12"/>
      <c r="J292" s="12"/>
      <c r="K292" s="12">
        <f t="shared" si="89"/>
        <v>3147.5</v>
      </c>
      <c r="M292" s="10">
        <v>6</v>
      </c>
      <c r="N292" s="30">
        <v>45820</v>
      </c>
      <c r="O292" s="31">
        <f t="shared" si="95"/>
        <v>7650</v>
      </c>
      <c r="P292" s="32">
        <f>6260+1192+114</f>
        <v>7566</v>
      </c>
      <c r="Q292" s="32"/>
      <c r="R292" s="32"/>
      <c r="S292" s="32">
        <f t="shared" si="90"/>
        <v>7566</v>
      </c>
      <c r="T292" s="12"/>
      <c r="U292" s="12"/>
      <c r="V292" s="10"/>
      <c r="W292" s="12">
        <f t="shared" si="91"/>
        <v>7566</v>
      </c>
      <c r="Y292" s="10">
        <v>6</v>
      </c>
      <c r="Z292" s="30"/>
      <c r="AA292" s="31"/>
      <c r="AB292" s="32"/>
      <c r="AC292" s="32"/>
      <c r="AD292" s="32"/>
      <c r="AE292" s="32">
        <f t="shared" si="97"/>
        <v>0</v>
      </c>
      <c r="AF292" s="12"/>
      <c r="AG292" s="12"/>
      <c r="AH292" s="10"/>
      <c r="AI292" s="12">
        <f t="shared" si="93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45820</v>
      </c>
      <c r="C293" s="91">
        <f t="shared" si="94"/>
        <v>7689</v>
      </c>
      <c r="D293" s="32">
        <f>1878+28.5</f>
        <v>1906.5</v>
      </c>
      <c r="E293" s="32"/>
      <c r="F293" s="32"/>
      <c r="G293" s="32">
        <f t="shared" si="88"/>
        <v>1906.5</v>
      </c>
      <c r="H293" s="12"/>
      <c r="I293" s="12"/>
      <c r="J293" s="12"/>
      <c r="K293" s="12">
        <f t="shared" si="89"/>
        <v>1906.5</v>
      </c>
      <c r="M293" s="10">
        <v>7</v>
      </c>
      <c r="N293" s="30">
        <v>45820</v>
      </c>
      <c r="O293" s="31">
        <v>7701</v>
      </c>
      <c r="P293" s="32">
        <f>6260+95</f>
        <v>6355</v>
      </c>
      <c r="Q293" s="32"/>
      <c r="R293" s="32"/>
      <c r="S293" s="32">
        <f t="shared" si="90"/>
        <v>6355</v>
      </c>
      <c r="T293" s="12"/>
      <c r="U293" s="12"/>
      <c r="V293" s="12"/>
      <c r="W293" s="12">
        <f t="shared" si="91"/>
        <v>6355</v>
      </c>
      <c r="Y293" s="10">
        <v>7</v>
      </c>
      <c r="Z293" s="30"/>
      <c r="AA293" s="31"/>
      <c r="AB293" s="32"/>
      <c r="AC293" s="32"/>
      <c r="AD293" s="32"/>
      <c r="AE293" s="32">
        <f t="shared" si="97"/>
        <v>0</v>
      </c>
      <c r="AF293" s="12"/>
      <c r="AG293" s="58"/>
      <c r="AH293" s="12"/>
      <c r="AI293" s="12">
        <f t="shared" si="93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45820</v>
      </c>
      <c r="C294" s="91">
        <f t="shared" si="94"/>
        <v>7690</v>
      </c>
      <c r="D294" s="32">
        <f>107672+9536+1145</f>
        <v>118353</v>
      </c>
      <c r="E294" s="32"/>
      <c r="F294" s="32"/>
      <c r="G294" s="32">
        <f t="shared" si="88"/>
        <v>118353</v>
      </c>
      <c r="H294" s="12"/>
      <c r="I294" s="12"/>
      <c r="J294" s="12"/>
      <c r="K294" s="12">
        <f t="shared" si="89"/>
        <v>118353</v>
      </c>
      <c r="M294" s="10">
        <v>8</v>
      </c>
      <c r="N294" s="30">
        <v>45820</v>
      </c>
      <c r="O294" s="31">
        <f t="shared" si="95"/>
        <v>7702</v>
      </c>
      <c r="P294" s="32">
        <f>9390+1192+161.5</f>
        <v>10743.5</v>
      </c>
      <c r="Q294" s="32"/>
      <c r="R294" s="32"/>
      <c r="S294" s="32">
        <f t="shared" si="90"/>
        <v>10743.5</v>
      </c>
      <c r="T294" s="12"/>
      <c r="U294" s="12"/>
      <c r="V294" s="12"/>
      <c r="W294" s="12">
        <f t="shared" si="91"/>
        <v>10743.5</v>
      </c>
      <c r="Y294" s="10">
        <v>8</v>
      </c>
      <c r="Z294" s="30"/>
      <c r="AA294" s="31"/>
      <c r="AB294" s="32"/>
      <c r="AC294" s="32"/>
      <c r="AE294" s="32">
        <f t="shared" si="97"/>
        <v>0</v>
      </c>
      <c r="AF294" s="12"/>
      <c r="AG294" s="12"/>
      <c r="AH294" s="12"/>
      <c r="AI294" s="12">
        <f t="shared" si="93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45820</v>
      </c>
      <c r="C295" s="91">
        <f t="shared" si="94"/>
        <v>7691</v>
      </c>
      <c r="D295" s="32">
        <f>5008+2022</f>
        <v>7030</v>
      </c>
      <c r="E295" s="32"/>
      <c r="F295" s="32"/>
      <c r="G295" s="32">
        <f t="shared" si="88"/>
        <v>7030</v>
      </c>
      <c r="H295" s="12"/>
      <c r="I295" s="12"/>
      <c r="J295" s="12"/>
      <c r="K295" s="12">
        <f t="shared" si="89"/>
        <v>7030</v>
      </c>
      <c r="M295" s="10">
        <v>9</v>
      </c>
      <c r="N295" s="30">
        <v>45820</v>
      </c>
      <c r="O295" s="31">
        <f t="shared" si="95"/>
        <v>7703</v>
      </c>
      <c r="P295" s="32">
        <f>1252+19</f>
        <v>1271</v>
      </c>
      <c r="Q295" s="32"/>
      <c r="R295" s="32"/>
      <c r="S295" s="32">
        <f t="shared" si="90"/>
        <v>1271</v>
      </c>
      <c r="T295" s="12"/>
      <c r="U295" s="12"/>
      <c r="V295" s="12"/>
      <c r="W295" s="12">
        <f t="shared" si="91"/>
        <v>1271</v>
      </c>
      <c r="Y295" s="10">
        <v>9</v>
      </c>
      <c r="Z295" s="30"/>
      <c r="AA295" s="31"/>
      <c r="AC295" s="32"/>
      <c r="AD295" s="32"/>
      <c r="AE295" s="32">
        <f t="shared" si="97"/>
        <v>0</v>
      </c>
      <c r="AF295" s="12"/>
      <c r="AH295" s="12"/>
      <c r="AI295" s="12">
        <f t="shared" si="93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45820</v>
      </c>
      <c r="C296" s="91">
        <f t="shared" si="94"/>
        <v>7692</v>
      </c>
      <c r="D296" s="32">
        <f>2504+38</f>
        <v>2542</v>
      </c>
      <c r="E296" s="32"/>
      <c r="F296" s="32"/>
      <c r="G296" s="32">
        <f t="shared" si="88"/>
        <v>2542</v>
      </c>
      <c r="H296" s="12"/>
      <c r="I296" s="12"/>
      <c r="J296" s="12"/>
      <c r="K296" s="12">
        <f t="shared" si="89"/>
        <v>2542</v>
      </c>
      <c r="M296" s="10">
        <v>10</v>
      </c>
      <c r="N296" s="30">
        <v>45820</v>
      </c>
      <c r="O296" s="31">
        <f t="shared" si="95"/>
        <v>7704</v>
      </c>
      <c r="P296" s="32">
        <f>1252+19</f>
        <v>1271</v>
      </c>
      <c r="Q296" s="32"/>
      <c r="R296" s="32"/>
      <c r="S296" s="32">
        <f t="shared" si="90"/>
        <v>1271</v>
      </c>
      <c r="T296" s="12"/>
      <c r="U296" s="12"/>
      <c r="V296" s="12"/>
      <c r="W296" s="12">
        <f t="shared" si="91"/>
        <v>1271</v>
      </c>
      <c r="Y296" s="10">
        <v>10</v>
      </c>
      <c r="Z296" s="30"/>
      <c r="AA296" s="31"/>
      <c r="AB296" s="32"/>
      <c r="AC296" s="32"/>
      <c r="AD296" s="32"/>
      <c r="AE296" s="32">
        <f t="shared" si="97"/>
        <v>0</v>
      </c>
      <c r="AF296" s="12"/>
      <c r="AG296" s="12"/>
      <c r="AH296" s="12"/>
      <c r="AI296" s="12">
        <f t="shared" si="93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45820</v>
      </c>
      <c r="C297" s="91">
        <v>7694</v>
      </c>
      <c r="D297" s="32">
        <f>25040+5960+229</f>
        <v>31229</v>
      </c>
      <c r="E297" s="32"/>
      <c r="F297" s="32"/>
      <c r="G297" s="32">
        <f t="shared" si="88"/>
        <v>31229</v>
      </c>
      <c r="H297" s="12"/>
      <c r="I297" s="12"/>
      <c r="J297" s="12">
        <v>-31080</v>
      </c>
      <c r="K297" s="12">
        <f t="shared" si="89"/>
        <v>149</v>
      </c>
      <c r="M297" s="10">
        <v>11</v>
      </c>
      <c r="N297" s="30">
        <v>45820</v>
      </c>
      <c r="O297" s="31">
        <f t="shared" si="95"/>
        <v>7705</v>
      </c>
      <c r="P297" s="32">
        <f>3130+47.5</f>
        <v>3177.5</v>
      </c>
      <c r="Q297" s="32"/>
      <c r="R297" s="32"/>
      <c r="S297" s="32">
        <f t="shared" si="90"/>
        <v>3177.5</v>
      </c>
      <c r="T297" s="12"/>
      <c r="U297" s="12">
        <v>18</v>
      </c>
      <c r="V297" s="12"/>
      <c r="W297" s="12">
        <f t="shared" si="91"/>
        <v>3195.5</v>
      </c>
      <c r="Y297" s="10">
        <v>11</v>
      </c>
      <c r="Z297" s="30"/>
      <c r="AA297" s="31"/>
      <c r="AB297" s="32"/>
      <c r="AC297" s="32"/>
      <c r="AD297" s="32"/>
      <c r="AE297" s="32">
        <f t="shared" si="97"/>
        <v>0</v>
      </c>
      <c r="AF297" s="12"/>
      <c r="AG297" s="12"/>
      <c r="AH297" s="12"/>
      <c r="AI297" s="12">
        <f t="shared" si="93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11" t="s">
        <v>27</v>
      </c>
      <c r="D298" s="32"/>
      <c r="E298" s="32"/>
      <c r="F298" s="32"/>
      <c r="G298" s="32">
        <f t="shared" si="88"/>
        <v>0</v>
      </c>
      <c r="H298" s="12"/>
      <c r="I298" s="12"/>
      <c r="J298" s="10"/>
      <c r="K298" s="12">
        <f t="shared" si="89"/>
        <v>0</v>
      </c>
      <c r="M298" s="10">
        <v>12</v>
      </c>
      <c r="N298" s="30">
        <v>45820</v>
      </c>
      <c r="O298" s="31">
        <f t="shared" si="95"/>
        <v>7706</v>
      </c>
      <c r="P298" s="32">
        <f>2504+112</f>
        <v>2616</v>
      </c>
      <c r="Q298" s="32"/>
      <c r="R298" s="32"/>
      <c r="S298" s="32">
        <f t="shared" si="90"/>
        <v>2616</v>
      </c>
      <c r="T298" s="12"/>
      <c r="U298" s="12"/>
      <c r="V298" s="12"/>
      <c r="W298" s="12">
        <f t="shared" si="91"/>
        <v>2616</v>
      </c>
      <c r="Y298" s="10">
        <v>12</v>
      </c>
      <c r="Z298" s="30"/>
      <c r="AA298" s="31"/>
      <c r="AB298" s="32"/>
      <c r="AC298" s="32"/>
      <c r="AD298" s="32"/>
      <c r="AE298" s="32">
        <f t="shared" si="97"/>
        <v>0</v>
      </c>
      <c r="AF298" s="12"/>
      <c r="AG298" s="12"/>
      <c r="AH298" s="12"/>
      <c r="AI298" s="12">
        <f t="shared" si="93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8"/>
        <v>0</v>
      </c>
      <c r="H299" s="12"/>
      <c r="I299" s="12"/>
      <c r="J299" s="12"/>
      <c r="K299" s="12">
        <f t="shared" si="89"/>
        <v>0</v>
      </c>
      <c r="M299" s="10">
        <v>13</v>
      </c>
      <c r="N299" s="30">
        <v>45820</v>
      </c>
      <c r="O299" s="31">
        <f t="shared" si="95"/>
        <v>7707</v>
      </c>
      <c r="P299" s="32">
        <f>1252+614+19</f>
        <v>1885</v>
      </c>
      <c r="Q299" s="32"/>
      <c r="R299" s="32"/>
      <c r="S299" s="32">
        <f t="shared" si="90"/>
        <v>1885</v>
      </c>
      <c r="T299" s="12"/>
      <c r="U299" s="12"/>
      <c r="V299" s="12"/>
      <c r="W299" s="12">
        <f t="shared" si="91"/>
        <v>1885</v>
      </c>
      <c r="Y299" s="10">
        <v>13</v>
      </c>
      <c r="Z299" s="30"/>
      <c r="AA299" s="31"/>
      <c r="AB299" s="32"/>
      <c r="AC299" s="32"/>
      <c r="AD299" s="32"/>
      <c r="AE299" s="32">
        <f t="shared" si="97"/>
        <v>0</v>
      </c>
      <c r="AF299" s="12"/>
      <c r="AG299" s="12"/>
      <c r="AH299" s="12"/>
      <c r="AI299" s="12">
        <f t="shared" si="93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8"/>
        <v>0</v>
      </c>
      <c r="H300" s="12"/>
      <c r="I300" s="12"/>
      <c r="J300" s="12"/>
      <c r="K300" s="12">
        <f t="shared" si="89"/>
        <v>0</v>
      </c>
      <c r="M300" s="10">
        <v>14</v>
      </c>
      <c r="N300" s="30">
        <v>45820</v>
      </c>
      <c r="O300" s="31">
        <f t="shared" si="95"/>
        <v>7708</v>
      </c>
      <c r="P300" s="32">
        <f>1878+614+596*2+47.5</f>
        <v>3731.5</v>
      </c>
      <c r="Q300" s="32"/>
      <c r="R300" s="32"/>
      <c r="S300" s="32">
        <f t="shared" si="90"/>
        <v>3731.5</v>
      </c>
      <c r="T300" s="12"/>
      <c r="U300" s="12"/>
      <c r="V300" s="12"/>
      <c r="W300" s="12">
        <f t="shared" si="91"/>
        <v>3731.5</v>
      </c>
      <c r="Y300" s="10">
        <v>14</v>
      </c>
      <c r="Z300" s="30"/>
      <c r="AA300" s="31"/>
      <c r="AB300" s="32"/>
      <c r="AC300" s="32"/>
      <c r="AD300" s="32"/>
      <c r="AE300" s="32">
        <f t="shared" si="97"/>
        <v>0</v>
      </c>
      <c r="AF300" s="12"/>
      <c r="AG300" s="12"/>
      <c r="AH300" s="12"/>
      <c r="AI300" s="12">
        <f t="shared" si="93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8"/>
        <v>0</v>
      </c>
      <c r="H301" s="12"/>
      <c r="I301" s="12"/>
      <c r="J301" s="12"/>
      <c r="K301" s="12">
        <f t="shared" si="89"/>
        <v>0</v>
      </c>
      <c r="M301" s="10">
        <v>15</v>
      </c>
      <c r="N301" s="30">
        <v>45820</v>
      </c>
      <c r="O301" s="31">
        <f t="shared" si="95"/>
        <v>7709</v>
      </c>
      <c r="P301" s="32">
        <f>1252+596+28.5</f>
        <v>1876.5</v>
      </c>
      <c r="Q301" s="32"/>
      <c r="R301" s="32"/>
      <c r="S301" s="32">
        <f t="shared" si="90"/>
        <v>1876.5</v>
      </c>
      <c r="T301" s="12"/>
      <c r="U301" s="12"/>
      <c r="V301" s="12"/>
      <c r="W301" s="12">
        <f t="shared" si="91"/>
        <v>1876.5</v>
      </c>
      <c r="Y301" s="10">
        <v>15</v>
      </c>
      <c r="Z301" s="30"/>
      <c r="AA301" s="31"/>
      <c r="AB301" s="32"/>
      <c r="AC301" s="32"/>
      <c r="AD301" s="32"/>
      <c r="AE301" s="32">
        <f t="shared" si="97"/>
        <v>0</v>
      </c>
      <c r="AF301" s="12"/>
      <c r="AG301" s="12"/>
      <c r="AH301" s="12"/>
      <c r="AI301" s="12">
        <f t="shared" si="93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88"/>
        <v>0</v>
      </c>
      <c r="H302" s="12"/>
      <c r="I302" s="12"/>
      <c r="J302" s="12"/>
      <c r="K302" s="12">
        <f t="shared" si="89"/>
        <v>0</v>
      </c>
      <c r="M302" s="10">
        <v>16</v>
      </c>
      <c r="N302" s="30">
        <v>45820</v>
      </c>
      <c r="O302" s="31">
        <f t="shared" si="95"/>
        <v>7710</v>
      </c>
      <c r="P302" s="32">
        <f>50080+4298+913+596*20+852+832+458</f>
        <v>69353</v>
      </c>
      <c r="Q302" s="32"/>
      <c r="R302" s="32"/>
      <c r="S302" s="32">
        <f t="shared" si="90"/>
        <v>69353</v>
      </c>
      <c r="T302" s="12"/>
      <c r="U302" s="12"/>
      <c r="V302" s="12"/>
      <c r="W302" s="12">
        <f t="shared" si="91"/>
        <v>69353</v>
      </c>
      <c r="Y302" s="10">
        <v>16</v>
      </c>
      <c r="Z302" s="30"/>
      <c r="AA302" s="31"/>
      <c r="AB302" s="32"/>
      <c r="AC302" s="32"/>
      <c r="AD302" s="32"/>
      <c r="AE302" s="32">
        <f t="shared" si="97"/>
        <v>0</v>
      </c>
      <c r="AF302" s="12"/>
      <c r="AG302" s="12"/>
      <c r="AH302" s="12"/>
      <c r="AI302" s="12">
        <f t="shared" si="93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11"/>
      <c r="D303" s="32"/>
      <c r="E303" s="32"/>
      <c r="F303" s="32"/>
      <c r="G303" s="32">
        <f t="shared" si="88"/>
        <v>0</v>
      </c>
      <c r="H303" s="12"/>
      <c r="I303" s="12"/>
      <c r="J303" s="12"/>
      <c r="K303" s="12">
        <f t="shared" si="89"/>
        <v>0</v>
      </c>
      <c r="M303" s="10">
        <v>17</v>
      </c>
      <c r="N303" s="30">
        <v>45820</v>
      </c>
      <c r="O303" s="31">
        <f t="shared" si="95"/>
        <v>7711</v>
      </c>
      <c r="P303" s="35">
        <f>3756+57</f>
        <v>3813</v>
      </c>
      <c r="Q303" s="32"/>
      <c r="R303" s="32"/>
      <c r="S303" s="32">
        <f t="shared" si="90"/>
        <v>3813</v>
      </c>
      <c r="T303" s="12"/>
      <c r="U303" s="12"/>
      <c r="V303" s="12"/>
      <c r="W303" s="12">
        <f t="shared" si="91"/>
        <v>3813</v>
      </c>
      <c r="Y303" s="10">
        <v>17</v>
      </c>
      <c r="Z303" s="30"/>
      <c r="AA303" s="31"/>
      <c r="AB303" s="35"/>
      <c r="AC303" s="32"/>
      <c r="AD303" s="32"/>
      <c r="AE303" s="32">
        <f t="shared" si="97"/>
        <v>0</v>
      </c>
      <c r="AF303" s="12"/>
      <c r="AG303" s="12"/>
      <c r="AH303" s="12"/>
      <c r="AI303" s="12">
        <f t="shared" si="93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88"/>
        <v>0</v>
      </c>
      <c r="H304" s="12"/>
      <c r="I304" s="12"/>
      <c r="J304" s="12"/>
      <c r="K304" s="12">
        <f t="shared" si="89"/>
        <v>0</v>
      </c>
      <c r="M304" s="10">
        <v>18</v>
      </c>
      <c r="N304" s="30">
        <v>45820</v>
      </c>
      <c r="O304" s="31">
        <f t="shared" si="95"/>
        <v>7712</v>
      </c>
      <c r="P304" s="32">
        <f>2504+38</f>
        <v>2542</v>
      </c>
      <c r="Q304" s="32"/>
      <c r="R304" s="32"/>
      <c r="S304" s="32">
        <f t="shared" si="90"/>
        <v>2542</v>
      </c>
      <c r="T304" s="12"/>
      <c r="U304" s="12"/>
      <c r="V304" s="12"/>
      <c r="W304" s="12">
        <f t="shared" si="91"/>
        <v>2542</v>
      </c>
      <c r="Y304" s="10">
        <v>18</v>
      </c>
      <c r="Z304" s="30"/>
      <c r="AA304" s="31"/>
      <c r="AB304" s="32"/>
      <c r="AC304" s="32"/>
      <c r="AD304" s="32"/>
      <c r="AE304" s="32">
        <f t="shared" si="97"/>
        <v>0</v>
      </c>
      <c r="AF304" s="12"/>
      <c r="AG304" s="12"/>
      <c r="AH304" s="12"/>
      <c r="AI304" s="12">
        <f t="shared" si="93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8"/>
        <v>0</v>
      </c>
      <c r="H305" s="12"/>
      <c r="I305" s="12"/>
      <c r="J305" s="12"/>
      <c r="K305" s="12">
        <f t="shared" si="89"/>
        <v>0</v>
      </c>
      <c r="M305" s="10">
        <v>19</v>
      </c>
      <c r="N305" s="30">
        <v>45820</v>
      </c>
      <c r="O305" s="31">
        <f t="shared" si="95"/>
        <v>7713</v>
      </c>
      <c r="P305" s="32">
        <f>3756+596</f>
        <v>4352</v>
      </c>
      <c r="Q305" s="32"/>
      <c r="R305" s="32"/>
      <c r="S305" s="32">
        <f t="shared" si="90"/>
        <v>4352</v>
      </c>
      <c r="T305" s="12"/>
      <c r="U305" s="12"/>
      <c r="V305" s="12">
        <f>-111+-336</f>
        <v>-447</v>
      </c>
      <c r="W305" s="12">
        <f t="shared" si="91"/>
        <v>3905</v>
      </c>
      <c r="Y305" s="10">
        <v>19</v>
      </c>
      <c r="Z305" s="30"/>
      <c r="AA305" s="31"/>
      <c r="AB305" s="32"/>
      <c r="AC305" s="32"/>
      <c r="AD305" s="32"/>
      <c r="AE305" s="32">
        <f t="shared" si="97"/>
        <v>0</v>
      </c>
      <c r="AF305" s="12"/>
      <c r="AG305" s="12"/>
      <c r="AH305" s="12"/>
      <c r="AI305" s="12">
        <f t="shared" si="93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8"/>
        <v>0</v>
      </c>
      <c r="H306" s="12"/>
      <c r="I306" s="12"/>
      <c r="J306" s="12"/>
      <c r="K306" s="12">
        <f t="shared" si="89"/>
        <v>0</v>
      </c>
      <c r="M306" s="10">
        <v>20</v>
      </c>
      <c r="N306" s="30">
        <v>45820</v>
      </c>
      <c r="O306" s="31">
        <f t="shared" si="95"/>
        <v>7714</v>
      </c>
      <c r="P306" s="32">
        <f>1878+28.5</f>
        <v>1906.5</v>
      </c>
      <c r="Q306" s="32"/>
      <c r="R306" s="32"/>
      <c r="S306" s="32">
        <f t="shared" si="90"/>
        <v>1906.5</v>
      </c>
      <c r="T306" s="12"/>
      <c r="U306" s="12"/>
      <c r="V306" s="12"/>
      <c r="W306" s="12">
        <f t="shared" si="91"/>
        <v>1906.5</v>
      </c>
      <c r="Y306" s="10">
        <v>20</v>
      </c>
      <c r="Z306" s="30"/>
      <c r="AA306" s="31"/>
      <c r="AB306" s="32"/>
      <c r="AC306" s="32"/>
      <c r="AD306" s="32"/>
      <c r="AE306" s="32">
        <f t="shared" si="97"/>
        <v>0</v>
      </c>
      <c r="AF306" s="12"/>
      <c r="AG306" s="12"/>
      <c r="AH306" s="12"/>
      <c r="AI306" s="12">
        <f t="shared" si="93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88"/>
        <v>0</v>
      </c>
      <c r="H307" s="10"/>
      <c r="I307" s="10"/>
      <c r="J307" s="10"/>
      <c r="K307" s="12">
        <f t="shared" si="89"/>
        <v>0</v>
      </c>
      <c r="M307" s="10">
        <v>21</v>
      </c>
      <c r="N307" s="30">
        <v>45820</v>
      </c>
      <c r="O307" s="31">
        <f t="shared" si="95"/>
        <v>7715</v>
      </c>
      <c r="P307" s="46">
        <f>1878+1192+47.5</f>
        <v>3117.5</v>
      </c>
      <c r="Q307" s="31"/>
      <c r="R307" s="31"/>
      <c r="S307" s="32">
        <f t="shared" si="90"/>
        <v>3117.5</v>
      </c>
      <c r="T307" s="10"/>
      <c r="U307" s="10"/>
      <c r="V307" s="10"/>
      <c r="W307" s="12">
        <f t="shared" si="91"/>
        <v>3117.5</v>
      </c>
      <c r="Y307" s="10">
        <v>21</v>
      </c>
      <c r="Z307" s="30"/>
      <c r="AB307" s="46"/>
      <c r="AC307" s="31"/>
      <c r="AD307" s="31"/>
      <c r="AE307" s="32">
        <f t="shared" si="97"/>
        <v>0</v>
      </c>
      <c r="AF307" s="10"/>
      <c r="AG307" s="10"/>
      <c r="AH307" s="10"/>
      <c r="AI307" s="12">
        <f t="shared" si="93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8"/>
        <v>0</v>
      </c>
      <c r="H308" s="10"/>
      <c r="I308" s="10"/>
      <c r="J308" s="10"/>
      <c r="K308" s="12">
        <f t="shared" si="89"/>
        <v>0</v>
      </c>
      <c r="M308" s="10">
        <v>22</v>
      </c>
      <c r="N308" s="30">
        <v>45820</v>
      </c>
      <c r="O308" s="31">
        <f t="shared" si="95"/>
        <v>7716</v>
      </c>
      <c r="P308" s="45">
        <f>626+9.5</f>
        <v>635.5</v>
      </c>
      <c r="Q308" s="31"/>
      <c r="R308" s="31"/>
      <c r="S308" s="32">
        <f t="shared" si="90"/>
        <v>635.5</v>
      </c>
      <c r="T308" s="10"/>
      <c r="U308" s="10"/>
      <c r="V308" s="10"/>
      <c r="W308" s="12">
        <f t="shared" si="91"/>
        <v>635.5</v>
      </c>
      <c r="Y308" s="10">
        <v>22</v>
      </c>
      <c r="Z308" s="30"/>
      <c r="AB308" s="45"/>
      <c r="AC308" s="31"/>
      <c r="AD308" s="31"/>
      <c r="AE308" s="32">
        <f t="shared" si="97"/>
        <v>0</v>
      </c>
      <c r="AF308" s="10"/>
      <c r="AG308" s="10"/>
      <c r="AH308" s="10"/>
      <c r="AI308" s="12">
        <f t="shared" si="93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57"/>
      <c r="D309" s="32"/>
      <c r="E309" s="32"/>
      <c r="F309" s="32"/>
      <c r="G309" s="32">
        <f t="shared" si="88"/>
        <v>0</v>
      </c>
      <c r="H309" s="10"/>
      <c r="I309" s="10"/>
      <c r="J309" s="12"/>
      <c r="K309" s="12">
        <f t="shared" si="89"/>
        <v>0</v>
      </c>
      <c r="M309" s="10">
        <v>23</v>
      </c>
      <c r="N309" s="30">
        <v>45820</v>
      </c>
      <c r="O309" s="31">
        <f t="shared" si="95"/>
        <v>7717</v>
      </c>
      <c r="P309" s="47">
        <f>1252+19</f>
        <v>1271</v>
      </c>
      <c r="S309" s="32">
        <f t="shared" si="90"/>
        <v>1271</v>
      </c>
      <c r="T309" s="10"/>
      <c r="U309" s="10"/>
      <c r="V309" s="10"/>
      <c r="W309" s="12">
        <f t="shared" si="91"/>
        <v>1271</v>
      </c>
      <c r="Y309" s="10">
        <v>23</v>
      </c>
      <c r="Z309" s="30"/>
      <c r="AA309" s="31"/>
      <c r="AB309" s="47"/>
      <c r="AE309" s="32">
        <f t="shared" si="97"/>
        <v>0</v>
      </c>
      <c r="AF309" s="10"/>
      <c r="AG309" s="10"/>
      <c r="AH309" s="10"/>
      <c r="AI309" s="12">
        <f t="shared" si="93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31"/>
      <c r="D310" s="32"/>
      <c r="E310" s="32"/>
      <c r="F310" s="32"/>
      <c r="G310" s="32">
        <f t="shared" si="88"/>
        <v>0</v>
      </c>
      <c r="H310" s="10"/>
      <c r="I310" s="10"/>
      <c r="J310" s="10"/>
      <c r="K310" s="12">
        <f t="shared" si="89"/>
        <v>0</v>
      </c>
      <c r="M310" s="10">
        <v>24</v>
      </c>
      <c r="N310" s="30"/>
      <c r="O310" s="11" t="s">
        <v>27</v>
      </c>
      <c r="P310" s="47"/>
      <c r="Q310" s="31"/>
      <c r="R310" s="31"/>
      <c r="S310" s="32">
        <f t="shared" si="90"/>
        <v>0</v>
      </c>
      <c r="T310" s="10"/>
      <c r="U310" s="10"/>
      <c r="V310" s="10"/>
      <c r="W310" s="12">
        <f t="shared" si="91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7"/>
        <v>0</v>
      </c>
      <c r="AF310" s="10"/>
      <c r="AG310" s="10"/>
      <c r="AH310" s="10"/>
      <c r="AI310" s="12">
        <f t="shared" si="93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31"/>
      <c r="D311" s="32"/>
      <c r="E311" s="32"/>
      <c r="F311" s="32"/>
      <c r="G311" s="32">
        <f t="shared" si="88"/>
        <v>0</v>
      </c>
      <c r="H311" s="10"/>
      <c r="I311" s="10"/>
      <c r="J311" s="10"/>
      <c r="K311" s="12">
        <f t="shared" si="89"/>
        <v>0</v>
      </c>
      <c r="M311" s="10">
        <v>25</v>
      </c>
      <c r="N311" s="30"/>
      <c r="O311" s="31"/>
      <c r="P311" s="47"/>
      <c r="Q311" s="31"/>
      <c r="R311" s="31"/>
      <c r="S311" s="32">
        <f t="shared" si="90"/>
        <v>0</v>
      </c>
      <c r="T311" s="10"/>
      <c r="U311" s="10"/>
      <c r="V311" s="10"/>
      <c r="W311" s="12">
        <f t="shared" si="91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7"/>
        <v>0</v>
      </c>
      <c r="AF311" s="10"/>
      <c r="AG311" s="10"/>
      <c r="AH311" s="10"/>
      <c r="AI311" s="12">
        <f t="shared" si="93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11"/>
      <c r="D312" s="32"/>
      <c r="E312" s="32"/>
      <c r="F312" s="32"/>
      <c r="G312" s="32">
        <f t="shared" si="88"/>
        <v>0</v>
      </c>
      <c r="H312" s="10"/>
      <c r="I312" s="10"/>
      <c r="J312" s="10"/>
      <c r="K312" s="12">
        <f t="shared" si="89"/>
        <v>0</v>
      </c>
      <c r="M312" s="10">
        <v>26</v>
      </c>
      <c r="N312" s="30"/>
      <c r="P312" s="47"/>
      <c r="Q312" s="31"/>
      <c r="R312" s="31"/>
      <c r="S312" s="32">
        <f t="shared" si="90"/>
        <v>0</v>
      </c>
      <c r="T312" s="10"/>
      <c r="U312" s="10"/>
      <c r="V312" s="10"/>
      <c r="W312" s="12">
        <f t="shared" si="91"/>
        <v>0</v>
      </c>
      <c r="Y312" s="10">
        <v>26</v>
      </c>
      <c r="Z312" s="30"/>
      <c r="AB312" s="47"/>
      <c r="AC312" s="31"/>
      <c r="AD312" s="31"/>
      <c r="AE312" s="32">
        <f t="shared" si="97"/>
        <v>0</v>
      </c>
      <c r="AF312" s="10"/>
      <c r="AG312" s="10"/>
      <c r="AH312" s="10"/>
      <c r="AI312" s="12">
        <f t="shared" si="93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57"/>
      <c r="D313" s="32"/>
      <c r="E313" s="32"/>
      <c r="F313" s="32"/>
      <c r="G313" s="32">
        <f t="shared" si="88"/>
        <v>0</v>
      </c>
      <c r="H313" s="10"/>
      <c r="I313" s="10"/>
      <c r="J313" s="10"/>
      <c r="K313" s="12">
        <f t="shared" si="89"/>
        <v>0</v>
      </c>
      <c r="M313" s="10">
        <v>27</v>
      </c>
      <c r="N313" s="30"/>
      <c r="O313" s="31"/>
      <c r="P313" s="47"/>
      <c r="Q313" s="31"/>
      <c r="R313" s="31"/>
      <c r="S313" s="32">
        <f t="shared" si="90"/>
        <v>0</v>
      </c>
      <c r="T313" s="10"/>
      <c r="U313" s="10"/>
      <c r="V313" s="10"/>
      <c r="W313" s="12">
        <f t="shared" si="91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7"/>
        <v>0</v>
      </c>
      <c r="AF313" s="10"/>
      <c r="AG313" s="10"/>
      <c r="AH313" s="10"/>
      <c r="AI313" s="12">
        <f t="shared" si="93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31"/>
      <c r="D314" s="32"/>
      <c r="E314" s="32"/>
      <c r="F314" s="32"/>
      <c r="G314" s="32">
        <f t="shared" si="88"/>
        <v>0</v>
      </c>
      <c r="H314" s="10"/>
      <c r="I314" s="10"/>
      <c r="J314" s="10"/>
      <c r="K314" s="12">
        <f t="shared" si="89"/>
        <v>0</v>
      </c>
      <c r="M314" s="10">
        <v>28</v>
      </c>
      <c r="N314" s="30"/>
      <c r="O314" s="31"/>
      <c r="P314" s="47"/>
      <c r="Q314" s="31"/>
      <c r="R314" s="31"/>
      <c r="S314" s="32">
        <f t="shared" si="90"/>
        <v>0</v>
      </c>
      <c r="T314" s="10"/>
      <c r="U314" s="10"/>
      <c r="V314" s="10"/>
      <c r="W314" s="12">
        <f t="shared" si="91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7"/>
        <v>0</v>
      </c>
      <c r="AF314" s="10"/>
      <c r="AG314" s="10"/>
      <c r="AH314" s="10"/>
      <c r="AI314" s="12">
        <f t="shared" si="93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31"/>
      <c r="D315" s="32"/>
      <c r="E315" s="32"/>
      <c r="F315" s="32"/>
      <c r="G315" s="32">
        <f t="shared" si="88"/>
        <v>0</v>
      </c>
      <c r="H315" s="10"/>
      <c r="I315" s="10"/>
      <c r="J315" s="10"/>
      <c r="K315" s="12">
        <f t="shared" si="89"/>
        <v>0</v>
      </c>
      <c r="M315" s="10">
        <v>29</v>
      </c>
      <c r="N315" s="30"/>
      <c r="P315" s="47"/>
      <c r="Q315" s="31"/>
      <c r="R315" s="31"/>
      <c r="S315" s="32">
        <f t="shared" si="90"/>
        <v>0</v>
      </c>
      <c r="T315" s="10"/>
      <c r="U315" s="10"/>
      <c r="V315" s="10"/>
      <c r="W315" s="12">
        <f t="shared" si="91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7"/>
        <v>0</v>
      </c>
      <c r="AF315" s="10"/>
      <c r="AG315" s="10"/>
      <c r="AH315" s="10"/>
      <c r="AI315" s="12">
        <f t="shared" si="93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57"/>
      <c r="D316" s="32"/>
      <c r="E316" s="32"/>
      <c r="F316" s="32"/>
      <c r="G316" s="32">
        <f t="shared" si="88"/>
        <v>0</v>
      </c>
      <c r="H316" s="10"/>
      <c r="I316" s="10"/>
      <c r="J316" s="10"/>
      <c r="K316" s="12">
        <f t="shared" si="89"/>
        <v>0</v>
      </c>
      <c r="M316" s="10">
        <v>30</v>
      </c>
      <c r="N316" s="30"/>
      <c r="P316" s="47"/>
      <c r="Q316" s="31"/>
      <c r="R316" s="31"/>
      <c r="S316" s="32">
        <f t="shared" si="90"/>
        <v>0</v>
      </c>
      <c r="T316" s="10"/>
      <c r="U316" s="10"/>
      <c r="V316" s="10"/>
      <c r="W316" s="12">
        <f t="shared" si="91"/>
        <v>0</v>
      </c>
      <c r="Y316" s="10">
        <v>30</v>
      </c>
      <c r="Z316" s="30"/>
      <c r="AB316" s="47"/>
      <c r="AC316" s="31"/>
      <c r="AD316" s="31"/>
      <c r="AE316" s="32">
        <f t="shared" si="97"/>
        <v>0</v>
      </c>
      <c r="AF316" s="10"/>
      <c r="AG316" s="10"/>
      <c r="AH316" s="10"/>
      <c r="AI316" s="12">
        <f t="shared" si="93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57"/>
      <c r="D317" s="32"/>
      <c r="E317" s="32"/>
      <c r="F317" s="32"/>
      <c r="G317" s="32">
        <f t="shared" si="88"/>
        <v>0</v>
      </c>
      <c r="H317" s="10"/>
      <c r="I317" s="10"/>
      <c r="J317" s="10"/>
      <c r="K317" s="12">
        <f t="shared" si="89"/>
        <v>0</v>
      </c>
      <c r="M317" s="10">
        <v>31</v>
      </c>
      <c r="N317" s="30"/>
      <c r="O317" s="31"/>
      <c r="P317" s="47"/>
      <c r="Q317" s="31"/>
      <c r="R317" s="31"/>
      <c r="S317" s="32">
        <f t="shared" si="90"/>
        <v>0</v>
      </c>
      <c r="T317" s="10"/>
      <c r="U317" s="10"/>
      <c r="V317" s="10"/>
      <c r="W317" s="12">
        <f t="shared" si="91"/>
        <v>0</v>
      </c>
      <c r="Y317" s="10">
        <v>31</v>
      </c>
      <c r="Z317" s="30"/>
      <c r="AB317" s="47"/>
      <c r="AC317" s="31"/>
      <c r="AD317" s="31"/>
      <c r="AE317" s="32">
        <f t="shared" si="97"/>
        <v>0</v>
      </c>
      <c r="AF317" s="10"/>
      <c r="AG317" s="10"/>
      <c r="AH317" s="10"/>
      <c r="AI317" s="12">
        <f t="shared" si="93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31"/>
      <c r="D318" s="32"/>
      <c r="E318" s="32"/>
      <c r="F318" s="32"/>
      <c r="G318" s="32">
        <f t="shared" si="88"/>
        <v>0</v>
      </c>
      <c r="H318" s="10"/>
      <c r="I318" s="10"/>
      <c r="J318" s="10"/>
      <c r="K318" s="12">
        <f t="shared" si="89"/>
        <v>0</v>
      </c>
      <c r="M318" s="10">
        <v>32</v>
      </c>
      <c r="N318" s="30"/>
      <c r="P318" s="47"/>
      <c r="Q318" s="31"/>
      <c r="R318" s="31"/>
      <c r="S318" s="32">
        <f t="shared" si="90"/>
        <v>0</v>
      </c>
      <c r="T318" s="10"/>
      <c r="U318" s="10"/>
      <c r="V318" s="10"/>
      <c r="W318" s="12">
        <f t="shared" si="91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7"/>
        <v>0</v>
      </c>
      <c r="AF318" s="10"/>
      <c r="AG318" s="10"/>
      <c r="AH318" s="10"/>
      <c r="AI318" s="12">
        <f t="shared" si="93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57"/>
      <c r="D319" s="32"/>
      <c r="E319" s="32"/>
      <c r="F319" s="32"/>
      <c r="G319" s="32">
        <f t="shared" si="88"/>
        <v>0</v>
      </c>
      <c r="H319" s="10"/>
      <c r="I319" s="10"/>
      <c r="J319" s="10"/>
      <c r="K319" s="12">
        <f t="shared" si="89"/>
        <v>0</v>
      </c>
      <c r="M319" s="10">
        <v>33</v>
      </c>
      <c r="N319" s="30"/>
      <c r="O319" s="31"/>
      <c r="P319" s="47"/>
      <c r="Q319" s="31"/>
      <c r="R319" s="31"/>
      <c r="S319" s="32">
        <f t="shared" si="90"/>
        <v>0</v>
      </c>
      <c r="T319" s="10"/>
      <c r="U319" s="10"/>
      <c r="V319" s="10"/>
      <c r="W319" s="12">
        <f t="shared" si="91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7"/>
        <v>0</v>
      </c>
      <c r="AF319" s="10"/>
      <c r="AG319" s="10"/>
      <c r="AH319" s="10"/>
      <c r="AI319" s="12">
        <f t="shared" si="93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57"/>
      <c r="D320" s="32"/>
      <c r="E320" s="32"/>
      <c r="F320" s="32"/>
      <c r="G320" s="32">
        <f t="shared" si="88"/>
        <v>0</v>
      </c>
      <c r="H320" s="10"/>
      <c r="I320" s="10"/>
      <c r="J320" s="10"/>
      <c r="K320" s="12">
        <f t="shared" si="89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8">SUM(P320:Q320)</f>
        <v>0</v>
      </c>
      <c r="T320" s="10"/>
      <c r="U320" s="10"/>
      <c r="V320" s="10"/>
      <c r="W320" s="12">
        <f t="shared" ref="W320:W328" si="99">SUM(S320:V320)</f>
        <v>0</v>
      </c>
      <c r="Y320" s="10">
        <v>34</v>
      </c>
      <c r="Z320" s="30"/>
      <c r="AB320" s="47"/>
      <c r="AC320" s="31"/>
      <c r="AD320" s="31"/>
      <c r="AE320" s="32">
        <f t="shared" si="97"/>
        <v>0</v>
      </c>
      <c r="AF320" s="10"/>
      <c r="AG320" s="10"/>
      <c r="AH320" s="10"/>
      <c r="AI320" s="12">
        <f t="shared" ref="AI320:AI328" si="100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8"/>
        <v>0</v>
      </c>
      <c r="T321" s="10"/>
      <c r="U321" s="10"/>
      <c r="V321" s="10"/>
      <c r="W321" s="12">
        <f t="shared" si="9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7"/>
        <v>0</v>
      </c>
      <c r="AF321" s="10"/>
      <c r="AG321" s="10"/>
      <c r="AH321" s="10"/>
      <c r="AI321" s="12">
        <f t="shared" si="100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8"/>
        <v>0</v>
      </c>
      <c r="T322" s="10"/>
      <c r="U322" s="10"/>
      <c r="V322" s="10"/>
      <c r="W322" s="12">
        <f t="shared" si="9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7"/>
        <v>0</v>
      </c>
      <c r="AF322" s="10"/>
      <c r="AG322" s="10"/>
      <c r="AH322" s="10"/>
      <c r="AI322" s="12">
        <f t="shared" si="100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8"/>
        <v>0</v>
      </c>
      <c r="T323" s="10"/>
      <c r="U323" s="10"/>
      <c r="V323" s="10"/>
      <c r="W323" s="12">
        <f t="shared" si="9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7"/>
        <v>0</v>
      </c>
      <c r="AF323" s="10"/>
      <c r="AG323" s="10"/>
      <c r="AH323" s="10"/>
      <c r="AI323" s="12">
        <f t="shared" si="100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8"/>
        <v>0</v>
      </c>
      <c r="T324" s="10"/>
      <c r="U324" s="10"/>
      <c r="V324" s="10"/>
      <c r="W324" s="12">
        <f t="shared" si="9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7"/>
        <v>0</v>
      </c>
      <c r="AF324" s="10"/>
      <c r="AG324" s="10"/>
      <c r="AH324" s="10"/>
      <c r="AI324" s="12">
        <f t="shared" si="100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8"/>
        <v>0</v>
      </c>
      <c r="T325" s="10"/>
      <c r="U325" s="10"/>
      <c r="V325" s="10"/>
      <c r="W325" s="12">
        <f t="shared" si="9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7"/>
        <v>0</v>
      </c>
      <c r="AF325" s="10"/>
      <c r="AG325" s="10"/>
      <c r="AH325" s="10"/>
      <c r="AI325" s="12">
        <f t="shared" si="100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0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1">SUM(D327:E327)</f>
        <v>0</v>
      </c>
      <c r="H327" s="10"/>
      <c r="I327" s="10"/>
      <c r="J327" s="10"/>
      <c r="K327" s="12">
        <f t="shared" ref="K327" si="102">SUM(G327:J327)</f>
        <v>0</v>
      </c>
      <c r="M327" s="10"/>
      <c r="N327" s="30"/>
      <c r="O327" s="31"/>
      <c r="P327" s="47"/>
      <c r="Q327" s="31"/>
      <c r="R327" s="31"/>
      <c r="S327" s="32">
        <f t="shared" ref="S327" si="103">SUM(P327:Q327)</f>
        <v>0</v>
      </c>
      <c r="T327" s="10"/>
      <c r="U327" s="10"/>
      <c r="V327" s="10"/>
      <c r="W327" s="12">
        <f t="shared" si="99"/>
        <v>0</v>
      </c>
      <c r="Y327" s="10"/>
      <c r="Z327" s="30"/>
      <c r="AA327" s="31"/>
      <c r="AB327" s="47"/>
      <c r="AC327" s="31"/>
      <c r="AD327" s="31"/>
      <c r="AE327" s="32">
        <f t="shared" ref="AE327" si="104">SUM(AB327:AC327)</f>
        <v>0</v>
      </c>
      <c r="AF327" s="10"/>
      <c r="AG327" s="10"/>
      <c r="AH327" s="10"/>
      <c r="AI327" s="12">
        <f t="shared" si="100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0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289815</v>
      </c>
      <c r="E330" s="38">
        <f t="shared" ref="E330:F330" si="105">SUM(E287:E327)</f>
        <v>0</v>
      </c>
      <c r="F330" s="38">
        <f t="shared" si="105"/>
        <v>0</v>
      </c>
      <c r="G330" s="38">
        <f>SUM(G287:G329)</f>
        <v>289815</v>
      </c>
      <c r="H330" s="4"/>
      <c r="I330" s="39">
        <f>SUM(I287:I329)</f>
        <v>0</v>
      </c>
      <c r="J330" s="39">
        <f>SUM(J287:J329)</f>
        <v>-31080</v>
      </c>
      <c r="K330" s="40">
        <f>SUM(K287:K329)</f>
        <v>258735</v>
      </c>
      <c r="N330" s="57"/>
      <c r="O330" s="57"/>
      <c r="P330" s="38">
        <f>SUM(P287:P329)</f>
        <v>157107</v>
      </c>
      <c r="Q330" s="38">
        <f>SUM(Q287:Q311)</f>
        <v>0</v>
      </c>
      <c r="R330" s="38">
        <f>SUM(R287:R311)</f>
        <v>0</v>
      </c>
      <c r="S330" s="38">
        <f>SUM(S287:S329)</f>
        <v>157107</v>
      </c>
      <c r="T330" s="4"/>
      <c r="U330" s="41">
        <f>SUM(U287:U329)</f>
        <v>462</v>
      </c>
      <c r="V330" s="41">
        <f>SUM(V287:V311)</f>
        <v>-447</v>
      </c>
      <c r="W330" s="42">
        <f>SUM(W287:W329)</f>
        <v>157122</v>
      </c>
      <c r="Z330" s="57"/>
      <c r="AA330" s="57"/>
      <c r="AB330" s="38">
        <f>SUM(AB287:AB329)</f>
        <v>264529</v>
      </c>
      <c r="AC330" s="38">
        <f>SUM(AC287:AC311)</f>
        <v>-2064</v>
      </c>
      <c r="AD330" s="38">
        <f>SUM(AD287:AD311)</f>
        <v>0</v>
      </c>
      <c r="AE330" s="38">
        <f>SUM(AE287:AE329)</f>
        <v>262465</v>
      </c>
      <c r="AF330" s="4"/>
      <c r="AG330" s="41">
        <f>SUM(AG287:AG329)</f>
        <v>31.5</v>
      </c>
      <c r="AH330" s="41">
        <f>SUM(AH287:AH311)</f>
        <v>-490</v>
      </c>
      <c r="AI330" s="42">
        <f>SUM(AI287:AI329)</f>
        <v>262006.5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37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6" t="s">
        <v>17</v>
      </c>
      <c r="E340" s="126"/>
      <c r="F340" s="100"/>
      <c r="G340" s="27"/>
      <c r="I340" s="124" t="s">
        <v>18</v>
      </c>
      <c r="J340" s="125"/>
      <c r="K340" s="122" t="s">
        <v>19</v>
      </c>
      <c r="N340" s="25"/>
      <c r="O340" s="26"/>
      <c r="P340" s="126" t="s">
        <v>17</v>
      </c>
      <c r="Q340" s="126"/>
      <c r="R340" s="100"/>
      <c r="S340" s="27"/>
      <c r="U340" s="124" t="s">
        <v>18</v>
      </c>
      <c r="V340" s="125"/>
      <c r="W340" s="122" t="s">
        <v>19</v>
      </c>
      <c r="Z340" s="25"/>
      <c r="AA340" s="26"/>
      <c r="AB340" s="126" t="s">
        <v>17</v>
      </c>
      <c r="AC340" s="126"/>
      <c r="AD340" s="100"/>
      <c r="AE340" s="27"/>
      <c r="AG340" s="124" t="s">
        <v>18</v>
      </c>
      <c r="AH340" s="125"/>
      <c r="AI340" s="122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23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23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23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45881</v>
      </c>
      <c r="C342" s="91">
        <v>7695</v>
      </c>
      <c r="D342" s="32">
        <f>1252+614+19</f>
        <v>1885</v>
      </c>
      <c r="E342" s="32"/>
      <c r="F342" s="32"/>
      <c r="G342" s="32">
        <f t="shared" ref="G342:G375" si="106">SUM(D342:E342)</f>
        <v>1885</v>
      </c>
      <c r="H342" s="12"/>
      <c r="I342" s="12">
        <v>2.5</v>
      </c>
      <c r="J342" s="12"/>
      <c r="K342" s="12">
        <f t="shared" ref="K342:K375" si="107">SUM(G342:J342)</f>
        <v>1887.5</v>
      </c>
      <c r="M342" s="10">
        <v>1</v>
      </c>
      <c r="N342" s="30">
        <v>45881</v>
      </c>
      <c r="O342" s="31">
        <v>7718</v>
      </c>
      <c r="P342" s="32">
        <f>5634+9.5*9</f>
        <v>5719.5</v>
      </c>
      <c r="Q342" s="32"/>
      <c r="R342" s="32"/>
      <c r="S342" s="32">
        <f>SUM(P342:Q342)</f>
        <v>5719.5</v>
      </c>
      <c r="T342" s="12"/>
      <c r="U342" s="12">
        <v>10.5</v>
      </c>
      <c r="V342" s="12"/>
      <c r="W342" s="12">
        <f>SUM(S342:V342)</f>
        <v>5730</v>
      </c>
      <c r="Y342" s="10">
        <v>1</v>
      </c>
      <c r="Z342" s="30">
        <v>45881</v>
      </c>
      <c r="AA342" s="31">
        <v>7497</v>
      </c>
      <c r="AB342" s="32">
        <f>626*324+614*10+674*10+596*108+852*5+832*5</f>
        <v>288492</v>
      </c>
      <c r="AC342" s="32">
        <f>-452*6</f>
        <v>-2712</v>
      </c>
      <c r="AD342" s="32"/>
      <c r="AE342" s="32">
        <f>SUM(AB342:AC342)</f>
        <v>285780</v>
      </c>
      <c r="AF342" s="12"/>
      <c r="AG342" s="12">
        <f>120*2+170*111</f>
        <v>19110</v>
      </c>
      <c r="AH342" s="12">
        <f>-780+-84+-336</f>
        <v>-1200</v>
      </c>
      <c r="AI342" s="12">
        <f>SUM(AE342:AH342)</f>
        <v>303690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45881</v>
      </c>
      <c r="C343" s="91">
        <f>C342+1</f>
        <v>7696</v>
      </c>
      <c r="D343" s="32">
        <f>21910+1228+2980</f>
        <v>26118</v>
      </c>
      <c r="E343" s="32"/>
      <c r="F343" s="32"/>
      <c r="G343" s="32">
        <f t="shared" si="106"/>
        <v>26118</v>
      </c>
      <c r="H343" s="12"/>
      <c r="I343" s="12">
        <v>54</v>
      </c>
      <c r="J343" s="12"/>
      <c r="K343" s="12">
        <f t="shared" si="107"/>
        <v>26172</v>
      </c>
      <c r="M343" s="10">
        <v>2</v>
      </c>
      <c r="N343" s="30">
        <v>45881</v>
      </c>
      <c r="O343" s="31">
        <f>O342+1</f>
        <v>7719</v>
      </c>
      <c r="P343" s="32">
        <f>1878+28.5</f>
        <v>1906.5</v>
      </c>
      <c r="Q343" s="32"/>
      <c r="R343" s="32"/>
      <c r="S343" s="32">
        <f t="shared" ref="S343:S374" si="108">SUM(P343:Q343)</f>
        <v>1906.5</v>
      </c>
      <c r="T343" s="12"/>
      <c r="U343" s="12"/>
      <c r="V343" s="12">
        <v>-777</v>
      </c>
      <c r="W343" s="12">
        <f t="shared" ref="W343:W374" si="109">SUM(S343:V343)</f>
        <v>1129.5</v>
      </c>
      <c r="Y343" s="10">
        <v>2</v>
      </c>
      <c r="Z343" s="30">
        <v>45881</v>
      </c>
      <c r="AA343" s="31">
        <f>AA342+1</f>
        <v>7498</v>
      </c>
      <c r="AB343" s="32">
        <f>6260+229+3250</f>
        <v>9739</v>
      </c>
      <c r="AC343" s="32"/>
      <c r="AD343" s="32"/>
      <c r="AE343" s="32">
        <f t="shared" ref="AE343:AE345" si="110">SUM(AB343:AC343)</f>
        <v>9739</v>
      </c>
      <c r="AF343" s="12"/>
      <c r="AG343" s="12"/>
      <c r="AH343" s="12"/>
      <c r="AI343" s="12">
        <f t="shared" ref="AI343:AI374" si="111">SUM(AE343:AH343)</f>
        <v>9739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45881</v>
      </c>
      <c r="C344" s="91">
        <f t="shared" ref="C344:C358" si="112">C343+1</f>
        <v>7697</v>
      </c>
      <c r="D344" s="33">
        <f>2504+614+38</f>
        <v>3156</v>
      </c>
      <c r="E344" s="33"/>
      <c r="F344" s="33"/>
      <c r="G344" s="33">
        <f t="shared" si="106"/>
        <v>3156</v>
      </c>
      <c r="H344" s="34"/>
      <c r="I344" s="34"/>
      <c r="J344" s="34"/>
      <c r="K344" s="34">
        <f t="shared" si="107"/>
        <v>3156</v>
      </c>
      <c r="M344" s="10">
        <v>3</v>
      </c>
      <c r="N344" s="30">
        <v>45881</v>
      </c>
      <c r="O344" s="31">
        <f t="shared" ref="O344:O357" si="113">O343+1</f>
        <v>7720</v>
      </c>
      <c r="P344" s="32">
        <f>62600+458</f>
        <v>63058</v>
      </c>
      <c r="Q344" s="32">
        <v>-600</v>
      </c>
      <c r="R344" s="32"/>
      <c r="S344" s="32">
        <f t="shared" si="108"/>
        <v>62458</v>
      </c>
      <c r="T344" s="12"/>
      <c r="U344" s="12"/>
      <c r="V344" s="12"/>
      <c r="W344" s="12">
        <f t="shared" si="109"/>
        <v>62458</v>
      </c>
      <c r="Y344" s="10">
        <v>3</v>
      </c>
      <c r="Z344" s="30"/>
      <c r="AA344" s="11" t="s">
        <v>27</v>
      </c>
      <c r="AB344" s="33"/>
      <c r="AC344" s="33"/>
      <c r="AD344" s="32"/>
      <c r="AE344" s="32">
        <f t="shared" si="110"/>
        <v>0</v>
      </c>
      <c r="AF344" s="12"/>
      <c r="AG344" s="12"/>
      <c r="AH344" s="12"/>
      <c r="AI344" s="12">
        <f t="shared" si="111"/>
        <v>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45881</v>
      </c>
      <c r="C345" s="91">
        <f t="shared" si="112"/>
        <v>7698</v>
      </c>
      <c r="D345" s="32">
        <f>5634+1228+596+95</f>
        <v>7553</v>
      </c>
      <c r="E345" s="32"/>
      <c r="F345" s="32"/>
      <c r="G345" s="32">
        <f t="shared" si="106"/>
        <v>7553</v>
      </c>
      <c r="H345" s="12"/>
      <c r="I345" s="12">
        <v>20</v>
      </c>
      <c r="J345" s="12"/>
      <c r="K345" s="12">
        <f t="shared" si="107"/>
        <v>7573</v>
      </c>
      <c r="M345" s="10">
        <v>4</v>
      </c>
      <c r="N345" s="30">
        <v>45881</v>
      </c>
      <c r="O345" s="31">
        <f t="shared" si="113"/>
        <v>7721</v>
      </c>
      <c r="P345" s="32">
        <f>15024</f>
        <v>15024</v>
      </c>
      <c r="Q345" s="32"/>
      <c r="R345" s="32"/>
      <c r="S345" s="32">
        <f t="shared" si="108"/>
        <v>15024</v>
      </c>
      <c r="T345" s="12"/>
      <c r="U345" s="12"/>
      <c r="V345" s="12"/>
      <c r="W345" s="12">
        <f t="shared" si="109"/>
        <v>15024</v>
      </c>
      <c r="Y345" s="10">
        <v>4</v>
      </c>
      <c r="Z345" s="30"/>
      <c r="AA345" s="31"/>
      <c r="AB345" s="32"/>
      <c r="AC345" s="32"/>
      <c r="AD345" s="32"/>
      <c r="AE345" s="32">
        <f t="shared" si="110"/>
        <v>0</v>
      </c>
      <c r="AF345" s="12"/>
      <c r="AH345" s="12"/>
      <c r="AI345" s="12">
        <f t="shared" si="111"/>
        <v>0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45881</v>
      </c>
      <c r="C346" s="91">
        <f t="shared" si="112"/>
        <v>7699</v>
      </c>
      <c r="D346" s="32">
        <f>5634+1842+4172+152</f>
        <v>11800</v>
      </c>
      <c r="E346" s="32"/>
      <c r="F346" s="32"/>
      <c r="G346" s="32">
        <f t="shared" si="106"/>
        <v>11800</v>
      </c>
      <c r="H346" s="12"/>
      <c r="I346" s="12"/>
      <c r="J346" s="12"/>
      <c r="K346" s="12">
        <f t="shared" si="107"/>
        <v>11800</v>
      </c>
      <c r="M346" s="10">
        <v>5</v>
      </c>
      <c r="N346" s="30">
        <v>45881</v>
      </c>
      <c r="O346" s="31">
        <f t="shared" si="113"/>
        <v>7722</v>
      </c>
      <c r="P346" s="32">
        <f>15650+674</f>
        <v>16324</v>
      </c>
      <c r="Q346" s="32"/>
      <c r="R346" s="32"/>
      <c r="S346" s="32">
        <f t="shared" si="108"/>
        <v>16324</v>
      </c>
      <c r="T346" s="12"/>
      <c r="U346" s="12"/>
      <c r="V346" s="12"/>
      <c r="W346" s="12">
        <f t="shared" si="109"/>
        <v>16324</v>
      </c>
      <c r="Y346" s="10">
        <v>5</v>
      </c>
      <c r="Z346" s="30"/>
      <c r="AA346" s="31"/>
      <c r="AB346" s="32"/>
      <c r="AC346" s="32"/>
      <c r="AD346" s="32"/>
      <c r="AE346" s="32">
        <f t="shared" ref="AE346:AE380" si="114">SUM(AB346:AC346)</f>
        <v>0</v>
      </c>
      <c r="AF346" s="12"/>
      <c r="AG346" s="12"/>
      <c r="AH346" s="12"/>
      <c r="AI346" s="12">
        <f t="shared" si="111"/>
        <v>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45881</v>
      </c>
      <c r="C347" s="91">
        <f t="shared" si="112"/>
        <v>7700</v>
      </c>
      <c r="D347" s="32">
        <f>1878+596+38</f>
        <v>2512</v>
      </c>
      <c r="E347" s="32"/>
      <c r="F347" s="32"/>
      <c r="G347" s="32">
        <f t="shared" si="106"/>
        <v>2512</v>
      </c>
      <c r="H347" s="12"/>
      <c r="I347" s="12">
        <v>13</v>
      </c>
      <c r="J347" s="12"/>
      <c r="K347" s="12">
        <f t="shared" si="107"/>
        <v>2525</v>
      </c>
      <c r="M347" s="10">
        <v>6</v>
      </c>
      <c r="N347" s="30">
        <v>45881</v>
      </c>
      <c r="O347" s="31">
        <f t="shared" si="113"/>
        <v>7723</v>
      </c>
      <c r="P347" s="32">
        <f>7512+1228+448+1192</f>
        <v>10380</v>
      </c>
      <c r="Q347" s="32"/>
      <c r="R347" s="32"/>
      <c r="S347" s="32">
        <f t="shared" si="108"/>
        <v>10380</v>
      </c>
      <c r="T347" s="12"/>
      <c r="U347" s="12">
        <f>72+27</f>
        <v>99</v>
      </c>
      <c r="V347" s="10"/>
      <c r="W347" s="12">
        <f t="shared" si="109"/>
        <v>10479</v>
      </c>
      <c r="Y347" s="10">
        <v>6</v>
      </c>
      <c r="Z347" s="30"/>
      <c r="AA347" s="31"/>
      <c r="AB347" s="32"/>
      <c r="AC347" s="32"/>
      <c r="AD347" s="32"/>
      <c r="AE347" s="32">
        <f t="shared" si="114"/>
        <v>0</v>
      </c>
      <c r="AF347" s="12"/>
      <c r="AG347" s="12"/>
      <c r="AH347" s="10"/>
      <c r="AI347" s="12">
        <f t="shared" si="111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45881</v>
      </c>
      <c r="C348" s="91">
        <v>7801</v>
      </c>
      <c r="D348" s="32">
        <f>1878+1192+47</f>
        <v>3117</v>
      </c>
      <c r="E348" s="32"/>
      <c r="F348" s="32"/>
      <c r="G348" s="32">
        <f t="shared" si="106"/>
        <v>3117</v>
      </c>
      <c r="H348" s="12"/>
      <c r="I348" s="12"/>
      <c r="J348" s="12"/>
      <c r="K348" s="12">
        <f t="shared" si="107"/>
        <v>3117</v>
      </c>
      <c r="M348" s="10">
        <v>7</v>
      </c>
      <c r="N348" s="30">
        <v>45881</v>
      </c>
      <c r="O348" s="31">
        <f t="shared" si="113"/>
        <v>7724</v>
      </c>
      <c r="P348" s="32">
        <f>626+614+9.5</f>
        <v>1249.5</v>
      </c>
      <c r="Q348" s="32"/>
      <c r="R348" s="32"/>
      <c r="S348" s="32">
        <f t="shared" si="108"/>
        <v>1249.5</v>
      </c>
      <c r="T348" s="12"/>
      <c r="U348" s="12"/>
      <c r="V348" s="12"/>
      <c r="W348" s="12">
        <f t="shared" si="109"/>
        <v>1249.5</v>
      </c>
      <c r="Y348" s="10">
        <v>7</v>
      </c>
      <c r="Z348" s="30"/>
      <c r="AA348" s="31"/>
      <c r="AB348" s="32"/>
      <c r="AC348" s="32"/>
      <c r="AD348" s="32"/>
      <c r="AE348" s="32">
        <f t="shared" si="114"/>
        <v>0</v>
      </c>
      <c r="AF348" s="12"/>
      <c r="AG348" s="58"/>
      <c r="AH348" s="12"/>
      <c r="AI348" s="12">
        <f t="shared" si="111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45881</v>
      </c>
      <c r="C349" s="91">
        <f t="shared" si="112"/>
        <v>7802</v>
      </c>
      <c r="D349" s="32">
        <f>3756+614+596+66</f>
        <v>5032</v>
      </c>
      <c r="E349" s="32"/>
      <c r="F349" s="32"/>
      <c r="G349" s="32">
        <f t="shared" si="106"/>
        <v>5032</v>
      </c>
      <c r="H349" s="12"/>
      <c r="I349" s="12">
        <v>27</v>
      </c>
      <c r="J349" s="12"/>
      <c r="K349" s="12">
        <f t="shared" si="107"/>
        <v>5059</v>
      </c>
      <c r="M349" s="10">
        <v>8</v>
      </c>
      <c r="N349" s="30">
        <v>45881</v>
      </c>
      <c r="O349" s="31">
        <f t="shared" si="113"/>
        <v>7725</v>
      </c>
      <c r="P349" s="32">
        <f>10016+614+2980+2496+9.5*10</f>
        <v>16201</v>
      </c>
      <c r="Q349" s="32"/>
      <c r="R349" s="32"/>
      <c r="S349" s="32">
        <f t="shared" si="108"/>
        <v>16201</v>
      </c>
      <c r="T349" s="12"/>
      <c r="U349" s="12">
        <f>555+72+24.75</f>
        <v>651.75</v>
      </c>
      <c r="V349" s="12"/>
      <c r="W349" s="12">
        <f t="shared" si="109"/>
        <v>16852.75</v>
      </c>
      <c r="Y349" s="10">
        <v>8</v>
      </c>
      <c r="Z349" s="30"/>
      <c r="AA349" s="31"/>
      <c r="AB349" s="32"/>
      <c r="AC349" s="32"/>
      <c r="AE349" s="32">
        <f t="shared" si="114"/>
        <v>0</v>
      </c>
      <c r="AF349" s="12"/>
      <c r="AG349" s="12"/>
      <c r="AH349" s="12"/>
      <c r="AI349" s="12">
        <f t="shared" si="111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45881</v>
      </c>
      <c r="C350" s="91">
        <f t="shared" si="112"/>
        <v>7803</v>
      </c>
      <c r="D350" s="32">
        <f>6260+95</f>
        <v>6355</v>
      </c>
      <c r="E350" s="32"/>
      <c r="F350" s="32"/>
      <c r="G350" s="32">
        <f t="shared" si="106"/>
        <v>6355</v>
      </c>
      <c r="H350" s="12"/>
      <c r="I350" s="12"/>
      <c r="J350" s="12"/>
      <c r="K350" s="12">
        <f t="shared" si="107"/>
        <v>6355</v>
      </c>
      <c r="M350" s="10">
        <v>9</v>
      </c>
      <c r="N350" s="30">
        <v>45881</v>
      </c>
      <c r="O350" s="31">
        <f t="shared" si="113"/>
        <v>7726</v>
      </c>
      <c r="P350" s="32">
        <f>9390</f>
        <v>9390</v>
      </c>
      <c r="Q350" s="32"/>
      <c r="R350" s="32"/>
      <c r="S350" s="32">
        <f t="shared" si="108"/>
        <v>9390</v>
      </c>
      <c r="T350" s="12"/>
      <c r="U350" s="12"/>
      <c r="V350" s="12"/>
      <c r="W350" s="12">
        <f t="shared" si="109"/>
        <v>9390</v>
      </c>
      <c r="Y350" s="10">
        <v>9</v>
      </c>
      <c r="Z350" s="30"/>
      <c r="AA350" s="31"/>
      <c r="AC350" s="32"/>
      <c r="AD350" s="32"/>
      <c r="AE350" s="32">
        <f t="shared" si="114"/>
        <v>0</v>
      </c>
      <c r="AF350" s="12"/>
      <c r="AH350" s="12"/>
      <c r="AI350" s="12">
        <f t="shared" si="111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45881</v>
      </c>
      <c r="C351" s="91">
        <f t="shared" si="112"/>
        <v>7804</v>
      </c>
      <c r="D351" s="32">
        <f>3130+596+57</f>
        <v>3783</v>
      </c>
      <c r="E351" s="32"/>
      <c r="F351" s="32"/>
      <c r="G351" s="32">
        <f t="shared" si="106"/>
        <v>3783</v>
      </c>
      <c r="H351" s="12"/>
      <c r="I351" s="12">
        <v>37</v>
      </c>
      <c r="J351" s="12"/>
      <c r="K351" s="12">
        <f t="shared" si="107"/>
        <v>3820</v>
      </c>
      <c r="M351" s="10">
        <v>10</v>
      </c>
      <c r="N351" s="30">
        <v>45881</v>
      </c>
      <c r="O351" s="31">
        <f t="shared" si="113"/>
        <v>7727</v>
      </c>
      <c r="P351" s="32">
        <f>1878+2384+66.5</f>
        <v>4328.5</v>
      </c>
      <c r="Q351" s="32"/>
      <c r="R351" s="32"/>
      <c r="S351" s="32">
        <f t="shared" si="108"/>
        <v>4328.5</v>
      </c>
      <c r="T351" s="12"/>
      <c r="U351" s="12"/>
      <c r="V351" s="12"/>
      <c r="W351" s="12">
        <f t="shared" si="109"/>
        <v>4328.5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1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45881</v>
      </c>
      <c r="C352" s="91">
        <f t="shared" si="112"/>
        <v>7805</v>
      </c>
      <c r="D352" s="32">
        <f>3756+57</f>
        <v>3813</v>
      </c>
      <c r="E352" s="32"/>
      <c r="F352" s="32"/>
      <c r="G352" s="32">
        <f t="shared" si="106"/>
        <v>3813</v>
      </c>
      <c r="H352" s="12"/>
      <c r="I352" s="12"/>
      <c r="J352" s="12"/>
      <c r="K352" s="12">
        <f t="shared" si="107"/>
        <v>3813</v>
      </c>
      <c r="M352" s="10">
        <v>11</v>
      </c>
      <c r="N352" s="30">
        <v>45881</v>
      </c>
      <c r="O352" s="31">
        <f t="shared" si="113"/>
        <v>7728</v>
      </c>
      <c r="P352" s="32">
        <f>3130+614+1192+9.5*7</f>
        <v>5002.5</v>
      </c>
      <c r="Q352" s="32"/>
      <c r="R352" s="32"/>
      <c r="S352" s="32">
        <f t="shared" si="108"/>
        <v>5002.5</v>
      </c>
      <c r="T352" s="12"/>
      <c r="U352" s="12">
        <v>27</v>
      </c>
      <c r="V352" s="12"/>
      <c r="W352" s="12">
        <f t="shared" si="109"/>
        <v>5029.5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1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45881</v>
      </c>
      <c r="C353" s="91">
        <f t="shared" si="112"/>
        <v>7806</v>
      </c>
      <c r="D353" s="32">
        <f>2504+596+47</f>
        <v>3147</v>
      </c>
      <c r="E353" s="32"/>
      <c r="F353" s="32"/>
      <c r="G353" s="32">
        <f t="shared" si="106"/>
        <v>3147</v>
      </c>
      <c r="H353" s="12"/>
      <c r="I353" s="12"/>
      <c r="J353" s="10"/>
      <c r="K353" s="12">
        <f t="shared" si="107"/>
        <v>3147</v>
      </c>
      <c r="M353" s="10">
        <v>12</v>
      </c>
      <c r="N353" s="30">
        <v>45881</v>
      </c>
      <c r="O353" s="31">
        <f t="shared" si="113"/>
        <v>7729</v>
      </c>
      <c r="P353" s="32">
        <f>852</f>
        <v>852</v>
      </c>
      <c r="Q353" s="32"/>
      <c r="R353" s="32"/>
      <c r="S353" s="32">
        <f t="shared" si="108"/>
        <v>852</v>
      </c>
      <c r="T353" s="12"/>
      <c r="U353" s="12"/>
      <c r="V353" s="12"/>
      <c r="W353" s="12">
        <f t="shared" si="109"/>
        <v>852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1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45881</v>
      </c>
      <c r="C354" s="91">
        <f t="shared" si="112"/>
        <v>7807</v>
      </c>
      <c r="D354" s="32">
        <f>3130+47</f>
        <v>3177</v>
      </c>
      <c r="E354" s="32"/>
      <c r="F354" s="32"/>
      <c r="G354" s="32">
        <f t="shared" si="106"/>
        <v>3177</v>
      </c>
      <c r="H354" s="12"/>
      <c r="I354" s="12"/>
      <c r="J354" s="12"/>
      <c r="K354" s="12">
        <f t="shared" si="107"/>
        <v>3177</v>
      </c>
      <c r="M354" s="10">
        <v>13</v>
      </c>
      <c r="N354" s="30">
        <v>45881</v>
      </c>
      <c r="O354" s="31">
        <f t="shared" si="113"/>
        <v>7730</v>
      </c>
      <c r="P354" s="32">
        <f>596</f>
        <v>596</v>
      </c>
      <c r="Q354" s="32"/>
      <c r="R354" s="32"/>
      <c r="S354" s="32">
        <f t="shared" si="108"/>
        <v>596</v>
      </c>
      <c r="T354" s="12"/>
      <c r="U354" s="12"/>
      <c r="V354" s="12"/>
      <c r="W354" s="12">
        <f t="shared" si="109"/>
        <v>596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1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45881</v>
      </c>
      <c r="C355" s="91">
        <f t="shared" si="112"/>
        <v>7808</v>
      </c>
      <c r="D355" s="32">
        <f>3130+1788+76</f>
        <v>4994</v>
      </c>
      <c r="E355" s="32"/>
      <c r="F355" s="32"/>
      <c r="G355" s="32">
        <f t="shared" si="106"/>
        <v>4994</v>
      </c>
      <c r="H355" s="12"/>
      <c r="I355" s="12"/>
      <c r="J355" s="12"/>
      <c r="K355" s="12">
        <f t="shared" si="107"/>
        <v>4994</v>
      </c>
      <c r="M355" s="10">
        <v>14</v>
      </c>
      <c r="N355" s="30">
        <v>45881</v>
      </c>
      <c r="O355" s="31">
        <f t="shared" si="113"/>
        <v>7731</v>
      </c>
      <c r="P355" s="32">
        <f>1228</f>
        <v>1228</v>
      </c>
      <c r="Q355" s="32"/>
      <c r="R355" s="32"/>
      <c r="S355" s="32">
        <f t="shared" si="108"/>
        <v>1228</v>
      </c>
      <c r="T355" s="12"/>
      <c r="U355" s="12"/>
      <c r="V355" s="12"/>
      <c r="W355" s="12">
        <f t="shared" si="109"/>
        <v>1228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1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45881</v>
      </c>
      <c r="C356" s="91">
        <f t="shared" si="112"/>
        <v>7809</v>
      </c>
      <c r="D356" s="32">
        <f>3756+1348+57</f>
        <v>5161</v>
      </c>
      <c r="E356" s="32"/>
      <c r="F356" s="32"/>
      <c r="G356" s="32">
        <f t="shared" si="106"/>
        <v>5161</v>
      </c>
      <c r="H356" s="12"/>
      <c r="I356" s="12">
        <v>222</v>
      </c>
      <c r="J356" s="12"/>
      <c r="K356" s="12">
        <f t="shared" si="107"/>
        <v>5383</v>
      </c>
      <c r="M356" s="10">
        <v>15</v>
      </c>
      <c r="N356" s="30">
        <v>45881</v>
      </c>
      <c r="O356" s="31">
        <f t="shared" si="113"/>
        <v>7732</v>
      </c>
      <c r="P356" s="32">
        <f>626+66.5</f>
        <v>692.5</v>
      </c>
      <c r="Q356" s="32"/>
      <c r="R356" s="32"/>
      <c r="S356" s="32">
        <f t="shared" si="108"/>
        <v>692.5</v>
      </c>
      <c r="T356" s="12"/>
      <c r="U356" s="12"/>
      <c r="V356" s="12"/>
      <c r="W356" s="12">
        <f t="shared" si="109"/>
        <v>692.5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1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45881</v>
      </c>
      <c r="C357" s="91">
        <f t="shared" si="112"/>
        <v>7810</v>
      </c>
      <c r="D357" s="32">
        <f>12520+2980</f>
        <v>15500</v>
      </c>
      <c r="E357" s="32"/>
      <c r="F357" s="32"/>
      <c r="G357" s="32">
        <f t="shared" si="106"/>
        <v>15500</v>
      </c>
      <c r="H357" s="12"/>
      <c r="I357" s="12"/>
      <c r="J357" s="12"/>
      <c r="K357" s="12">
        <f t="shared" si="107"/>
        <v>15500</v>
      </c>
      <c r="M357" s="10">
        <v>16</v>
      </c>
      <c r="N357" s="30">
        <v>45881</v>
      </c>
      <c r="O357" s="31">
        <f t="shared" si="113"/>
        <v>7733</v>
      </c>
      <c r="P357" s="32">
        <f>12520+3070+5960+229</f>
        <v>21779</v>
      </c>
      <c r="Q357" s="32"/>
      <c r="R357" s="32"/>
      <c r="S357" s="32">
        <f t="shared" si="108"/>
        <v>21779</v>
      </c>
      <c r="T357" s="12"/>
      <c r="U357" s="12"/>
      <c r="V357" s="12"/>
      <c r="W357" s="12">
        <f t="shared" si="109"/>
        <v>21779</v>
      </c>
      <c r="Y357" s="10">
        <v>16</v>
      </c>
      <c r="Z357" s="30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1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45881</v>
      </c>
      <c r="C358" s="91">
        <f t="shared" si="112"/>
        <v>7811</v>
      </c>
      <c r="D358" s="32">
        <f>1878+28</f>
        <v>1906</v>
      </c>
      <c r="E358" s="32"/>
      <c r="F358" s="32"/>
      <c r="G358" s="32">
        <f t="shared" si="106"/>
        <v>1906</v>
      </c>
      <c r="H358" s="12"/>
      <c r="I358" s="12"/>
      <c r="J358" s="12"/>
      <c r="K358" s="12">
        <f t="shared" si="107"/>
        <v>1906</v>
      </c>
      <c r="M358" s="10">
        <v>17</v>
      </c>
      <c r="N358" s="30"/>
      <c r="O358" s="11" t="s">
        <v>27</v>
      </c>
      <c r="P358" s="35"/>
      <c r="Q358" s="32"/>
      <c r="R358" s="32"/>
      <c r="S358" s="32">
        <f t="shared" si="108"/>
        <v>0</v>
      </c>
      <c r="T358" s="12"/>
      <c r="U358" s="12"/>
      <c r="V358" s="12"/>
      <c r="W358" s="12">
        <f t="shared" si="109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1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11" t="s">
        <v>27</v>
      </c>
      <c r="D359" s="32"/>
      <c r="E359" s="32"/>
      <c r="F359" s="32"/>
      <c r="G359" s="32">
        <f t="shared" si="106"/>
        <v>0</v>
      </c>
      <c r="H359" s="12"/>
      <c r="I359" s="12"/>
      <c r="J359" s="12"/>
      <c r="K359" s="12">
        <f t="shared" si="107"/>
        <v>0</v>
      </c>
      <c r="M359" s="10">
        <v>18</v>
      </c>
      <c r="N359" s="30"/>
      <c r="O359" s="31"/>
      <c r="P359" s="32"/>
      <c r="Q359" s="32"/>
      <c r="R359" s="32"/>
      <c r="S359" s="32">
        <f t="shared" si="108"/>
        <v>0</v>
      </c>
      <c r="T359" s="12"/>
      <c r="U359" s="12"/>
      <c r="V359" s="12"/>
      <c r="W359" s="12">
        <f t="shared" si="109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1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D360" s="32"/>
      <c r="E360" s="32"/>
      <c r="F360" s="32"/>
      <c r="G360" s="32">
        <f t="shared" si="106"/>
        <v>0</v>
      </c>
      <c r="H360" s="12"/>
      <c r="I360" s="12"/>
      <c r="J360" s="12"/>
      <c r="K360" s="12">
        <f t="shared" si="107"/>
        <v>0</v>
      </c>
      <c r="M360" s="10">
        <v>19</v>
      </c>
      <c r="N360" s="30"/>
      <c r="O360" s="31"/>
      <c r="P360" s="32"/>
      <c r="Q360" s="32"/>
      <c r="R360" s="32"/>
      <c r="S360" s="32">
        <f t="shared" si="108"/>
        <v>0</v>
      </c>
      <c r="T360" s="12"/>
      <c r="U360" s="12"/>
      <c r="V360" s="12"/>
      <c r="W360" s="12">
        <f t="shared" si="109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1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6"/>
        <v>0</v>
      </c>
      <c r="H361" s="12"/>
      <c r="I361" s="12"/>
      <c r="J361" s="12"/>
      <c r="K361" s="12">
        <f t="shared" si="107"/>
        <v>0</v>
      </c>
      <c r="M361" s="10">
        <v>20</v>
      </c>
      <c r="N361" s="30"/>
      <c r="O361" s="31"/>
      <c r="P361" s="32"/>
      <c r="Q361" s="32"/>
      <c r="R361" s="32"/>
      <c r="S361" s="32">
        <f t="shared" si="108"/>
        <v>0</v>
      </c>
      <c r="T361" s="12"/>
      <c r="U361" s="12"/>
      <c r="V361" s="12"/>
      <c r="W361" s="12">
        <f t="shared" si="109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1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6"/>
        <v>0</v>
      </c>
      <c r="H362" s="10"/>
      <c r="I362" s="10"/>
      <c r="J362" s="10"/>
      <c r="K362" s="12">
        <f t="shared" si="107"/>
        <v>0</v>
      </c>
      <c r="M362" s="10">
        <v>21</v>
      </c>
      <c r="N362" s="30"/>
      <c r="O362" s="31"/>
      <c r="P362" s="46"/>
      <c r="Q362" s="31"/>
      <c r="R362" s="31"/>
      <c r="S362" s="32">
        <f t="shared" si="108"/>
        <v>0</v>
      </c>
      <c r="T362" s="10"/>
      <c r="U362" s="10"/>
      <c r="V362" s="10"/>
      <c r="W362" s="12">
        <f t="shared" si="109"/>
        <v>0</v>
      </c>
      <c r="Y362" s="10">
        <v>21</v>
      </c>
      <c r="Z362" s="30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1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6"/>
        <v>0</v>
      </c>
      <c r="H363" s="10"/>
      <c r="I363" s="10"/>
      <c r="J363" s="10"/>
      <c r="K363" s="12">
        <f t="shared" si="107"/>
        <v>0</v>
      </c>
      <c r="M363" s="10">
        <v>22</v>
      </c>
      <c r="N363" s="30"/>
      <c r="O363" s="31"/>
      <c r="P363" s="45"/>
      <c r="Q363" s="31"/>
      <c r="R363" s="31"/>
      <c r="S363" s="32">
        <f t="shared" si="108"/>
        <v>0</v>
      </c>
      <c r="T363" s="10"/>
      <c r="U363" s="10"/>
      <c r="V363" s="10"/>
      <c r="W363" s="12">
        <f t="shared" si="109"/>
        <v>0</v>
      </c>
      <c r="Y363" s="10">
        <v>22</v>
      </c>
      <c r="Z363" s="30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1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57"/>
      <c r="D364" s="32"/>
      <c r="E364" s="32"/>
      <c r="F364" s="32"/>
      <c r="G364" s="32">
        <f t="shared" si="106"/>
        <v>0</v>
      </c>
      <c r="H364" s="10"/>
      <c r="I364" s="10"/>
      <c r="J364" s="12"/>
      <c r="K364" s="12">
        <f t="shared" si="107"/>
        <v>0</v>
      </c>
      <c r="M364" s="10">
        <v>23</v>
      </c>
      <c r="N364" s="30"/>
      <c r="O364" s="31"/>
      <c r="P364" s="47"/>
      <c r="S364" s="32">
        <f t="shared" si="108"/>
        <v>0</v>
      </c>
      <c r="T364" s="10"/>
      <c r="U364" s="10"/>
      <c r="V364" s="10"/>
      <c r="W364" s="12">
        <f t="shared" si="109"/>
        <v>0</v>
      </c>
      <c r="Y364" s="10">
        <v>23</v>
      </c>
      <c r="Z364" s="30"/>
      <c r="AA364" s="31"/>
      <c r="AB364" s="47"/>
      <c r="AE364" s="32">
        <f t="shared" si="114"/>
        <v>0</v>
      </c>
      <c r="AF364" s="10"/>
      <c r="AG364" s="10"/>
      <c r="AH364" s="10"/>
      <c r="AI364" s="12">
        <f t="shared" si="111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106"/>
        <v>0</v>
      </c>
      <c r="H365" s="10"/>
      <c r="I365" s="10"/>
      <c r="J365" s="10"/>
      <c r="K365" s="12">
        <f t="shared" si="107"/>
        <v>0</v>
      </c>
      <c r="M365" s="10">
        <v>24</v>
      </c>
      <c r="N365" s="30"/>
      <c r="P365" s="47"/>
      <c r="Q365" s="31"/>
      <c r="R365" s="31"/>
      <c r="S365" s="32">
        <f t="shared" si="108"/>
        <v>0</v>
      </c>
      <c r="T365" s="10"/>
      <c r="U365" s="10"/>
      <c r="V365" s="10"/>
      <c r="W365" s="12">
        <f t="shared" si="109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1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106"/>
        <v>0</v>
      </c>
      <c r="H366" s="10"/>
      <c r="I366" s="10"/>
      <c r="J366" s="10"/>
      <c r="K366" s="12">
        <f t="shared" si="107"/>
        <v>0</v>
      </c>
      <c r="M366" s="10">
        <v>25</v>
      </c>
      <c r="N366" s="30"/>
      <c r="O366" s="31"/>
      <c r="P366" s="47"/>
      <c r="Q366" s="31"/>
      <c r="R366" s="31"/>
      <c r="S366" s="32">
        <f t="shared" si="108"/>
        <v>0</v>
      </c>
      <c r="T366" s="10"/>
      <c r="U366" s="10"/>
      <c r="V366" s="10"/>
      <c r="W366" s="12">
        <f t="shared" si="109"/>
        <v>0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1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11"/>
      <c r="D367" s="32"/>
      <c r="E367" s="32"/>
      <c r="F367" s="32"/>
      <c r="G367" s="32">
        <f t="shared" si="106"/>
        <v>0</v>
      </c>
      <c r="H367" s="10"/>
      <c r="I367" s="10"/>
      <c r="J367" s="10"/>
      <c r="K367" s="12">
        <f t="shared" si="107"/>
        <v>0</v>
      </c>
      <c r="M367" s="10">
        <v>26</v>
      </c>
      <c r="N367" s="30"/>
      <c r="P367" s="47"/>
      <c r="Q367" s="31"/>
      <c r="R367" s="31"/>
      <c r="S367" s="32">
        <f t="shared" si="108"/>
        <v>0</v>
      </c>
      <c r="T367" s="10"/>
      <c r="U367" s="10"/>
      <c r="V367" s="10"/>
      <c r="W367" s="12">
        <f t="shared" si="109"/>
        <v>0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1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57"/>
      <c r="D368" s="32"/>
      <c r="E368" s="32"/>
      <c r="F368" s="32"/>
      <c r="G368" s="32">
        <f t="shared" si="106"/>
        <v>0</v>
      </c>
      <c r="H368" s="10"/>
      <c r="I368" s="10"/>
      <c r="J368" s="10"/>
      <c r="K368" s="12">
        <f t="shared" si="107"/>
        <v>0</v>
      </c>
      <c r="M368" s="10">
        <v>27</v>
      </c>
      <c r="N368" s="30"/>
      <c r="O368" s="31"/>
      <c r="P368" s="47"/>
      <c r="Q368" s="31"/>
      <c r="R368" s="31"/>
      <c r="S368" s="32">
        <f t="shared" si="108"/>
        <v>0</v>
      </c>
      <c r="T368" s="10"/>
      <c r="U368" s="10"/>
      <c r="V368" s="10"/>
      <c r="W368" s="12">
        <f t="shared" si="109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1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106"/>
        <v>0</v>
      </c>
      <c r="H369" s="10"/>
      <c r="I369" s="10"/>
      <c r="J369" s="10"/>
      <c r="K369" s="12">
        <f t="shared" si="107"/>
        <v>0</v>
      </c>
      <c r="M369" s="10">
        <v>28</v>
      </c>
      <c r="N369" s="30"/>
      <c r="O369" s="31"/>
      <c r="P369" s="47"/>
      <c r="Q369" s="31"/>
      <c r="R369" s="31"/>
      <c r="S369" s="32">
        <f t="shared" si="108"/>
        <v>0</v>
      </c>
      <c r="T369" s="10"/>
      <c r="U369" s="10"/>
      <c r="V369" s="10"/>
      <c r="W369" s="12">
        <f t="shared" si="109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1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106"/>
        <v>0</v>
      </c>
      <c r="H370" s="10"/>
      <c r="I370" s="10"/>
      <c r="J370" s="10"/>
      <c r="K370" s="12">
        <f t="shared" si="107"/>
        <v>0</v>
      </c>
      <c r="M370" s="10">
        <v>29</v>
      </c>
      <c r="N370" s="30"/>
      <c r="P370" s="47"/>
      <c r="Q370" s="31"/>
      <c r="R370" s="31"/>
      <c r="S370" s="32">
        <f t="shared" si="108"/>
        <v>0</v>
      </c>
      <c r="T370" s="10"/>
      <c r="U370" s="10"/>
      <c r="V370" s="10"/>
      <c r="W370" s="12">
        <f t="shared" si="109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1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57"/>
      <c r="D371" s="32"/>
      <c r="E371" s="32"/>
      <c r="F371" s="32"/>
      <c r="G371" s="32">
        <f t="shared" si="106"/>
        <v>0</v>
      </c>
      <c r="H371" s="10"/>
      <c r="I371" s="10"/>
      <c r="J371" s="10"/>
      <c r="K371" s="12">
        <f t="shared" si="107"/>
        <v>0</v>
      </c>
      <c r="M371" s="10">
        <v>30</v>
      </c>
      <c r="N371" s="30"/>
      <c r="P371" s="47"/>
      <c r="Q371" s="31"/>
      <c r="R371" s="31"/>
      <c r="S371" s="32">
        <f t="shared" si="108"/>
        <v>0</v>
      </c>
      <c r="T371" s="10"/>
      <c r="U371" s="10"/>
      <c r="V371" s="10"/>
      <c r="W371" s="12">
        <f t="shared" si="109"/>
        <v>0</v>
      </c>
      <c r="Y371" s="10">
        <v>30</v>
      </c>
      <c r="Z371" s="30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1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106"/>
        <v>0</v>
      </c>
      <c r="H372" s="10"/>
      <c r="I372" s="10"/>
      <c r="J372" s="10"/>
      <c r="K372" s="12">
        <f t="shared" si="107"/>
        <v>0</v>
      </c>
      <c r="M372" s="10">
        <v>31</v>
      </c>
      <c r="N372" s="30"/>
      <c r="O372" s="31"/>
      <c r="P372" s="47"/>
      <c r="Q372" s="31"/>
      <c r="R372" s="31"/>
      <c r="S372" s="32">
        <f t="shared" si="108"/>
        <v>0</v>
      </c>
      <c r="T372" s="10"/>
      <c r="U372" s="10"/>
      <c r="V372" s="10"/>
      <c r="W372" s="12">
        <f t="shared" si="109"/>
        <v>0</v>
      </c>
      <c r="Y372" s="10">
        <v>31</v>
      </c>
      <c r="Z372" s="30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1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106"/>
        <v>0</v>
      </c>
      <c r="H373" s="10"/>
      <c r="I373" s="10"/>
      <c r="J373" s="10"/>
      <c r="K373" s="12">
        <f t="shared" si="107"/>
        <v>0</v>
      </c>
      <c r="M373" s="10">
        <v>32</v>
      </c>
      <c r="N373" s="30"/>
      <c r="P373" s="47"/>
      <c r="Q373" s="31"/>
      <c r="R373" s="31"/>
      <c r="S373" s="32">
        <f t="shared" si="108"/>
        <v>0</v>
      </c>
      <c r="T373" s="10"/>
      <c r="U373" s="10"/>
      <c r="V373" s="10"/>
      <c r="W373" s="12">
        <f t="shared" si="109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1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106"/>
        <v>0</v>
      </c>
      <c r="H374" s="10"/>
      <c r="I374" s="10"/>
      <c r="J374" s="10"/>
      <c r="K374" s="12">
        <f t="shared" si="107"/>
        <v>0</v>
      </c>
      <c r="M374" s="10">
        <v>33</v>
      </c>
      <c r="N374" s="30"/>
      <c r="O374" s="31"/>
      <c r="P374" s="47"/>
      <c r="Q374" s="31"/>
      <c r="R374" s="31"/>
      <c r="S374" s="32">
        <f t="shared" si="108"/>
        <v>0</v>
      </c>
      <c r="T374" s="10"/>
      <c r="U374" s="10"/>
      <c r="V374" s="10"/>
      <c r="W374" s="12">
        <f t="shared" si="109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1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106"/>
        <v>0</v>
      </c>
      <c r="H375" s="10"/>
      <c r="I375" s="10"/>
      <c r="J375" s="10"/>
      <c r="K375" s="12">
        <f t="shared" si="107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ref="W375:W383" si="116">SUM(S375:V375)</f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16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16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16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16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16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6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6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6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109009</v>
      </c>
      <c r="E385" s="38">
        <f t="shared" ref="E385:F385" si="122">SUM(E342:E382)</f>
        <v>0</v>
      </c>
      <c r="F385" s="38">
        <f t="shared" si="122"/>
        <v>0</v>
      </c>
      <c r="G385" s="38">
        <f>SUM(G342:G384)</f>
        <v>109009</v>
      </c>
      <c r="H385" s="4"/>
      <c r="I385" s="39">
        <f>SUM(I342:I384)</f>
        <v>375.5</v>
      </c>
      <c r="J385" s="39">
        <f>SUM(J342:J384)</f>
        <v>0</v>
      </c>
      <c r="K385" s="40">
        <f>SUM(K342:K384)</f>
        <v>109384.5</v>
      </c>
      <c r="N385" s="57"/>
      <c r="O385" s="57"/>
      <c r="P385" s="38">
        <f>SUM(P342:P384)</f>
        <v>173731</v>
      </c>
      <c r="Q385" s="38">
        <f>SUM(Q342:Q366)</f>
        <v>-600</v>
      </c>
      <c r="R385" s="38">
        <f>SUM(R342:R366)</f>
        <v>0</v>
      </c>
      <c r="S385" s="38">
        <f>SUM(S342:S384)</f>
        <v>173131</v>
      </c>
      <c r="T385" s="4"/>
      <c r="U385" s="41">
        <f>SUM(U342:U384)</f>
        <v>788.25</v>
      </c>
      <c r="V385" s="41">
        <f>SUM(V342:V366)</f>
        <v>-777</v>
      </c>
      <c r="W385" s="42">
        <f>SUM(W342:W384)</f>
        <v>173142.25</v>
      </c>
      <c r="Z385" s="57"/>
      <c r="AA385" s="57"/>
      <c r="AB385" s="38">
        <f>SUM(AB342:AB384)</f>
        <v>298231</v>
      </c>
      <c r="AC385" s="38">
        <f>SUM(AC342:AC366)</f>
        <v>-2712</v>
      </c>
      <c r="AD385" s="38">
        <f>SUM(AD342:AD366)</f>
        <v>0</v>
      </c>
      <c r="AE385" s="38">
        <f>SUM(AE342:AE384)</f>
        <v>295519</v>
      </c>
      <c r="AF385" s="4"/>
      <c r="AG385" s="41">
        <f>SUM(AG342:AG384)</f>
        <v>19110</v>
      </c>
      <c r="AH385" s="41">
        <f>SUM(AH342:AH366)</f>
        <v>-1200</v>
      </c>
      <c r="AI385" s="42">
        <f>SUM(AI342:AI384)</f>
        <v>313429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37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6" t="s">
        <v>17</v>
      </c>
      <c r="E395" s="126"/>
      <c r="F395" s="101"/>
      <c r="G395" s="27"/>
      <c r="I395" s="124" t="s">
        <v>18</v>
      </c>
      <c r="J395" s="125"/>
      <c r="K395" s="122" t="s">
        <v>19</v>
      </c>
      <c r="N395" s="25"/>
      <c r="O395" s="26"/>
      <c r="P395" s="126" t="s">
        <v>17</v>
      </c>
      <c r="Q395" s="126"/>
      <c r="R395" s="101"/>
      <c r="S395" s="27"/>
      <c r="U395" s="124" t="s">
        <v>18</v>
      </c>
      <c r="V395" s="125"/>
      <c r="W395" s="122" t="s">
        <v>19</v>
      </c>
      <c r="Z395" s="25"/>
      <c r="AA395" s="26"/>
      <c r="AB395" s="126" t="s">
        <v>17</v>
      </c>
      <c r="AC395" s="126"/>
      <c r="AD395" s="101"/>
      <c r="AE395" s="27"/>
      <c r="AG395" s="124" t="s">
        <v>18</v>
      </c>
      <c r="AH395" s="125"/>
      <c r="AI395" s="12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23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23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23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45912</v>
      </c>
      <c r="C397" s="91">
        <v>7812</v>
      </c>
      <c r="D397" s="32">
        <f>6260+1842+674+596</f>
        <v>9372</v>
      </c>
      <c r="E397" s="32"/>
      <c r="F397" s="32"/>
      <c r="G397" s="32">
        <f t="shared" ref="G397:G430" si="123">SUM(D397:E397)</f>
        <v>9372</v>
      </c>
      <c r="H397" s="12"/>
      <c r="I397" s="12"/>
      <c r="J397" s="12"/>
      <c r="K397" s="12">
        <f t="shared" ref="K397:K430" si="124">SUM(G397:J397)</f>
        <v>9372</v>
      </c>
      <c r="M397" s="10">
        <v>1</v>
      </c>
      <c r="N397" s="30">
        <v>45912</v>
      </c>
      <c r="O397" s="31">
        <v>7734</v>
      </c>
      <c r="P397" s="32">
        <f>187800+4260+2010+1664+2748+1950</f>
        <v>200432</v>
      </c>
      <c r="Q397" s="32">
        <v>-1854</v>
      </c>
      <c r="R397" s="32"/>
      <c r="S397" s="32">
        <f>SUM(P397:Q397)</f>
        <v>198578</v>
      </c>
      <c r="T397" s="12"/>
      <c r="U397" s="12">
        <f>312+288</f>
        <v>600</v>
      </c>
      <c r="V397" s="12"/>
      <c r="W397" s="12">
        <f>SUM(S397:V397)</f>
        <v>199178</v>
      </c>
      <c r="Y397" s="10">
        <v>1</v>
      </c>
      <c r="Z397" s="30">
        <v>45912</v>
      </c>
      <c r="AA397" s="31">
        <v>7499</v>
      </c>
      <c r="AB397" s="32">
        <f>31300+2980</f>
        <v>34280</v>
      </c>
      <c r="AC397" s="32"/>
      <c r="AD397" s="32"/>
      <c r="AE397" s="32">
        <f>SUM(AB397:AC397)</f>
        <v>34280</v>
      </c>
      <c r="AF397" s="12"/>
      <c r="AG397" s="12">
        <f>-111*10</f>
        <v>-1110</v>
      </c>
      <c r="AH397" s="12"/>
      <c r="AI397" s="12">
        <f>SUM(AE397:AH397)</f>
        <v>33170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45912</v>
      </c>
      <c r="C398" s="91">
        <f>C397+1</f>
        <v>7813</v>
      </c>
      <c r="D398" s="32">
        <f>9390+142.5</f>
        <v>9532.5</v>
      </c>
      <c r="E398" s="32"/>
      <c r="F398" s="32"/>
      <c r="G398" s="32">
        <f t="shared" si="123"/>
        <v>9532.5</v>
      </c>
      <c r="H398" s="12"/>
      <c r="I398" s="12"/>
      <c r="J398" s="12"/>
      <c r="K398" s="12">
        <f t="shared" si="124"/>
        <v>9532.5</v>
      </c>
      <c r="M398" s="10">
        <v>2</v>
      </c>
      <c r="N398" s="30">
        <v>45912</v>
      </c>
      <c r="O398" s="31">
        <f>O397+1</f>
        <v>7735</v>
      </c>
      <c r="P398" s="32">
        <v>3813</v>
      </c>
      <c r="Q398" s="32"/>
      <c r="R398" s="32"/>
      <c r="S398" s="32">
        <f t="shared" ref="S398:S429" si="125">SUM(P398:Q398)</f>
        <v>3813</v>
      </c>
      <c r="T398" s="12"/>
      <c r="U398" s="12">
        <v>3</v>
      </c>
      <c r="V398" s="12"/>
      <c r="W398" s="12">
        <f t="shared" ref="W398:W429" si="126">SUM(S398:V398)</f>
        <v>3816</v>
      </c>
      <c r="Y398" s="10">
        <v>2</v>
      </c>
      <c r="Z398" s="30">
        <v>45912</v>
      </c>
      <c r="AA398" s="31">
        <f>AA397+1</f>
        <v>7500</v>
      </c>
      <c r="AB398" s="32">
        <f>30048+1348+674+5960+832</f>
        <v>38862</v>
      </c>
      <c r="AC398" s="32">
        <v>-342</v>
      </c>
      <c r="AD398" s="32"/>
      <c r="AE398" s="32">
        <f t="shared" ref="AE398:AE435" si="127">SUM(AB398:AC398)</f>
        <v>38520</v>
      </c>
      <c r="AF398" s="12"/>
      <c r="AG398" s="12"/>
      <c r="AH398" s="12"/>
      <c r="AI398" s="12">
        <f t="shared" ref="AI398:AI429" si="128">SUM(AE398:AH398)</f>
        <v>38520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45912</v>
      </c>
      <c r="C399" s="91">
        <f t="shared" ref="C399:C411" si="129">C398+1</f>
        <v>7814</v>
      </c>
      <c r="D399" s="33">
        <f>626+596+19</f>
        <v>1241</v>
      </c>
      <c r="E399" s="33"/>
      <c r="F399" s="33"/>
      <c r="G399" s="33">
        <f t="shared" si="123"/>
        <v>1241</v>
      </c>
      <c r="H399" s="34"/>
      <c r="I399" s="34"/>
      <c r="J399" s="34"/>
      <c r="K399" s="34">
        <f t="shared" si="124"/>
        <v>1241</v>
      </c>
      <c r="M399" s="10">
        <v>3</v>
      </c>
      <c r="N399" s="30">
        <v>45912</v>
      </c>
      <c r="O399" s="31">
        <f t="shared" ref="O399:O401" si="130">O398+1</f>
        <v>7736</v>
      </c>
      <c r="P399" s="32">
        <f>6260</f>
        <v>6260</v>
      </c>
      <c r="Q399" s="32"/>
      <c r="R399" s="32"/>
      <c r="S399" s="32">
        <f t="shared" si="125"/>
        <v>6260</v>
      </c>
      <c r="T399" s="12"/>
      <c r="U399" s="12">
        <v>13.5</v>
      </c>
      <c r="V399" s="12"/>
      <c r="W399" s="12">
        <f t="shared" si="126"/>
        <v>6273.5</v>
      </c>
      <c r="Y399" s="10">
        <v>3</v>
      </c>
      <c r="Z399" s="30">
        <v>45912</v>
      </c>
      <c r="AA399" s="31">
        <v>7751</v>
      </c>
      <c r="AB399" s="33">
        <f>626+614*3+229</f>
        <v>2697</v>
      </c>
      <c r="AC399" s="33"/>
      <c r="AD399" s="32"/>
      <c r="AE399" s="32">
        <f t="shared" si="127"/>
        <v>2697</v>
      </c>
      <c r="AF399" s="12"/>
      <c r="AG399" s="12"/>
      <c r="AH399" s="12"/>
      <c r="AI399" s="12">
        <f t="shared" si="128"/>
        <v>2697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45912</v>
      </c>
      <c r="C400" s="91">
        <f t="shared" si="129"/>
        <v>7815</v>
      </c>
      <c r="D400" s="32">
        <f>2504+38</f>
        <v>2542</v>
      </c>
      <c r="E400" s="32"/>
      <c r="F400" s="32"/>
      <c r="G400" s="32">
        <f t="shared" si="123"/>
        <v>2542</v>
      </c>
      <c r="H400" s="12"/>
      <c r="I400" s="12"/>
      <c r="J400" s="12"/>
      <c r="K400" s="12">
        <f t="shared" si="124"/>
        <v>2542</v>
      </c>
      <c r="M400" s="10">
        <v>4</v>
      </c>
      <c r="N400" s="30">
        <v>45912</v>
      </c>
      <c r="O400" s="31">
        <f t="shared" si="130"/>
        <v>7737</v>
      </c>
      <c r="P400" s="32">
        <f>1252+19</f>
        <v>1271</v>
      </c>
      <c r="Q400" s="32"/>
      <c r="R400" s="32"/>
      <c r="S400" s="32">
        <f t="shared" si="125"/>
        <v>1271</v>
      </c>
      <c r="T400" s="12"/>
      <c r="U400" s="12"/>
      <c r="V400" s="12"/>
      <c r="W400" s="12">
        <f t="shared" si="126"/>
        <v>1271</v>
      </c>
      <c r="Y400" s="10">
        <v>4</v>
      </c>
      <c r="Z400" s="30">
        <v>45912</v>
      </c>
      <c r="AA400" s="31">
        <f t="shared" ref="AA400:AA401" si="131">AA399+1</f>
        <v>7752</v>
      </c>
      <c r="AB400" s="32">
        <f>56340+12280+674</f>
        <v>69294</v>
      </c>
      <c r="AC400" s="32"/>
      <c r="AD400" s="32"/>
      <c r="AE400" s="32">
        <f t="shared" si="127"/>
        <v>69294</v>
      </c>
      <c r="AF400" s="12"/>
      <c r="AG400">
        <v>8769</v>
      </c>
      <c r="AH400" s="12"/>
      <c r="AI400" s="12">
        <f t="shared" si="128"/>
        <v>78063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45912</v>
      </c>
      <c r="C401" s="91">
        <f t="shared" si="129"/>
        <v>7816</v>
      </c>
      <c r="D401" s="32">
        <f>2504+38</f>
        <v>2542</v>
      </c>
      <c r="E401" s="32"/>
      <c r="F401" s="32"/>
      <c r="G401" s="32">
        <f t="shared" si="123"/>
        <v>2542</v>
      </c>
      <c r="H401" s="12"/>
      <c r="I401" s="12"/>
      <c r="J401" s="12"/>
      <c r="K401" s="12">
        <f t="shared" si="124"/>
        <v>2542</v>
      </c>
      <c r="M401" s="10">
        <v>5</v>
      </c>
      <c r="N401" s="30">
        <v>45912</v>
      </c>
      <c r="O401" s="31">
        <f t="shared" si="130"/>
        <v>7738</v>
      </c>
      <c r="P401" s="32">
        <f>8138+1788+152</f>
        <v>10078</v>
      </c>
      <c r="Q401" s="32"/>
      <c r="R401" s="32"/>
      <c r="S401" s="32">
        <f t="shared" si="125"/>
        <v>10078</v>
      </c>
      <c r="T401" s="12"/>
      <c r="U401" s="12"/>
      <c r="V401" s="12">
        <f>-333+-84+-168</f>
        <v>-585</v>
      </c>
      <c r="W401" s="12">
        <f t="shared" si="126"/>
        <v>9493</v>
      </c>
      <c r="Y401" s="10">
        <v>5</v>
      </c>
      <c r="Z401" s="30">
        <v>45912</v>
      </c>
      <c r="AA401" s="31">
        <f t="shared" si="131"/>
        <v>7753</v>
      </c>
      <c r="AB401" s="32">
        <f>148988+64368+1664+3435</f>
        <v>218455</v>
      </c>
      <c r="AC401" s="32">
        <v>-2178</v>
      </c>
      <c r="AD401" s="32"/>
      <c r="AE401" s="32">
        <f t="shared" si="127"/>
        <v>216277</v>
      </c>
      <c r="AF401" s="12"/>
      <c r="AG401" s="12">
        <v>1110</v>
      </c>
      <c r="AH401" s="12"/>
      <c r="AI401" s="12">
        <f t="shared" si="128"/>
        <v>217387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45912</v>
      </c>
      <c r="C402" s="91">
        <f t="shared" si="129"/>
        <v>7817</v>
      </c>
      <c r="D402" s="32">
        <f>5634+1788+9.5*12</f>
        <v>7536</v>
      </c>
      <c r="E402" s="32"/>
      <c r="F402" s="32"/>
      <c r="G402" s="32">
        <f t="shared" si="123"/>
        <v>7536</v>
      </c>
      <c r="H402" s="12"/>
      <c r="I402" s="12">
        <v>49</v>
      </c>
      <c r="J402" s="12"/>
      <c r="K402" s="12">
        <f t="shared" si="124"/>
        <v>7585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5"/>
        <v>0</v>
      </c>
      <c r="T402" s="12"/>
      <c r="U402" s="12"/>
      <c r="V402" s="10"/>
      <c r="W402" s="12">
        <f t="shared" si="126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7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45912</v>
      </c>
      <c r="C403" s="91">
        <f t="shared" si="129"/>
        <v>7818</v>
      </c>
      <c r="D403" s="32">
        <f>2504+38</f>
        <v>2542</v>
      </c>
      <c r="E403" s="32"/>
      <c r="F403" s="32"/>
      <c r="G403" s="32">
        <f t="shared" si="123"/>
        <v>2542</v>
      </c>
      <c r="H403" s="12"/>
      <c r="I403" s="12"/>
      <c r="J403" s="12"/>
      <c r="K403" s="12">
        <f t="shared" si="124"/>
        <v>2542</v>
      </c>
      <c r="M403" s="10">
        <v>7</v>
      </c>
      <c r="N403" s="30"/>
      <c r="O403" s="31"/>
      <c r="P403" s="32"/>
      <c r="Q403" s="32"/>
      <c r="R403" s="32"/>
      <c r="S403" s="32">
        <f t="shared" si="125"/>
        <v>0</v>
      </c>
      <c r="T403" s="12"/>
      <c r="U403" s="12"/>
      <c r="V403" s="12"/>
      <c r="W403" s="12">
        <f t="shared" si="126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7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45912</v>
      </c>
      <c r="C404" s="91">
        <f t="shared" si="129"/>
        <v>7819</v>
      </c>
      <c r="D404" s="32">
        <f>2504+38</f>
        <v>2542</v>
      </c>
      <c r="E404" s="32"/>
      <c r="F404" s="32"/>
      <c r="G404" s="32">
        <f t="shared" si="123"/>
        <v>2542</v>
      </c>
      <c r="H404" s="12"/>
      <c r="I404" s="12"/>
      <c r="J404" s="12"/>
      <c r="K404" s="12">
        <f t="shared" si="124"/>
        <v>2542</v>
      </c>
      <c r="M404" s="10">
        <v>8</v>
      </c>
      <c r="N404" s="30"/>
      <c r="O404" s="31"/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27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45912</v>
      </c>
      <c r="C405" s="91">
        <f t="shared" si="129"/>
        <v>7820</v>
      </c>
      <c r="D405" s="32">
        <f>3130+614+47.5</f>
        <v>3791.5</v>
      </c>
      <c r="E405" s="32"/>
      <c r="F405" s="32"/>
      <c r="G405" s="32">
        <f t="shared" si="123"/>
        <v>3791.5</v>
      </c>
      <c r="H405" s="12"/>
      <c r="I405" s="12"/>
      <c r="J405" s="12"/>
      <c r="K405" s="12">
        <f t="shared" si="124"/>
        <v>3791.5</v>
      </c>
      <c r="M405" s="10">
        <v>9</v>
      </c>
      <c r="N405" s="30"/>
      <c r="O405" s="31"/>
      <c r="P405" s="32"/>
      <c r="Q405" s="32"/>
      <c r="R405" s="32"/>
      <c r="S405" s="32">
        <f t="shared" si="125"/>
        <v>0</v>
      </c>
      <c r="T405" s="12"/>
      <c r="U405" s="12"/>
      <c r="V405" s="12"/>
      <c r="W405" s="12">
        <f t="shared" si="126"/>
        <v>0</v>
      </c>
      <c r="Y405" s="10">
        <v>9</v>
      </c>
      <c r="Z405" s="30"/>
      <c r="AA405" s="31"/>
      <c r="AC405" s="32"/>
      <c r="AD405" s="32"/>
      <c r="AE405" s="32">
        <f t="shared" si="127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45912</v>
      </c>
      <c r="C406" s="91">
        <f t="shared" si="129"/>
        <v>7821</v>
      </c>
      <c r="D406" s="32">
        <f>30674+832+229</f>
        <v>31735</v>
      </c>
      <c r="E406" s="32"/>
      <c r="F406" s="32"/>
      <c r="G406" s="32">
        <f t="shared" si="123"/>
        <v>31735</v>
      </c>
      <c r="H406" s="12"/>
      <c r="I406" s="12"/>
      <c r="J406" s="12"/>
      <c r="K406" s="12">
        <f t="shared" si="124"/>
        <v>31735</v>
      </c>
      <c r="M406" s="10">
        <v>10</v>
      </c>
      <c r="N406" s="30"/>
      <c r="O406" s="31"/>
      <c r="P406" s="32"/>
      <c r="Q406" s="32"/>
      <c r="R406" s="32"/>
      <c r="S406" s="32">
        <f t="shared" si="125"/>
        <v>0</v>
      </c>
      <c r="T406" s="12"/>
      <c r="U406" s="12"/>
      <c r="V406" s="12"/>
      <c r="W406" s="12">
        <f t="shared" si="126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7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45912</v>
      </c>
      <c r="C407" s="91">
        <f t="shared" si="129"/>
        <v>7822</v>
      </c>
      <c r="D407" s="32">
        <f>10642+1192</f>
        <v>11834</v>
      </c>
      <c r="E407" s="32"/>
      <c r="F407" s="32"/>
      <c r="G407" s="32">
        <f t="shared" si="123"/>
        <v>11834</v>
      </c>
      <c r="H407" s="12"/>
      <c r="I407" s="12">
        <v>13.5</v>
      </c>
      <c r="J407" s="12"/>
      <c r="K407" s="12">
        <f t="shared" si="124"/>
        <v>11847.5</v>
      </c>
      <c r="M407" s="10">
        <v>11</v>
      </c>
      <c r="N407" s="30"/>
      <c r="O407" s="31"/>
      <c r="P407" s="32"/>
      <c r="Q407" s="32"/>
      <c r="R407" s="32"/>
      <c r="S407" s="32">
        <f t="shared" si="125"/>
        <v>0</v>
      </c>
      <c r="T407" s="12"/>
      <c r="U407" s="12"/>
      <c r="V407" s="12"/>
      <c r="W407" s="12">
        <f t="shared" si="126"/>
        <v>0</v>
      </c>
      <c r="Y407" s="10">
        <v>11</v>
      </c>
      <c r="Z407" s="30"/>
      <c r="AB407" s="32"/>
      <c r="AC407" s="32"/>
      <c r="AD407" s="32"/>
      <c r="AE407" s="32">
        <f t="shared" si="127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45912</v>
      </c>
      <c r="C408" s="91">
        <f t="shared" si="129"/>
        <v>7823</v>
      </c>
      <c r="D408" s="32">
        <f>1878+28.5</f>
        <v>1906.5</v>
      </c>
      <c r="E408" s="32"/>
      <c r="F408" s="32"/>
      <c r="G408" s="32">
        <f t="shared" si="123"/>
        <v>1906.5</v>
      </c>
      <c r="H408" s="12"/>
      <c r="I408" s="12"/>
      <c r="J408" s="10"/>
      <c r="K408" s="12">
        <f t="shared" si="124"/>
        <v>1906.5</v>
      </c>
      <c r="M408" s="10">
        <v>12</v>
      </c>
      <c r="N408" s="30"/>
      <c r="O408" s="31"/>
      <c r="P408" s="32"/>
      <c r="Q408" s="32"/>
      <c r="R408" s="32"/>
      <c r="S408" s="32">
        <f t="shared" si="125"/>
        <v>0</v>
      </c>
      <c r="T408" s="12"/>
      <c r="U408" s="12"/>
      <c r="V408" s="12"/>
      <c r="W408" s="12">
        <f t="shared" si="126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7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45912</v>
      </c>
      <c r="C409" s="91">
        <f t="shared" si="129"/>
        <v>7824</v>
      </c>
      <c r="D409" s="32">
        <f>4382</f>
        <v>4382</v>
      </c>
      <c r="E409" s="32"/>
      <c r="F409" s="32"/>
      <c r="G409" s="32">
        <f t="shared" si="123"/>
        <v>4382</v>
      </c>
      <c r="H409" s="12"/>
      <c r="I409" s="12"/>
      <c r="J409" s="12"/>
      <c r="K409" s="12">
        <f t="shared" si="124"/>
        <v>4382</v>
      </c>
      <c r="M409" s="10">
        <v>13</v>
      </c>
      <c r="N409" s="30"/>
      <c r="O409" s="31"/>
      <c r="P409" s="32"/>
      <c r="Q409" s="32"/>
      <c r="R409" s="32"/>
      <c r="S409" s="32">
        <f t="shared" si="125"/>
        <v>0</v>
      </c>
      <c r="T409" s="12"/>
      <c r="U409" s="12"/>
      <c r="V409" s="12"/>
      <c r="W409" s="12">
        <f t="shared" si="126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7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45912</v>
      </c>
      <c r="C410" s="91">
        <f t="shared" si="129"/>
        <v>7825</v>
      </c>
      <c r="D410" s="32">
        <f>68860+1842+5960</f>
        <v>76662</v>
      </c>
      <c r="E410" s="32"/>
      <c r="F410" s="32"/>
      <c r="G410" s="32">
        <f t="shared" si="123"/>
        <v>76662</v>
      </c>
      <c r="H410" s="12"/>
      <c r="I410" s="12">
        <f>444+2.5+270</f>
        <v>716.5</v>
      </c>
      <c r="J410" s="12"/>
      <c r="K410" s="12">
        <f t="shared" si="124"/>
        <v>77378.5</v>
      </c>
      <c r="M410" s="10">
        <v>14</v>
      </c>
      <c r="N410" s="30"/>
      <c r="O410" s="31"/>
      <c r="P410" s="32"/>
      <c r="Q410" s="32"/>
      <c r="R410" s="32"/>
      <c r="S410" s="32">
        <f t="shared" si="125"/>
        <v>0</v>
      </c>
      <c r="T410" s="12"/>
      <c r="U410" s="12"/>
      <c r="V410" s="12"/>
      <c r="W410" s="12">
        <f t="shared" si="126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7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45912</v>
      </c>
      <c r="C411" s="91">
        <f t="shared" si="129"/>
        <v>7826</v>
      </c>
      <c r="D411" s="32">
        <f>12520+2980+832+229+500</f>
        <v>17061</v>
      </c>
      <c r="E411" s="32"/>
      <c r="F411" s="32"/>
      <c r="G411" s="32">
        <f t="shared" si="123"/>
        <v>17061</v>
      </c>
      <c r="H411" s="12"/>
      <c r="I411" s="12"/>
      <c r="J411" s="12"/>
      <c r="K411" s="12">
        <f t="shared" si="124"/>
        <v>17061</v>
      </c>
      <c r="M411" s="10">
        <v>15</v>
      </c>
      <c r="N411" s="30"/>
      <c r="O411" s="31"/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7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 t="s">
        <v>27</v>
      </c>
      <c r="D412" s="32"/>
      <c r="E412" s="32"/>
      <c r="F412" s="32"/>
      <c r="G412" s="32">
        <f t="shared" si="123"/>
        <v>0</v>
      </c>
      <c r="H412" s="12"/>
      <c r="I412" s="12"/>
      <c r="J412" s="12"/>
      <c r="K412" s="12">
        <f t="shared" si="124"/>
        <v>0</v>
      </c>
      <c r="M412" s="10">
        <v>16</v>
      </c>
      <c r="N412" s="30"/>
      <c r="O412" s="31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B412" s="32"/>
      <c r="AC412" s="32"/>
      <c r="AD412" s="32"/>
      <c r="AE412" s="32">
        <f t="shared" si="127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91"/>
      <c r="D413" s="32"/>
      <c r="E413" s="32"/>
      <c r="F413" s="32"/>
      <c r="G413" s="32">
        <f t="shared" si="123"/>
        <v>0</v>
      </c>
      <c r="H413" s="12"/>
      <c r="I413" s="12"/>
      <c r="J413" s="12"/>
      <c r="K413" s="12">
        <f t="shared" si="124"/>
        <v>0</v>
      </c>
      <c r="M413" s="10">
        <v>17</v>
      </c>
      <c r="N413" s="30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7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D414" s="32"/>
      <c r="E414" s="32"/>
      <c r="F414" s="32"/>
      <c r="G414" s="32">
        <f t="shared" si="123"/>
        <v>0</v>
      </c>
      <c r="H414" s="12"/>
      <c r="I414" s="12"/>
      <c r="J414" s="12"/>
      <c r="K414" s="12">
        <f t="shared" si="124"/>
        <v>0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7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57"/>
      <c r="D415" s="32"/>
      <c r="E415" s="32"/>
      <c r="F415" s="32"/>
      <c r="G415" s="32">
        <f t="shared" si="123"/>
        <v>0</v>
      </c>
      <c r="H415" s="12"/>
      <c r="I415" s="12"/>
      <c r="J415" s="12"/>
      <c r="K415" s="12">
        <f t="shared" si="124"/>
        <v>0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7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91"/>
      <c r="D416" s="32"/>
      <c r="E416" s="32"/>
      <c r="F416" s="32"/>
      <c r="G416" s="32">
        <f t="shared" si="123"/>
        <v>0</v>
      </c>
      <c r="H416" s="12"/>
      <c r="I416" s="12"/>
      <c r="J416" s="12"/>
      <c r="K416" s="12">
        <f t="shared" si="124"/>
        <v>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7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91"/>
      <c r="D417" s="32"/>
      <c r="E417" s="32"/>
      <c r="F417" s="32"/>
      <c r="G417" s="32">
        <f t="shared" si="123"/>
        <v>0</v>
      </c>
      <c r="H417" s="10"/>
      <c r="I417" s="10"/>
      <c r="J417" s="10"/>
      <c r="K417" s="12">
        <f t="shared" si="124"/>
        <v>0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27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91"/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B418" s="45"/>
      <c r="AC418" s="31"/>
      <c r="AD418" s="31"/>
      <c r="AE418" s="32">
        <f t="shared" si="127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57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E419" s="32">
        <f t="shared" si="127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7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7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1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B422" s="47"/>
      <c r="AC422" s="31"/>
      <c r="AD422" s="31"/>
      <c r="AE422" s="32">
        <f t="shared" si="127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57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7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7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3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7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57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B426" s="47"/>
      <c r="AC426" s="31"/>
      <c r="AD426" s="31"/>
      <c r="AE426" s="32">
        <f t="shared" si="127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57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B427" s="47"/>
      <c r="AC427" s="31"/>
      <c r="AD427" s="31"/>
      <c r="AE427" s="32">
        <f t="shared" si="127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31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7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57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7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57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ref="S430:S435" si="132">SUM(P430:Q430)</f>
        <v>0</v>
      </c>
      <c r="T430" s="10"/>
      <c r="U430" s="10"/>
      <c r="V430" s="10"/>
      <c r="W430" s="12">
        <f t="shared" ref="W430:W438" si="133">SUM(S430:V430)</f>
        <v>0</v>
      </c>
      <c r="Y430" s="10">
        <v>34</v>
      </c>
      <c r="Z430" s="30"/>
      <c r="AB430" s="47"/>
      <c r="AC430" s="31"/>
      <c r="AD430" s="31"/>
      <c r="AE430" s="32">
        <f t="shared" si="127"/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2"/>
        <v>0</v>
      </c>
      <c r="T431" s="10"/>
      <c r="U431" s="10"/>
      <c r="V431" s="10"/>
      <c r="W431" s="12">
        <f t="shared" si="13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7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2"/>
        <v>0</v>
      </c>
      <c r="T432" s="10"/>
      <c r="U432" s="10"/>
      <c r="V432" s="10"/>
      <c r="W432" s="12">
        <f t="shared" si="13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7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2"/>
        <v>0</v>
      </c>
      <c r="T433" s="10"/>
      <c r="U433" s="10"/>
      <c r="V433" s="10"/>
      <c r="W433" s="12">
        <f t="shared" si="13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7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2"/>
        <v>0</v>
      </c>
      <c r="T434" s="10"/>
      <c r="U434" s="10"/>
      <c r="V434" s="10"/>
      <c r="W434" s="12">
        <f t="shared" si="13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7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2"/>
        <v>0</v>
      </c>
      <c r="T435" s="10"/>
      <c r="U435" s="10"/>
      <c r="V435" s="10"/>
      <c r="W435" s="12">
        <f t="shared" si="13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7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3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33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3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185221.5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185221.5</v>
      </c>
      <c r="H440" s="4"/>
      <c r="I440" s="39">
        <f>SUM(I397:I439)</f>
        <v>779</v>
      </c>
      <c r="J440" s="39">
        <f>SUM(J397:J439)</f>
        <v>0</v>
      </c>
      <c r="K440" s="40">
        <f>SUM(K397:K439)</f>
        <v>186000.5</v>
      </c>
      <c r="N440" s="57"/>
      <c r="O440" s="57"/>
      <c r="P440" s="38">
        <f>SUM(P397:P439)</f>
        <v>221854</v>
      </c>
      <c r="Q440" s="38">
        <f>SUM(Q397:Q421)</f>
        <v>-1854</v>
      </c>
      <c r="R440" s="38">
        <f>SUM(R397:R421)</f>
        <v>0</v>
      </c>
      <c r="S440" s="38">
        <f>SUM(S397:S439)</f>
        <v>220000</v>
      </c>
      <c r="T440" s="4"/>
      <c r="U440" s="41">
        <f>SUM(U397:U439)</f>
        <v>616.5</v>
      </c>
      <c r="V440" s="41">
        <f>SUM(V397:V421)</f>
        <v>-585</v>
      </c>
      <c r="W440" s="42">
        <f>SUM(W397:W439)</f>
        <v>220031.5</v>
      </c>
      <c r="Z440" s="57"/>
      <c r="AA440" s="57"/>
      <c r="AB440" s="38">
        <f>SUM(AB397:AB439)</f>
        <v>363588</v>
      </c>
      <c r="AC440" s="38">
        <f>SUM(AC397:AC421)</f>
        <v>-2520</v>
      </c>
      <c r="AD440" s="38">
        <f>SUM(AD397:AD421)</f>
        <v>0</v>
      </c>
      <c r="AE440" s="38">
        <f>SUM(AE397:AE439)</f>
        <v>361068</v>
      </c>
      <c r="AF440" s="4"/>
      <c r="AG440" s="41">
        <f>SUM(AG397:AG439)</f>
        <v>8769</v>
      </c>
      <c r="AH440" s="41">
        <f>SUM(AH397:AH421)</f>
        <v>0</v>
      </c>
      <c r="AI440" s="42">
        <f>SUM(AI397:AI439)</f>
        <v>369837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3"/>
      <c r="C442" s="93"/>
      <c r="D442" s="93"/>
      <c r="E442" s="93"/>
      <c r="F442" s="93"/>
      <c r="G442" s="93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3"/>
      <c r="C443" s="93"/>
      <c r="D443" s="93"/>
      <c r="E443" s="93"/>
      <c r="F443" s="93"/>
      <c r="G443" s="93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3"/>
      <c r="C444" s="93"/>
      <c r="D444" s="93"/>
      <c r="E444" s="93"/>
      <c r="F444" s="93"/>
      <c r="G444" s="93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3"/>
      <c r="C445" s="93"/>
      <c r="D445" s="93"/>
      <c r="E445" s="93"/>
      <c r="F445" s="93"/>
      <c r="G445" s="93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3"/>
      <c r="C446" s="93"/>
      <c r="D446" s="93"/>
      <c r="E446" s="93"/>
      <c r="F446" s="93"/>
      <c r="G446" s="93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3"/>
      <c r="C447" s="93"/>
      <c r="D447" s="93"/>
      <c r="E447" s="93"/>
      <c r="F447" s="93"/>
      <c r="G447" s="93"/>
      <c r="H447" s="62"/>
      <c r="I447" s="93"/>
      <c r="J447" s="74"/>
      <c r="K447" s="62"/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3"/>
      <c r="C448" s="93"/>
      <c r="D448" s="93"/>
      <c r="E448" s="93"/>
      <c r="F448" s="93"/>
      <c r="G448" s="93"/>
      <c r="H448" s="62"/>
      <c r="I448" s="65"/>
      <c r="J448" s="65"/>
      <c r="K448" s="62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37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3"/>
      <c r="C449" s="93"/>
      <c r="D449" s="93"/>
      <c r="E449" s="93"/>
      <c r="F449" s="93"/>
      <c r="G449" s="93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3"/>
      <c r="D450" s="121"/>
      <c r="E450" s="121"/>
      <c r="F450" s="93"/>
      <c r="G450" s="93"/>
      <c r="H450" s="62"/>
      <c r="I450" s="121"/>
      <c r="J450" s="121"/>
      <c r="K450" s="120"/>
      <c r="N450" s="25"/>
      <c r="O450" s="26"/>
      <c r="P450" s="126" t="s">
        <v>17</v>
      </c>
      <c r="Q450" s="126"/>
      <c r="R450" s="102"/>
      <c r="S450" s="27"/>
      <c r="U450" s="124" t="s">
        <v>18</v>
      </c>
      <c r="V450" s="125"/>
      <c r="W450" s="122" t="s">
        <v>19</v>
      </c>
      <c r="Z450" s="25"/>
      <c r="AA450" s="26"/>
      <c r="AB450" s="126" t="s">
        <v>17</v>
      </c>
      <c r="AC450" s="126"/>
      <c r="AD450" s="102"/>
      <c r="AE450" s="27"/>
      <c r="AG450" s="124" t="s">
        <v>18</v>
      </c>
      <c r="AH450" s="125"/>
      <c r="AI450" s="122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3"/>
      <c r="C451" s="93"/>
      <c r="D451" s="81"/>
      <c r="E451" s="82"/>
      <c r="F451" s="83"/>
      <c r="G451" s="83"/>
      <c r="H451" s="62"/>
      <c r="I451" s="92"/>
      <c r="J451" s="92"/>
      <c r="K451" s="120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23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23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45942</v>
      </c>
      <c r="O452" s="31">
        <v>7739</v>
      </c>
      <c r="P452" s="32">
        <f>22536</f>
        <v>22536</v>
      </c>
      <c r="Q452" s="32"/>
      <c r="R452" s="32"/>
      <c r="S452" s="32">
        <f>SUM(P452:Q452)</f>
        <v>22536</v>
      </c>
      <c r="T452" s="12"/>
      <c r="U452" s="12"/>
      <c r="V452" s="12">
        <f>-32*111</f>
        <v>-3552</v>
      </c>
      <c r="W452" s="12">
        <f>SUM(S452:V452)</f>
        <v>18984</v>
      </c>
      <c r="Y452" s="10">
        <v>1</v>
      </c>
      <c r="Z452" s="30">
        <v>45942</v>
      </c>
      <c r="AA452" s="31">
        <v>7851</v>
      </c>
      <c r="AB452" s="32">
        <f>25040+5960+832+650</f>
        <v>32482</v>
      </c>
      <c r="AC452" s="32"/>
      <c r="AD452" s="32"/>
      <c r="AE452" s="32">
        <f>SUM(AB452:AC452)</f>
        <v>32482</v>
      </c>
      <c r="AF452" s="12"/>
      <c r="AG452" s="12">
        <v>297</v>
      </c>
      <c r="AH452" s="12"/>
      <c r="AI452" s="12">
        <f>SUM(AE452:AH452)</f>
        <v>32779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45942</v>
      </c>
      <c r="O453" s="31">
        <f>O452+1</f>
        <v>7740</v>
      </c>
      <c r="P453" s="32">
        <f>626*170+614*5+596*20+852*2+832*2+229*7+650*2</f>
        <v>127681</v>
      </c>
      <c r="Q453" s="32">
        <v>-1194</v>
      </c>
      <c r="R453" s="32"/>
      <c r="S453" s="32">
        <f t="shared" ref="S453:S484" si="140">SUM(P453:Q453)</f>
        <v>126487</v>
      </c>
      <c r="T453" s="12"/>
      <c r="U453" s="12">
        <f>240+468</f>
        <v>708</v>
      </c>
      <c r="V453" s="12">
        <f>-111*66+-42*9</f>
        <v>-7704</v>
      </c>
      <c r="W453" s="12">
        <f t="shared" ref="W453:W484" si="141">SUM(S453:V453)</f>
        <v>119491</v>
      </c>
      <c r="Y453" s="10">
        <v>2</v>
      </c>
      <c r="Z453" s="30">
        <v>45942</v>
      </c>
      <c r="AA453" s="31">
        <f>AA452+1</f>
        <v>7852</v>
      </c>
      <c r="AB453" s="32">
        <f>31300+14900+1005+687+650</f>
        <v>48542</v>
      </c>
      <c r="AC453" s="32">
        <v>-456</v>
      </c>
      <c r="AD453" s="32"/>
      <c r="AE453" s="32">
        <f t="shared" ref="AE453:AE490" si="142">SUM(AB453:AC453)</f>
        <v>48086</v>
      </c>
      <c r="AF453" s="12"/>
      <c r="AG453" s="12">
        <v>54</v>
      </c>
      <c r="AH453" s="12"/>
      <c r="AI453" s="12">
        <f t="shared" ref="AI453:AI484" si="143">SUM(AE453:AH453)</f>
        <v>48140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45942</v>
      </c>
      <c r="O454" s="31">
        <f t="shared" ref="O454" si="144">O453+1</f>
        <v>7741</v>
      </c>
      <c r="P454" s="32">
        <f>135216+53640+2977</f>
        <v>191833</v>
      </c>
      <c r="Q454" s="32">
        <v>-1836</v>
      </c>
      <c r="R454" s="32"/>
      <c r="S454" s="32">
        <f t="shared" si="140"/>
        <v>189997</v>
      </c>
      <c r="T454" s="12"/>
      <c r="U454" s="12">
        <v>546</v>
      </c>
      <c r="V454" s="12">
        <f>-240+-17427+-2100+-84</f>
        <v>-19851</v>
      </c>
      <c r="W454" s="12">
        <f t="shared" si="141"/>
        <v>170692</v>
      </c>
      <c r="Y454" s="10">
        <v>3</v>
      </c>
      <c r="Z454" s="30">
        <v>45942</v>
      </c>
      <c r="AA454" s="31">
        <f t="shared" ref="AA454:AA455" si="145">AA453+1</f>
        <v>7853</v>
      </c>
      <c r="AB454" s="33">
        <f>626*70+596*30+229*3</f>
        <v>62387</v>
      </c>
      <c r="AC454" s="33"/>
      <c r="AD454" s="32"/>
      <c r="AE454" s="32">
        <f t="shared" si="142"/>
        <v>62387</v>
      </c>
      <c r="AF454" s="12"/>
      <c r="AG454" s="12">
        <f>8214+324</f>
        <v>8538</v>
      </c>
      <c r="AH454" s="12"/>
      <c r="AI454" s="12">
        <f t="shared" si="143"/>
        <v>70925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/>
      <c r="O455" s="11" t="s">
        <v>27</v>
      </c>
      <c r="P455" s="32"/>
      <c r="Q455" s="32"/>
      <c r="R455" s="32"/>
      <c r="S455" s="32">
        <f t="shared" si="140"/>
        <v>0</v>
      </c>
      <c r="T455" s="12"/>
      <c r="U455" s="12"/>
      <c r="V455" s="12"/>
      <c r="W455" s="12">
        <f t="shared" si="141"/>
        <v>0</v>
      </c>
      <c r="Y455" s="10">
        <v>4</v>
      </c>
      <c r="Z455" s="30">
        <v>45942</v>
      </c>
      <c r="AA455" s="31">
        <f t="shared" si="145"/>
        <v>7854</v>
      </c>
      <c r="AB455" s="32">
        <v>8764</v>
      </c>
      <c r="AC455" s="32"/>
      <c r="AD455" s="32"/>
      <c r="AE455" s="32">
        <f t="shared" si="142"/>
        <v>8764</v>
      </c>
      <c r="AF455" s="12"/>
      <c r="AH455" s="12"/>
      <c r="AI455" s="12">
        <f t="shared" si="143"/>
        <v>8764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/>
      <c r="O456" s="31"/>
      <c r="P456" s="32"/>
      <c r="Q456" s="32"/>
      <c r="R456" s="32"/>
      <c r="S456" s="32">
        <f t="shared" si="140"/>
        <v>0</v>
      </c>
      <c r="T456" s="12"/>
      <c r="U456" s="12"/>
      <c r="V456" s="12"/>
      <c r="W456" s="12">
        <f t="shared" si="141"/>
        <v>0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42"/>
        <v>0</v>
      </c>
      <c r="AF456" s="12"/>
      <c r="AG456" s="12"/>
      <c r="AH456" s="12"/>
      <c r="AI456" s="12">
        <f t="shared" si="143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4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P457" s="32"/>
      <c r="Q457" s="32"/>
      <c r="R457" s="32"/>
      <c r="S457" s="32">
        <f t="shared" si="140"/>
        <v>0</v>
      </c>
      <c r="T457" s="12"/>
      <c r="U457" s="12"/>
      <c r="V457" s="10"/>
      <c r="W457" s="12">
        <f t="shared" si="141"/>
        <v>0</v>
      </c>
      <c r="Y457" s="10">
        <v>6</v>
      </c>
      <c r="Z457" s="30"/>
      <c r="AB457" s="32"/>
      <c r="AC457" s="32"/>
      <c r="AD457" s="32"/>
      <c r="AE457" s="32">
        <f t="shared" si="142"/>
        <v>0</v>
      </c>
      <c r="AF457" s="12"/>
      <c r="AG457" s="12"/>
      <c r="AH457" s="10"/>
      <c r="AI457" s="12">
        <f t="shared" si="143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31"/>
      <c r="AB458" s="32"/>
      <c r="AC458" s="32"/>
      <c r="AD458" s="32"/>
      <c r="AE458" s="32">
        <f t="shared" si="142"/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si="142"/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C460" s="32"/>
      <c r="AD460" s="32"/>
      <c r="AE460" s="32">
        <f t="shared" si="142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2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4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B462" s="32"/>
      <c r="AC462" s="32"/>
      <c r="AD462" s="32"/>
      <c r="AE462" s="32">
        <f t="shared" si="142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2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2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2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2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4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Z467" s="30"/>
      <c r="AB467" s="32"/>
      <c r="AC467" s="32"/>
      <c r="AD467" s="32"/>
      <c r="AE467" s="32">
        <f t="shared" si="142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2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4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2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2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2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B472" s="46"/>
      <c r="AC472" s="31"/>
      <c r="AD472" s="31"/>
      <c r="AE472" s="32">
        <f t="shared" si="142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B473" s="45"/>
      <c r="AC473" s="31"/>
      <c r="AD473" s="31"/>
      <c r="AE473" s="32">
        <f t="shared" si="142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3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2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2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2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B477" s="47"/>
      <c r="AC477" s="31"/>
      <c r="AD477" s="31"/>
      <c r="AE477" s="32">
        <f t="shared" si="142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2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2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2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3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B481" s="47"/>
      <c r="AC481" s="31"/>
      <c r="AD481" s="31"/>
      <c r="AE481" s="32">
        <f t="shared" si="142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B482" s="47"/>
      <c r="AC482" s="31"/>
      <c r="AD482" s="31"/>
      <c r="AE482" s="32">
        <f t="shared" si="142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2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2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ref="S485:S490" si="146">SUM(P485:Q485)</f>
        <v>0</v>
      </c>
      <c r="T485" s="10"/>
      <c r="U485" s="10"/>
      <c r="V485" s="10"/>
      <c r="W485" s="12">
        <f t="shared" ref="W485:W493" si="147">SUM(S485:V485)</f>
        <v>0</v>
      </c>
      <c r="Y485" s="10">
        <v>34</v>
      </c>
      <c r="Z485" s="30"/>
      <c r="AB485" s="47"/>
      <c r="AC485" s="31"/>
      <c r="AD485" s="31"/>
      <c r="AE485" s="32">
        <f t="shared" si="142"/>
        <v>0</v>
      </c>
      <c r="AF485" s="10"/>
      <c r="AG485" s="10"/>
      <c r="AH485" s="10"/>
      <c r="AI485" s="12">
        <f t="shared" ref="AI485:AI493" si="148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3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46"/>
        <v>0</v>
      </c>
      <c r="T486" s="10"/>
      <c r="U486" s="10"/>
      <c r="V486" s="10"/>
      <c r="W486" s="12">
        <f t="shared" si="14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2"/>
        <v>0</v>
      </c>
      <c r="AF486" s="10"/>
      <c r="AG486" s="10"/>
      <c r="AH486" s="10"/>
      <c r="AI486" s="12">
        <f t="shared" si="148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3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46"/>
        <v>0</v>
      </c>
      <c r="T487" s="10"/>
      <c r="U487" s="10"/>
      <c r="V487" s="10"/>
      <c r="W487" s="12">
        <f t="shared" si="14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2"/>
        <v>0</v>
      </c>
      <c r="AF487" s="10"/>
      <c r="AG487" s="10"/>
      <c r="AH487" s="10"/>
      <c r="AI487" s="12">
        <f t="shared" si="148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3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46"/>
        <v>0</v>
      </c>
      <c r="T488" s="10"/>
      <c r="U488" s="10"/>
      <c r="V488" s="10"/>
      <c r="W488" s="12">
        <f t="shared" si="14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2"/>
        <v>0</v>
      </c>
      <c r="AF488" s="10"/>
      <c r="AG488" s="10"/>
      <c r="AH488" s="10"/>
      <c r="AI488" s="12">
        <f t="shared" si="148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3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46"/>
        <v>0</v>
      </c>
      <c r="T489" s="10"/>
      <c r="U489" s="10"/>
      <c r="V489" s="10"/>
      <c r="W489" s="12">
        <f t="shared" si="14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2"/>
        <v>0</v>
      </c>
      <c r="AF489" s="10"/>
      <c r="AG489" s="10"/>
      <c r="AH489" s="10"/>
      <c r="AI489" s="12">
        <f t="shared" si="148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3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46"/>
        <v>0</v>
      </c>
      <c r="T490" s="10"/>
      <c r="U490" s="10"/>
      <c r="V490" s="10"/>
      <c r="W490" s="12">
        <f t="shared" si="14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2"/>
        <v>0</v>
      </c>
      <c r="AF490" s="10"/>
      <c r="AG490" s="10"/>
      <c r="AH490" s="10"/>
      <c r="AI490" s="12">
        <f t="shared" si="148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3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8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3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49">SUM(P492:Q492)</f>
        <v>0</v>
      </c>
      <c r="T492" s="10"/>
      <c r="U492" s="10"/>
      <c r="V492" s="10"/>
      <c r="W492" s="12">
        <f t="shared" si="147"/>
        <v>0</v>
      </c>
      <c r="Y492" s="10"/>
      <c r="Z492" s="30"/>
      <c r="AA492" s="31"/>
      <c r="AB492" s="47"/>
      <c r="AC492" s="31"/>
      <c r="AD492" s="31"/>
      <c r="AE492" s="32">
        <f t="shared" ref="AE492" si="150">SUM(AB492:AC492)</f>
        <v>0</v>
      </c>
      <c r="AF492" s="10"/>
      <c r="AG492" s="10"/>
      <c r="AH492" s="10"/>
      <c r="AI492" s="12">
        <f t="shared" si="148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8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3"/>
      <c r="C494" s="93"/>
      <c r="D494" s="93"/>
      <c r="E494" s="93"/>
      <c r="F494" s="93"/>
      <c r="G494" s="93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3"/>
      <c r="C495" s="93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342050</v>
      </c>
      <c r="Q495" s="38">
        <f>SUM(Q452:Q476)</f>
        <v>-3030</v>
      </c>
      <c r="R495" s="38">
        <f>SUM(R452:R476)</f>
        <v>0</v>
      </c>
      <c r="S495" s="38">
        <f>SUM(S452:S494)</f>
        <v>339020</v>
      </c>
      <c r="T495" s="4"/>
      <c r="U495" s="41">
        <f>SUM(U452:U494)</f>
        <v>1254</v>
      </c>
      <c r="V495" s="41">
        <f>SUM(V452:V476)</f>
        <v>-31107</v>
      </c>
      <c r="W495" s="42">
        <f>SUM(W452:W494)</f>
        <v>309167</v>
      </c>
      <c r="Z495" s="57"/>
      <c r="AA495" s="57"/>
      <c r="AB495" s="38">
        <f>SUM(AB452:AB494)</f>
        <v>152175</v>
      </c>
      <c r="AC495" s="38">
        <f>SUM(AC452:AC476)</f>
        <v>-456</v>
      </c>
      <c r="AD495" s="38">
        <f>SUM(AD452:AD476)</f>
        <v>0</v>
      </c>
      <c r="AE495" s="38">
        <f>SUM(AE452:AE494)</f>
        <v>151719</v>
      </c>
      <c r="AF495" s="4"/>
      <c r="AG495" s="41">
        <f>SUM(AG452:AG494)</f>
        <v>8889</v>
      </c>
      <c r="AH495" s="41">
        <f>SUM(AH452:AH476)</f>
        <v>0</v>
      </c>
      <c r="AI495" s="42">
        <f>SUM(AI452:AI494)</f>
        <v>160608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37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6" t="s">
        <v>17</v>
      </c>
      <c r="E505" s="126"/>
      <c r="F505" s="103"/>
      <c r="G505" s="27"/>
      <c r="I505" s="124" t="s">
        <v>18</v>
      </c>
      <c r="J505" s="125"/>
      <c r="K505" s="122" t="s">
        <v>19</v>
      </c>
      <c r="N505" s="25"/>
      <c r="O505" s="26"/>
      <c r="P505" s="126" t="s">
        <v>17</v>
      </c>
      <c r="Q505" s="126"/>
      <c r="R505" s="103"/>
      <c r="S505" s="27"/>
      <c r="U505" s="124" t="s">
        <v>18</v>
      </c>
      <c r="V505" s="125"/>
      <c r="W505" s="122" t="s">
        <v>19</v>
      </c>
      <c r="Z505" s="25"/>
      <c r="AA505" s="26"/>
      <c r="AB505" s="126" t="s">
        <v>17</v>
      </c>
      <c r="AC505" s="126"/>
      <c r="AD505" s="103"/>
      <c r="AE505" s="27"/>
      <c r="AG505" s="124" t="s">
        <v>18</v>
      </c>
      <c r="AH505" s="125"/>
      <c r="AI505" s="122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23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23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23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45973</v>
      </c>
      <c r="C507" s="91">
        <v>7827</v>
      </c>
      <c r="D507" s="32">
        <f>405648+6140+1664+6183</f>
        <v>419635</v>
      </c>
      <c r="E507" s="32">
        <v>-3960</v>
      </c>
      <c r="F507" s="32"/>
      <c r="G507" s="32">
        <f t="shared" ref="G507:G540" si="151">SUM(D507:E507)</f>
        <v>415675</v>
      </c>
      <c r="H507" s="12"/>
      <c r="I507" s="12">
        <f>120+6216+1794+444</f>
        <v>8574</v>
      </c>
      <c r="J507" s="12">
        <f>-84+-756+-378</f>
        <v>-1218</v>
      </c>
      <c r="K507" s="12">
        <f t="shared" ref="K507:K540" si="152">SUM(G507:J507)</f>
        <v>423031</v>
      </c>
      <c r="M507" s="10">
        <v>1</v>
      </c>
      <c r="N507" s="30">
        <v>45973</v>
      </c>
      <c r="O507" s="31">
        <v>7742</v>
      </c>
      <c r="P507" s="32">
        <f>1878+614</f>
        <v>2492</v>
      </c>
      <c r="Q507" s="32"/>
      <c r="R507" s="32"/>
      <c r="S507" s="32">
        <f>SUM(P507:Q507)</f>
        <v>2492</v>
      </c>
      <c r="T507" s="12"/>
      <c r="U507" s="12">
        <v>121.5</v>
      </c>
      <c r="V507" s="12"/>
      <c r="W507" s="12">
        <f>SUM(S507:V507)</f>
        <v>2613.5</v>
      </c>
      <c r="Y507" s="10">
        <v>1</v>
      </c>
      <c r="Z507" s="30">
        <v>45973</v>
      </c>
      <c r="AA507" s="31">
        <v>7855</v>
      </c>
      <c r="AB507" s="32">
        <f>75120+41720+1832</f>
        <v>118672</v>
      </c>
      <c r="AC507" s="32"/>
      <c r="AD507" s="32"/>
      <c r="AE507" s="32">
        <f>SUM(AB507:AC507)</f>
        <v>118672</v>
      </c>
      <c r="AF507" s="12"/>
      <c r="AG507" s="12"/>
      <c r="AH507" s="12">
        <v>-312</v>
      </c>
      <c r="AI507" s="12">
        <f>SUM(AE507:AH507)</f>
        <v>118360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45973</v>
      </c>
      <c r="C508" s="91">
        <f>C507+1</f>
        <v>7828</v>
      </c>
      <c r="D508" s="32">
        <f>4382+596+76</f>
        <v>5054</v>
      </c>
      <c r="E508" s="32"/>
      <c r="F508" s="32"/>
      <c r="G508" s="32">
        <f t="shared" si="151"/>
        <v>5054</v>
      </c>
      <c r="H508" s="12"/>
      <c r="I508" s="12">
        <v>12</v>
      </c>
      <c r="J508" s="12"/>
      <c r="K508" s="12">
        <f t="shared" si="152"/>
        <v>5066</v>
      </c>
      <c r="M508" s="10">
        <v>2</v>
      </c>
      <c r="N508" s="30">
        <v>45973</v>
      </c>
      <c r="O508" s="31">
        <f>O507+1</f>
        <v>7743</v>
      </c>
      <c r="P508" s="32">
        <f>1252+1192+38</f>
        <v>2482</v>
      </c>
      <c r="Q508" s="32"/>
      <c r="R508" s="32"/>
      <c r="S508" s="32">
        <f t="shared" ref="S508:S539" si="153">SUM(P508:Q508)</f>
        <v>2482</v>
      </c>
      <c r="T508" s="12"/>
      <c r="U508" s="12"/>
      <c r="V508" s="12"/>
      <c r="W508" s="12">
        <f t="shared" ref="W508:W548" si="154">SUM(S508:V508)</f>
        <v>2482</v>
      </c>
      <c r="Y508" s="10">
        <v>2</v>
      </c>
      <c r="Z508" s="30">
        <v>45973</v>
      </c>
      <c r="AA508" s="31">
        <f>AA507+1</f>
        <v>7856</v>
      </c>
      <c r="AB508" s="32">
        <f>4382+1842+2980</f>
        <v>9204</v>
      </c>
      <c r="AC508" s="32"/>
      <c r="AD508" s="32"/>
      <c r="AE508" s="32">
        <f t="shared" ref="AE508:AE545" si="155">SUM(AB508:AC508)</f>
        <v>9204</v>
      </c>
      <c r="AF508" s="12"/>
      <c r="AG508" s="12"/>
      <c r="AH508" s="12"/>
      <c r="AI508" s="12">
        <f t="shared" ref="AI508:AI539" si="156">SUM(AE508:AH508)</f>
        <v>9204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45973</v>
      </c>
      <c r="C509" s="91">
        <f t="shared" ref="C509:C510" si="157">C508+1</f>
        <v>7829</v>
      </c>
      <c r="D509" s="33">
        <f>456.5+426+502.5+416+650</f>
        <v>2451</v>
      </c>
      <c r="E509" s="33"/>
      <c r="F509" s="33"/>
      <c r="G509" s="33">
        <f t="shared" si="151"/>
        <v>2451</v>
      </c>
      <c r="H509" s="34"/>
      <c r="I509" s="34"/>
      <c r="J509" s="34"/>
      <c r="K509" s="34">
        <f t="shared" si="152"/>
        <v>2451</v>
      </c>
      <c r="M509" s="10">
        <v>3</v>
      </c>
      <c r="N509" s="30">
        <v>45973</v>
      </c>
      <c r="O509" s="31">
        <f t="shared" ref="O509:O518" si="158">O508+1</f>
        <v>7744</v>
      </c>
      <c r="P509" s="32">
        <f>1252+596+28.5</f>
        <v>1876.5</v>
      </c>
      <c r="Q509" s="32"/>
      <c r="R509" s="32"/>
      <c r="S509" s="32">
        <f t="shared" si="153"/>
        <v>1876.5</v>
      </c>
      <c r="T509" s="12"/>
      <c r="U509" s="12">
        <v>3</v>
      </c>
      <c r="V509" s="12"/>
      <c r="W509" s="12">
        <f t="shared" si="154"/>
        <v>1879.5</v>
      </c>
      <c r="Y509" s="10">
        <v>3</v>
      </c>
      <c r="Z509" s="30">
        <v>45973</v>
      </c>
      <c r="AA509" s="31">
        <f t="shared" ref="AA509:AA517" si="159">AA508+1</f>
        <v>7857</v>
      </c>
      <c r="AB509" s="33">
        <f>6260+95</f>
        <v>6355</v>
      </c>
      <c r="AC509" s="33"/>
      <c r="AD509" s="32"/>
      <c r="AE509" s="32">
        <f t="shared" si="155"/>
        <v>6355</v>
      </c>
      <c r="AF509" s="12"/>
      <c r="AG509" s="12"/>
      <c r="AH509" s="12"/>
      <c r="AI509" s="12">
        <f t="shared" si="156"/>
        <v>6355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45973</v>
      </c>
      <c r="C510" s="91">
        <f t="shared" si="157"/>
        <v>7830</v>
      </c>
      <c r="D510" s="32">
        <f>52584+4298+6740+5960+1145</f>
        <v>70727</v>
      </c>
      <c r="E510" s="32"/>
      <c r="F510" s="32"/>
      <c r="G510" s="32">
        <f t="shared" si="151"/>
        <v>70727</v>
      </c>
      <c r="H510" s="12"/>
      <c r="I510" s="12"/>
      <c r="J510" s="12"/>
      <c r="K510" s="12">
        <f t="shared" si="152"/>
        <v>70727</v>
      </c>
      <c r="M510" s="10">
        <v>4</v>
      </c>
      <c r="N510" s="30">
        <v>45973</v>
      </c>
      <c r="O510" s="31">
        <f t="shared" si="158"/>
        <v>7745</v>
      </c>
      <c r="P510" s="32">
        <f>1878+28.5</f>
        <v>1906.5</v>
      </c>
      <c r="Q510" s="32"/>
      <c r="R510" s="32"/>
      <c r="S510" s="32">
        <f t="shared" si="153"/>
        <v>1906.5</v>
      </c>
      <c r="T510" s="12"/>
      <c r="U510" s="12"/>
      <c r="V510" s="12"/>
      <c r="W510" s="12">
        <f t="shared" si="154"/>
        <v>1906.5</v>
      </c>
      <c r="Y510" s="10">
        <v>4</v>
      </c>
      <c r="Z510" s="30">
        <v>45973</v>
      </c>
      <c r="AA510" s="31">
        <f t="shared" si="159"/>
        <v>7858</v>
      </c>
      <c r="AB510" s="32">
        <f>15650+1842+2980+229</f>
        <v>20701</v>
      </c>
      <c r="AC510" s="32"/>
      <c r="AD510" s="32"/>
      <c r="AE510" s="32">
        <f t="shared" si="155"/>
        <v>20701</v>
      </c>
      <c r="AF510" s="12"/>
      <c r="AG510">
        <v>1221</v>
      </c>
      <c r="AH510" s="12"/>
      <c r="AI510" s="12">
        <f t="shared" si="156"/>
        <v>21922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1"/>
        <v>0</v>
      </c>
      <c r="H511" s="12"/>
      <c r="I511" s="12"/>
      <c r="J511" s="12"/>
      <c r="K511" s="12">
        <f t="shared" si="152"/>
        <v>0</v>
      </c>
      <c r="M511" s="10">
        <v>5</v>
      </c>
      <c r="N511" s="30">
        <v>45973</v>
      </c>
      <c r="O511" s="31">
        <f t="shared" si="158"/>
        <v>7746</v>
      </c>
      <c r="P511" s="32">
        <f>1252+1192+38</f>
        <v>2482</v>
      </c>
      <c r="Q511" s="32"/>
      <c r="R511" s="32"/>
      <c r="S511" s="32">
        <f t="shared" si="153"/>
        <v>2482</v>
      </c>
      <c r="T511" s="12"/>
      <c r="U511" s="12"/>
      <c r="V511" s="12"/>
      <c r="W511" s="12">
        <f t="shared" si="154"/>
        <v>2482</v>
      </c>
      <c r="Y511" s="10">
        <v>5</v>
      </c>
      <c r="Z511" s="30">
        <v>45973</v>
      </c>
      <c r="AA511" s="31">
        <f t="shared" si="159"/>
        <v>7859</v>
      </c>
      <c r="AB511" s="32">
        <f>34430+229</f>
        <v>34659</v>
      </c>
      <c r="AC511" s="32">
        <v>-330</v>
      </c>
      <c r="AD511" s="32"/>
      <c r="AE511" s="32">
        <f t="shared" si="155"/>
        <v>34329</v>
      </c>
      <c r="AF511" s="12"/>
      <c r="AG511" s="12"/>
      <c r="AH511" s="12">
        <v>-390</v>
      </c>
      <c r="AI511" s="12">
        <f t="shared" si="156"/>
        <v>33939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91"/>
      <c r="D512" s="32"/>
      <c r="E512" s="32"/>
      <c r="F512" s="32"/>
      <c r="G512" s="32">
        <f t="shared" si="151"/>
        <v>0</v>
      </c>
      <c r="H512" s="12"/>
      <c r="I512" s="12"/>
      <c r="J512" s="12"/>
      <c r="K512" s="12">
        <f t="shared" si="152"/>
        <v>0</v>
      </c>
      <c r="M512" s="10">
        <v>6</v>
      </c>
      <c r="N512" s="30">
        <v>45973</v>
      </c>
      <c r="O512" s="31">
        <f t="shared" si="158"/>
        <v>7747</v>
      </c>
      <c r="P512" s="32">
        <f>626*2+596*8</f>
        <v>6020</v>
      </c>
      <c r="Q512" s="32"/>
      <c r="R512" s="32"/>
      <c r="S512" s="32">
        <f t="shared" si="153"/>
        <v>6020</v>
      </c>
      <c r="T512" s="12"/>
      <c r="U512" s="12"/>
      <c r="V512" s="10"/>
      <c r="W512" s="12">
        <f t="shared" si="154"/>
        <v>6020</v>
      </c>
      <c r="Y512" s="10">
        <v>6</v>
      </c>
      <c r="Z512" s="30">
        <v>45973</v>
      </c>
      <c r="AA512" s="31">
        <f t="shared" si="159"/>
        <v>7860</v>
      </c>
      <c r="AB512" s="32">
        <f>6886+5960+199.5</f>
        <v>13045.5</v>
      </c>
      <c r="AC512" s="32"/>
      <c r="AD512" s="32"/>
      <c r="AE512" s="32">
        <f t="shared" si="155"/>
        <v>13045.5</v>
      </c>
      <c r="AF512" s="12"/>
      <c r="AG512" s="12"/>
      <c r="AH512" s="10"/>
      <c r="AI512" s="12">
        <f t="shared" si="156"/>
        <v>13045.5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91"/>
      <c r="D513" s="32"/>
      <c r="E513" s="32"/>
      <c r="F513" s="32"/>
      <c r="G513" s="32">
        <f t="shared" si="151"/>
        <v>0</v>
      </c>
      <c r="H513" s="12"/>
      <c r="I513" s="12"/>
      <c r="J513" s="12"/>
      <c r="K513" s="12">
        <f t="shared" si="152"/>
        <v>0</v>
      </c>
      <c r="M513" s="10">
        <v>7</v>
      </c>
      <c r="N513" s="30">
        <v>45973</v>
      </c>
      <c r="O513" s="31">
        <f t="shared" si="158"/>
        <v>7748</v>
      </c>
      <c r="P513" s="32">
        <f>1252+19</f>
        <v>1271</v>
      </c>
      <c r="Q513" s="32"/>
      <c r="R513" s="32"/>
      <c r="S513" s="32">
        <f t="shared" si="153"/>
        <v>1271</v>
      </c>
      <c r="T513" s="12"/>
      <c r="U513" s="12"/>
      <c r="V513" s="12"/>
      <c r="W513" s="12">
        <f t="shared" si="154"/>
        <v>1271</v>
      </c>
      <c r="Y513" s="10">
        <v>7</v>
      </c>
      <c r="Z513" s="30">
        <v>45973</v>
      </c>
      <c r="AA513" s="31">
        <f t="shared" si="159"/>
        <v>7861</v>
      </c>
      <c r="AB513" s="32">
        <f>18780+1228+229</f>
        <v>20237</v>
      </c>
      <c r="AC513" s="32"/>
      <c r="AD513" s="32"/>
      <c r="AE513" s="32">
        <f t="shared" si="155"/>
        <v>20237</v>
      </c>
      <c r="AF513" s="12"/>
      <c r="AG513" s="58"/>
      <c r="AH513" s="12"/>
      <c r="AI513" s="12">
        <f t="shared" si="156"/>
        <v>20237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91"/>
      <c r="D514" s="32"/>
      <c r="E514" s="32"/>
      <c r="F514" s="32"/>
      <c r="G514" s="32">
        <f t="shared" si="151"/>
        <v>0</v>
      </c>
      <c r="H514" s="12"/>
      <c r="I514" s="12"/>
      <c r="J514" s="12"/>
      <c r="K514" s="12">
        <f t="shared" si="152"/>
        <v>0</v>
      </c>
      <c r="M514" s="10">
        <v>8</v>
      </c>
      <c r="N514" s="30">
        <v>45973</v>
      </c>
      <c r="O514" s="31">
        <f t="shared" si="158"/>
        <v>7749</v>
      </c>
      <c r="P514" s="32">
        <f>1878+1192+47.5</f>
        <v>3117.5</v>
      </c>
      <c r="Q514" s="32"/>
      <c r="R514" s="32"/>
      <c r="S514" s="32">
        <f t="shared" si="153"/>
        <v>3117.5</v>
      </c>
      <c r="T514" s="12"/>
      <c r="U514" s="12"/>
      <c r="V514" s="12"/>
      <c r="W514" s="12">
        <f t="shared" si="154"/>
        <v>3117.5</v>
      </c>
      <c r="Y514" s="10">
        <v>8</v>
      </c>
      <c r="Z514" s="30">
        <v>45973</v>
      </c>
      <c r="AA514" s="31">
        <f t="shared" si="159"/>
        <v>7862</v>
      </c>
      <c r="AB514" s="32">
        <f>8138+2980+171</f>
        <v>11289</v>
      </c>
      <c r="AC514" s="32"/>
      <c r="AE514" s="32">
        <f t="shared" si="155"/>
        <v>11289</v>
      </c>
      <c r="AF514" s="12"/>
      <c r="AG514" s="12"/>
      <c r="AH514" s="12"/>
      <c r="AI514" s="12">
        <f t="shared" si="156"/>
        <v>11289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91"/>
      <c r="D515" s="32"/>
      <c r="E515" s="32"/>
      <c r="F515" s="32"/>
      <c r="G515" s="32">
        <f t="shared" si="151"/>
        <v>0</v>
      </c>
      <c r="H515" s="12"/>
      <c r="I515" s="12"/>
      <c r="J515" s="12"/>
      <c r="K515" s="12">
        <f t="shared" si="152"/>
        <v>0</v>
      </c>
      <c r="M515" s="10">
        <v>9</v>
      </c>
      <c r="N515" s="30">
        <v>45973</v>
      </c>
      <c r="O515" s="31">
        <f t="shared" si="158"/>
        <v>7750</v>
      </c>
      <c r="P515" s="32">
        <f>2504+38</f>
        <v>2542</v>
      </c>
      <c r="Q515" s="32"/>
      <c r="R515" s="32"/>
      <c r="S515" s="32">
        <f t="shared" si="153"/>
        <v>2542</v>
      </c>
      <c r="T515" s="12"/>
      <c r="U515" s="12"/>
      <c r="V515" s="12"/>
      <c r="W515" s="12">
        <f t="shared" si="154"/>
        <v>2542</v>
      </c>
      <c r="Y515" s="10">
        <v>9</v>
      </c>
      <c r="Z515" s="30">
        <v>45973</v>
      </c>
      <c r="AA515" s="31">
        <f t="shared" si="159"/>
        <v>7863</v>
      </c>
      <c r="AB515">
        <f>18780+913+596*4+832*2+1704+458+1000</f>
        <v>26903</v>
      </c>
      <c r="AC515" s="32"/>
      <c r="AD515" s="32"/>
      <c r="AE515" s="32">
        <f t="shared" si="155"/>
        <v>26903</v>
      </c>
      <c r="AF515" s="12"/>
      <c r="AH515" s="12"/>
      <c r="AI515" s="12">
        <f t="shared" si="156"/>
        <v>26903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91"/>
      <c r="D516" s="32"/>
      <c r="E516" s="32"/>
      <c r="F516" s="32"/>
      <c r="G516" s="32">
        <f t="shared" si="151"/>
        <v>0</v>
      </c>
      <c r="H516" s="12"/>
      <c r="I516" s="12"/>
      <c r="J516" s="12"/>
      <c r="K516" s="12">
        <f t="shared" si="152"/>
        <v>0</v>
      </c>
      <c r="M516" s="10">
        <v>10</v>
      </c>
      <c r="N516" s="30">
        <v>45973</v>
      </c>
      <c r="O516" s="31">
        <v>7901</v>
      </c>
      <c r="P516" s="32">
        <f>2504+38</f>
        <v>2542</v>
      </c>
      <c r="Q516" s="32"/>
      <c r="R516" s="32"/>
      <c r="S516" s="32">
        <f t="shared" si="153"/>
        <v>2542</v>
      </c>
      <c r="T516" s="12"/>
      <c r="U516" s="12"/>
      <c r="V516" s="12"/>
      <c r="W516" s="12">
        <f t="shared" si="154"/>
        <v>2542</v>
      </c>
      <c r="Y516" s="10">
        <v>10</v>
      </c>
      <c r="Z516" s="30">
        <v>45973</v>
      </c>
      <c r="AA516" s="31">
        <f t="shared" si="159"/>
        <v>7864</v>
      </c>
      <c r="AB516" s="32">
        <f>6260+2980+142.5</f>
        <v>9382.5</v>
      </c>
      <c r="AC516" s="32"/>
      <c r="AD516" s="32"/>
      <c r="AE516" s="32">
        <f t="shared" si="155"/>
        <v>9382.5</v>
      </c>
      <c r="AF516" s="12"/>
      <c r="AG516" s="12"/>
      <c r="AH516" s="12"/>
      <c r="AI516" s="12">
        <f t="shared" si="156"/>
        <v>9382.5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91"/>
      <c r="D517" s="32"/>
      <c r="E517" s="32"/>
      <c r="F517" s="32"/>
      <c r="G517" s="32">
        <f t="shared" si="151"/>
        <v>0</v>
      </c>
      <c r="H517" s="12"/>
      <c r="I517" s="12"/>
      <c r="J517" s="12"/>
      <c r="K517" s="12">
        <f t="shared" si="152"/>
        <v>0</v>
      </c>
      <c r="M517" s="10">
        <v>11</v>
      </c>
      <c r="N517" s="30">
        <v>45973</v>
      </c>
      <c r="O517" s="31">
        <f t="shared" si="158"/>
        <v>7902</v>
      </c>
      <c r="P517" s="32">
        <f>3756+114</f>
        <v>3870</v>
      </c>
      <c r="Q517" s="32"/>
      <c r="R517" s="32"/>
      <c r="S517" s="32">
        <f t="shared" si="153"/>
        <v>3870</v>
      </c>
      <c r="T517" s="12"/>
      <c r="U517" s="12"/>
      <c r="V517" s="12">
        <v>-1110</v>
      </c>
      <c r="W517" s="12">
        <f t="shared" si="154"/>
        <v>2760</v>
      </c>
      <c r="Y517" s="10">
        <v>11</v>
      </c>
      <c r="Z517" s="30">
        <v>45973</v>
      </c>
      <c r="AA517" s="31">
        <f t="shared" si="159"/>
        <v>7865</v>
      </c>
      <c r="AB517" s="32">
        <f>8138+2384+852+2496</f>
        <v>13870</v>
      </c>
      <c r="AC517" s="32"/>
      <c r="AD517" s="32"/>
      <c r="AE517" s="32">
        <f t="shared" si="155"/>
        <v>13870</v>
      </c>
      <c r="AF517" s="12"/>
      <c r="AG517" s="12"/>
      <c r="AH517" s="12"/>
      <c r="AI517" s="12">
        <f t="shared" si="156"/>
        <v>13870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91"/>
      <c r="D518" s="32"/>
      <c r="E518" s="32"/>
      <c r="F518" s="32"/>
      <c r="G518" s="32">
        <f t="shared" si="151"/>
        <v>0</v>
      </c>
      <c r="H518" s="12"/>
      <c r="I518" s="12"/>
      <c r="J518" s="10"/>
      <c r="K518" s="12">
        <f t="shared" si="152"/>
        <v>0</v>
      </c>
      <c r="M518" s="10">
        <v>12</v>
      </c>
      <c r="N518" s="30">
        <v>45973</v>
      </c>
      <c r="O518" s="31">
        <f t="shared" si="158"/>
        <v>7903</v>
      </c>
      <c r="P518" s="32">
        <f>135216+2061</f>
        <v>137277</v>
      </c>
      <c r="Q518" s="32">
        <v>-1296</v>
      </c>
      <c r="R518" s="32"/>
      <c r="S518" s="32">
        <f t="shared" si="153"/>
        <v>135981</v>
      </c>
      <c r="T518" s="12"/>
      <c r="U518" s="12">
        <f>14763+700</f>
        <v>15463</v>
      </c>
      <c r="V518" s="12">
        <v>-210</v>
      </c>
      <c r="W518" s="12">
        <f t="shared" si="154"/>
        <v>151234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55"/>
        <v>0</v>
      </c>
      <c r="AF518" s="12"/>
      <c r="AG518" s="12"/>
      <c r="AH518" s="12"/>
      <c r="AI518" s="12">
        <f t="shared" si="15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91"/>
      <c r="D519" s="32"/>
      <c r="E519" s="32"/>
      <c r="F519" s="32"/>
      <c r="G519" s="32">
        <f t="shared" si="151"/>
        <v>0</v>
      </c>
      <c r="H519" s="12"/>
      <c r="I519" s="12"/>
      <c r="J519" s="12"/>
      <c r="K519" s="12">
        <f t="shared" si="15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3"/>
        <v>0</v>
      </c>
      <c r="T519" s="12"/>
      <c r="U519" s="12"/>
      <c r="V519" s="12"/>
      <c r="W519" s="12">
        <f t="shared" si="15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5"/>
        <v>0</v>
      </c>
      <c r="AF519" s="12"/>
      <c r="AG519" s="12"/>
      <c r="AH519" s="12"/>
      <c r="AI519" s="12">
        <f t="shared" si="15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91"/>
      <c r="D520" s="32"/>
      <c r="E520" s="32"/>
      <c r="F520" s="32"/>
      <c r="G520" s="32">
        <f t="shared" si="151"/>
        <v>0</v>
      </c>
      <c r="H520" s="12"/>
      <c r="I520" s="12"/>
      <c r="J520" s="12"/>
      <c r="K520" s="12">
        <f t="shared" si="152"/>
        <v>0</v>
      </c>
      <c r="M520" s="10">
        <v>14</v>
      </c>
      <c r="N520" s="30"/>
      <c r="O520" s="31"/>
      <c r="P520" s="32"/>
      <c r="Q520" s="32"/>
      <c r="R520" s="32"/>
      <c r="S520" s="32">
        <f t="shared" si="153"/>
        <v>0</v>
      </c>
      <c r="T520" s="12"/>
      <c r="U520" s="12"/>
      <c r="V520" s="12"/>
      <c r="W520" s="12">
        <f t="shared" si="15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5"/>
        <v>0</v>
      </c>
      <c r="AF520" s="12"/>
      <c r="AG520" s="12"/>
      <c r="AH520" s="12"/>
      <c r="AI520" s="12">
        <f t="shared" si="15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91"/>
      <c r="D521" s="32"/>
      <c r="E521" s="32"/>
      <c r="F521" s="32"/>
      <c r="G521" s="32">
        <f t="shared" si="151"/>
        <v>0</v>
      </c>
      <c r="H521" s="12"/>
      <c r="I521" s="12"/>
      <c r="J521" s="12"/>
      <c r="K521" s="12">
        <f t="shared" si="152"/>
        <v>0</v>
      </c>
      <c r="M521" s="10">
        <v>15</v>
      </c>
      <c r="N521" s="30"/>
      <c r="O521" s="31"/>
      <c r="P521" s="32"/>
      <c r="Q521" s="32"/>
      <c r="R521" s="32"/>
      <c r="S521" s="32">
        <f t="shared" si="153"/>
        <v>0</v>
      </c>
      <c r="T521" s="12"/>
      <c r="U521" s="12"/>
      <c r="V521" s="12"/>
      <c r="W521" s="12">
        <f t="shared" si="15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5"/>
        <v>0</v>
      </c>
      <c r="AF521" s="12"/>
      <c r="AG521" s="12"/>
      <c r="AH521" s="12"/>
      <c r="AI521" s="12">
        <f t="shared" si="15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1"/>
        <v>0</v>
      </c>
      <c r="H522" s="12"/>
      <c r="I522" s="12"/>
      <c r="J522" s="12"/>
      <c r="K522" s="12">
        <f t="shared" si="152"/>
        <v>0</v>
      </c>
      <c r="M522" s="10">
        <v>16</v>
      </c>
      <c r="N522" s="30"/>
      <c r="O522" s="31"/>
      <c r="P522" s="32"/>
      <c r="Q522" s="32"/>
      <c r="R522" s="32"/>
      <c r="S522" s="32">
        <f t="shared" si="153"/>
        <v>0</v>
      </c>
      <c r="T522" s="12"/>
      <c r="U522" s="12"/>
      <c r="V522" s="12"/>
      <c r="W522" s="12">
        <f t="shared" si="154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5"/>
        <v>0</v>
      </c>
      <c r="AF522" s="12"/>
      <c r="AG522" s="12"/>
      <c r="AH522" s="12"/>
      <c r="AI522" s="12">
        <f t="shared" si="15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91"/>
      <c r="D523" s="32"/>
      <c r="E523" s="32"/>
      <c r="F523" s="32"/>
      <c r="G523" s="32">
        <f t="shared" si="151"/>
        <v>0</v>
      </c>
      <c r="H523" s="12"/>
      <c r="I523" s="12"/>
      <c r="J523" s="12"/>
      <c r="K523" s="12">
        <f t="shared" si="152"/>
        <v>0</v>
      </c>
      <c r="M523" s="10">
        <v>17</v>
      </c>
      <c r="N523" s="30"/>
      <c r="O523" s="31"/>
      <c r="P523" s="35"/>
      <c r="Q523" s="32"/>
      <c r="R523" s="32"/>
      <c r="S523" s="32">
        <f t="shared" si="153"/>
        <v>0</v>
      </c>
      <c r="T523" s="12"/>
      <c r="U523" s="12"/>
      <c r="V523" s="12"/>
      <c r="W523" s="12">
        <f t="shared" si="15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5"/>
        <v>0</v>
      </c>
      <c r="AF523" s="12"/>
      <c r="AG523" s="12"/>
      <c r="AH523" s="12"/>
      <c r="AI523" s="12">
        <f t="shared" si="15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57"/>
      <c r="D524" s="32"/>
      <c r="E524" s="32"/>
      <c r="F524" s="32"/>
      <c r="G524" s="32">
        <f t="shared" si="151"/>
        <v>0</v>
      </c>
      <c r="H524" s="12"/>
      <c r="I524" s="12"/>
      <c r="J524" s="12"/>
      <c r="K524" s="12">
        <f t="shared" si="152"/>
        <v>0</v>
      </c>
      <c r="M524" s="10">
        <v>18</v>
      </c>
      <c r="N524" s="30"/>
      <c r="O524" s="31"/>
      <c r="P524" s="32"/>
      <c r="Q524" s="32"/>
      <c r="R524" s="32"/>
      <c r="S524" s="32">
        <f t="shared" si="153"/>
        <v>0</v>
      </c>
      <c r="T524" s="12"/>
      <c r="U524" s="12"/>
      <c r="V524" s="12"/>
      <c r="W524" s="12">
        <f t="shared" si="15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5"/>
        <v>0</v>
      </c>
      <c r="AF524" s="12"/>
      <c r="AG524" s="12"/>
      <c r="AH524" s="12"/>
      <c r="AI524" s="12">
        <f t="shared" si="15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57"/>
      <c r="D525" s="32"/>
      <c r="E525" s="32"/>
      <c r="F525" s="32"/>
      <c r="G525" s="32">
        <f t="shared" si="151"/>
        <v>0</v>
      </c>
      <c r="H525" s="12"/>
      <c r="I525" s="12"/>
      <c r="J525" s="12"/>
      <c r="K525" s="12">
        <f t="shared" si="152"/>
        <v>0</v>
      </c>
      <c r="M525" s="10">
        <v>19</v>
      </c>
      <c r="N525" s="30"/>
      <c r="O525" s="31"/>
      <c r="P525" s="32"/>
      <c r="Q525" s="32"/>
      <c r="R525" s="32"/>
      <c r="S525" s="32">
        <f t="shared" si="153"/>
        <v>0</v>
      </c>
      <c r="T525" s="12"/>
      <c r="U525" s="12"/>
      <c r="V525" s="12"/>
      <c r="W525" s="12">
        <f t="shared" si="15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5"/>
        <v>0</v>
      </c>
      <c r="AF525" s="12"/>
      <c r="AG525" s="12"/>
      <c r="AH525" s="12"/>
      <c r="AI525" s="12">
        <f t="shared" si="15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91"/>
      <c r="D526" s="32"/>
      <c r="E526" s="32"/>
      <c r="F526" s="32"/>
      <c r="G526" s="32">
        <f t="shared" si="151"/>
        <v>0</v>
      </c>
      <c r="H526" s="12"/>
      <c r="I526" s="12"/>
      <c r="J526" s="12"/>
      <c r="K526" s="12">
        <f t="shared" si="152"/>
        <v>0</v>
      </c>
      <c r="M526" s="10">
        <v>20</v>
      </c>
      <c r="N526" s="30"/>
      <c r="O526" s="31"/>
      <c r="P526" s="32"/>
      <c r="Q526" s="32"/>
      <c r="R526" s="32"/>
      <c r="S526" s="32">
        <f t="shared" si="153"/>
        <v>0</v>
      </c>
      <c r="T526" s="12"/>
      <c r="U526" s="12"/>
      <c r="V526" s="12"/>
      <c r="W526" s="12">
        <f t="shared" si="154"/>
        <v>0</v>
      </c>
      <c r="Y526" s="10">
        <v>20</v>
      </c>
      <c r="Z526" s="30"/>
      <c r="AB526" s="32"/>
      <c r="AC526" s="32"/>
      <c r="AD526" s="32"/>
      <c r="AE526" s="32">
        <f t="shared" si="155"/>
        <v>0</v>
      </c>
      <c r="AF526" s="12"/>
      <c r="AG526" s="12"/>
      <c r="AH526" s="12"/>
      <c r="AI526" s="12">
        <f t="shared" si="15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91"/>
      <c r="D527" s="32"/>
      <c r="E527" s="32"/>
      <c r="F527" s="32"/>
      <c r="G527" s="32">
        <f t="shared" si="151"/>
        <v>0</v>
      </c>
      <c r="H527" s="10"/>
      <c r="I527" s="10"/>
      <c r="J527" s="10"/>
      <c r="K527" s="12">
        <f t="shared" si="152"/>
        <v>0</v>
      </c>
      <c r="M527" s="10">
        <v>21</v>
      </c>
      <c r="N527" s="30"/>
      <c r="P527" s="46"/>
      <c r="Q527" s="31"/>
      <c r="R527" s="31"/>
      <c r="S527" s="32">
        <f t="shared" si="153"/>
        <v>0</v>
      </c>
      <c r="T527" s="10"/>
      <c r="U527" s="10"/>
      <c r="V527" s="10"/>
      <c r="W527" s="12">
        <f t="shared" si="154"/>
        <v>0</v>
      </c>
      <c r="Y527" s="10">
        <v>21</v>
      </c>
      <c r="Z527" s="30"/>
      <c r="AB527" s="46"/>
      <c r="AC527" s="31"/>
      <c r="AD527" s="31"/>
      <c r="AE527" s="32">
        <f t="shared" si="155"/>
        <v>0</v>
      </c>
      <c r="AF527" s="10"/>
      <c r="AG527" s="10"/>
      <c r="AH527" s="10"/>
      <c r="AI527" s="12">
        <f t="shared" si="15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91"/>
      <c r="D528" s="32"/>
      <c r="E528" s="32"/>
      <c r="F528" s="32"/>
      <c r="G528" s="32">
        <f t="shared" si="151"/>
        <v>0</v>
      </c>
      <c r="H528" s="10"/>
      <c r="I528" s="10"/>
      <c r="J528" s="10"/>
      <c r="K528" s="12">
        <f t="shared" si="152"/>
        <v>0</v>
      </c>
      <c r="M528" s="10">
        <v>22</v>
      </c>
      <c r="N528" s="30"/>
      <c r="O528" s="31"/>
      <c r="P528" s="45"/>
      <c r="Q528" s="31"/>
      <c r="R528" s="31"/>
      <c r="S528" s="32">
        <f t="shared" si="153"/>
        <v>0</v>
      </c>
      <c r="T528" s="10"/>
      <c r="U528" s="10"/>
      <c r="V528" s="10"/>
      <c r="W528" s="12">
        <f t="shared" si="154"/>
        <v>0</v>
      </c>
      <c r="Y528" s="10">
        <v>22</v>
      </c>
      <c r="Z528" s="30"/>
      <c r="AB528" s="45"/>
      <c r="AC528" s="31"/>
      <c r="AD528" s="31"/>
      <c r="AE528" s="32">
        <f t="shared" si="155"/>
        <v>0</v>
      </c>
      <c r="AF528" s="10"/>
      <c r="AG528" s="10"/>
      <c r="AH528" s="10"/>
      <c r="AI528" s="12">
        <f t="shared" si="15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57"/>
      <c r="D529" s="32"/>
      <c r="E529" s="32"/>
      <c r="F529" s="32"/>
      <c r="G529" s="32">
        <f t="shared" si="151"/>
        <v>0</v>
      </c>
      <c r="H529" s="10"/>
      <c r="I529" s="10"/>
      <c r="J529" s="12"/>
      <c r="K529" s="12">
        <f t="shared" si="152"/>
        <v>0</v>
      </c>
      <c r="M529" s="10">
        <v>23</v>
      </c>
      <c r="N529" s="30"/>
      <c r="O529" s="31"/>
      <c r="P529" s="47"/>
      <c r="S529" s="32">
        <f t="shared" si="153"/>
        <v>0</v>
      </c>
      <c r="T529" s="10"/>
      <c r="U529" s="10"/>
      <c r="V529" s="10"/>
      <c r="W529" s="12">
        <f t="shared" si="154"/>
        <v>0</v>
      </c>
      <c r="Y529" s="10">
        <v>23</v>
      </c>
      <c r="Z529" s="30"/>
      <c r="AA529" s="31"/>
      <c r="AB529" s="47"/>
      <c r="AE529" s="32">
        <f t="shared" si="155"/>
        <v>0</v>
      </c>
      <c r="AF529" s="10"/>
      <c r="AG529" s="10"/>
      <c r="AH529" s="10"/>
      <c r="AI529" s="12">
        <f t="shared" si="15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1"/>
        <v>0</v>
      </c>
      <c r="H530" s="10"/>
      <c r="I530" s="10"/>
      <c r="J530" s="10"/>
      <c r="K530" s="12">
        <f t="shared" si="152"/>
        <v>0</v>
      </c>
      <c r="M530" s="10">
        <v>24</v>
      </c>
      <c r="N530" s="30"/>
      <c r="P530" s="47"/>
      <c r="Q530" s="31"/>
      <c r="R530" s="31"/>
      <c r="S530" s="32">
        <f t="shared" si="153"/>
        <v>0</v>
      </c>
      <c r="T530" s="10"/>
      <c r="U530" s="10"/>
      <c r="V530" s="10"/>
      <c r="W530" s="12">
        <f t="shared" si="15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5"/>
        <v>0</v>
      </c>
      <c r="AF530" s="10"/>
      <c r="AG530" s="10"/>
      <c r="AH530" s="10"/>
      <c r="AI530" s="12">
        <f t="shared" si="15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1"/>
        <v>0</v>
      </c>
      <c r="H531" s="10"/>
      <c r="I531" s="10"/>
      <c r="J531" s="10"/>
      <c r="K531" s="12">
        <f t="shared" si="152"/>
        <v>0</v>
      </c>
      <c r="M531" s="10">
        <v>25</v>
      </c>
      <c r="N531" s="30"/>
      <c r="O531" s="31"/>
      <c r="P531" s="47"/>
      <c r="Q531" s="31"/>
      <c r="R531" s="31"/>
      <c r="S531" s="32">
        <f t="shared" si="153"/>
        <v>0</v>
      </c>
      <c r="T531" s="10"/>
      <c r="U531" s="10"/>
      <c r="V531" s="10"/>
      <c r="W531" s="12">
        <f t="shared" si="154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5"/>
        <v>0</v>
      </c>
      <c r="AF531" s="10"/>
      <c r="AG531" s="10"/>
      <c r="AH531" s="10"/>
      <c r="AI531" s="12">
        <f t="shared" si="15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11"/>
      <c r="D532" s="32"/>
      <c r="E532" s="32"/>
      <c r="F532" s="32"/>
      <c r="G532" s="32">
        <f t="shared" si="151"/>
        <v>0</v>
      </c>
      <c r="H532" s="10"/>
      <c r="I532" s="10"/>
      <c r="J532" s="10"/>
      <c r="K532" s="12">
        <f t="shared" si="152"/>
        <v>0</v>
      </c>
      <c r="M532" s="10">
        <v>26</v>
      </c>
      <c r="N532" s="30"/>
      <c r="P532" s="47"/>
      <c r="Q532" s="31"/>
      <c r="R532" s="31"/>
      <c r="S532" s="32">
        <f t="shared" si="153"/>
        <v>0</v>
      </c>
      <c r="T532" s="10"/>
      <c r="U532" s="10"/>
      <c r="V532" s="10"/>
      <c r="W532" s="12">
        <f t="shared" si="154"/>
        <v>0</v>
      </c>
      <c r="Y532" s="10">
        <v>26</v>
      </c>
      <c r="Z532" s="30"/>
      <c r="AB532" s="47"/>
      <c r="AC532" s="31"/>
      <c r="AD532" s="31"/>
      <c r="AE532" s="32">
        <f t="shared" si="155"/>
        <v>0</v>
      </c>
      <c r="AF532" s="10"/>
      <c r="AG532" s="10"/>
      <c r="AH532" s="10"/>
      <c r="AI532" s="12">
        <f t="shared" si="15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57"/>
      <c r="D533" s="32"/>
      <c r="E533" s="32"/>
      <c r="F533" s="32"/>
      <c r="G533" s="32">
        <f t="shared" si="151"/>
        <v>0</v>
      </c>
      <c r="H533" s="10"/>
      <c r="I533" s="10"/>
      <c r="J533" s="10"/>
      <c r="K533" s="12">
        <f t="shared" si="152"/>
        <v>0</v>
      </c>
      <c r="M533" s="10">
        <v>27</v>
      </c>
      <c r="N533" s="30"/>
      <c r="O533" s="31"/>
      <c r="P533" s="47"/>
      <c r="Q533" s="31"/>
      <c r="R533" s="31"/>
      <c r="S533" s="32">
        <f t="shared" si="153"/>
        <v>0</v>
      </c>
      <c r="T533" s="10"/>
      <c r="U533" s="10"/>
      <c r="V533" s="10"/>
      <c r="W533" s="12">
        <f t="shared" si="15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5"/>
        <v>0</v>
      </c>
      <c r="AF533" s="10"/>
      <c r="AG533" s="10"/>
      <c r="AH533" s="10"/>
      <c r="AI533" s="12">
        <f t="shared" si="15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1"/>
        <v>0</v>
      </c>
      <c r="H534" s="10"/>
      <c r="I534" s="10"/>
      <c r="J534" s="10"/>
      <c r="K534" s="12">
        <f t="shared" si="152"/>
        <v>0</v>
      </c>
      <c r="M534" s="10">
        <v>28</v>
      </c>
      <c r="N534" s="30"/>
      <c r="O534" s="31"/>
      <c r="P534" s="47"/>
      <c r="Q534" s="31"/>
      <c r="R534" s="31"/>
      <c r="S534" s="32">
        <f t="shared" si="153"/>
        <v>0</v>
      </c>
      <c r="T534" s="10"/>
      <c r="U534" s="10"/>
      <c r="V534" s="10"/>
      <c r="W534" s="12">
        <f t="shared" si="15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5"/>
        <v>0</v>
      </c>
      <c r="AF534" s="10"/>
      <c r="AG534" s="10"/>
      <c r="AH534" s="10"/>
      <c r="AI534" s="12">
        <f t="shared" si="15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31"/>
      <c r="D535" s="32"/>
      <c r="E535" s="32"/>
      <c r="F535" s="32"/>
      <c r="G535" s="32">
        <f t="shared" si="151"/>
        <v>0</v>
      </c>
      <c r="H535" s="10"/>
      <c r="I535" s="10"/>
      <c r="J535" s="10"/>
      <c r="K535" s="12">
        <f t="shared" si="152"/>
        <v>0</v>
      </c>
      <c r="M535" s="10">
        <v>29</v>
      </c>
      <c r="N535" s="30"/>
      <c r="P535" s="47"/>
      <c r="Q535" s="31"/>
      <c r="R535" s="31"/>
      <c r="S535" s="32">
        <f t="shared" si="153"/>
        <v>0</v>
      </c>
      <c r="T535" s="10"/>
      <c r="U535" s="10"/>
      <c r="V535" s="10"/>
      <c r="W535" s="12">
        <f t="shared" si="15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5"/>
        <v>0</v>
      </c>
      <c r="AF535" s="10"/>
      <c r="AG535" s="10"/>
      <c r="AH535" s="10"/>
      <c r="AI535" s="12">
        <f t="shared" si="15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57"/>
      <c r="D536" s="32"/>
      <c r="E536" s="32"/>
      <c r="F536" s="32"/>
      <c r="G536" s="32">
        <f t="shared" si="151"/>
        <v>0</v>
      </c>
      <c r="H536" s="10"/>
      <c r="I536" s="10"/>
      <c r="J536" s="10"/>
      <c r="K536" s="12">
        <f t="shared" si="152"/>
        <v>0</v>
      </c>
      <c r="M536" s="10">
        <v>30</v>
      </c>
      <c r="N536" s="30"/>
      <c r="P536" s="47"/>
      <c r="Q536" s="31"/>
      <c r="R536" s="31"/>
      <c r="S536" s="32">
        <f t="shared" si="153"/>
        <v>0</v>
      </c>
      <c r="T536" s="10"/>
      <c r="U536" s="10"/>
      <c r="V536" s="10"/>
      <c r="W536" s="12">
        <f t="shared" si="154"/>
        <v>0</v>
      </c>
      <c r="Y536" s="10">
        <v>30</v>
      </c>
      <c r="Z536" s="30"/>
      <c r="AB536" s="47"/>
      <c r="AC536" s="31"/>
      <c r="AD536" s="31"/>
      <c r="AE536" s="32">
        <f t="shared" si="155"/>
        <v>0</v>
      </c>
      <c r="AF536" s="10"/>
      <c r="AG536" s="10"/>
      <c r="AH536" s="10"/>
      <c r="AI536" s="12">
        <f t="shared" si="15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57"/>
      <c r="D537" s="32"/>
      <c r="E537" s="32"/>
      <c r="F537" s="32"/>
      <c r="G537" s="32">
        <f t="shared" si="151"/>
        <v>0</v>
      </c>
      <c r="H537" s="10"/>
      <c r="I537" s="10"/>
      <c r="J537" s="10"/>
      <c r="K537" s="12">
        <f t="shared" si="152"/>
        <v>0</v>
      </c>
      <c r="M537" s="10">
        <v>31</v>
      </c>
      <c r="N537" s="30"/>
      <c r="O537" s="31"/>
      <c r="P537" s="47"/>
      <c r="Q537" s="31"/>
      <c r="R537" s="31"/>
      <c r="S537" s="32">
        <f t="shared" si="153"/>
        <v>0</v>
      </c>
      <c r="T537" s="10"/>
      <c r="U537" s="10"/>
      <c r="V537" s="10"/>
      <c r="W537" s="12">
        <f t="shared" si="154"/>
        <v>0</v>
      </c>
      <c r="Y537" s="10">
        <v>31</v>
      </c>
      <c r="Z537" s="30"/>
      <c r="AB537" s="47"/>
      <c r="AC537" s="31"/>
      <c r="AD537" s="31"/>
      <c r="AE537" s="32">
        <f t="shared" si="155"/>
        <v>0</v>
      </c>
      <c r="AF537" s="10"/>
      <c r="AG537" s="10"/>
      <c r="AH537" s="10"/>
      <c r="AI537" s="12">
        <f t="shared" si="15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31"/>
      <c r="D538" s="32"/>
      <c r="E538" s="32"/>
      <c r="F538" s="32"/>
      <c r="G538" s="32">
        <f t="shared" si="151"/>
        <v>0</v>
      </c>
      <c r="H538" s="10"/>
      <c r="I538" s="10"/>
      <c r="J538" s="10"/>
      <c r="K538" s="12">
        <f t="shared" si="152"/>
        <v>0</v>
      </c>
      <c r="M538" s="10">
        <v>32</v>
      </c>
      <c r="N538" s="30"/>
      <c r="P538" s="47"/>
      <c r="Q538" s="31"/>
      <c r="R538" s="31"/>
      <c r="S538" s="32">
        <f t="shared" si="153"/>
        <v>0</v>
      </c>
      <c r="T538" s="10"/>
      <c r="U538" s="10"/>
      <c r="V538" s="10"/>
      <c r="W538" s="12">
        <f t="shared" si="15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5"/>
        <v>0</v>
      </c>
      <c r="AF538" s="10"/>
      <c r="AG538" s="10"/>
      <c r="AH538" s="10"/>
      <c r="AI538" s="12">
        <f t="shared" si="15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57"/>
      <c r="D539" s="32"/>
      <c r="E539" s="32"/>
      <c r="F539" s="32"/>
      <c r="G539" s="32">
        <f t="shared" si="151"/>
        <v>0</v>
      </c>
      <c r="H539" s="10"/>
      <c r="I539" s="10"/>
      <c r="J539" s="10"/>
      <c r="K539" s="12">
        <f t="shared" si="152"/>
        <v>0</v>
      </c>
      <c r="M539" s="10">
        <v>33</v>
      </c>
      <c r="N539" s="30"/>
      <c r="O539" s="31"/>
      <c r="P539" s="47"/>
      <c r="Q539" s="31"/>
      <c r="R539" s="31"/>
      <c r="S539" s="32">
        <f t="shared" si="153"/>
        <v>0</v>
      </c>
      <c r="T539" s="10"/>
      <c r="U539" s="10"/>
      <c r="V539" s="10"/>
      <c r="W539" s="12">
        <f t="shared" si="15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5"/>
        <v>0</v>
      </c>
      <c r="AF539" s="10"/>
      <c r="AG539" s="10"/>
      <c r="AH539" s="10"/>
      <c r="AI539" s="12">
        <f t="shared" si="15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57"/>
      <c r="D540" s="32"/>
      <c r="E540" s="32"/>
      <c r="F540" s="32"/>
      <c r="G540" s="32">
        <f t="shared" si="151"/>
        <v>0</v>
      </c>
      <c r="H540" s="10"/>
      <c r="I540" s="10"/>
      <c r="J540" s="10"/>
      <c r="K540" s="12">
        <f t="shared" si="15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60">SUM(P540:Q540)</f>
        <v>0</v>
      </c>
      <c r="T540" s="10"/>
      <c r="U540" s="10"/>
      <c r="V540" s="10"/>
      <c r="W540" s="12">
        <f t="shared" si="154"/>
        <v>0</v>
      </c>
      <c r="Y540" s="10">
        <v>34</v>
      </c>
      <c r="Z540" s="30"/>
      <c r="AB540" s="47"/>
      <c r="AC540" s="31"/>
      <c r="AD540" s="31"/>
      <c r="AE540" s="32">
        <f t="shared" si="155"/>
        <v>0</v>
      </c>
      <c r="AF540" s="10"/>
      <c r="AG540" s="10"/>
      <c r="AH540" s="10"/>
      <c r="AI540" s="12">
        <f t="shared" ref="AI540:AI548" si="161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3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5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5"/>
        <v>0</v>
      </c>
      <c r="AF541" s="10"/>
      <c r="AG541" s="10"/>
      <c r="AH541" s="10"/>
      <c r="AI541" s="12">
        <f t="shared" si="161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3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5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5"/>
        <v>0</v>
      </c>
      <c r="AF542" s="10"/>
      <c r="AG542" s="10"/>
      <c r="AH542" s="10"/>
      <c r="AI542" s="12">
        <f t="shared" si="161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5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5"/>
        <v>0</v>
      </c>
      <c r="AF543" s="10"/>
      <c r="AG543" s="10"/>
      <c r="AH543" s="10"/>
      <c r="AI543" s="12">
        <f t="shared" si="161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5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5"/>
        <v>0</v>
      </c>
      <c r="AF544" s="10"/>
      <c r="AG544" s="10"/>
      <c r="AH544" s="10"/>
      <c r="AI544" s="12">
        <f t="shared" si="161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5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5"/>
        <v>0</v>
      </c>
      <c r="AF545" s="10"/>
      <c r="AG545" s="10"/>
      <c r="AH545" s="10"/>
      <c r="AI545" s="12">
        <f t="shared" si="161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1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2">SUM(D547:E547)</f>
        <v>0</v>
      </c>
      <c r="H547" s="10"/>
      <c r="I547" s="10"/>
      <c r="J547" s="10"/>
      <c r="K547" s="12">
        <f t="shared" ref="K547" si="163">SUM(G547:J547)</f>
        <v>0</v>
      </c>
      <c r="M547" s="10"/>
      <c r="N547" s="30"/>
      <c r="O547" s="31"/>
      <c r="P547" s="47"/>
      <c r="Q547" s="31"/>
      <c r="R547" s="31"/>
      <c r="S547" s="32">
        <f t="shared" ref="S547" si="164">SUM(P547:Q547)</f>
        <v>0</v>
      </c>
      <c r="T547" s="10"/>
      <c r="U547" s="10"/>
      <c r="V547" s="10"/>
      <c r="W547" s="12">
        <f t="shared" si="154"/>
        <v>0</v>
      </c>
      <c r="Y547" s="10"/>
      <c r="Z547" s="30"/>
      <c r="AA547" s="31"/>
      <c r="AB547" s="47"/>
      <c r="AC547" s="31"/>
      <c r="AD547" s="31"/>
      <c r="AE547" s="32">
        <f t="shared" ref="AE547" si="165">SUM(AB547:AC547)</f>
        <v>0</v>
      </c>
      <c r="AF547" s="10"/>
      <c r="AG547" s="10"/>
      <c r="AH547" s="10"/>
      <c r="AI547" s="12">
        <f t="shared" si="161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1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497867</v>
      </c>
      <c r="E550" s="38">
        <f t="shared" ref="E550:F550" si="166">SUM(E507:E547)</f>
        <v>-3960</v>
      </c>
      <c r="F550" s="38">
        <f t="shared" si="166"/>
        <v>0</v>
      </c>
      <c r="G550" s="38">
        <f>SUM(G507:G549)</f>
        <v>493907</v>
      </c>
      <c r="H550" s="4"/>
      <c r="I550" s="39">
        <f>SUM(I507:I549)</f>
        <v>8586</v>
      </c>
      <c r="J550" s="39">
        <f>SUM(J507:J549)</f>
        <v>-1218</v>
      </c>
      <c r="K550" s="40">
        <f>SUM(K507:K549)</f>
        <v>501275</v>
      </c>
      <c r="N550" s="57"/>
      <c r="O550" s="57"/>
      <c r="P550" s="38">
        <f>SUM(P507:P549)</f>
        <v>167878.5</v>
      </c>
      <c r="Q550" s="38">
        <f>SUM(Q507:Q531)</f>
        <v>-1296</v>
      </c>
      <c r="R550" s="38">
        <f>SUM(R507:R531)</f>
        <v>0</v>
      </c>
      <c r="S550" s="38">
        <f>SUM(S507:S549)</f>
        <v>166582.5</v>
      </c>
      <c r="T550" s="4"/>
      <c r="U550" s="41">
        <f>SUM(U507:U549)</f>
        <v>15587.5</v>
      </c>
      <c r="V550" s="41">
        <f>SUM(V507:V531)</f>
        <v>-1320</v>
      </c>
      <c r="W550" s="42">
        <f>SUM(W507:W549)</f>
        <v>180850</v>
      </c>
      <c r="Z550" s="57"/>
      <c r="AA550" s="57"/>
      <c r="AB550" s="38">
        <f>SUM(AB507:AB549)</f>
        <v>284318</v>
      </c>
      <c r="AC550" s="38">
        <f>SUM(AC507:AC531)</f>
        <v>-330</v>
      </c>
      <c r="AD550" s="38">
        <f>SUM(AD507:AD531)</f>
        <v>0</v>
      </c>
      <c r="AE550" s="38">
        <f>SUM(AE507:AE549)</f>
        <v>283988</v>
      </c>
      <c r="AF550" s="4"/>
      <c r="AG550" s="41">
        <f>SUM(AG507:AG549)</f>
        <v>1221</v>
      </c>
      <c r="AH550" s="41">
        <f>SUM(AH507:AH531)</f>
        <v>-702</v>
      </c>
      <c r="AI550" s="42">
        <f>SUM(AI507:AI549)</f>
        <v>284507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50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64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64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37</v>
      </c>
      <c r="W558" s="24"/>
      <c r="Y558" s="21" t="s">
        <v>64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6" t="s">
        <v>17</v>
      </c>
      <c r="E560" s="126"/>
      <c r="F560" s="104"/>
      <c r="G560" s="27"/>
      <c r="I560" s="124" t="s">
        <v>18</v>
      </c>
      <c r="J560" s="125"/>
      <c r="K560" s="122" t="s">
        <v>19</v>
      </c>
      <c r="N560" s="25"/>
      <c r="O560" s="26"/>
      <c r="P560" s="126" t="s">
        <v>17</v>
      </c>
      <c r="Q560" s="126"/>
      <c r="R560" s="104"/>
      <c r="S560" s="27"/>
      <c r="U560" s="124" t="s">
        <v>18</v>
      </c>
      <c r="V560" s="125"/>
      <c r="W560" s="122" t="s">
        <v>19</v>
      </c>
      <c r="Z560" s="25"/>
      <c r="AA560" s="26"/>
      <c r="AB560" s="126" t="s">
        <v>17</v>
      </c>
      <c r="AC560" s="126"/>
      <c r="AD560" s="104"/>
      <c r="AE560" s="27"/>
      <c r="AG560" s="124" t="s">
        <v>18</v>
      </c>
      <c r="AH560" s="125"/>
      <c r="AI560" s="122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23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23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23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>
        <v>46003</v>
      </c>
      <c r="C562" s="91">
        <v>7831</v>
      </c>
      <c r="D562" s="32">
        <f>6260+4565</f>
        <v>10825</v>
      </c>
      <c r="E562" s="32"/>
      <c r="F562" s="32"/>
      <c r="G562" s="32">
        <f t="shared" ref="G562:G595" si="167">SUM(D562:E562)</f>
        <v>10825</v>
      </c>
      <c r="H562" s="12"/>
      <c r="I562" s="12"/>
      <c r="J562" s="12"/>
      <c r="K562" s="12">
        <f t="shared" ref="K562:K595" si="168">SUM(G562:J562)</f>
        <v>10825</v>
      </c>
      <c r="M562" s="10">
        <v>1</v>
      </c>
      <c r="N562" s="30">
        <v>46003</v>
      </c>
      <c r="O562" s="31">
        <v>7904</v>
      </c>
      <c r="P562" s="32">
        <f>56340+4298+8940+458</f>
        <v>70036</v>
      </c>
      <c r="Q562" s="32">
        <v>-672</v>
      </c>
      <c r="R562" s="32"/>
      <c r="S562" s="32">
        <f>SUM(P562:Q562)</f>
        <v>69364</v>
      </c>
      <c r="T562" s="12"/>
      <c r="U562" s="12"/>
      <c r="V562" s="12"/>
      <c r="W562" s="12">
        <f>SUM(S562:V562)</f>
        <v>69364</v>
      </c>
      <c r="Y562" s="10">
        <v>1</v>
      </c>
      <c r="Z562" s="30">
        <v>46003</v>
      </c>
      <c r="AA562" s="31">
        <v>7756</v>
      </c>
      <c r="AB562" s="32">
        <f>626*5+9.5*5</f>
        <v>3177.5</v>
      </c>
      <c r="AC562" s="32"/>
      <c r="AD562" s="32"/>
      <c r="AE562" s="32">
        <f>SUM(AB562:AC562)</f>
        <v>3177.5</v>
      </c>
      <c r="AF562" s="12"/>
      <c r="AG562" s="12"/>
      <c r="AH562" s="12"/>
      <c r="AI562" s="12">
        <f>SUM(AE562:AH562)</f>
        <v>3177.5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>
        <v>46003</v>
      </c>
      <c r="C563" s="91">
        <f>C562+1</f>
        <v>7832</v>
      </c>
      <c r="D563" s="32">
        <f>31300+1228+2980</f>
        <v>35508</v>
      </c>
      <c r="E563" s="32"/>
      <c r="F563" s="32"/>
      <c r="G563" s="32">
        <f t="shared" si="167"/>
        <v>35508</v>
      </c>
      <c r="H563" s="12"/>
      <c r="I563" s="12"/>
      <c r="J563" s="12"/>
      <c r="K563" s="12">
        <f t="shared" si="168"/>
        <v>35508</v>
      </c>
      <c r="M563" s="10">
        <v>2</v>
      </c>
      <c r="N563" s="30">
        <v>46003</v>
      </c>
      <c r="O563" s="31">
        <f>O562+1</f>
        <v>7905</v>
      </c>
      <c r="P563" s="32">
        <f>1252+19</f>
        <v>1271</v>
      </c>
      <c r="Q563" s="32"/>
      <c r="R563" s="32"/>
      <c r="S563" s="32">
        <f t="shared" ref="S563:S594" si="169">SUM(P563:Q563)</f>
        <v>1271</v>
      </c>
      <c r="T563" s="12"/>
      <c r="U563" s="12"/>
      <c r="V563" s="12"/>
      <c r="W563" s="12">
        <f t="shared" ref="W563:W603" si="170">SUM(S563:V563)</f>
        <v>1271</v>
      </c>
      <c r="Y563" s="10">
        <v>2</v>
      </c>
      <c r="Z563" s="30">
        <v>46003</v>
      </c>
      <c r="AA563" s="31">
        <f>AA562+1</f>
        <v>7757</v>
      </c>
      <c r="AB563" s="32">
        <f>626*23+614*3+596*10</f>
        <v>22200</v>
      </c>
      <c r="AC563" s="32"/>
      <c r="AD563" s="32"/>
      <c r="AE563" s="32">
        <f t="shared" ref="AE563:AE600" si="171">SUM(AB563:AC563)</f>
        <v>22200</v>
      </c>
      <c r="AF563" s="12"/>
      <c r="AG563" s="12"/>
      <c r="AH563" s="12"/>
      <c r="AI563" s="12">
        <f t="shared" ref="AI563:AI594" si="172">SUM(AE563:AH563)</f>
        <v>22200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>
        <v>46003</v>
      </c>
      <c r="C564" s="91">
        <f t="shared" ref="C564" si="173">C563+1</f>
        <v>7833</v>
      </c>
      <c r="D564" s="33">
        <f>430688+58944+3370+128736+10050+8320+3435</f>
        <v>643543</v>
      </c>
      <c r="E564" s="33">
        <v>-6150</v>
      </c>
      <c r="F564" s="33"/>
      <c r="G564" s="33">
        <f t="shared" si="167"/>
        <v>637393</v>
      </c>
      <c r="H564" s="34"/>
      <c r="I564" s="34">
        <f>1200+15651+1170+1200</f>
        <v>19221</v>
      </c>
      <c r="J564" s="34"/>
      <c r="K564" s="34">
        <f t="shared" si="168"/>
        <v>656614</v>
      </c>
      <c r="M564" s="10">
        <v>3</v>
      </c>
      <c r="N564" s="30">
        <v>46003</v>
      </c>
      <c r="O564" s="31">
        <f t="shared" ref="O564:O579" si="174">O563+1</f>
        <v>7906</v>
      </c>
      <c r="P564" s="32">
        <f>6260+9.5*10</f>
        <v>6355</v>
      </c>
      <c r="Q564" s="32"/>
      <c r="R564" s="32"/>
      <c r="S564" s="32">
        <f t="shared" si="169"/>
        <v>6355</v>
      </c>
      <c r="T564" s="12"/>
      <c r="U564" s="12"/>
      <c r="V564" s="12"/>
      <c r="W564" s="12">
        <f t="shared" si="170"/>
        <v>6355</v>
      </c>
      <c r="Y564" s="10">
        <v>3</v>
      </c>
      <c r="Z564" s="30">
        <v>46003</v>
      </c>
      <c r="AA564" s="31">
        <f t="shared" ref="AA564:AA567" si="175">AA563+1</f>
        <v>7758</v>
      </c>
      <c r="AB564" s="33">
        <f>28170+5960</f>
        <v>34130</v>
      </c>
      <c r="AC564" s="33">
        <v>-330</v>
      </c>
      <c r="AD564" s="32"/>
      <c r="AE564" s="32">
        <f t="shared" si="171"/>
        <v>33800</v>
      </c>
      <c r="AF564" s="12"/>
      <c r="AG564" s="12"/>
      <c r="AH564" s="12"/>
      <c r="AI564" s="12">
        <f t="shared" si="172"/>
        <v>33800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/>
      <c r="C565" s="11" t="s">
        <v>27</v>
      </c>
      <c r="D565" s="32"/>
      <c r="E565" s="32"/>
      <c r="F565" s="32"/>
      <c r="G565" s="32">
        <f t="shared" si="167"/>
        <v>0</v>
      </c>
      <c r="H565" s="12"/>
      <c r="I565" s="12"/>
      <c r="J565" s="12"/>
      <c r="K565" s="12">
        <f t="shared" si="168"/>
        <v>0</v>
      </c>
      <c r="M565" s="10">
        <v>4</v>
      </c>
      <c r="N565" s="30">
        <v>46003</v>
      </c>
      <c r="O565" s="31">
        <f t="shared" si="174"/>
        <v>7907</v>
      </c>
      <c r="P565" s="32">
        <f>6260+9.5*10</f>
        <v>6355</v>
      </c>
      <c r="Q565" s="32"/>
      <c r="R565" s="32"/>
      <c r="S565" s="32">
        <f t="shared" si="169"/>
        <v>6355</v>
      </c>
      <c r="T565" s="12"/>
      <c r="U565" s="12"/>
      <c r="V565" s="12"/>
      <c r="W565" s="12">
        <f t="shared" si="170"/>
        <v>6355</v>
      </c>
      <c r="Y565" s="10">
        <v>4</v>
      </c>
      <c r="Z565" s="30">
        <v>46003</v>
      </c>
      <c r="AA565" s="31">
        <f t="shared" si="175"/>
        <v>7759</v>
      </c>
      <c r="AB565" s="32">
        <f>110176+26820+832+1832</f>
        <v>139660</v>
      </c>
      <c r="AC565" s="32">
        <v>-1332</v>
      </c>
      <c r="AD565" s="32"/>
      <c r="AE565" s="32">
        <f t="shared" si="171"/>
        <v>138328</v>
      </c>
      <c r="AF565" s="12"/>
      <c r="AG565">
        <f>8103+546</f>
        <v>8649</v>
      </c>
      <c r="AH565" s="12"/>
      <c r="AI565" s="12">
        <f t="shared" si="172"/>
        <v>146977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D566" s="32"/>
      <c r="E566" s="32"/>
      <c r="F566" s="32"/>
      <c r="G566" s="32">
        <f t="shared" si="167"/>
        <v>0</v>
      </c>
      <c r="H566" s="12"/>
      <c r="I566" s="12"/>
      <c r="J566" s="12"/>
      <c r="K566" s="12">
        <f t="shared" si="168"/>
        <v>0</v>
      </c>
      <c r="M566" s="10">
        <v>5</v>
      </c>
      <c r="N566" s="30">
        <v>46003</v>
      </c>
      <c r="O566" s="31">
        <f t="shared" si="174"/>
        <v>7908</v>
      </c>
      <c r="P566" s="32">
        <f>3130+47.5</f>
        <v>3177.5</v>
      </c>
      <c r="Q566" s="32"/>
      <c r="R566" s="32"/>
      <c r="S566" s="32">
        <f t="shared" si="169"/>
        <v>3177.5</v>
      </c>
      <c r="T566" s="12"/>
      <c r="U566" s="12"/>
      <c r="V566" s="12">
        <v>-444</v>
      </c>
      <c r="W566" s="12">
        <f t="shared" si="170"/>
        <v>2733.5</v>
      </c>
      <c r="Y566" s="10">
        <v>5</v>
      </c>
      <c r="Z566" s="30">
        <v>46003</v>
      </c>
      <c r="AA566" s="31">
        <f t="shared" si="175"/>
        <v>7760</v>
      </c>
      <c r="AB566" s="32">
        <f>46950+687</f>
        <v>47637</v>
      </c>
      <c r="AC566" s="32">
        <v>-450</v>
      </c>
      <c r="AD566" s="32"/>
      <c r="AE566" s="32">
        <f t="shared" si="171"/>
        <v>47187</v>
      </c>
      <c r="AF566" s="12"/>
      <c r="AG566" s="12">
        <v>888</v>
      </c>
      <c r="AH566" s="12"/>
      <c r="AI566" s="12">
        <f t="shared" si="172"/>
        <v>48075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91"/>
      <c r="D567" s="32"/>
      <c r="E567" s="32"/>
      <c r="F567" s="32"/>
      <c r="G567" s="32">
        <f t="shared" si="167"/>
        <v>0</v>
      </c>
      <c r="H567" s="12"/>
      <c r="I567" s="12"/>
      <c r="J567" s="12"/>
      <c r="K567" s="12">
        <f t="shared" si="168"/>
        <v>0</v>
      </c>
      <c r="M567" s="10">
        <v>6</v>
      </c>
      <c r="N567" s="30">
        <v>46003</v>
      </c>
      <c r="O567" s="31">
        <f t="shared" si="174"/>
        <v>7909</v>
      </c>
      <c r="P567" s="32">
        <f>5008</f>
        <v>5008</v>
      </c>
      <c r="Q567" s="32"/>
      <c r="R567" s="32"/>
      <c r="S567" s="32">
        <f t="shared" si="169"/>
        <v>5008</v>
      </c>
      <c r="T567" s="12"/>
      <c r="U567" s="12"/>
      <c r="V567" s="10"/>
      <c r="W567" s="12">
        <f t="shared" si="170"/>
        <v>5008</v>
      </c>
      <c r="Y567" s="10">
        <v>6</v>
      </c>
      <c r="Z567" s="30">
        <v>46003</v>
      </c>
      <c r="AA567" s="31">
        <f t="shared" si="175"/>
        <v>7761</v>
      </c>
      <c r="AB567" s="32">
        <f>192808+18420+29800+8520+8320+3435</f>
        <v>261303</v>
      </c>
      <c r="AC567" s="32">
        <v>-2448</v>
      </c>
      <c r="AD567" s="32"/>
      <c r="AE567" s="32">
        <f t="shared" si="171"/>
        <v>258855</v>
      </c>
      <c r="AF567" s="12"/>
      <c r="AG567" s="12"/>
      <c r="AH567" s="10"/>
      <c r="AI567" s="12">
        <f t="shared" si="172"/>
        <v>258855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91"/>
      <c r="D568" s="32"/>
      <c r="E568" s="32"/>
      <c r="F568" s="32"/>
      <c r="G568" s="32">
        <f t="shared" si="167"/>
        <v>0</v>
      </c>
      <c r="H568" s="12"/>
      <c r="I568" s="12"/>
      <c r="J568" s="12"/>
      <c r="K568" s="12">
        <f t="shared" si="168"/>
        <v>0</v>
      </c>
      <c r="M568" s="10">
        <v>7</v>
      </c>
      <c r="N568" s="30">
        <v>46003</v>
      </c>
      <c r="O568" s="31">
        <f t="shared" si="174"/>
        <v>7910</v>
      </c>
      <c r="P568" s="32">
        <f>1192+19</f>
        <v>1211</v>
      </c>
      <c r="Q568" s="32"/>
      <c r="R568" s="32"/>
      <c r="S568" s="32">
        <f t="shared" si="169"/>
        <v>1211</v>
      </c>
      <c r="T568" s="12"/>
      <c r="U568" s="12"/>
      <c r="V568" s="12"/>
      <c r="W568" s="12">
        <f t="shared" si="170"/>
        <v>1211</v>
      </c>
      <c r="Y568" s="10">
        <v>7</v>
      </c>
      <c r="Z568" s="30"/>
      <c r="AA568" s="11" t="s">
        <v>27</v>
      </c>
      <c r="AB568" s="32"/>
      <c r="AC568" s="32"/>
      <c r="AD568" s="32"/>
      <c r="AE568" s="32">
        <f t="shared" si="171"/>
        <v>0</v>
      </c>
      <c r="AF568" s="12"/>
      <c r="AG568" s="58"/>
      <c r="AH568" s="12"/>
      <c r="AI568" s="12">
        <f t="shared" si="172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91"/>
      <c r="D569" s="32"/>
      <c r="E569" s="32"/>
      <c r="F569" s="32"/>
      <c r="G569" s="32">
        <f t="shared" si="167"/>
        <v>0</v>
      </c>
      <c r="H569" s="12"/>
      <c r="I569" s="12"/>
      <c r="J569" s="12"/>
      <c r="K569" s="12">
        <f t="shared" si="168"/>
        <v>0</v>
      </c>
      <c r="M569" s="10">
        <v>8</v>
      </c>
      <c r="N569" s="30">
        <v>46003</v>
      </c>
      <c r="O569" s="31">
        <f t="shared" si="174"/>
        <v>7911</v>
      </c>
      <c r="P569" s="32">
        <f>1252+596+28.5</f>
        <v>1876.5</v>
      </c>
      <c r="Q569" s="32"/>
      <c r="R569" s="32"/>
      <c r="S569" s="32">
        <f t="shared" si="169"/>
        <v>1876.5</v>
      </c>
      <c r="T569" s="12"/>
      <c r="U569" s="12"/>
      <c r="V569" s="12"/>
      <c r="W569" s="12">
        <f t="shared" si="170"/>
        <v>1876.5</v>
      </c>
      <c r="Y569" s="10">
        <v>8</v>
      </c>
      <c r="Z569" s="30"/>
      <c r="AA569" s="31"/>
      <c r="AB569" s="32"/>
      <c r="AC569" s="32"/>
      <c r="AE569" s="32">
        <f t="shared" si="171"/>
        <v>0</v>
      </c>
      <c r="AF569" s="12"/>
      <c r="AG569" s="12"/>
      <c r="AH569" s="12"/>
      <c r="AI569" s="12">
        <f t="shared" si="172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91"/>
      <c r="D570" s="32"/>
      <c r="E570" s="32"/>
      <c r="F570" s="32"/>
      <c r="G570" s="32">
        <f t="shared" si="167"/>
        <v>0</v>
      </c>
      <c r="H570" s="12"/>
      <c r="I570" s="12"/>
      <c r="J570" s="12"/>
      <c r="K570" s="12">
        <f t="shared" si="168"/>
        <v>0</v>
      </c>
      <c r="M570" s="10">
        <v>9</v>
      </c>
      <c r="N570" s="30">
        <v>46003</v>
      </c>
      <c r="O570" s="31">
        <f t="shared" si="174"/>
        <v>7912</v>
      </c>
      <c r="P570" s="32">
        <f>626*5+224+852</f>
        <v>4206</v>
      </c>
      <c r="Q570" s="32"/>
      <c r="R570" s="32"/>
      <c r="S570" s="32">
        <f t="shared" si="169"/>
        <v>4206</v>
      </c>
      <c r="T570" s="12"/>
      <c r="U570" s="12">
        <v>120</v>
      </c>
      <c r="V570" s="12"/>
      <c r="W570" s="12">
        <f t="shared" si="170"/>
        <v>4326</v>
      </c>
      <c r="Y570" s="10">
        <v>9</v>
      </c>
      <c r="Z570" s="30"/>
      <c r="AA570" s="31"/>
      <c r="AC570" s="32"/>
      <c r="AD570" s="32"/>
      <c r="AE570" s="32">
        <f t="shared" si="171"/>
        <v>0</v>
      </c>
      <c r="AF570" s="12"/>
      <c r="AH570" s="12"/>
      <c r="AI570" s="12">
        <f t="shared" si="172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91"/>
      <c r="D571" s="32"/>
      <c r="E571" s="32"/>
      <c r="F571" s="32"/>
      <c r="G571" s="32">
        <f t="shared" si="167"/>
        <v>0</v>
      </c>
      <c r="H571" s="12"/>
      <c r="I571" s="12"/>
      <c r="J571" s="12"/>
      <c r="K571" s="12">
        <f t="shared" si="168"/>
        <v>0</v>
      </c>
      <c r="M571" s="10">
        <v>10</v>
      </c>
      <c r="N571" s="30">
        <v>46003</v>
      </c>
      <c r="O571" s="31">
        <f t="shared" si="174"/>
        <v>7913</v>
      </c>
      <c r="P571" s="32">
        <f>1252+19</f>
        <v>1271</v>
      </c>
      <c r="Q571" s="32"/>
      <c r="R571" s="32"/>
      <c r="S571" s="32">
        <f t="shared" si="169"/>
        <v>1271</v>
      </c>
      <c r="T571" s="12"/>
      <c r="U571" s="12"/>
      <c r="V571" s="12"/>
      <c r="W571" s="12">
        <f t="shared" si="170"/>
        <v>1271</v>
      </c>
      <c r="Y571" s="10">
        <v>10</v>
      </c>
      <c r="Z571" s="30"/>
      <c r="AA571" s="31"/>
      <c r="AB571" s="32"/>
      <c r="AC571" s="32"/>
      <c r="AD571" s="32"/>
      <c r="AE571" s="32">
        <f t="shared" si="171"/>
        <v>0</v>
      </c>
      <c r="AF571" s="12"/>
      <c r="AG571" s="12"/>
      <c r="AH571" s="12"/>
      <c r="AI571" s="12">
        <f t="shared" si="172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D572" s="32"/>
      <c r="E572" s="32"/>
      <c r="F572" s="32"/>
      <c r="G572" s="32">
        <f t="shared" si="167"/>
        <v>0</v>
      </c>
      <c r="H572" s="12"/>
      <c r="I572" s="12"/>
      <c r="J572" s="12"/>
      <c r="K572" s="12">
        <f t="shared" si="168"/>
        <v>0</v>
      </c>
      <c r="M572" s="10">
        <v>11</v>
      </c>
      <c r="N572" s="30">
        <v>46003</v>
      </c>
      <c r="O572" s="31">
        <f t="shared" si="174"/>
        <v>7914</v>
      </c>
      <c r="P572" s="32">
        <f>1252+19</f>
        <v>1271</v>
      </c>
      <c r="Q572" s="32"/>
      <c r="R572" s="32"/>
      <c r="S572" s="32">
        <f t="shared" si="169"/>
        <v>1271</v>
      </c>
      <c r="T572" s="12"/>
      <c r="U572" s="12"/>
      <c r="V572" s="12"/>
      <c r="W572" s="12">
        <f t="shared" si="170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71"/>
        <v>0</v>
      </c>
      <c r="AF572" s="12"/>
      <c r="AG572" s="12"/>
      <c r="AH572" s="12"/>
      <c r="AI572" s="12">
        <f t="shared" si="172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91"/>
      <c r="D573" s="32"/>
      <c r="E573" s="32"/>
      <c r="F573" s="32"/>
      <c r="G573" s="32">
        <f t="shared" si="167"/>
        <v>0</v>
      </c>
      <c r="H573" s="12"/>
      <c r="I573" s="12"/>
      <c r="J573" s="10"/>
      <c r="K573" s="12">
        <f t="shared" si="168"/>
        <v>0</v>
      </c>
      <c r="M573" s="10">
        <v>12</v>
      </c>
      <c r="N573" s="30">
        <v>46003</v>
      </c>
      <c r="O573" s="31">
        <f t="shared" si="174"/>
        <v>7915</v>
      </c>
      <c r="P573" s="32">
        <f>3756+596+66.5</f>
        <v>4418.5</v>
      </c>
      <c r="Q573" s="32"/>
      <c r="R573" s="32"/>
      <c r="S573" s="32">
        <f t="shared" si="169"/>
        <v>4418.5</v>
      </c>
      <c r="T573" s="12"/>
      <c r="U573" s="12"/>
      <c r="V573" s="12"/>
      <c r="W573" s="12">
        <f t="shared" si="170"/>
        <v>4418.5</v>
      </c>
      <c r="Y573" s="10">
        <v>12</v>
      </c>
      <c r="Z573" s="30"/>
      <c r="AB573" s="32"/>
      <c r="AC573" s="32"/>
      <c r="AD573" s="32"/>
      <c r="AE573" s="32">
        <f t="shared" si="171"/>
        <v>0</v>
      </c>
      <c r="AF573" s="12"/>
      <c r="AG573" s="12"/>
      <c r="AH573" s="12"/>
      <c r="AI573" s="12">
        <f t="shared" si="172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91"/>
      <c r="D574" s="32"/>
      <c r="E574" s="32"/>
      <c r="F574" s="32"/>
      <c r="G574" s="32">
        <f t="shared" si="167"/>
        <v>0</v>
      </c>
      <c r="H574" s="12"/>
      <c r="I574" s="12"/>
      <c r="J574" s="12"/>
      <c r="K574" s="12">
        <f t="shared" si="168"/>
        <v>0</v>
      </c>
      <c r="M574" s="10">
        <v>13</v>
      </c>
      <c r="N574" s="30">
        <v>46003</v>
      </c>
      <c r="O574" s="31">
        <f t="shared" si="174"/>
        <v>7916</v>
      </c>
      <c r="P574" s="32">
        <f>1252+596+28.5</f>
        <v>1876.5</v>
      </c>
      <c r="Q574" s="32"/>
      <c r="R574" s="32"/>
      <c r="S574" s="32">
        <f t="shared" si="169"/>
        <v>1876.5</v>
      </c>
      <c r="T574" s="12"/>
      <c r="U574" s="12"/>
      <c r="V574" s="12"/>
      <c r="W574" s="12">
        <f t="shared" si="170"/>
        <v>1876.5</v>
      </c>
      <c r="Y574" s="10">
        <v>13</v>
      </c>
      <c r="Z574" s="30"/>
      <c r="AA574" s="31"/>
      <c r="AB574" s="32"/>
      <c r="AC574" s="32"/>
      <c r="AD574" s="32"/>
      <c r="AE574" s="32">
        <f t="shared" si="171"/>
        <v>0</v>
      </c>
      <c r="AF574" s="12"/>
      <c r="AG574" s="12"/>
      <c r="AH574" s="12"/>
      <c r="AI574" s="12">
        <f t="shared" si="172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91"/>
      <c r="D575" s="32"/>
      <c r="E575" s="32"/>
      <c r="F575" s="32"/>
      <c r="G575" s="32">
        <f t="shared" si="167"/>
        <v>0</v>
      </c>
      <c r="H575" s="12"/>
      <c r="I575" s="12"/>
      <c r="J575" s="12"/>
      <c r="K575" s="12">
        <f t="shared" si="168"/>
        <v>0</v>
      </c>
      <c r="M575" s="10">
        <v>14</v>
      </c>
      <c r="N575" s="30">
        <v>46003</v>
      </c>
      <c r="O575" s="31">
        <f t="shared" si="174"/>
        <v>7917</v>
      </c>
      <c r="P575" s="32">
        <f>3756+596+66.5</f>
        <v>4418.5</v>
      </c>
      <c r="Q575" s="32"/>
      <c r="R575" s="32"/>
      <c r="S575" s="32">
        <f t="shared" si="169"/>
        <v>4418.5</v>
      </c>
      <c r="T575" s="12"/>
      <c r="U575" s="12"/>
      <c r="V575" s="12"/>
      <c r="W575" s="12">
        <f t="shared" si="170"/>
        <v>4418.5</v>
      </c>
      <c r="Y575" s="10">
        <v>14</v>
      </c>
      <c r="Z575" s="30"/>
      <c r="AA575" s="31"/>
      <c r="AB575" s="32"/>
      <c r="AC575" s="32"/>
      <c r="AD575" s="32"/>
      <c r="AE575" s="32">
        <f t="shared" si="171"/>
        <v>0</v>
      </c>
      <c r="AF575" s="12"/>
      <c r="AG575" s="12"/>
      <c r="AH575" s="12"/>
      <c r="AI575" s="12">
        <f t="shared" si="172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1"/>
      <c r="D576" s="32"/>
      <c r="E576" s="32"/>
      <c r="F576" s="32"/>
      <c r="G576" s="32">
        <f t="shared" si="167"/>
        <v>0</v>
      </c>
      <c r="H576" s="12"/>
      <c r="I576" s="12"/>
      <c r="J576" s="12"/>
      <c r="K576" s="12">
        <f t="shared" si="168"/>
        <v>0</v>
      </c>
      <c r="M576" s="10">
        <v>15</v>
      </c>
      <c r="N576" s="30">
        <v>46003</v>
      </c>
      <c r="O576" s="31">
        <f t="shared" si="174"/>
        <v>7918</v>
      </c>
      <c r="P576" s="32">
        <f>1878+28.5</f>
        <v>1906.5</v>
      </c>
      <c r="Q576" s="32"/>
      <c r="R576" s="32"/>
      <c r="S576" s="32">
        <f t="shared" si="169"/>
        <v>1906.5</v>
      </c>
      <c r="T576" s="12"/>
      <c r="U576" s="12"/>
      <c r="V576" s="12"/>
      <c r="W576" s="12">
        <f t="shared" si="170"/>
        <v>1906.5</v>
      </c>
      <c r="Y576" s="10">
        <v>15</v>
      </c>
      <c r="Z576" s="30"/>
      <c r="AA576" s="31"/>
      <c r="AB576" s="32"/>
      <c r="AC576" s="32"/>
      <c r="AD576" s="32"/>
      <c r="AE576" s="32">
        <f t="shared" si="171"/>
        <v>0</v>
      </c>
      <c r="AF576" s="12"/>
      <c r="AG576" s="12"/>
      <c r="AH576" s="12"/>
      <c r="AI576" s="12">
        <f t="shared" si="172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57"/>
      <c r="D577" s="32"/>
      <c r="E577" s="32"/>
      <c r="F577" s="32"/>
      <c r="G577" s="32">
        <f t="shared" si="167"/>
        <v>0</v>
      </c>
      <c r="H577" s="12"/>
      <c r="I577" s="12"/>
      <c r="J577" s="12"/>
      <c r="K577" s="12">
        <f t="shared" si="168"/>
        <v>0</v>
      </c>
      <c r="M577" s="10">
        <v>16</v>
      </c>
      <c r="N577" s="30">
        <v>46003</v>
      </c>
      <c r="O577" s="31">
        <f t="shared" si="174"/>
        <v>7919</v>
      </c>
      <c r="P577" s="32">
        <f>1878+38</f>
        <v>1916</v>
      </c>
      <c r="Q577" s="32"/>
      <c r="R577" s="32"/>
      <c r="S577" s="32">
        <f t="shared" si="169"/>
        <v>1916</v>
      </c>
      <c r="T577" s="12"/>
      <c r="U577" s="12"/>
      <c r="V577" s="12"/>
      <c r="W577" s="12">
        <f t="shared" si="170"/>
        <v>1916</v>
      </c>
      <c r="Y577" s="10">
        <v>16</v>
      </c>
      <c r="Z577" s="30"/>
      <c r="AA577" s="31"/>
      <c r="AB577" s="32"/>
      <c r="AC577" s="32"/>
      <c r="AD577" s="32"/>
      <c r="AE577" s="32">
        <f t="shared" si="171"/>
        <v>0</v>
      </c>
      <c r="AF577" s="12"/>
      <c r="AG577" s="12"/>
      <c r="AH577" s="12"/>
      <c r="AI577" s="12">
        <f t="shared" si="172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1"/>
      <c r="D578" s="32"/>
      <c r="E578" s="32"/>
      <c r="F578" s="32"/>
      <c r="G578" s="32">
        <f t="shared" si="167"/>
        <v>0</v>
      </c>
      <c r="H578" s="12"/>
      <c r="I578" s="12"/>
      <c r="J578" s="12"/>
      <c r="K578" s="12">
        <f t="shared" si="168"/>
        <v>0</v>
      </c>
      <c r="M578" s="10">
        <v>17</v>
      </c>
      <c r="N578" s="30">
        <v>46003</v>
      </c>
      <c r="O578" s="31">
        <f t="shared" si="174"/>
        <v>7920</v>
      </c>
      <c r="P578" s="35">
        <f>6260+832+9.5*10</f>
        <v>7187</v>
      </c>
      <c r="Q578" s="32"/>
      <c r="R578" s="32"/>
      <c r="S578" s="32">
        <f t="shared" si="169"/>
        <v>7187</v>
      </c>
      <c r="T578" s="12"/>
      <c r="U578" s="12">
        <v>13.5</v>
      </c>
      <c r="V578" s="12"/>
      <c r="W578" s="12">
        <f t="shared" si="170"/>
        <v>7200.5</v>
      </c>
      <c r="Y578" s="10">
        <v>17</v>
      </c>
      <c r="Z578" s="30"/>
      <c r="AA578" s="31"/>
      <c r="AB578" s="35"/>
      <c r="AC578" s="32"/>
      <c r="AD578" s="32"/>
      <c r="AE578" s="32">
        <f t="shared" si="171"/>
        <v>0</v>
      </c>
      <c r="AF578" s="12"/>
      <c r="AG578" s="12"/>
      <c r="AH578" s="12"/>
      <c r="AI578" s="12">
        <f t="shared" si="172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57"/>
      <c r="D579" s="32"/>
      <c r="E579" s="32"/>
      <c r="F579" s="32"/>
      <c r="G579" s="32">
        <f t="shared" si="167"/>
        <v>0</v>
      </c>
      <c r="H579" s="12"/>
      <c r="I579" s="12"/>
      <c r="J579" s="12"/>
      <c r="K579" s="12">
        <f t="shared" si="168"/>
        <v>0</v>
      </c>
      <c r="M579" s="10">
        <v>18</v>
      </c>
      <c r="N579" s="30">
        <v>46003</v>
      </c>
      <c r="O579" s="31">
        <f t="shared" si="174"/>
        <v>7921</v>
      </c>
      <c r="P579" s="32">
        <f>31300+5960</f>
        <v>37260</v>
      </c>
      <c r="Q579" s="32"/>
      <c r="R579" s="32"/>
      <c r="S579" s="32">
        <f t="shared" si="169"/>
        <v>37260</v>
      </c>
      <c r="T579" s="12"/>
      <c r="U579" s="12">
        <v>1332</v>
      </c>
      <c r="V579" s="12"/>
      <c r="W579" s="12">
        <f t="shared" si="170"/>
        <v>38592</v>
      </c>
      <c r="Y579" s="10">
        <v>18</v>
      </c>
      <c r="Z579" s="30"/>
      <c r="AA579" s="31"/>
      <c r="AB579" s="32"/>
      <c r="AC579" s="32"/>
      <c r="AD579" s="32"/>
      <c r="AE579" s="32">
        <f t="shared" si="171"/>
        <v>0</v>
      </c>
      <c r="AF579" s="12"/>
      <c r="AG579" s="12"/>
      <c r="AH579" s="12"/>
      <c r="AI579" s="12">
        <f t="shared" si="172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57"/>
      <c r="D580" s="32"/>
      <c r="E580" s="32"/>
      <c r="F580" s="32"/>
      <c r="G580" s="32">
        <f t="shared" si="167"/>
        <v>0</v>
      </c>
      <c r="H580" s="12"/>
      <c r="I580" s="12"/>
      <c r="J580" s="12"/>
      <c r="K580" s="12">
        <f t="shared" si="168"/>
        <v>0</v>
      </c>
      <c r="M580" s="10">
        <v>19</v>
      </c>
      <c r="N580" s="30"/>
      <c r="O580" s="11" t="s">
        <v>27</v>
      </c>
      <c r="P580" s="32"/>
      <c r="Q580" s="32"/>
      <c r="R580" s="32"/>
      <c r="S580" s="32">
        <f t="shared" si="169"/>
        <v>0</v>
      </c>
      <c r="T580" s="12"/>
      <c r="U580" s="12"/>
      <c r="V580" s="12"/>
      <c r="W580" s="12">
        <f t="shared" si="170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1"/>
        <v>0</v>
      </c>
      <c r="AF580" s="12"/>
      <c r="AG580" s="12"/>
      <c r="AH580" s="12"/>
      <c r="AI580" s="12">
        <f t="shared" si="172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1"/>
      <c r="D581" s="32"/>
      <c r="E581" s="32"/>
      <c r="F581" s="32"/>
      <c r="G581" s="32">
        <f t="shared" si="167"/>
        <v>0</v>
      </c>
      <c r="H581" s="12"/>
      <c r="I581" s="12"/>
      <c r="J581" s="12"/>
      <c r="K581" s="12">
        <f t="shared" si="168"/>
        <v>0</v>
      </c>
      <c r="M581" s="10">
        <v>20</v>
      </c>
      <c r="N581" s="30"/>
      <c r="O581" s="31"/>
      <c r="P581" s="32"/>
      <c r="Q581" s="32"/>
      <c r="R581" s="32"/>
      <c r="S581" s="32">
        <f t="shared" si="169"/>
        <v>0</v>
      </c>
      <c r="T581" s="12"/>
      <c r="U581" s="12"/>
      <c r="V581" s="12"/>
      <c r="W581" s="12">
        <f t="shared" si="170"/>
        <v>0</v>
      </c>
      <c r="Y581" s="10">
        <v>20</v>
      </c>
      <c r="Z581" s="30"/>
      <c r="AB581" s="32"/>
      <c r="AC581" s="32"/>
      <c r="AD581" s="32"/>
      <c r="AE581" s="32">
        <f t="shared" si="171"/>
        <v>0</v>
      </c>
      <c r="AF581" s="12"/>
      <c r="AG581" s="12"/>
      <c r="AH581" s="12"/>
      <c r="AI581" s="12">
        <f t="shared" si="172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91"/>
      <c r="D582" s="32"/>
      <c r="E582" s="32"/>
      <c r="F582" s="32"/>
      <c r="G582" s="32">
        <f t="shared" si="167"/>
        <v>0</v>
      </c>
      <c r="H582" s="10"/>
      <c r="I582" s="10"/>
      <c r="J582" s="10"/>
      <c r="K582" s="12">
        <f t="shared" si="168"/>
        <v>0</v>
      </c>
      <c r="M582" s="10">
        <v>21</v>
      </c>
      <c r="N582" s="30"/>
      <c r="O582" s="31"/>
      <c r="P582" s="46"/>
      <c r="Q582" s="31"/>
      <c r="R582" s="31"/>
      <c r="S582" s="32">
        <f t="shared" si="169"/>
        <v>0</v>
      </c>
      <c r="T582" s="10"/>
      <c r="U582" s="10"/>
      <c r="V582" s="10"/>
      <c r="W582" s="12">
        <f t="shared" si="170"/>
        <v>0</v>
      </c>
      <c r="Y582" s="10">
        <v>21</v>
      </c>
      <c r="Z582" s="30"/>
      <c r="AB582" s="46"/>
      <c r="AC582" s="31"/>
      <c r="AD582" s="31"/>
      <c r="AE582" s="32">
        <f t="shared" si="171"/>
        <v>0</v>
      </c>
      <c r="AF582" s="10"/>
      <c r="AG582" s="10"/>
      <c r="AH582" s="10"/>
      <c r="AI582" s="12">
        <f t="shared" si="172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1"/>
      <c r="D583" s="32"/>
      <c r="E583" s="32"/>
      <c r="F583" s="32"/>
      <c r="G583" s="32">
        <f t="shared" si="167"/>
        <v>0</v>
      </c>
      <c r="H583" s="10"/>
      <c r="I583" s="10"/>
      <c r="J583" s="10"/>
      <c r="K583" s="12">
        <f t="shared" si="168"/>
        <v>0</v>
      </c>
      <c r="M583" s="10">
        <v>22</v>
      </c>
      <c r="N583" s="30"/>
      <c r="O583" s="31"/>
      <c r="P583" s="45"/>
      <c r="Q583" s="31"/>
      <c r="R583" s="31"/>
      <c r="S583" s="32">
        <f t="shared" si="169"/>
        <v>0</v>
      </c>
      <c r="T583" s="10"/>
      <c r="U583" s="10"/>
      <c r="V583" s="10"/>
      <c r="W583" s="12">
        <f t="shared" si="170"/>
        <v>0</v>
      </c>
      <c r="Y583" s="10">
        <v>22</v>
      </c>
      <c r="Z583" s="30"/>
      <c r="AB583" s="45"/>
      <c r="AC583" s="31"/>
      <c r="AD583" s="31"/>
      <c r="AE583" s="32">
        <f t="shared" si="171"/>
        <v>0</v>
      </c>
      <c r="AF583" s="10"/>
      <c r="AG583" s="10"/>
      <c r="AH583" s="10"/>
      <c r="AI583" s="12">
        <f t="shared" si="172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7"/>
        <v>0</v>
      </c>
      <c r="H584" s="10"/>
      <c r="I584" s="10"/>
      <c r="J584" s="12"/>
      <c r="K584" s="12">
        <f t="shared" si="168"/>
        <v>0</v>
      </c>
      <c r="M584" s="10">
        <v>23</v>
      </c>
      <c r="N584" s="30"/>
      <c r="O584" s="31"/>
      <c r="P584" s="47"/>
      <c r="S584" s="32">
        <f t="shared" si="169"/>
        <v>0</v>
      </c>
      <c r="T584" s="10"/>
      <c r="U584" s="10"/>
      <c r="V584" s="10"/>
      <c r="W584" s="12">
        <f t="shared" si="170"/>
        <v>0</v>
      </c>
      <c r="Y584" s="10">
        <v>23</v>
      </c>
      <c r="Z584" s="30"/>
      <c r="AA584" s="31"/>
      <c r="AB584" s="47"/>
      <c r="AE584" s="32">
        <f t="shared" si="171"/>
        <v>0</v>
      </c>
      <c r="AF584" s="10"/>
      <c r="AG584" s="10"/>
      <c r="AH584" s="10"/>
      <c r="AI584" s="12">
        <f t="shared" si="172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67"/>
        <v>0</v>
      </c>
      <c r="H585" s="10"/>
      <c r="I585" s="10"/>
      <c r="J585" s="10"/>
      <c r="K585" s="12">
        <f t="shared" si="168"/>
        <v>0</v>
      </c>
      <c r="M585" s="10">
        <v>24</v>
      </c>
      <c r="N585" s="30"/>
      <c r="O585" s="31"/>
      <c r="P585" s="47"/>
      <c r="Q585" s="31"/>
      <c r="R585" s="31"/>
      <c r="S585" s="32">
        <f t="shared" si="169"/>
        <v>0</v>
      </c>
      <c r="T585" s="10"/>
      <c r="U585" s="10"/>
      <c r="V585" s="10"/>
      <c r="W585" s="12">
        <f t="shared" si="170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1"/>
        <v>0</v>
      </c>
      <c r="AF585" s="10"/>
      <c r="AG585" s="10"/>
      <c r="AH585" s="10"/>
      <c r="AI585" s="12">
        <f t="shared" si="172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31"/>
      <c r="D586" s="32"/>
      <c r="E586" s="32"/>
      <c r="F586" s="32"/>
      <c r="G586" s="32">
        <f t="shared" si="167"/>
        <v>0</v>
      </c>
      <c r="H586" s="10"/>
      <c r="I586" s="10"/>
      <c r="J586" s="10"/>
      <c r="K586" s="12">
        <f t="shared" si="168"/>
        <v>0</v>
      </c>
      <c r="M586" s="10">
        <v>25</v>
      </c>
      <c r="N586" s="30"/>
      <c r="P586" s="47"/>
      <c r="Q586" s="31"/>
      <c r="R586" s="31"/>
      <c r="S586" s="32">
        <f t="shared" si="169"/>
        <v>0</v>
      </c>
      <c r="T586" s="10"/>
      <c r="U586" s="10"/>
      <c r="V586" s="10"/>
      <c r="W586" s="12">
        <f t="shared" si="170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71"/>
        <v>0</v>
      </c>
      <c r="AF586" s="10"/>
      <c r="AG586" s="10"/>
      <c r="AH586" s="10"/>
      <c r="AI586" s="12">
        <f t="shared" si="172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11"/>
      <c r="D587" s="32"/>
      <c r="E587" s="32"/>
      <c r="F587" s="32"/>
      <c r="G587" s="32">
        <f t="shared" si="167"/>
        <v>0</v>
      </c>
      <c r="H587" s="10"/>
      <c r="I587" s="10"/>
      <c r="J587" s="10"/>
      <c r="K587" s="12">
        <f t="shared" si="168"/>
        <v>0</v>
      </c>
      <c r="M587" s="10">
        <v>26</v>
      </c>
      <c r="N587" s="30"/>
      <c r="P587" s="47"/>
      <c r="Q587" s="31"/>
      <c r="R587" s="31"/>
      <c r="S587" s="32">
        <f t="shared" si="169"/>
        <v>0</v>
      </c>
      <c r="T587" s="10"/>
      <c r="U587" s="10"/>
      <c r="V587" s="10"/>
      <c r="W587" s="12">
        <f t="shared" si="170"/>
        <v>0</v>
      </c>
      <c r="Y587" s="10">
        <v>26</v>
      </c>
      <c r="Z587" s="30"/>
      <c r="AB587" s="47"/>
      <c r="AC587" s="31"/>
      <c r="AD587" s="31"/>
      <c r="AE587" s="32">
        <f t="shared" si="171"/>
        <v>0</v>
      </c>
      <c r="AF587" s="10"/>
      <c r="AG587" s="10"/>
      <c r="AH587" s="10"/>
      <c r="AI587" s="12">
        <f t="shared" si="172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57"/>
      <c r="D588" s="32"/>
      <c r="E588" s="32"/>
      <c r="F588" s="32"/>
      <c r="G588" s="32">
        <f t="shared" si="167"/>
        <v>0</v>
      </c>
      <c r="H588" s="10"/>
      <c r="I588" s="10"/>
      <c r="J588" s="10"/>
      <c r="K588" s="12">
        <f t="shared" si="168"/>
        <v>0</v>
      </c>
      <c r="M588" s="10">
        <v>27</v>
      </c>
      <c r="N588" s="30"/>
      <c r="O588" s="31"/>
      <c r="P588" s="47"/>
      <c r="Q588" s="31"/>
      <c r="R588" s="31"/>
      <c r="S588" s="32">
        <f t="shared" si="169"/>
        <v>0</v>
      </c>
      <c r="T588" s="10"/>
      <c r="U588" s="10"/>
      <c r="V588" s="10"/>
      <c r="W588" s="12">
        <f t="shared" si="170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1"/>
        <v>0</v>
      </c>
      <c r="AF588" s="10"/>
      <c r="AG588" s="10"/>
      <c r="AH588" s="10"/>
      <c r="AI588" s="12">
        <f t="shared" si="172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31"/>
      <c r="D589" s="32"/>
      <c r="E589" s="32"/>
      <c r="F589" s="32"/>
      <c r="G589" s="32">
        <f t="shared" si="167"/>
        <v>0</v>
      </c>
      <c r="H589" s="10"/>
      <c r="I589" s="10"/>
      <c r="J589" s="10"/>
      <c r="K589" s="12">
        <f t="shared" si="168"/>
        <v>0</v>
      </c>
      <c r="M589" s="10">
        <v>28</v>
      </c>
      <c r="N589" s="30"/>
      <c r="O589" s="31"/>
      <c r="P589" s="47"/>
      <c r="Q589" s="31"/>
      <c r="R589" s="31"/>
      <c r="S589" s="32">
        <f t="shared" si="169"/>
        <v>0</v>
      </c>
      <c r="T589" s="10"/>
      <c r="U589" s="10"/>
      <c r="V589" s="10"/>
      <c r="W589" s="12">
        <f t="shared" si="170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1"/>
        <v>0</v>
      </c>
      <c r="AF589" s="10"/>
      <c r="AG589" s="10"/>
      <c r="AH589" s="10"/>
      <c r="AI589" s="12">
        <f t="shared" si="172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31"/>
      <c r="D590" s="32"/>
      <c r="E590" s="32"/>
      <c r="F590" s="32"/>
      <c r="G590" s="32">
        <f t="shared" si="167"/>
        <v>0</v>
      </c>
      <c r="H590" s="10"/>
      <c r="I590" s="10"/>
      <c r="J590" s="10"/>
      <c r="K590" s="12">
        <f t="shared" si="168"/>
        <v>0</v>
      </c>
      <c r="M590" s="10">
        <v>29</v>
      </c>
      <c r="N590" s="30"/>
      <c r="P590" s="47"/>
      <c r="Q590" s="31"/>
      <c r="R590" s="31"/>
      <c r="S590" s="32">
        <f t="shared" si="169"/>
        <v>0</v>
      </c>
      <c r="T590" s="10"/>
      <c r="U590" s="10"/>
      <c r="V590" s="10"/>
      <c r="W590" s="12">
        <f t="shared" si="170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1"/>
        <v>0</v>
      </c>
      <c r="AF590" s="10"/>
      <c r="AG590" s="10"/>
      <c r="AH590" s="10"/>
      <c r="AI590" s="12">
        <f t="shared" si="172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7"/>
        <v>0</v>
      </c>
      <c r="H591" s="10"/>
      <c r="I591" s="10"/>
      <c r="J591" s="10"/>
      <c r="K591" s="12">
        <f t="shared" si="168"/>
        <v>0</v>
      </c>
      <c r="M591" s="10">
        <v>30</v>
      </c>
      <c r="N591" s="30"/>
      <c r="P591" s="47"/>
      <c r="Q591" s="31"/>
      <c r="R591" s="31"/>
      <c r="S591" s="32">
        <f t="shared" si="169"/>
        <v>0</v>
      </c>
      <c r="T591" s="10"/>
      <c r="U591" s="10"/>
      <c r="V591" s="10"/>
      <c r="W591" s="12">
        <f t="shared" si="170"/>
        <v>0</v>
      </c>
      <c r="Y591" s="10">
        <v>30</v>
      </c>
      <c r="Z591" s="30"/>
      <c r="AB591" s="47"/>
      <c r="AC591" s="31"/>
      <c r="AD591" s="31"/>
      <c r="AE591" s="32">
        <f t="shared" si="171"/>
        <v>0</v>
      </c>
      <c r="AF591" s="10"/>
      <c r="AG591" s="10"/>
      <c r="AH591" s="10"/>
      <c r="AI591" s="12">
        <f t="shared" si="172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57"/>
      <c r="D592" s="32"/>
      <c r="E592" s="32"/>
      <c r="F592" s="32"/>
      <c r="G592" s="32">
        <f t="shared" si="167"/>
        <v>0</v>
      </c>
      <c r="H592" s="10"/>
      <c r="I592" s="10"/>
      <c r="J592" s="10"/>
      <c r="K592" s="12">
        <f t="shared" si="168"/>
        <v>0</v>
      </c>
      <c r="M592" s="10">
        <v>31</v>
      </c>
      <c r="N592" s="30"/>
      <c r="O592" s="31"/>
      <c r="P592" s="47"/>
      <c r="Q592" s="31"/>
      <c r="R592" s="31"/>
      <c r="S592" s="32">
        <f t="shared" si="169"/>
        <v>0</v>
      </c>
      <c r="T592" s="10"/>
      <c r="U592" s="10"/>
      <c r="V592" s="10"/>
      <c r="W592" s="12">
        <f t="shared" si="170"/>
        <v>0</v>
      </c>
      <c r="Y592" s="10">
        <v>31</v>
      </c>
      <c r="Z592" s="30"/>
      <c r="AB592" s="47"/>
      <c r="AC592" s="31"/>
      <c r="AD592" s="31"/>
      <c r="AE592" s="32">
        <f t="shared" si="171"/>
        <v>0</v>
      </c>
      <c r="AF592" s="10"/>
      <c r="AG592" s="10"/>
      <c r="AH592" s="10"/>
      <c r="AI592" s="12">
        <f t="shared" si="172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31"/>
      <c r="D593" s="32"/>
      <c r="E593" s="32"/>
      <c r="F593" s="32"/>
      <c r="G593" s="32">
        <f t="shared" si="167"/>
        <v>0</v>
      </c>
      <c r="H593" s="10"/>
      <c r="I593" s="10"/>
      <c r="J593" s="10"/>
      <c r="K593" s="12">
        <f t="shared" si="168"/>
        <v>0</v>
      </c>
      <c r="M593" s="10">
        <v>32</v>
      </c>
      <c r="N593" s="30"/>
      <c r="P593" s="47"/>
      <c r="Q593" s="31"/>
      <c r="R593" s="31"/>
      <c r="S593" s="32">
        <f t="shared" si="169"/>
        <v>0</v>
      </c>
      <c r="T593" s="10"/>
      <c r="U593" s="10"/>
      <c r="V593" s="10"/>
      <c r="W593" s="12">
        <f t="shared" si="170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1"/>
        <v>0</v>
      </c>
      <c r="AF593" s="10"/>
      <c r="AG593" s="10"/>
      <c r="AH593" s="10"/>
      <c r="AI593" s="12">
        <f t="shared" si="172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57"/>
      <c r="D594" s="32"/>
      <c r="E594" s="32"/>
      <c r="F594" s="32"/>
      <c r="G594" s="32">
        <f t="shared" si="167"/>
        <v>0</v>
      </c>
      <c r="H594" s="10"/>
      <c r="I594" s="10"/>
      <c r="J594" s="10"/>
      <c r="K594" s="12">
        <f t="shared" si="168"/>
        <v>0</v>
      </c>
      <c r="M594" s="10">
        <v>33</v>
      </c>
      <c r="N594" s="30"/>
      <c r="O594" s="31"/>
      <c r="P594" s="47"/>
      <c r="Q594" s="31"/>
      <c r="R594" s="31"/>
      <c r="S594" s="32">
        <f t="shared" si="169"/>
        <v>0</v>
      </c>
      <c r="T594" s="10"/>
      <c r="U594" s="10"/>
      <c r="V594" s="10"/>
      <c r="W594" s="12">
        <f t="shared" si="170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1"/>
        <v>0</v>
      </c>
      <c r="AF594" s="10"/>
      <c r="AG594" s="10"/>
      <c r="AH594" s="10"/>
      <c r="AI594" s="12">
        <f t="shared" si="172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57"/>
      <c r="D595" s="32"/>
      <c r="E595" s="32"/>
      <c r="F595" s="32"/>
      <c r="G595" s="32">
        <f t="shared" si="167"/>
        <v>0</v>
      </c>
      <c r="H595" s="10"/>
      <c r="I595" s="10"/>
      <c r="J595" s="10"/>
      <c r="K595" s="12">
        <f t="shared" si="168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76">SUM(P595:Q595)</f>
        <v>0</v>
      </c>
      <c r="T595" s="10"/>
      <c r="U595" s="10"/>
      <c r="V595" s="10"/>
      <c r="W595" s="12">
        <f t="shared" si="170"/>
        <v>0</v>
      </c>
      <c r="Y595" s="10">
        <v>34</v>
      </c>
      <c r="Z595" s="30"/>
      <c r="AB595" s="47"/>
      <c r="AC595" s="31"/>
      <c r="AD595" s="31"/>
      <c r="AE595" s="32">
        <f t="shared" si="171"/>
        <v>0</v>
      </c>
      <c r="AF595" s="10"/>
      <c r="AG595" s="10"/>
      <c r="AH595" s="10"/>
      <c r="AI595" s="12">
        <f t="shared" ref="AI595:AI603" si="177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6"/>
        <v>0</v>
      </c>
      <c r="T596" s="10"/>
      <c r="U596" s="10"/>
      <c r="V596" s="10"/>
      <c r="W596" s="12">
        <f t="shared" si="170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71"/>
        <v>0</v>
      </c>
      <c r="AF596" s="10"/>
      <c r="AG596" s="10"/>
      <c r="AH596" s="10"/>
      <c r="AI596" s="12">
        <f t="shared" si="177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6"/>
        <v>0</v>
      </c>
      <c r="T597" s="10"/>
      <c r="U597" s="10"/>
      <c r="V597" s="10"/>
      <c r="W597" s="12">
        <f t="shared" si="170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71"/>
        <v>0</v>
      </c>
      <c r="AF597" s="10"/>
      <c r="AG597" s="10"/>
      <c r="AH597" s="10"/>
      <c r="AI597" s="12">
        <f t="shared" si="177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6"/>
        <v>0</v>
      </c>
      <c r="T598" s="10"/>
      <c r="U598" s="10"/>
      <c r="V598" s="10"/>
      <c r="W598" s="12">
        <f t="shared" si="170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71"/>
        <v>0</v>
      </c>
      <c r="AF598" s="10"/>
      <c r="AG598" s="10"/>
      <c r="AH598" s="10"/>
      <c r="AI598" s="12">
        <f t="shared" si="177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6"/>
        <v>0</v>
      </c>
      <c r="T599" s="10"/>
      <c r="U599" s="10"/>
      <c r="V599" s="10"/>
      <c r="W599" s="12">
        <f t="shared" si="170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71"/>
        <v>0</v>
      </c>
      <c r="AF599" s="10"/>
      <c r="AG599" s="10"/>
      <c r="AH599" s="10"/>
      <c r="AI599" s="12">
        <f t="shared" si="177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6"/>
        <v>0</v>
      </c>
      <c r="T600" s="10"/>
      <c r="U600" s="10"/>
      <c r="V600" s="10"/>
      <c r="W600" s="12">
        <f t="shared" si="170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71"/>
        <v>0</v>
      </c>
      <c r="AF600" s="10"/>
      <c r="AG600" s="10"/>
      <c r="AH600" s="10"/>
      <c r="AI600" s="12">
        <f t="shared" si="177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0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7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8">SUM(D602:E602)</f>
        <v>0</v>
      </c>
      <c r="H602" s="10"/>
      <c r="I602" s="10"/>
      <c r="J602" s="10"/>
      <c r="K602" s="12">
        <f t="shared" ref="K602" si="179">SUM(G602:J602)</f>
        <v>0</v>
      </c>
      <c r="M602" s="10"/>
      <c r="N602" s="30"/>
      <c r="O602" s="31"/>
      <c r="P602" s="47"/>
      <c r="Q602" s="31"/>
      <c r="R602" s="31"/>
      <c r="S602" s="32">
        <f t="shared" ref="S602" si="180">SUM(P602:Q602)</f>
        <v>0</v>
      </c>
      <c r="T602" s="10"/>
      <c r="U602" s="10"/>
      <c r="V602" s="10"/>
      <c r="W602" s="12">
        <f t="shared" si="170"/>
        <v>0</v>
      </c>
      <c r="Y602" s="10"/>
      <c r="Z602" s="30"/>
      <c r="AA602" s="31"/>
      <c r="AB602" s="47"/>
      <c r="AC602" s="31"/>
      <c r="AD602" s="31"/>
      <c r="AE602" s="32">
        <f t="shared" ref="AE602" si="181">SUM(AB602:AC602)</f>
        <v>0</v>
      </c>
      <c r="AF602" s="10"/>
      <c r="AG602" s="10"/>
      <c r="AH602" s="10"/>
      <c r="AI602" s="12">
        <f t="shared" si="177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0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7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689876</v>
      </c>
      <c r="E605" s="38">
        <f t="shared" ref="E605:F605" si="182">SUM(E562:E602)</f>
        <v>-6150</v>
      </c>
      <c r="F605" s="38">
        <f t="shared" si="182"/>
        <v>0</v>
      </c>
      <c r="G605" s="38">
        <f>SUM(G562:G604)</f>
        <v>683726</v>
      </c>
      <c r="H605" s="4"/>
      <c r="I605" s="39">
        <f>SUM(I562:I604)</f>
        <v>19221</v>
      </c>
      <c r="J605" s="39">
        <f>SUM(J562:J604)</f>
        <v>0</v>
      </c>
      <c r="K605" s="40">
        <f>SUM(K562:K604)</f>
        <v>702947</v>
      </c>
      <c r="N605" s="57"/>
      <c r="O605" s="57"/>
      <c r="P605" s="38">
        <f>SUM(P562:P604)</f>
        <v>161021</v>
      </c>
      <c r="Q605" s="38">
        <f>SUM(Q562:Q586)</f>
        <v>-672</v>
      </c>
      <c r="R605" s="38">
        <f>SUM(R562:R586)</f>
        <v>0</v>
      </c>
      <c r="S605" s="38">
        <f>SUM(S562:S604)</f>
        <v>160349</v>
      </c>
      <c r="T605" s="4"/>
      <c r="U605" s="41">
        <f>SUM(U562:U604)</f>
        <v>1465.5</v>
      </c>
      <c r="V605" s="41">
        <f>SUM(V562:V586)</f>
        <v>-444</v>
      </c>
      <c r="W605" s="42">
        <f>SUM(W562:W604)</f>
        <v>161370.5</v>
      </c>
      <c r="Z605" s="57"/>
      <c r="AA605" s="57"/>
      <c r="AB605" s="38">
        <f>SUM(AB562:AB604)</f>
        <v>508107.5</v>
      </c>
      <c r="AC605" s="38">
        <f>SUM(AC562:AC586)</f>
        <v>-4560</v>
      </c>
      <c r="AD605" s="38">
        <f>SUM(AD562:AD586)</f>
        <v>0</v>
      </c>
      <c r="AE605" s="38">
        <f>SUM(AE562:AE604)</f>
        <v>503547.5</v>
      </c>
      <c r="AF605" s="4"/>
      <c r="AG605" s="41">
        <f>SUM(AG562:AG604)</f>
        <v>9537</v>
      </c>
      <c r="AH605" s="41">
        <f>SUM(AH562:AH586)</f>
        <v>0</v>
      </c>
      <c r="AI605" s="42">
        <f>SUM(AI562:AI604)</f>
        <v>513084.5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66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66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37</v>
      </c>
      <c r="W613" s="24"/>
      <c r="Y613" s="21" t="s">
        <v>66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6" t="s">
        <v>17</v>
      </c>
      <c r="E615" s="126"/>
      <c r="F615" s="105"/>
      <c r="G615" s="27"/>
      <c r="I615" s="124" t="s">
        <v>18</v>
      </c>
      <c r="J615" s="125"/>
      <c r="K615" s="122" t="s">
        <v>19</v>
      </c>
      <c r="N615" s="25"/>
      <c r="O615" s="26"/>
      <c r="P615" s="126" t="s">
        <v>17</v>
      </c>
      <c r="Q615" s="126"/>
      <c r="R615" s="105"/>
      <c r="S615" s="27"/>
      <c r="U615" s="124" t="s">
        <v>18</v>
      </c>
      <c r="V615" s="125"/>
      <c r="W615" s="122" t="s">
        <v>19</v>
      </c>
      <c r="Z615" s="25"/>
      <c r="AA615" s="26"/>
      <c r="AB615" s="126" t="s">
        <v>17</v>
      </c>
      <c r="AC615" s="126"/>
      <c r="AD615" s="105"/>
      <c r="AE615" s="27"/>
      <c r="AG615" s="124" t="s">
        <v>18</v>
      </c>
      <c r="AH615" s="125"/>
      <c r="AI615" s="122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23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23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23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67</v>
      </c>
      <c r="C617" s="91">
        <v>7834</v>
      </c>
      <c r="D617" s="32">
        <f>1005+832</f>
        <v>1837</v>
      </c>
      <c r="E617" s="32"/>
      <c r="F617" s="32"/>
      <c r="G617" s="32">
        <f t="shared" ref="G617:G650" si="183">SUM(D617:E617)</f>
        <v>1837</v>
      </c>
      <c r="H617" s="12"/>
      <c r="I617" s="12">
        <v>240</v>
      </c>
      <c r="J617" s="12"/>
      <c r="K617" s="12">
        <f t="shared" ref="K617:K650" si="184">SUM(G617:J617)</f>
        <v>2077</v>
      </c>
      <c r="M617" s="10">
        <v>1</v>
      </c>
      <c r="N617" s="30" t="s">
        <v>67</v>
      </c>
      <c r="O617" s="31">
        <v>7922</v>
      </c>
      <c r="P617" s="32">
        <f>81380+4298+14900+1704+916</f>
        <v>103198</v>
      </c>
      <c r="Q617" s="32"/>
      <c r="R617" s="32"/>
      <c r="S617" s="32">
        <f>SUM(P617:Q617)</f>
        <v>103198</v>
      </c>
      <c r="T617" s="12"/>
      <c r="U617" s="12"/>
      <c r="V617" s="12">
        <f>-111+-78+-84</f>
        <v>-273</v>
      </c>
      <c r="W617" s="12">
        <f>SUM(S617:V617)</f>
        <v>102925</v>
      </c>
      <c r="Y617" s="10">
        <v>1</v>
      </c>
      <c r="Z617" s="30" t="s">
        <v>67</v>
      </c>
      <c r="AA617" s="31">
        <v>7762</v>
      </c>
      <c r="AB617" s="32">
        <f>626*15+614+2980+832+229</f>
        <v>14045</v>
      </c>
      <c r="AC617" s="32"/>
      <c r="AD617" s="32"/>
      <c r="AE617" s="32">
        <f>SUM(AB617:AC617)</f>
        <v>14045</v>
      </c>
      <c r="AF617" s="12"/>
      <c r="AG617" s="12"/>
      <c r="AH617" s="12"/>
      <c r="AI617" s="12">
        <f>SUM(AE617:AH617)</f>
        <v>14045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67</v>
      </c>
      <c r="C618" s="91">
        <f>C617+1</f>
        <v>7835</v>
      </c>
      <c r="D618" s="32">
        <f>4382+1788+95</f>
        <v>6265</v>
      </c>
      <c r="E618" s="32"/>
      <c r="F618" s="32"/>
      <c r="G618" s="32">
        <f t="shared" si="183"/>
        <v>6265</v>
      </c>
      <c r="H618" s="12"/>
      <c r="I618" s="12"/>
      <c r="J618" s="12"/>
      <c r="K618" s="12">
        <f t="shared" si="184"/>
        <v>6265</v>
      </c>
      <c r="M618" s="10">
        <v>2</v>
      </c>
      <c r="N618" s="30" t="s">
        <v>67</v>
      </c>
      <c r="O618" s="31">
        <f>O617+1</f>
        <v>7923</v>
      </c>
      <c r="P618" s="32">
        <f>8138+614+2980+832+171</f>
        <v>12735</v>
      </c>
      <c r="Q618" s="32"/>
      <c r="R618" s="32"/>
      <c r="S618" s="32">
        <f t="shared" ref="S618:S649" si="185">SUM(P618:Q618)</f>
        <v>12735</v>
      </c>
      <c r="T618" s="12"/>
      <c r="U618" s="12">
        <v>36</v>
      </c>
      <c r="V618" s="12"/>
      <c r="W618" s="12">
        <f t="shared" ref="W618:W658" si="186">SUM(S618:V618)</f>
        <v>12771</v>
      </c>
      <c r="Y618" s="10">
        <v>2</v>
      </c>
      <c r="Z618" s="30" t="s">
        <v>67</v>
      </c>
      <c r="AA618" s="31">
        <f>AA617+1</f>
        <v>7763</v>
      </c>
      <c r="AB618" s="32">
        <f>626*40+614*2+596*10+229</f>
        <v>32457</v>
      </c>
      <c r="AC618" s="32">
        <v>-312</v>
      </c>
      <c r="AD618" s="32"/>
      <c r="AE618" s="32">
        <f t="shared" ref="AE618:AE655" si="187">SUM(AB618:AC618)</f>
        <v>32145</v>
      </c>
      <c r="AF618" s="12"/>
      <c r="AG618" s="12">
        <v>81</v>
      </c>
      <c r="AH618" s="12"/>
      <c r="AI618" s="12">
        <f t="shared" ref="AI618:AI649" si="188">SUM(AE618:AH618)</f>
        <v>32226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67</v>
      </c>
      <c r="C619" s="91">
        <f t="shared" ref="C619:C634" si="189">C618+1</f>
        <v>7836</v>
      </c>
      <c r="D619" s="33">
        <f>2504+38</f>
        <v>2542</v>
      </c>
      <c r="E619" s="33"/>
      <c r="F619" s="33"/>
      <c r="G619" s="33">
        <f t="shared" si="183"/>
        <v>2542</v>
      </c>
      <c r="H619" s="34"/>
      <c r="I619" s="34"/>
      <c r="J619" s="34"/>
      <c r="K619" s="34">
        <f t="shared" si="184"/>
        <v>2542</v>
      </c>
      <c r="M619" s="10">
        <v>3</v>
      </c>
      <c r="N619" s="30" t="s">
        <v>67</v>
      </c>
      <c r="O619" s="31">
        <f t="shared" ref="O619:O620" si="190">O618+1</f>
        <v>7924</v>
      </c>
      <c r="P619" s="32">
        <f>338040+64368+4580</f>
        <v>406988</v>
      </c>
      <c r="Q619" s="32">
        <v>-3888</v>
      </c>
      <c r="R619" s="32"/>
      <c r="S619" s="32">
        <f t="shared" si="185"/>
        <v>403100</v>
      </c>
      <c r="T619" s="12"/>
      <c r="U619" s="12">
        <f>1560</f>
        <v>1560</v>
      </c>
      <c r="V619" s="12"/>
      <c r="W619" s="12">
        <f t="shared" si="186"/>
        <v>404660</v>
      </c>
      <c r="Y619" s="10">
        <v>3</v>
      </c>
      <c r="Z619" s="30" t="s">
        <v>67</v>
      </c>
      <c r="AA619" s="31">
        <f t="shared" ref="AA619:AA622" si="191">AA618+1</f>
        <v>7764</v>
      </c>
      <c r="AB619" s="33">
        <f>4260+832*8</f>
        <v>10916</v>
      </c>
      <c r="AC619" s="33"/>
      <c r="AD619" s="32"/>
      <c r="AE619" s="32">
        <f t="shared" si="187"/>
        <v>10916</v>
      </c>
      <c r="AF619" s="12"/>
      <c r="AG619" s="12">
        <v>46.5</v>
      </c>
      <c r="AH619" s="12"/>
      <c r="AI619" s="12">
        <f t="shared" si="188"/>
        <v>10962.5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67</v>
      </c>
      <c r="C620" s="91">
        <f t="shared" si="189"/>
        <v>7837</v>
      </c>
      <c r="D620" s="32">
        <f>31300+229+1300</f>
        <v>32829</v>
      </c>
      <c r="E620" s="32"/>
      <c r="F620" s="32"/>
      <c r="G620" s="32">
        <f t="shared" si="183"/>
        <v>32829</v>
      </c>
      <c r="H620" s="12"/>
      <c r="I620" s="12">
        <f>222+168</f>
        <v>390</v>
      </c>
      <c r="J620" s="12"/>
      <c r="K620" s="12">
        <f t="shared" si="184"/>
        <v>33219</v>
      </c>
      <c r="M620" s="10">
        <v>4</v>
      </c>
      <c r="N620" s="30" t="s">
        <v>67</v>
      </c>
      <c r="O620" s="31">
        <f t="shared" si="190"/>
        <v>7925</v>
      </c>
      <c r="P620" s="32">
        <f>112680+11920+1832+1300</f>
        <v>127732</v>
      </c>
      <c r="Q620" s="32">
        <v>-1200</v>
      </c>
      <c r="R620" s="32"/>
      <c r="S620" s="32">
        <f t="shared" si="185"/>
        <v>126532</v>
      </c>
      <c r="T620" s="12"/>
      <c r="U620" s="12">
        <f>2220+468</f>
        <v>2688</v>
      </c>
      <c r="V620" s="12">
        <f>-168+-168</f>
        <v>-336</v>
      </c>
      <c r="W620" s="12">
        <f t="shared" si="186"/>
        <v>128884</v>
      </c>
      <c r="Y620" s="10">
        <v>4</v>
      </c>
      <c r="Z620" s="30" t="s">
        <v>67</v>
      </c>
      <c r="AA620" s="31">
        <f t="shared" si="191"/>
        <v>7765</v>
      </c>
      <c r="AB620" s="32">
        <f>125200+2010+1832+650</f>
        <v>129692</v>
      </c>
      <c r="AC620" s="32">
        <v>-1212</v>
      </c>
      <c r="AD620" s="32"/>
      <c r="AE620" s="32">
        <f t="shared" si="187"/>
        <v>128480</v>
      </c>
      <c r="AF620" s="12"/>
      <c r="AG620">
        <f>5328+78+216</f>
        <v>5622</v>
      </c>
      <c r="AH620" s="12"/>
      <c r="AI620" s="12">
        <f t="shared" si="188"/>
        <v>134102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67</v>
      </c>
      <c r="C621" s="91">
        <f t="shared" si="189"/>
        <v>7838</v>
      </c>
      <c r="D621" s="32">
        <f>24414+229</f>
        <v>24643</v>
      </c>
      <c r="E621" s="32"/>
      <c r="F621" s="32"/>
      <c r="G621" s="32">
        <f t="shared" si="183"/>
        <v>24643</v>
      </c>
      <c r="H621" s="12"/>
      <c r="I621" s="12"/>
      <c r="J621" s="12"/>
      <c r="K621" s="12">
        <f t="shared" si="184"/>
        <v>24643</v>
      </c>
      <c r="M621" s="10">
        <v>5</v>
      </c>
      <c r="N621" s="30"/>
      <c r="O621" s="11" t="s">
        <v>27</v>
      </c>
      <c r="P621" s="32"/>
      <c r="Q621" s="32"/>
      <c r="R621" s="32"/>
      <c r="S621" s="32">
        <f t="shared" si="185"/>
        <v>0</v>
      </c>
      <c r="T621" s="12"/>
      <c r="U621" s="12"/>
      <c r="V621" s="12"/>
      <c r="W621" s="12">
        <f t="shared" si="186"/>
        <v>0</v>
      </c>
      <c r="Y621" s="10">
        <v>5</v>
      </c>
      <c r="Z621" s="30" t="s">
        <v>67</v>
      </c>
      <c r="AA621" s="31">
        <f t="shared" si="191"/>
        <v>7766</v>
      </c>
      <c r="AB621" s="32">
        <f>21300</f>
        <v>21300</v>
      </c>
      <c r="AC621" s="32"/>
      <c r="AD621" s="32"/>
      <c r="AE621" s="32">
        <f t="shared" si="187"/>
        <v>21300</v>
      </c>
      <c r="AF621" s="12"/>
      <c r="AG621" s="12"/>
      <c r="AH621" s="12"/>
      <c r="AI621" s="12">
        <f t="shared" si="188"/>
        <v>21300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67</v>
      </c>
      <c r="C622" s="91">
        <f t="shared" si="189"/>
        <v>7839</v>
      </c>
      <c r="D622" s="32">
        <f>5634+596+95</f>
        <v>6325</v>
      </c>
      <c r="E622" s="32"/>
      <c r="F622" s="32"/>
      <c r="G622" s="32">
        <f t="shared" si="183"/>
        <v>6325</v>
      </c>
      <c r="H622" s="12"/>
      <c r="I622" s="12"/>
      <c r="J622" s="12"/>
      <c r="K622" s="12">
        <f t="shared" si="184"/>
        <v>6325</v>
      </c>
      <c r="M622" s="10">
        <v>6</v>
      </c>
      <c r="N622" s="30"/>
      <c r="O622" s="31"/>
      <c r="P622" s="32"/>
      <c r="Q622" s="32"/>
      <c r="R622" s="32"/>
      <c r="S622" s="32">
        <f t="shared" si="185"/>
        <v>0</v>
      </c>
      <c r="T622" s="12"/>
      <c r="U622" s="12"/>
      <c r="V622" s="10"/>
      <c r="W622" s="12">
        <f t="shared" si="186"/>
        <v>0</v>
      </c>
      <c r="Y622" s="10">
        <v>6</v>
      </c>
      <c r="Z622" s="30" t="s">
        <v>67</v>
      </c>
      <c r="AA622" s="31">
        <f t="shared" si="191"/>
        <v>7767</v>
      </c>
      <c r="AB622" s="32">
        <f>15650+1664</f>
        <v>17314</v>
      </c>
      <c r="AC622" s="32"/>
      <c r="AD622" s="32"/>
      <c r="AE622" s="32">
        <f t="shared" si="187"/>
        <v>17314</v>
      </c>
      <c r="AF622" s="12"/>
      <c r="AG622" s="12"/>
      <c r="AH622" s="10">
        <v>-5550</v>
      </c>
      <c r="AI622" s="12">
        <f t="shared" si="188"/>
        <v>11764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67</v>
      </c>
      <c r="C623" s="91">
        <f t="shared" si="189"/>
        <v>7840</v>
      </c>
      <c r="D623" s="32">
        <f>2504+1192+57</f>
        <v>3753</v>
      </c>
      <c r="E623" s="32"/>
      <c r="F623" s="32"/>
      <c r="G623" s="32">
        <f t="shared" si="183"/>
        <v>3753</v>
      </c>
      <c r="H623" s="12"/>
      <c r="I623" s="12"/>
      <c r="J623" s="12"/>
      <c r="K623" s="12">
        <f t="shared" si="184"/>
        <v>3753</v>
      </c>
      <c r="M623" s="10">
        <v>7</v>
      </c>
      <c r="N623" s="30"/>
      <c r="O623" s="31"/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11" t="s">
        <v>27</v>
      </c>
      <c r="AB623" s="32"/>
      <c r="AC623" s="32"/>
      <c r="AD623" s="32"/>
      <c r="AE623" s="32">
        <f t="shared" si="187"/>
        <v>0</v>
      </c>
      <c r="AF623" s="12"/>
      <c r="AG623" s="58"/>
      <c r="AH623" s="12"/>
      <c r="AI623" s="12">
        <f t="shared" si="18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67</v>
      </c>
      <c r="C624" s="91">
        <f t="shared" si="189"/>
        <v>7841</v>
      </c>
      <c r="D624" s="32">
        <f>63852+8344+458</f>
        <v>72654</v>
      </c>
      <c r="E624" s="32"/>
      <c r="F624" s="32"/>
      <c r="G624" s="32">
        <f t="shared" si="183"/>
        <v>72654</v>
      </c>
      <c r="H624" s="12"/>
      <c r="I624" s="12"/>
      <c r="J624" s="12"/>
      <c r="K624" s="12">
        <f t="shared" si="184"/>
        <v>72654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87"/>
        <v>0</v>
      </c>
      <c r="AF624" s="12"/>
      <c r="AG624" s="12"/>
      <c r="AH624" s="12"/>
      <c r="AI624" s="12">
        <f t="shared" si="18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67</v>
      </c>
      <c r="C625" s="91">
        <f t="shared" si="189"/>
        <v>7842</v>
      </c>
      <c r="D625" s="32">
        <f>17528+229</f>
        <v>17757</v>
      </c>
      <c r="E625" s="32"/>
      <c r="F625" s="32"/>
      <c r="G625" s="32">
        <f t="shared" si="183"/>
        <v>17757</v>
      </c>
      <c r="H625" s="12"/>
      <c r="I625" s="12">
        <v>81</v>
      </c>
      <c r="J625" s="12"/>
      <c r="K625" s="12">
        <f t="shared" si="184"/>
        <v>17838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87"/>
        <v>0</v>
      </c>
      <c r="AF625" s="12"/>
      <c r="AH625" s="12"/>
      <c r="AI625" s="12">
        <f t="shared" si="18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67</v>
      </c>
      <c r="C626" s="91">
        <f t="shared" si="189"/>
        <v>7843</v>
      </c>
      <c r="D626" s="32">
        <f>5634+614+832+85+1000</f>
        <v>8165</v>
      </c>
      <c r="E626" s="32"/>
      <c r="F626" s="32"/>
      <c r="G626" s="32">
        <f t="shared" si="183"/>
        <v>8165</v>
      </c>
      <c r="H626" s="12"/>
      <c r="I626" s="12"/>
      <c r="J626" s="12"/>
      <c r="K626" s="12">
        <f t="shared" si="184"/>
        <v>8165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87"/>
        <v>0</v>
      </c>
      <c r="AF626" s="12"/>
      <c r="AG626" s="12"/>
      <c r="AH626" s="12"/>
      <c r="AI626" s="12">
        <f t="shared" si="18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67</v>
      </c>
      <c r="C627" s="91">
        <f t="shared" si="189"/>
        <v>7844</v>
      </c>
      <c r="D627" s="32">
        <f>8764+133</f>
        <v>8897</v>
      </c>
      <c r="E627" s="32"/>
      <c r="F627" s="32"/>
      <c r="G627" s="32">
        <f t="shared" si="183"/>
        <v>8897</v>
      </c>
      <c r="H627" s="12"/>
      <c r="I627" s="12"/>
      <c r="J627" s="12"/>
      <c r="K627" s="12">
        <f t="shared" si="184"/>
        <v>8897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B627" s="32"/>
      <c r="AC627" s="32"/>
      <c r="AD627" s="32"/>
      <c r="AE627" s="32">
        <f t="shared" si="187"/>
        <v>0</v>
      </c>
      <c r="AF627" s="12"/>
      <c r="AG627" s="12"/>
      <c r="AH627" s="12"/>
      <c r="AI627" s="12">
        <f t="shared" si="18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67</v>
      </c>
      <c r="C628" s="91">
        <f t="shared" si="189"/>
        <v>7845</v>
      </c>
      <c r="D628" s="32">
        <f>1252+19</f>
        <v>1271</v>
      </c>
      <c r="E628" s="32"/>
      <c r="F628" s="32"/>
      <c r="G628" s="32">
        <f t="shared" si="183"/>
        <v>1271</v>
      </c>
      <c r="H628" s="12"/>
      <c r="I628" s="12"/>
      <c r="J628" s="10"/>
      <c r="K628" s="12">
        <f t="shared" si="184"/>
        <v>1271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B628" s="32"/>
      <c r="AC628" s="32"/>
      <c r="AD628" s="32"/>
      <c r="AE628" s="32">
        <f t="shared" si="187"/>
        <v>0</v>
      </c>
      <c r="AF628" s="12"/>
      <c r="AG628" s="12"/>
      <c r="AH628" s="12"/>
      <c r="AI628" s="12">
        <f t="shared" si="18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67</v>
      </c>
      <c r="C629" s="91">
        <f t="shared" si="189"/>
        <v>7846</v>
      </c>
      <c r="D629" s="32">
        <f>18780+2022+832</f>
        <v>21634</v>
      </c>
      <c r="E629" s="32"/>
      <c r="F629" s="32"/>
      <c r="G629" s="32">
        <f t="shared" si="183"/>
        <v>21634</v>
      </c>
      <c r="H629" s="12"/>
      <c r="I629" s="12"/>
      <c r="J629" s="12"/>
      <c r="K629" s="12">
        <f t="shared" si="184"/>
        <v>21634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7"/>
        <v>0</v>
      </c>
      <c r="AF629" s="12"/>
      <c r="AG629" s="12"/>
      <c r="AH629" s="12"/>
      <c r="AI629" s="12">
        <f t="shared" si="18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67</v>
      </c>
      <c r="C630" s="91">
        <f t="shared" si="189"/>
        <v>7847</v>
      </c>
      <c r="D630" s="32">
        <f>10642+161.5</f>
        <v>10803.5</v>
      </c>
      <c r="E630" s="32"/>
      <c r="F630" s="32"/>
      <c r="G630" s="32">
        <f t="shared" si="183"/>
        <v>10803.5</v>
      </c>
      <c r="H630" s="12"/>
      <c r="I630" s="12"/>
      <c r="J630" s="12"/>
      <c r="K630" s="12">
        <f t="shared" si="184"/>
        <v>10803.5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7"/>
        <v>0</v>
      </c>
      <c r="AF630" s="12"/>
      <c r="AG630" s="12"/>
      <c r="AH630" s="12"/>
      <c r="AI630" s="12">
        <f t="shared" si="18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67</v>
      </c>
      <c r="C631" s="91">
        <f t="shared" si="189"/>
        <v>7848</v>
      </c>
      <c r="D631" s="32">
        <f>22536+832</f>
        <v>23368</v>
      </c>
      <c r="E631" s="32"/>
      <c r="F631" s="32"/>
      <c r="G631" s="32">
        <f t="shared" si="183"/>
        <v>23368</v>
      </c>
      <c r="H631" s="12"/>
      <c r="I631" s="12"/>
      <c r="J631" s="12"/>
      <c r="K631" s="12">
        <f t="shared" si="184"/>
        <v>23368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87"/>
        <v>0</v>
      </c>
      <c r="AF631" s="12"/>
      <c r="AG631" s="12"/>
      <c r="AH631" s="12"/>
      <c r="AI631" s="12">
        <f t="shared" si="18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67</v>
      </c>
      <c r="C632" s="91">
        <f t="shared" si="189"/>
        <v>7849</v>
      </c>
      <c r="D632" s="32">
        <f>25040+229</f>
        <v>25269</v>
      </c>
      <c r="E632" s="32"/>
      <c r="F632" s="32"/>
      <c r="G632" s="32">
        <f t="shared" si="183"/>
        <v>25269</v>
      </c>
      <c r="H632" s="12"/>
      <c r="I632" s="12"/>
      <c r="J632" s="12"/>
      <c r="K632" s="12">
        <f t="shared" si="184"/>
        <v>25269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87"/>
        <v>0</v>
      </c>
      <c r="AF632" s="12"/>
      <c r="AG632" s="12"/>
      <c r="AH632" s="12"/>
      <c r="AI632" s="12">
        <f t="shared" si="18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67</v>
      </c>
      <c r="C633" s="91">
        <f t="shared" si="189"/>
        <v>7850</v>
      </c>
      <c r="D633" s="32">
        <f>6260+95</f>
        <v>6355</v>
      </c>
      <c r="E633" s="32"/>
      <c r="F633" s="32"/>
      <c r="G633" s="32">
        <f t="shared" si="183"/>
        <v>6355</v>
      </c>
      <c r="H633" s="12"/>
      <c r="I633" s="12"/>
      <c r="J633" s="12"/>
      <c r="K633" s="12">
        <f t="shared" si="184"/>
        <v>6355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7"/>
        <v>0</v>
      </c>
      <c r="AF633" s="12"/>
      <c r="AG633" s="12"/>
      <c r="AH633" s="12"/>
      <c r="AI633" s="12">
        <f t="shared" si="18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67</v>
      </c>
      <c r="C634" s="91">
        <f t="shared" si="189"/>
        <v>7851</v>
      </c>
      <c r="D634" s="32">
        <f>45650+1704+3015+1664</f>
        <v>52033</v>
      </c>
      <c r="E634" s="32"/>
      <c r="F634" s="32"/>
      <c r="G634" s="32">
        <f t="shared" si="183"/>
        <v>52033</v>
      </c>
      <c r="H634" s="12"/>
      <c r="I634" s="12"/>
      <c r="J634" s="12"/>
      <c r="K634" s="12">
        <f t="shared" si="184"/>
        <v>52033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7"/>
        <v>0</v>
      </c>
      <c r="AF634" s="12"/>
      <c r="AG634" s="12"/>
      <c r="AH634" s="12"/>
      <c r="AI634" s="12">
        <f t="shared" si="18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11" t="s">
        <v>27</v>
      </c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7"/>
        <v>0</v>
      </c>
      <c r="AF635" s="12"/>
      <c r="AG635" s="12"/>
      <c r="AH635" s="12"/>
      <c r="AI635" s="12">
        <f t="shared" si="18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87"/>
        <v>0</v>
      </c>
      <c r="AF636" s="12"/>
      <c r="AG636" s="12"/>
      <c r="AH636" s="12"/>
      <c r="AI636" s="12">
        <f t="shared" si="18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91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O637" s="31"/>
      <c r="P637" s="46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B637" s="46"/>
      <c r="AC637" s="31"/>
      <c r="AD637" s="31"/>
      <c r="AE637" s="32">
        <f t="shared" si="187"/>
        <v>0</v>
      </c>
      <c r="AF637" s="10"/>
      <c r="AG637" s="10"/>
      <c r="AH637" s="10"/>
      <c r="AI637" s="12">
        <f t="shared" si="18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91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45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B638" s="45"/>
      <c r="AC638" s="31"/>
      <c r="AD638" s="31"/>
      <c r="AE638" s="32">
        <f t="shared" si="187"/>
        <v>0</v>
      </c>
      <c r="AF638" s="10"/>
      <c r="AG638" s="10"/>
      <c r="AH638" s="10"/>
      <c r="AI638" s="12">
        <f t="shared" si="18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57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E639" s="32">
        <f t="shared" si="187"/>
        <v>0</v>
      </c>
      <c r="AF639" s="10"/>
      <c r="AG639" s="10"/>
      <c r="AH639" s="10"/>
      <c r="AI639" s="12">
        <f t="shared" si="18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O640" s="31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7"/>
        <v>0</v>
      </c>
      <c r="AF640" s="10"/>
      <c r="AG640" s="10"/>
      <c r="AH640" s="10"/>
      <c r="AI640" s="12">
        <f t="shared" si="18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11"/>
      <c r="AB641" s="47"/>
      <c r="AC641" s="31"/>
      <c r="AD641" s="31"/>
      <c r="AE641" s="32">
        <f t="shared" si="187"/>
        <v>0</v>
      </c>
      <c r="AF641" s="10"/>
      <c r="AG641" s="10"/>
      <c r="AH641" s="10"/>
      <c r="AI641" s="12">
        <f t="shared" si="18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11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B642" s="47"/>
      <c r="AC642" s="31"/>
      <c r="AD642" s="31"/>
      <c r="AE642" s="32">
        <f t="shared" si="187"/>
        <v>0</v>
      </c>
      <c r="AF642" s="10"/>
      <c r="AG642" s="10"/>
      <c r="AH642" s="10"/>
      <c r="AI642" s="12">
        <f t="shared" si="18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57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7"/>
        <v>0</v>
      </c>
      <c r="AF643" s="10"/>
      <c r="AG643" s="10"/>
      <c r="AH643" s="10"/>
      <c r="AI643" s="12">
        <f t="shared" si="18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7"/>
        <v>0</v>
      </c>
      <c r="AF644" s="10"/>
      <c r="AG644" s="10"/>
      <c r="AH644" s="10"/>
      <c r="AI644" s="12">
        <f t="shared" si="18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31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7"/>
        <v>0</v>
      </c>
      <c r="AF645" s="10"/>
      <c r="AG645" s="10"/>
      <c r="AH645" s="10"/>
      <c r="AI645" s="12">
        <f t="shared" si="18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57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B646" s="47"/>
      <c r="AC646" s="31"/>
      <c r="AD646" s="31"/>
      <c r="AE646" s="32">
        <f t="shared" si="187"/>
        <v>0</v>
      </c>
      <c r="AF646" s="10"/>
      <c r="AG646" s="10"/>
      <c r="AH646" s="10"/>
      <c r="AI646" s="12">
        <f t="shared" si="18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57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B647" s="47"/>
      <c r="AC647" s="31"/>
      <c r="AD647" s="31"/>
      <c r="AE647" s="32">
        <f t="shared" si="187"/>
        <v>0</v>
      </c>
      <c r="AF647" s="10"/>
      <c r="AG647" s="10"/>
      <c r="AH647" s="10"/>
      <c r="AI647" s="12">
        <f t="shared" si="18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31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7"/>
        <v>0</v>
      </c>
      <c r="AF648" s="10"/>
      <c r="AG648" s="10"/>
      <c r="AH648" s="10"/>
      <c r="AI648" s="12">
        <f t="shared" si="18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57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7"/>
        <v>0</v>
      </c>
      <c r="AF649" s="10"/>
      <c r="AG649" s="10"/>
      <c r="AH649" s="10"/>
      <c r="AI649" s="12">
        <f t="shared" si="18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57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55" si="192">SUM(P650:Q650)</f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B650" s="47"/>
      <c r="AC650" s="31"/>
      <c r="AD650" s="31"/>
      <c r="AE650" s="32">
        <f t="shared" si="187"/>
        <v>0</v>
      </c>
      <c r="AF650" s="10"/>
      <c r="AG650" s="10"/>
      <c r="AH650" s="10"/>
      <c r="AI650" s="12">
        <f t="shared" ref="AI650:AI658" si="193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92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7"/>
        <v>0</v>
      </c>
      <c r="AF651" s="10"/>
      <c r="AG651" s="10"/>
      <c r="AH651" s="10"/>
      <c r="AI651" s="12">
        <f t="shared" si="193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92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7"/>
        <v>0</v>
      </c>
      <c r="AF652" s="10"/>
      <c r="AG652" s="10"/>
      <c r="AH652" s="10"/>
      <c r="AI652" s="12">
        <f t="shared" si="193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92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7"/>
        <v>0</v>
      </c>
      <c r="AF653" s="10"/>
      <c r="AG653" s="10"/>
      <c r="AH653" s="10"/>
      <c r="AI653" s="12">
        <f t="shared" si="193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92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7"/>
        <v>0</v>
      </c>
      <c r="AF654" s="10"/>
      <c r="AG654" s="10"/>
      <c r="AH654" s="10"/>
      <c r="AI654" s="12">
        <f t="shared" si="193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92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7"/>
        <v>0</v>
      </c>
      <c r="AF655" s="10"/>
      <c r="AG655" s="10"/>
      <c r="AH655" s="10"/>
      <c r="AI655" s="12">
        <f t="shared" si="193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3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3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3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326400.5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326400.5</v>
      </c>
      <c r="H660" s="4"/>
      <c r="I660" s="39">
        <f>SUM(I617:I659)</f>
        <v>711</v>
      </c>
      <c r="J660" s="39">
        <f>SUM(J617:J659)</f>
        <v>0</v>
      </c>
      <c r="K660" s="40">
        <f>SUM(K617:K659)</f>
        <v>327111.5</v>
      </c>
      <c r="N660" s="57"/>
      <c r="O660" s="57"/>
      <c r="P660" s="38">
        <f>SUM(P617:P659)</f>
        <v>650653</v>
      </c>
      <c r="Q660" s="38">
        <f>SUM(Q617:Q641)</f>
        <v>-5088</v>
      </c>
      <c r="R660" s="38">
        <f>SUM(R617:R641)</f>
        <v>0</v>
      </c>
      <c r="S660" s="38">
        <f>SUM(S617:S659)</f>
        <v>645565</v>
      </c>
      <c r="T660" s="4"/>
      <c r="U660" s="41">
        <f>SUM(U617:U659)</f>
        <v>4284</v>
      </c>
      <c r="V660" s="41">
        <f>SUM(V617:V641)</f>
        <v>-609</v>
      </c>
      <c r="W660" s="42">
        <f>SUM(W617:W659)</f>
        <v>649240</v>
      </c>
      <c r="Z660" s="57"/>
      <c r="AA660" s="57"/>
      <c r="AB660" s="38">
        <f>SUM(AB617:AB659)</f>
        <v>225724</v>
      </c>
      <c r="AC660" s="38">
        <f>SUM(AC617:AC641)</f>
        <v>-1524</v>
      </c>
      <c r="AD660" s="38">
        <f>SUM(AD617:AD641)</f>
        <v>0</v>
      </c>
      <c r="AE660" s="38">
        <f>SUM(AE617:AE659)</f>
        <v>224200</v>
      </c>
      <c r="AF660" s="4"/>
      <c r="AG660" s="41">
        <f>SUM(AG617:AG659)</f>
        <v>5749.5</v>
      </c>
      <c r="AH660" s="41">
        <f>SUM(AH617:AH641)</f>
        <v>-5550</v>
      </c>
      <c r="AI660" s="42">
        <f>SUM(AI617:AI659)</f>
        <v>224399.5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69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69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37</v>
      </c>
      <c r="W668" s="24"/>
      <c r="Y668" s="21" t="s">
        <v>69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6" t="s">
        <v>17</v>
      </c>
      <c r="E670" s="126"/>
      <c r="F670" s="106"/>
      <c r="G670" s="27"/>
      <c r="I670" s="124" t="s">
        <v>18</v>
      </c>
      <c r="J670" s="125"/>
      <c r="K670" s="122" t="s">
        <v>19</v>
      </c>
      <c r="N670" s="25"/>
      <c r="O670" s="26"/>
      <c r="P670" s="126" t="s">
        <v>17</v>
      </c>
      <c r="Q670" s="126"/>
      <c r="R670" s="106"/>
      <c r="S670" s="27"/>
      <c r="U670" s="124" t="s">
        <v>18</v>
      </c>
      <c r="V670" s="125"/>
      <c r="W670" s="122" t="s">
        <v>19</v>
      </c>
      <c r="Z670" s="25"/>
      <c r="AA670" s="26"/>
      <c r="AB670" s="126" t="s">
        <v>17</v>
      </c>
      <c r="AC670" s="126"/>
      <c r="AD670" s="106"/>
      <c r="AE670" s="27"/>
      <c r="AG670" s="124" t="s">
        <v>18</v>
      </c>
      <c r="AH670" s="125"/>
      <c r="AI670" s="122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23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23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23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70</v>
      </c>
      <c r="C672" s="91">
        <v>7952</v>
      </c>
      <c r="D672" s="32">
        <f>31300+1228+5960</f>
        <v>38488</v>
      </c>
      <c r="E672" s="32"/>
      <c r="F672" s="32"/>
      <c r="G672" s="32">
        <f t="shared" ref="G672:G705" si="199">SUM(D672:E672)</f>
        <v>38488</v>
      </c>
      <c r="H672" s="12"/>
      <c r="I672" s="12">
        <v>216</v>
      </c>
      <c r="J672" s="12"/>
      <c r="K672" s="12">
        <f t="shared" ref="K672:K705" si="200">SUM(G672:J672)</f>
        <v>38704</v>
      </c>
      <c r="M672" s="10">
        <v>1</v>
      </c>
      <c r="N672" s="30" t="s">
        <v>70</v>
      </c>
      <c r="O672" s="31">
        <v>7926</v>
      </c>
      <c r="P672" s="32">
        <f>1252+614+47.5</f>
        <v>1913.5</v>
      </c>
      <c r="Q672" s="32"/>
      <c r="R672" s="32"/>
      <c r="S672" s="32">
        <f>SUM(P672:Q672)</f>
        <v>1913.5</v>
      </c>
      <c r="T672" s="12"/>
      <c r="U672" s="12"/>
      <c r="V672" s="12"/>
      <c r="W672" s="12">
        <f>SUM(S672:V672)</f>
        <v>1913.5</v>
      </c>
      <c r="Y672" s="10">
        <v>1</v>
      </c>
      <c r="Z672" s="30" t="s">
        <v>70</v>
      </c>
      <c r="AA672" s="31">
        <v>7768</v>
      </c>
      <c r="AB672" s="32">
        <f>626*324+913*2+108*596+229*6</f>
        <v>270392</v>
      </c>
      <c r="AC672" s="32">
        <v>-2604</v>
      </c>
      <c r="AD672" s="32"/>
      <c r="AE672" s="32">
        <f>SUM(AB672:AC672)</f>
        <v>267788</v>
      </c>
      <c r="AF672" s="12"/>
      <c r="AG672" s="12">
        <f>140*111</f>
        <v>15540</v>
      </c>
      <c r="AH672" s="12"/>
      <c r="AI672" s="12">
        <f>SUM(AE672:AH672)</f>
        <v>283328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70</v>
      </c>
      <c r="C673" s="91">
        <f>C672+1</f>
        <v>7953</v>
      </c>
      <c r="D673" s="32">
        <f>2504+614+38</f>
        <v>3156</v>
      </c>
      <c r="E673" s="32"/>
      <c r="F673" s="32"/>
      <c r="G673" s="32">
        <f t="shared" si="199"/>
        <v>3156</v>
      </c>
      <c r="H673" s="12"/>
      <c r="I673" s="12">
        <v>72</v>
      </c>
      <c r="J673" s="12"/>
      <c r="K673" s="12">
        <f t="shared" si="200"/>
        <v>3228</v>
      </c>
      <c r="M673" s="10">
        <v>2</v>
      </c>
      <c r="N673" s="30" t="s">
        <v>70</v>
      </c>
      <c r="O673" s="31">
        <f>O672+1</f>
        <v>7927</v>
      </c>
      <c r="P673" s="32">
        <v>6260</v>
      </c>
      <c r="Q673" s="32"/>
      <c r="R673" s="32"/>
      <c r="S673" s="32">
        <f t="shared" ref="S673:S704" si="201">SUM(P673:Q673)</f>
        <v>6260</v>
      </c>
      <c r="T673" s="12"/>
      <c r="U673" s="12"/>
      <c r="V673" s="12">
        <f>-111+-84</f>
        <v>-195</v>
      </c>
      <c r="W673" s="12">
        <f t="shared" ref="W673:W713" si="202">SUM(S673:V673)</f>
        <v>6065</v>
      </c>
      <c r="Y673" s="10">
        <v>2</v>
      </c>
      <c r="Z673" s="30" t="s">
        <v>70</v>
      </c>
      <c r="AA673" s="31">
        <f>AA672+1</f>
        <v>7769</v>
      </c>
      <c r="AB673" s="32">
        <f>626*100+5*229</f>
        <v>63745</v>
      </c>
      <c r="AC673" s="32">
        <v>-600</v>
      </c>
      <c r="AD673" s="32"/>
      <c r="AE673" s="32">
        <f t="shared" ref="AE673:AE710" si="203">SUM(AB673:AC673)</f>
        <v>63145</v>
      </c>
      <c r="AF673" s="12"/>
      <c r="AG673" s="12"/>
      <c r="AH673" s="12">
        <f>-91*111+-5*78</f>
        <v>-10491</v>
      </c>
      <c r="AI673" s="12">
        <f t="shared" ref="AI673:AI704" si="204">SUM(AE673:AH673)</f>
        <v>52654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70</v>
      </c>
      <c r="C674" s="91">
        <f t="shared" ref="C674" si="205">C673+1</f>
        <v>7954</v>
      </c>
      <c r="D674" s="33">
        <f>405022+6183</f>
        <v>411205</v>
      </c>
      <c r="E674" s="33">
        <v>-3882</v>
      </c>
      <c r="F674" s="33"/>
      <c r="G674" s="33">
        <f t="shared" si="199"/>
        <v>407323</v>
      </c>
      <c r="H674" s="34"/>
      <c r="I674" s="34">
        <v>1950</v>
      </c>
      <c r="J674" s="34">
        <f>-11*120+-224*111+-28*111+-84*3</f>
        <v>-29544</v>
      </c>
      <c r="K674" s="34">
        <f t="shared" si="200"/>
        <v>379729</v>
      </c>
      <c r="M674" s="10">
        <v>3</v>
      </c>
      <c r="N674" s="30" t="s">
        <v>70</v>
      </c>
      <c r="O674" s="31">
        <f t="shared" ref="O674:O675" si="206">O673+1</f>
        <v>7928</v>
      </c>
      <c r="P674" s="32">
        <f>6260</f>
        <v>6260</v>
      </c>
      <c r="Q674" s="32"/>
      <c r="R674" s="32"/>
      <c r="S674" s="32">
        <f t="shared" si="201"/>
        <v>6260</v>
      </c>
      <c r="T674" s="12"/>
      <c r="U674" s="12">
        <v>58.5</v>
      </c>
      <c r="V674" s="12"/>
      <c r="W674" s="12">
        <f t="shared" si="202"/>
        <v>6318.5</v>
      </c>
      <c r="Y674" s="10">
        <v>3</v>
      </c>
      <c r="Z674" s="30" t="s">
        <v>70</v>
      </c>
      <c r="AA674" s="31">
        <f t="shared" ref="AA674" si="207">AA673+1</f>
        <v>7770</v>
      </c>
      <c r="AB674" s="33">
        <f>626*27+596*9+832</f>
        <v>23098</v>
      </c>
      <c r="AC674" s="33"/>
      <c r="AD674" s="32"/>
      <c r="AE674" s="32">
        <f t="shared" si="203"/>
        <v>23098</v>
      </c>
      <c r="AF674" s="12"/>
      <c r="AG674" s="12"/>
      <c r="AH674" s="12">
        <f>-111*22</f>
        <v>-2442</v>
      </c>
      <c r="AI674" s="12">
        <f t="shared" si="204"/>
        <v>20656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/>
      <c r="C675" s="11" t="s">
        <v>27</v>
      </c>
      <c r="D675" s="32"/>
      <c r="E675" s="32"/>
      <c r="F675" s="32"/>
      <c r="G675" s="32">
        <f t="shared" si="199"/>
        <v>0</v>
      </c>
      <c r="H675" s="12"/>
      <c r="I675" s="12"/>
      <c r="J675" s="12"/>
      <c r="K675" s="12">
        <f t="shared" si="200"/>
        <v>0</v>
      </c>
      <c r="M675" s="10">
        <v>4</v>
      </c>
      <c r="N675" s="30" t="s">
        <v>70</v>
      </c>
      <c r="O675" s="31">
        <f t="shared" si="206"/>
        <v>7929</v>
      </c>
      <c r="P675" s="32">
        <f>25040</f>
        <v>25040</v>
      </c>
      <c r="Q675" s="32"/>
      <c r="R675" s="32"/>
      <c r="S675" s="32">
        <f t="shared" si="201"/>
        <v>25040</v>
      </c>
      <c r="T675" s="12"/>
      <c r="U675" s="12">
        <v>40.5</v>
      </c>
      <c r="V675" s="12"/>
      <c r="W675" s="12">
        <f t="shared" si="202"/>
        <v>25080.5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203"/>
        <v>0</v>
      </c>
      <c r="AF675" s="12"/>
      <c r="AH675" s="12"/>
      <c r="AI675" s="12">
        <f t="shared" si="204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91"/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 t="s">
        <v>70</v>
      </c>
      <c r="O676" s="31">
        <v>7931</v>
      </c>
      <c r="P676" s="32">
        <f>338040+6140+64368+5038</f>
        <v>413586</v>
      </c>
      <c r="Q676" s="32">
        <v>-3948</v>
      </c>
      <c r="R676" s="32"/>
      <c r="S676" s="32">
        <f t="shared" si="201"/>
        <v>409638</v>
      </c>
      <c r="T676" s="12"/>
      <c r="U676" s="12">
        <f>48951+1404</f>
        <v>50355</v>
      </c>
      <c r="V676" s="12">
        <f>-756+-1260</f>
        <v>-2016</v>
      </c>
      <c r="W676" s="12">
        <f t="shared" si="202"/>
        <v>457977</v>
      </c>
      <c r="Y676" s="10">
        <v>5</v>
      </c>
      <c r="Z676" s="30"/>
      <c r="AA676" s="31"/>
      <c r="AB676" s="32"/>
      <c r="AC676" s="32"/>
      <c r="AD676" s="32"/>
      <c r="AE676" s="32">
        <f t="shared" si="203"/>
        <v>0</v>
      </c>
      <c r="AF676" s="12"/>
      <c r="AG676" s="12"/>
      <c r="AH676" s="12"/>
      <c r="AI676" s="12">
        <f t="shared" si="204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91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si="203"/>
        <v>0</v>
      </c>
      <c r="AF677" s="12"/>
      <c r="AG677" s="12"/>
      <c r="AH677" s="10"/>
      <c r="AI677" s="12">
        <f t="shared" si="204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91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B678" s="32"/>
      <c r="AC678" s="32"/>
      <c r="AD678" s="32"/>
      <c r="AE678" s="32">
        <f t="shared" si="203"/>
        <v>0</v>
      </c>
      <c r="AF678" s="12"/>
      <c r="AG678" s="58"/>
      <c r="AH678" s="12"/>
      <c r="AI678" s="12">
        <f t="shared" si="204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91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3"/>
        <v>0</v>
      </c>
      <c r="AF679" s="12"/>
      <c r="AG679" s="12"/>
      <c r="AH679" s="12"/>
      <c r="AI679" s="12">
        <f t="shared" si="204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91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3"/>
        <v>0</v>
      </c>
      <c r="AF680" s="12"/>
      <c r="AH680" s="12"/>
      <c r="AI680" s="12">
        <f t="shared" si="204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91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3"/>
        <v>0</v>
      </c>
      <c r="AF681" s="12"/>
      <c r="AG681" s="12"/>
      <c r="AH681" s="12"/>
      <c r="AI681" s="12">
        <f t="shared" si="204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91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O682" s="31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03"/>
        <v>0</v>
      </c>
      <c r="AF682" s="12"/>
      <c r="AG682" s="12"/>
      <c r="AH682" s="12"/>
      <c r="AI682" s="12">
        <f t="shared" si="204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91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3"/>
        <v>0</v>
      </c>
      <c r="AF683" s="12"/>
      <c r="AG683" s="12"/>
      <c r="AH683" s="12"/>
      <c r="AI683" s="12">
        <f t="shared" si="204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91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3"/>
        <v>0</v>
      </c>
      <c r="AF684" s="12"/>
      <c r="AG684" s="12"/>
      <c r="AH684" s="12"/>
      <c r="AI684" s="12">
        <f t="shared" si="204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91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3"/>
        <v>0</v>
      </c>
      <c r="AF685" s="12"/>
      <c r="AG685" s="12"/>
      <c r="AH685" s="12"/>
      <c r="AI685" s="12">
        <f t="shared" si="204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91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03"/>
        <v>0</v>
      </c>
      <c r="AF686" s="12"/>
      <c r="AG686" s="12"/>
      <c r="AH686" s="12"/>
      <c r="AI686" s="12">
        <f t="shared" si="204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91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A687" s="31"/>
      <c r="AB687" s="32"/>
      <c r="AC687" s="32"/>
      <c r="AD687" s="32"/>
      <c r="AE687" s="32">
        <f t="shared" si="203"/>
        <v>0</v>
      </c>
      <c r="AF687" s="12"/>
      <c r="AG687" s="12"/>
      <c r="AH687" s="12"/>
      <c r="AI687" s="12">
        <f t="shared" si="204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91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3"/>
        <v>0</v>
      </c>
      <c r="AF688" s="12"/>
      <c r="AG688" s="12"/>
      <c r="AH688" s="12"/>
      <c r="AI688" s="12">
        <f t="shared" si="204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91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3"/>
        <v>0</v>
      </c>
      <c r="AF689" s="12"/>
      <c r="AG689" s="12"/>
      <c r="AH689" s="12"/>
      <c r="AI689" s="12">
        <f t="shared" si="204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3"/>
        <v>0</v>
      </c>
      <c r="AF690" s="12"/>
      <c r="AG690" s="12"/>
      <c r="AH690" s="12"/>
      <c r="AI690" s="12">
        <f t="shared" si="204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57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A691" s="31"/>
      <c r="AB691" s="32"/>
      <c r="AC691" s="32"/>
      <c r="AD691" s="32"/>
      <c r="AE691" s="32">
        <f t="shared" si="203"/>
        <v>0</v>
      </c>
      <c r="AF691" s="12"/>
      <c r="AG691" s="12"/>
      <c r="AH691" s="12"/>
      <c r="AI691" s="12">
        <f t="shared" si="204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91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O692" s="31"/>
      <c r="P692" s="46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3"/>
        <v>0</v>
      </c>
      <c r="AF692" s="10"/>
      <c r="AG692" s="10"/>
      <c r="AH692" s="10"/>
      <c r="AI692" s="12">
        <f t="shared" si="204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91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45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3"/>
        <v>0</v>
      </c>
      <c r="AF693" s="10"/>
      <c r="AG693" s="10"/>
      <c r="AH693" s="10"/>
      <c r="AI693" s="12">
        <f t="shared" si="204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57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E694" s="32">
        <f t="shared" si="203"/>
        <v>0</v>
      </c>
      <c r="AF694" s="10"/>
      <c r="AG694" s="10"/>
      <c r="AH694" s="10"/>
      <c r="AI694" s="12">
        <f t="shared" si="204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O695" s="31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3"/>
        <v>0</v>
      </c>
      <c r="AF695" s="10"/>
      <c r="AG695" s="10"/>
      <c r="AH695" s="10"/>
      <c r="AI695" s="12">
        <f t="shared" si="204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11"/>
      <c r="AB696" s="47"/>
      <c r="AC696" s="31"/>
      <c r="AD696" s="31"/>
      <c r="AE696" s="32">
        <f t="shared" si="203"/>
        <v>0</v>
      </c>
      <c r="AF696" s="10"/>
      <c r="AG696" s="10"/>
      <c r="AH696" s="10"/>
      <c r="AI696" s="12">
        <f t="shared" si="204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11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B697" s="47"/>
      <c r="AC697" s="31"/>
      <c r="AD697" s="31"/>
      <c r="AE697" s="32">
        <f t="shared" si="203"/>
        <v>0</v>
      </c>
      <c r="AF697" s="10"/>
      <c r="AG697" s="10"/>
      <c r="AH697" s="10"/>
      <c r="AI697" s="12">
        <f t="shared" si="204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57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3"/>
        <v>0</v>
      </c>
      <c r="AF698" s="10"/>
      <c r="AG698" s="10"/>
      <c r="AH698" s="10"/>
      <c r="AI698" s="12">
        <f t="shared" si="204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3"/>
        <v>0</v>
      </c>
      <c r="AF699" s="10"/>
      <c r="AG699" s="10"/>
      <c r="AH699" s="10"/>
      <c r="AI699" s="12">
        <f t="shared" si="204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31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3"/>
        <v>0</v>
      </c>
      <c r="AF700" s="10"/>
      <c r="AG700" s="10"/>
      <c r="AH700" s="10"/>
      <c r="AI700" s="12">
        <f t="shared" si="204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B701" s="47"/>
      <c r="AC701" s="31"/>
      <c r="AD701" s="31"/>
      <c r="AE701" s="32">
        <f t="shared" si="203"/>
        <v>0</v>
      </c>
      <c r="AF701" s="10"/>
      <c r="AG701" s="10"/>
      <c r="AH701" s="10"/>
      <c r="AI701" s="12">
        <f t="shared" si="204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57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B702" s="47"/>
      <c r="AC702" s="31"/>
      <c r="AD702" s="31"/>
      <c r="AE702" s="32">
        <f t="shared" si="203"/>
        <v>0</v>
      </c>
      <c r="AF702" s="10"/>
      <c r="AG702" s="10"/>
      <c r="AH702" s="10"/>
      <c r="AI702" s="12">
        <f t="shared" si="204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31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3"/>
        <v>0</v>
      </c>
      <c r="AF703" s="10"/>
      <c r="AG703" s="10"/>
      <c r="AH703" s="10"/>
      <c r="AI703" s="12">
        <f t="shared" si="204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57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3"/>
        <v>0</v>
      </c>
      <c r="AF704" s="10"/>
      <c r="AG704" s="10"/>
      <c r="AH704" s="10"/>
      <c r="AI704" s="12">
        <f t="shared" si="204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57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ref="S705:S710" si="208">SUM(P705:Q705)</f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B705" s="47"/>
      <c r="AC705" s="31"/>
      <c r="AD705" s="31"/>
      <c r="AE705" s="32">
        <f t="shared" si="203"/>
        <v>0</v>
      </c>
      <c r="AF705" s="10"/>
      <c r="AG705" s="10"/>
      <c r="AH705" s="10"/>
      <c r="AI705" s="12">
        <f t="shared" ref="AI705:AI713" si="209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8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3"/>
        <v>0</v>
      </c>
      <c r="AF706" s="10"/>
      <c r="AG706" s="10"/>
      <c r="AH706" s="10"/>
      <c r="AI706" s="12">
        <f t="shared" si="209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8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3"/>
        <v>0</v>
      </c>
      <c r="AF707" s="10"/>
      <c r="AG707" s="10"/>
      <c r="AH707" s="10"/>
      <c r="AI707" s="12">
        <f t="shared" si="209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8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3"/>
        <v>0</v>
      </c>
      <c r="AF708" s="10"/>
      <c r="AG708" s="10"/>
      <c r="AH708" s="10"/>
      <c r="AI708" s="12">
        <f t="shared" si="209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8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3"/>
        <v>0</v>
      </c>
      <c r="AF709" s="10"/>
      <c r="AG709" s="10"/>
      <c r="AH709" s="10"/>
      <c r="AI709" s="12">
        <f t="shared" si="209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8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3"/>
        <v>0</v>
      </c>
      <c r="AF710" s="10"/>
      <c r="AG710" s="10"/>
      <c r="AH710" s="10"/>
      <c r="AI710" s="12">
        <f t="shared" si="209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9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9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9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452849</v>
      </c>
      <c r="E715" s="38">
        <f t="shared" ref="E715:F715" si="214">SUM(E672:E712)</f>
        <v>-3882</v>
      </c>
      <c r="F715" s="38">
        <f t="shared" si="214"/>
        <v>0</v>
      </c>
      <c r="G715" s="38">
        <f>SUM(G672:G714)</f>
        <v>448967</v>
      </c>
      <c r="H715" s="4"/>
      <c r="I715" s="39">
        <f>SUM(I672:I714)</f>
        <v>2238</v>
      </c>
      <c r="J715" s="39">
        <f>SUM(J672:J714)</f>
        <v>-29544</v>
      </c>
      <c r="K715" s="40">
        <f>SUM(K672:K714)</f>
        <v>421661</v>
      </c>
      <c r="N715" s="57"/>
      <c r="O715" s="57"/>
      <c r="P715" s="38">
        <f>SUM(P672:P714)</f>
        <v>453059.5</v>
      </c>
      <c r="Q715" s="38">
        <f>SUM(Q672:Q696)</f>
        <v>-3948</v>
      </c>
      <c r="R715" s="38">
        <f>SUM(R672:R696)</f>
        <v>0</v>
      </c>
      <c r="S715" s="38">
        <f>SUM(S672:S714)</f>
        <v>449111.5</v>
      </c>
      <c r="T715" s="4"/>
      <c r="U715" s="41">
        <f>SUM(U672:U714)</f>
        <v>50454</v>
      </c>
      <c r="V715" s="41">
        <f>SUM(V672:V696)</f>
        <v>-2211</v>
      </c>
      <c r="W715" s="42">
        <f>SUM(W672:W714)</f>
        <v>497354.5</v>
      </c>
      <c r="Z715" s="57"/>
      <c r="AA715" s="57"/>
      <c r="AB715" s="38">
        <f>SUM(AB672:AB714)</f>
        <v>357235</v>
      </c>
      <c r="AC715" s="38">
        <f>SUM(AC672:AC696)</f>
        <v>-3204</v>
      </c>
      <c r="AD715" s="38">
        <f>SUM(AD672:AD696)</f>
        <v>0</v>
      </c>
      <c r="AE715" s="38">
        <f>SUM(AE672:AE714)</f>
        <v>354031</v>
      </c>
      <c r="AF715" s="4"/>
      <c r="AG715" s="41">
        <f>SUM(AG672:AG714)</f>
        <v>15540</v>
      </c>
      <c r="AH715" s="41">
        <f>SUM(AH672:AH696)</f>
        <v>-12933</v>
      </c>
      <c r="AI715" s="42">
        <f>SUM(AI672:AI714)</f>
        <v>356638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72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72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37</v>
      </c>
      <c r="W723" s="24"/>
      <c r="Y723" s="21" t="s">
        <v>72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6" t="s">
        <v>17</v>
      </c>
      <c r="E725" s="126"/>
      <c r="F725" s="107"/>
      <c r="G725" s="27"/>
      <c r="I725" s="124" t="s">
        <v>18</v>
      </c>
      <c r="J725" s="125"/>
      <c r="K725" s="122" t="s">
        <v>19</v>
      </c>
      <c r="N725" s="25"/>
      <c r="O725" s="26"/>
      <c r="P725" s="126" t="s">
        <v>17</v>
      </c>
      <c r="Q725" s="126"/>
      <c r="R725" s="108"/>
      <c r="S725" s="27"/>
      <c r="U725" s="124" t="s">
        <v>18</v>
      </c>
      <c r="V725" s="125"/>
      <c r="W725" s="122" t="s">
        <v>19</v>
      </c>
      <c r="Z725" s="25"/>
      <c r="AA725" s="26"/>
      <c r="AB725" s="126" t="s">
        <v>17</v>
      </c>
      <c r="AC725" s="126"/>
      <c r="AD725" s="108"/>
      <c r="AE725" s="27"/>
      <c r="AG725" s="124" t="s">
        <v>18</v>
      </c>
      <c r="AH725" s="125"/>
      <c r="AI725" s="122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23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23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23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73</v>
      </c>
      <c r="C727" s="91">
        <v>7955</v>
      </c>
      <c r="D727" s="32">
        <f>9390+5960+229</f>
        <v>15579</v>
      </c>
      <c r="E727" s="32"/>
      <c r="F727" s="32"/>
      <c r="G727" s="32">
        <f t="shared" ref="G727:G760" si="215">SUM(D727:E727)</f>
        <v>15579</v>
      </c>
      <c r="H727" s="12"/>
      <c r="I727" s="12"/>
      <c r="J727" s="12"/>
      <c r="K727" s="12">
        <f t="shared" ref="K727:K760" si="216">SUM(G727:J727)</f>
        <v>15579</v>
      </c>
      <c r="M727" s="10">
        <v>1</v>
      </c>
      <c r="N727" s="30" t="s">
        <v>73</v>
      </c>
      <c r="O727" s="31">
        <v>7932</v>
      </c>
      <c r="P727" s="32">
        <f>3130+1192+66.5</f>
        <v>4388.5</v>
      </c>
      <c r="Q727" s="32"/>
      <c r="R727" s="32"/>
      <c r="S727" s="32">
        <f>SUM(P727:Q727)</f>
        <v>4388.5</v>
      </c>
      <c r="T727" s="12"/>
      <c r="U727" s="12"/>
      <c r="V727" s="12"/>
      <c r="W727" s="12">
        <f>SUM(S727:V727)</f>
        <v>4388.5</v>
      </c>
      <c r="Y727" s="10">
        <v>1</v>
      </c>
      <c r="Z727" s="30" t="s">
        <v>73</v>
      </c>
      <c r="AA727" s="31">
        <v>7771</v>
      </c>
      <c r="AB727" s="32">
        <f>626*360+596*80+852*2+1005*10+832*20+229*19</f>
        <v>305785</v>
      </c>
      <c r="AC727" s="32">
        <v>-2946</v>
      </c>
      <c r="AD727" s="32"/>
      <c r="AE727" s="32">
        <f>SUM(AB727:AC727)</f>
        <v>302839</v>
      </c>
      <c r="AF727" s="12"/>
      <c r="AG727" s="12">
        <f>2331+108</f>
        <v>2439</v>
      </c>
      <c r="AH727" s="12"/>
      <c r="AI727" s="12">
        <f>SUM(AE727:AH727)</f>
        <v>305278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73</v>
      </c>
      <c r="C728" s="91">
        <f>C727+1</f>
        <v>7956</v>
      </c>
      <c r="D728" s="32">
        <f>1878+596+38</f>
        <v>2512</v>
      </c>
      <c r="E728" s="32"/>
      <c r="F728" s="32"/>
      <c r="G728" s="32">
        <f t="shared" si="215"/>
        <v>2512</v>
      </c>
      <c r="H728" s="12"/>
      <c r="I728" s="12">
        <v>6</v>
      </c>
      <c r="J728" s="12"/>
      <c r="K728" s="12">
        <f t="shared" si="216"/>
        <v>2518</v>
      </c>
      <c r="M728" s="10">
        <v>2</v>
      </c>
      <c r="N728" s="30" t="s">
        <v>73</v>
      </c>
      <c r="O728" s="31">
        <f>O727+1</f>
        <v>7933</v>
      </c>
      <c r="P728" s="32">
        <f>62600+5364+458</f>
        <v>68422</v>
      </c>
      <c r="Q728" s="32">
        <v>-654</v>
      </c>
      <c r="R728" s="32"/>
      <c r="S728" s="32">
        <f t="shared" ref="S728:S759" si="217">SUM(P728:Q728)</f>
        <v>67768</v>
      </c>
      <c r="T728" s="12"/>
      <c r="U728" s="12"/>
      <c r="V728" s="12"/>
      <c r="W728" s="12">
        <f t="shared" ref="W728:W768" si="218">SUM(S728:V728)</f>
        <v>67768</v>
      </c>
      <c r="Y728" s="10">
        <v>2</v>
      </c>
      <c r="Z728" s="30" t="s">
        <v>73</v>
      </c>
      <c r="AA728" s="31">
        <f>AA727+1</f>
        <v>7772</v>
      </c>
      <c r="AB728" s="32">
        <f>626*61+229*5</f>
        <v>39331</v>
      </c>
      <c r="AC728" s="32"/>
      <c r="AD728" s="32"/>
      <c r="AE728" s="32">
        <f t="shared" ref="AE728:AE765" si="219">SUM(AB728:AC728)</f>
        <v>39331</v>
      </c>
      <c r="AF728" s="12"/>
      <c r="AG728" s="12"/>
      <c r="AH728" s="12"/>
      <c r="AI728" s="12">
        <f t="shared" ref="AI728:AI759" si="220">SUM(AE728:AH728)</f>
        <v>39331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73</v>
      </c>
      <c r="C729" s="91">
        <f t="shared" ref="C729:C743" si="221">C728+1</f>
        <v>7957</v>
      </c>
      <c r="D729" s="33">
        <f>10642+614+1192+180.5</f>
        <v>12628.5</v>
      </c>
      <c r="E729" s="33"/>
      <c r="F729" s="33"/>
      <c r="G729" s="33">
        <f t="shared" si="215"/>
        <v>12628.5</v>
      </c>
      <c r="H729" s="34"/>
      <c r="I729" s="34"/>
      <c r="J729" s="34"/>
      <c r="K729" s="34">
        <f t="shared" si="216"/>
        <v>12628.5</v>
      </c>
      <c r="M729" s="10">
        <v>3</v>
      </c>
      <c r="N729" s="30" t="s">
        <v>73</v>
      </c>
      <c r="O729" s="31">
        <f t="shared" ref="O729:O735" si="222">O728+1</f>
        <v>7934</v>
      </c>
      <c r="P729" s="32">
        <f>25040+674+5960</f>
        <v>31674</v>
      </c>
      <c r="Q729" s="32"/>
      <c r="R729" s="32"/>
      <c r="S729" s="32">
        <f t="shared" si="217"/>
        <v>31674</v>
      </c>
      <c r="T729" s="12"/>
      <c r="U729" s="12">
        <f>5106+13.5</f>
        <v>5119.5</v>
      </c>
      <c r="V729" s="12"/>
      <c r="W729" s="12">
        <f t="shared" si="218"/>
        <v>36793.5</v>
      </c>
      <c r="Y729" s="10">
        <v>3</v>
      </c>
      <c r="Z729" s="30" t="s">
        <v>73</v>
      </c>
      <c r="AA729" s="31">
        <f t="shared" ref="AA729" si="223">AA728+1</f>
        <v>7773</v>
      </c>
      <c r="AB729" s="33">
        <f>100160+3070+11920+1664+687</f>
        <v>117501</v>
      </c>
      <c r="AC729" s="33">
        <v>-1140</v>
      </c>
      <c r="AD729" s="32"/>
      <c r="AE729" s="32">
        <f t="shared" si="219"/>
        <v>116361</v>
      </c>
      <c r="AF729" s="12"/>
      <c r="AG729" s="12">
        <f>5661+36+54</f>
        <v>5751</v>
      </c>
      <c r="AH729" s="12">
        <f>-240</f>
        <v>-240</v>
      </c>
      <c r="AI729" s="12">
        <f t="shared" si="220"/>
        <v>121872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73</v>
      </c>
      <c r="C730" s="91">
        <f t="shared" si="221"/>
        <v>7958</v>
      </c>
      <c r="D730" s="32">
        <f>7512+1228+1192+832</f>
        <v>10764</v>
      </c>
      <c r="E730" s="32"/>
      <c r="F730" s="32"/>
      <c r="G730" s="32">
        <f t="shared" si="215"/>
        <v>10764</v>
      </c>
      <c r="H730" s="12"/>
      <c r="I730" s="12"/>
      <c r="J730" s="12"/>
      <c r="K730" s="12">
        <f t="shared" si="216"/>
        <v>10764</v>
      </c>
      <c r="M730" s="10">
        <v>4</v>
      </c>
      <c r="N730" s="30" t="s">
        <v>73</v>
      </c>
      <c r="O730" s="31">
        <f t="shared" si="222"/>
        <v>7935</v>
      </c>
      <c r="P730" s="32">
        <f>6886+1788+133</f>
        <v>8807</v>
      </c>
      <c r="Q730" s="32"/>
      <c r="R730" s="32"/>
      <c r="S730" s="32">
        <f t="shared" si="217"/>
        <v>8807</v>
      </c>
      <c r="T730" s="12"/>
      <c r="U730" s="12">
        <f>81+18</f>
        <v>99</v>
      </c>
      <c r="V730" s="12"/>
      <c r="W730" s="12">
        <f t="shared" si="218"/>
        <v>8906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 t="shared" si="219"/>
        <v>0</v>
      </c>
      <c r="AF730" s="12"/>
      <c r="AH730" s="12"/>
      <c r="AI730" s="12">
        <f t="shared" si="220"/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73</v>
      </c>
      <c r="C731" s="91">
        <f t="shared" si="221"/>
        <v>7959</v>
      </c>
      <c r="D731" s="32">
        <f>1878+596+832+38</f>
        <v>3344</v>
      </c>
      <c r="E731" s="32"/>
      <c r="F731" s="32"/>
      <c r="G731" s="32">
        <f t="shared" si="215"/>
        <v>3344</v>
      </c>
      <c r="H731" s="12"/>
      <c r="I731" s="12"/>
      <c r="J731" s="12"/>
      <c r="K731" s="12">
        <f t="shared" si="216"/>
        <v>3344</v>
      </c>
      <c r="M731" s="10">
        <v>5</v>
      </c>
      <c r="N731" s="30" t="s">
        <v>73</v>
      </c>
      <c r="O731" s="31">
        <f t="shared" si="222"/>
        <v>7936</v>
      </c>
      <c r="P731" s="32">
        <f>3756+57</f>
        <v>3813</v>
      </c>
      <c r="Q731" s="32"/>
      <c r="R731" s="32"/>
      <c r="S731" s="32">
        <f t="shared" si="217"/>
        <v>3813</v>
      </c>
      <c r="T731" s="12"/>
      <c r="U731" s="12"/>
      <c r="V731" s="12"/>
      <c r="W731" s="12">
        <f t="shared" si="218"/>
        <v>3813</v>
      </c>
      <c r="Y731" s="10">
        <v>5</v>
      </c>
      <c r="Z731" s="30"/>
      <c r="AA731" s="31"/>
      <c r="AB731" s="32"/>
      <c r="AC731" s="32"/>
      <c r="AD731" s="32"/>
      <c r="AE731" s="32">
        <f t="shared" si="219"/>
        <v>0</v>
      </c>
      <c r="AF731" s="12"/>
      <c r="AG731" s="12"/>
      <c r="AH731" s="12"/>
      <c r="AI731" s="12">
        <f t="shared" si="220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73</v>
      </c>
      <c r="C732" s="91">
        <f t="shared" si="221"/>
        <v>7960</v>
      </c>
      <c r="D732" s="32">
        <f>3130+47.5</f>
        <v>3177.5</v>
      </c>
      <c r="E732" s="32"/>
      <c r="F732" s="32"/>
      <c r="G732" s="32">
        <f t="shared" si="215"/>
        <v>3177.5</v>
      </c>
      <c r="H732" s="12"/>
      <c r="I732" s="12"/>
      <c r="J732" s="12"/>
      <c r="K732" s="12">
        <f t="shared" si="216"/>
        <v>3177.5</v>
      </c>
      <c r="M732" s="10">
        <v>6</v>
      </c>
      <c r="N732" s="30" t="s">
        <v>73</v>
      </c>
      <c r="O732" s="31">
        <f t="shared" si="222"/>
        <v>7937</v>
      </c>
      <c r="P732" s="32">
        <f>25040+1228+11920+832+229</f>
        <v>39249</v>
      </c>
      <c r="Q732" s="32"/>
      <c r="R732" s="32"/>
      <c r="S732" s="32">
        <f t="shared" si="217"/>
        <v>39249</v>
      </c>
      <c r="T732" s="12"/>
      <c r="U732" s="12">
        <f>4329+324+6.75</f>
        <v>4659.75</v>
      </c>
      <c r="V732" s="10"/>
      <c r="W732" s="12">
        <f t="shared" si="218"/>
        <v>43908.75</v>
      </c>
      <c r="Y732" s="10">
        <v>6</v>
      </c>
      <c r="Z732" s="30"/>
      <c r="AA732" s="31"/>
      <c r="AB732" s="32"/>
      <c r="AC732" s="32"/>
      <c r="AD732" s="32"/>
      <c r="AE732" s="32">
        <f t="shared" si="219"/>
        <v>0</v>
      </c>
      <c r="AF732" s="12"/>
      <c r="AG732" s="12"/>
      <c r="AH732" s="10"/>
      <c r="AI732" s="12">
        <f t="shared" si="220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73</v>
      </c>
      <c r="C733" s="91">
        <f t="shared" si="221"/>
        <v>7961</v>
      </c>
      <c r="D733" s="32">
        <f>626+614+1788+38</f>
        <v>3066</v>
      </c>
      <c r="E733" s="32"/>
      <c r="F733" s="32"/>
      <c r="G733" s="32">
        <f t="shared" si="215"/>
        <v>3066</v>
      </c>
      <c r="H733" s="12"/>
      <c r="I733" s="12">
        <v>13.5</v>
      </c>
      <c r="J733" s="12"/>
      <c r="K733" s="12">
        <f t="shared" si="216"/>
        <v>3079.5</v>
      </c>
      <c r="M733" s="10">
        <v>7</v>
      </c>
      <c r="N733" s="30" t="s">
        <v>73</v>
      </c>
      <c r="O733" s="31">
        <f t="shared" si="222"/>
        <v>7938</v>
      </c>
      <c r="P733" s="32">
        <f>112680+1175+11920+1704+1832+650</f>
        <v>129961</v>
      </c>
      <c r="Q733" s="32">
        <v>-1212</v>
      </c>
      <c r="R733" s="32"/>
      <c r="S733" s="32">
        <f t="shared" si="217"/>
        <v>128749</v>
      </c>
      <c r="T733" s="12"/>
      <c r="U733" s="12">
        <v>546</v>
      </c>
      <c r="V733" s="12">
        <f>-168+-210</f>
        <v>-378</v>
      </c>
      <c r="W733" s="12">
        <f t="shared" si="218"/>
        <v>128917</v>
      </c>
      <c r="Y733" s="10">
        <v>7</v>
      </c>
      <c r="Z733" s="30"/>
      <c r="AA733" s="31"/>
      <c r="AB733" s="32"/>
      <c r="AC733" s="32"/>
      <c r="AD733" s="32"/>
      <c r="AE733" s="32">
        <f t="shared" si="219"/>
        <v>0</v>
      </c>
      <c r="AF733" s="12"/>
      <c r="AG733" s="58"/>
      <c r="AH733" s="12"/>
      <c r="AI733" s="12">
        <f t="shared" si="220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73</v>
      </c>
      <c r="C734" s="91">
        <f t="shared" si="221"/>
        <v>7962</v>
      </c>
      <c r="D734" s="32">
        <f>40690+2980</f>
        <v>43670</v>
      </c>
      <c r="E734" s="32"/>
      <c r="F734" s="32"/>
      <c r="G734" s="32">
        <f t="shared" si="215"/>
        <v>43670</v>
      </c>
      <c r="H734" s="12"/>
      <c r="I734" s="12">
        <v>666</v>
      </c>
      <c r="J734" s="12"/>
      <c r="K734" s="12">
        <f t="shared" si="216"/>
        <v>44336</v>
      </c>
      <c r="M734" s="10">
        <v>8</v>
      </c>
      <c r="N734" s="30" t="s">
        <v>73</v>
      </c>
      <c r="O734" s="31">
        <f t="shared" si="222"/>
        <v>7939</v>
      </c>
      <c r="P734" s="32">
        <f>1252</f>
        <v>1252</v>
      </c>
      <c r="Q734" s="32"/>
      <c r="R734" s="32"/>
      <c r="S734" s="32">
        <f t="shared" si="217"/>
        <v>1252</v>
      </c>
      <c r="T734" s="12"/>
      <c r="U734" s="12"/>
      <c r="V734" s="12"/>
      <c r="W734" s="12">
        <f t="shared" si="218"/>
        <v>1252</v>
      </c>
      <c r="Y734" s="10">
        <v>8</v>
      </c>
      <c r="Z734" s="30"/>
      <c r="AA734" s="31"/>
      <c r="AB734" s="32"/>
      <c r="AC734" s="32"/>
      <c r="AE734" s="32">
        <f t="shared" si="219"/>
        <v>0</v>
      </c>
      <c r="AF734" s="12"/>
      <c r="AG734" s="12"/>
      <c r="AH734" s="12"/>
      <c r="AI734" s="12">
        <f t="shared" si="220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73</v>
      </c>
      <c r="C735" s="91">
        <f t="shared" si="221"/>
        <v>7963</v>
      </c>
      <c r="D735" s="32">
        <f>4382+66.5</f>
        <v>4448.5</v>
      </c>
      <c r="E735" s="32"/>
      <c r="F735" s="32"/>
      <c r="G735" s="32">
        <f t="shared" si="215"/>
        <v>4448.5</v>
      </c>
      <c r="H735" s="12"/>
      <c r="I735" s="12">
        <v>9</v>
      </c>
      <c r="J735" s="12"/>
      <c r="K735" s="12">
        <f t="shared" si="216"/>
        <v>4457.5</v>
      </c>
      <c r="M735" s="10">
        <v>9</v>
      </c>
      <c r="N735" s="30" t="s">
        <v>73</v>
      </c>
      <c r="O735" s="31">
        <f t="shared" si="222"/>
        <v>7940</v>
      </c>
      <c r="P735" s="32">
        <f>1175+1175+1175+650</f>
        <v>4175</v>
      </c>
      <c r="Q735" s="32"/>
      <c r="R735" s="32"/>
      <c r="S735" s="32">
        <f t="shared" si="217"/>
        <v>4175</v>
      </c>
      <c r="T735" s="12"/>
      <c r="U735" s="12"/>
      <c r="V735" s="12"/>
      <c r="W735" s="12">
        <f t="shared" si="218"/>
        <v>4175</v>
      </c>
      <c r="Y735" s="10">
        <v>9</v>
      </c>
      <c r="Z735" s="30"/>
      <c r="AA735" s="31"/>
      <c r="AC735" s="32"/>
      <c r="AD735" s="32"/>
      <c r="AE735" s="32">
        <f t="shared" si="219"/>
        <v>0</v>
      </c>
      <c r="AF735" s="12"/>
      <c r="AH735" s="12"/>
      <c r="AI735" s="12">
        <f t="shared" si="220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73</v>
      </c>
      <c r="C736" s="91">
        <f t="shared" si="221"/>
        <v>7964</v>
      </c>
      <c r="D736" s="32">
        <f>31300+229</f>
        <v>31529</v>
      </c>
      <c r="E736" s="32"/>
      <c r="F736" s="32"/>
      <c r="G736" s="32">
        <f t="shared" si="215"/>
        <v>31529</v>
      </c>
      <c r="H736" s="12"/>
      <c r="I736" s="12">
        <v>2220</v>
      </c>
      <c r="J736" s="12"/>
      <c r="K736" s="12">
        <f t="shared" si="216"/>
        <v>33749</v>
      </c>
      <c r="M736" s="10">
        <v>10</v>
      </c>
      <c r="N736" s="30"/>
      <c r="O736" s="11" t="s">
        <v>27</v>
      </c>
      <c r="P736" s="32"/>
      <c r="Q736" s="32"/>
      <c r="R736" s="32"/>
      <c r="S736" s="32">
        <f t="shared" si="217"/>
        <v>0</v>
      </c>
      <c r="T736" s="12"/>
      <c r="U736" s="12"/>
      <c r="V736" s="12"/>
      <c r="W736" s="12">
        <f t="shared" si="218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19"/>
        <v>0</v>
      </c>
      <c r="AF736" s="12"/>
      <c r="AG736" s="12"/>
      <c r="AH736" s="12"/>
      <c r="AI736" s="12">
        <f t="shared" si="220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73</v>
      </c>
      <c r="C737" s="91">
        <f t="shared" si="221"/>
        <v>7965</v>
      </c>
      <c r="D737" s="32">
        <f>3130+47.5</f>
        <v>3177.5</v>
      </c>
      <c r="E737" s="32"/>
      <c r="F737" s="32"/>
      <c r="G737" s="32">
        <f t="shared" si="215"/>
        <v>3177.5</v>
      </c>
      <c r="H737" s="12"/>
      <c r="I737" s="12"/>
      <c r="J737" s="12"/>
      <c r="K737" s="12">
        <f t="shared" si="216"/>
        <v>3177.5</v>
      </c>
      <c r="M737" s="10">
        <v>11</v>
      </c>
      <c r="N737" s="30"/>
      <c r="O737" s="31"/>
      <c r="P737" s="32"/>
      <c r="Q737" s="32"/>
      <c r="R737" s="32"/>
      <c r="S737" s="32">
        <f t="shared" si="217"/>
        <v>0</v>
      </c>
      <c r="T737" s="12"/>
      <c r="U737" s="12"/>
      <c r="V737" s="12"/>
      <c r="W737" s="12">
        <f t="shared" si="218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19"/>
        <v>0</v>
      </c>
      <c r="AF737" s="12"/>
      <c r="AG737" s="12"/>
      <c r="AH737" s="12"/>
      <c r="AI737" s="12">
        <f t="shared" si="220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73</v>
      </c>
      <c r="C738" s="91">
        <f t="shared" si="221"/>
        <v>7966</v>
      </c>
      <c r="D738" s="32">
        <f>2504+38</f>
        <v>2542</v>
      </c>
      <c r="E738" s="32"/>
      <c r="F738" s="32"/>
      <c r="G738" s="32">
        <f t="shared" si="215"/>
        <v>2542</v>
      </c>
      <c r="H738" s="12"/>
      <c r="I738" s="12"/>
      <c r="J738" s="10"/>
      <c r="K738" s="12">
        <f t="shared" si="216"/>
        <v>2542</v>
      </c>
      <c r="M738" s="10">
        <v>12</v>
      </c>
      <c r="N738" s="30"/>
      <c r="O738" s="31"/>
      <c r="P738" s="32"/>
      <c r="Q738" s="32"/>
      <c r="R738" s="32"/>
      <c r="S738" s="32">
        <f t="shared" si="217"/>
        <v>0</v>
      </c>
      <c r="T738" s="12"/>
      <c r="U738" s="12"/>
      <c r="V738" s="12"/>
      <c r="W738" s="12">
        <f t="shared" si="218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19"/>
        <v>0</v>
      </c>
      <c r="AF738" s="12"/>
      <c r="AG738" s="12"/>
      <c r="AH738" s="12"/>
      <c r="AI738" s="12">
        <f t="shared" si="220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73</v>
      </c>
      <c r="C739" s="91">
        <f t="shared" si="221"/>
        <v>7967</v>
      </c>
      <c r="D739" s="32">
        <f>5008+76+650</f>
        <v>5734</v>
      </c>
      <c r="E739" s="32"/>
      <c r="F739" s="32"/>
      <c r="G739" s="32">
        <f t="shared" si="215"/>
        <v>5734</v>
      </c>
      <c r="H739" s="12"/>
      <c r="I739" s="12"/>
      <c r="J739" s="12"/>
      <c r="K739" s="12">
        <f t="shared" si="216"/>
        <v>5734</v>
      </c>
      <c r="M739" s="10">
        <v>13</v>
      </c>
      <c r="N739" s="30"/>
      <c r="O739" s="31"/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19"/>
        <v>0</v>
      </c>
      <c r="AF739" s="12"/>
      <c r="AG739" s="12"/>
      <c r="AH739" s="12"/>
      <c r="AI739" s="12">
        <f t="shared" si="220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73</v>
      </c>
      <c r="C740" s="91">
        <f t="shared" si="221"/>
        <v>7968</v>
      </c>
      <c r="D740" s="32">
        <f>14398+2384+229</f>
        <v>17011</v>
      </c>
      <c r="E740" s="32"/>
      <c r="F740" s="32"/>
      <c r="G740" s="32">
        <f t="shared" si="215"/>
        <v>17011</v>
      </c>
      <c r="H740" s="12"/>
      <c r="I740" s="12"/>
      <c r="J740" s="12"/>
      <c r="K740" s="12">
        <f t="shared" si="216"/>
        <v>17011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19"/>
        <v>0</v>
      </c>
      <c r="AF740" s="12"/>
      <c r="AG740" s="12"/>
      <c r="AH740" s="12"/>
      <c r="AI740" s="12">
        <f t="shared" si="220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73</v>
      </c>
      <c r="C741" s="91">
        <f t="shared" si="221"/>
        <v>7969</v>
      </c>
      <c r="D741" s="32">
        <f>26292+1788+229+650</f>
        <v>28959</v>
      </c>
      <c r="E741" s="32"/>
      <c r="F741" s="32"/>
      <c r="G741" s="32">
        <f t="shared" si="215"/>
        <v>28959</v>
      </c>
      <c r="H741" s="12"/>
      <c r="I741" s="12">
        <v>27</v>
      </c>
      <c r="J741" s="12"/>
      <c r="K741" s="12">
        <f t="shared" si="216"/>
        <v>28986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19"/>
        <v>0</v>
      </c>
      <c r="AF741" s="12"/>
      <c r="AG741" s="12"/>
      <c r="AH741" s="12"/>
      <c r="AI741" s="12">
        <f t="shared" si="220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73</v>
      </c>
      <c r="C742" s="91">
        <f t="shared" si="221"/>
        <v>7970</v>
      </c>
      <c r="D742" s="32">
        <f>1252+614+19</f>
        <v>1885</v>
      </c>
      <c r="E742" s="32"/>
      <c r="F742" s="32"/>
      <c r="G742" s="32">
        <f t="shared" si="215"/>
        <v>1885</v>
      </c>
      <c r="H742" s="12"/>
      <c r="I742" s="12">
        <v>3</v>
      </c>
      <c r="J742" s="12"/>
      <c r="K742" s="12">
        <f t="shared" si="216"/>
        <v>1888</v>
      </c>
      <c r="M742" s="10">
        <v>16</v>
      </c>
      <c r="N742" s="30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B742" s="32"/>
      <c r="AC742" s="32"/>
      <c r="AD742" s="32"/>
      <c r="AE742" s="32">
        <f t="shared" si="219"/>
        <v>0</v>
      </c>
      <c r="AF742" s="12"/>
      <c r="AG742" s="12"/>
      <c r="AH742" s="12"/>
      <c r="AI742" s="12">
        <f t="shared" si="220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73</v>
      </c>
      <c r="C743" s="91">
        <f t="shared" si="221"/>
        <v>7971</v>
      </c>
      <c r="D743" s="32">
        <f>18780+502.5+416+229</f>
        <v>19927.5</v>
      </c>
      <c r="E743" s="32"/>
      <c r="F743" s="32"/>
      <c r="G743" s="32">
        <f t="shared" si="215"/>
        <v>19927.5</v>
      </c>
      <c r="H743" s="12"/>
      <c r="I743" s="12">
        <v>135</v>
      </c>
      <c r="J743" s="12"/>
      <c r="K743" s="12">
        <f t="shared" si="216"/>
        <v>20062.5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19"/>
        <v>0</v>
      </c>
      <c r="AF743" s="12"/>
      <c r="AG743" s="12"/>
      <c r="AH743" s="12"/>
      <c r="AI743" s="12">
        <f t="shared" si="220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11" t="s">
        <v>27</v>
      </c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19"/>
        <v>0</v>
      </c>
      <c r="AF744" s="12"/>
      <c r="AG744" s="12"/>
      <c r="AH744" s="12"/>
      <c r="AI744" s="12">
        <f t="shared" si="220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91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19"/>
        <v>0</v>
      </c>
      <c r="AF745" s="12"/>
      <c r="AG745" s="12"/>
      <c r="AH745" s="12"/>
      <c r="AI745" s="12">
        <f t="shared" si="220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91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19"/>
        <v>0</v>
      </c>
      <c r="AF746" s="12"/>
      <c r="AG746" s="12"/>
      <c r="AH746" s="12"/>
      <c r="AI746" s="12">
        <f t="shared" si="220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91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O747" s="31"/>
      <c r="P747" s="46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19"/>
        <v>0</v>
      </c>
      <c r="AF747" s="10"/>
      <c r="AG747" s="10"/>
      <c r="AH747" s="10"/>
      <c r="AI747" s="12">
        <f t="shared" si="220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91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45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19"/>
        <v>0</v>
      </c>
      <c r="AF748" s="10"/>
      <c r="AG748" s="10"/>
      <c r="AH748" s="10"/>
      <c r="AI748" s="12">
        <f t="shared" si="220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91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E749" s="32">
        <f t="shared" si="219"/>
        <v>0</v>
      </c>
      <c r="AF749" s="10"/>
      <c r="AG749" s="10"/>
      <c r="AH749" s="10"/>
      <c r="AI749" s="12">
        <f t="shared" si="220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O750" s="31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19"/>
        <v>0</v>
      </c>
      <c r="AF750" s="10"/>
      <c r="AG750" s="10"/>
      <c r="AH750" s="10"/>
      <c r="AI750" s="12">
        <f t="shared" si="220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11"/>
      <c r="AB751" s="47"/>
      <c r="AC751" s="31"/>
      <c r="AD751" s="31"/>
      <c r="AE751" s="32">
        <f t="shared" si="219"/>
        <v>0</v>
      </c>
      <c r="AF751" s="10"/>
      <c r="AG751" s="10"/>
      <c r="AH751" s="10"/>
      <c r="AI751" s="12">
        <f t="shared" si="220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11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B752" s="47"/>
      <c r="AC752" s="31"/>
      <c r="AD752" s="31"/>
      <c r="AE752" s="32">
        <f t="shared" si="219"/>
        <v>0</v>
      </c>
      <c r="AF752" s="10"/>
      <c r="AG752" s="10"/>
      <c r="AH752" s="10"/>
      <c r="AI752" s="12">
        <f t="shared" si="220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57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19"/>
        <v>0</v>
      </c>
      <c r="AF753" s="10"/>
      <c r="AG753" s="10"/>
      <c r="AH753" s="10"/>
      <c r="AI753" s="12">
        <f t="shared" si="220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19"/>
        <v>0</v>
      </c>
      <c r="AF754" s="10"/>
      <c r="AG754" s="10"/>
      <c r="AH754" s="10"/>
      <c r="AI754" s="12">
        <f t="shared" si="220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19"/>
        <v>0</v>
      </c>
      <c r="AF755" s="10"/>
      <c r="AG755" s="10"/>
      <c r="AH755" s="10"/>
      <c r="AI755" s="12">
        <f t="shared" si="220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57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B756" s="47"/>
      <c r="AC756" s="31"/>
      <c r="AD756" s="31"/>
      <c r="AE756" s="32">
        <f t="shared" si="219"/>
        <v>0</v>
      </c>
      <c r="AF756" s="10"/>
      <c r="AG756" s="10"/>
      <c r="AH756" s="10"/>
      <c r="AI756" s="12">
        <f t="shared" si="220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57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B757" s="47"/>
      <c r="AC757" s="31"/>
      <c r="AD757" s="31"/>
      <c r="AE757" s="32">
        <f t="shared" si="219"/>
        <v>0</v>
      </c>
      <c r="AF757" s="10"/>
      <c r="AG757" s="10"/>
      <c r="AH757" s="10"/>
      <c r="AI757" s="12">
        <f t="shared" si="220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31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19"/>
        <v>0</v>
      </c>
      <c r="AF758" s="10"/>
      <c r="AG758" s="10"/>
      <c r="AH758" s="10"/>
      <c r="AI758" s="12">
        <f t="shared" si="220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57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19"/>
        <v>0</v>
      </c>
      <c r="AF759" s="10"/>
      <c r="AG759" s="10"/>
      <c r="AH759" s="10"/>
      <c r="AI759" s="12">
        <f t="shared" si="220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57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ref="S760:S765" si="224">SUM(P760:Q760)</f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B760" s="47"/>
      <c r="AC760" s="31"/>
      <c r="AD760" s="31"/>
      <c r="AE760" s="32">
        <f t="shared" si="219"/>
        <v>0</v>
      </c>
      <c r="AF760" s="10"/>
      <c r="AG760" s="10"/>
      <c r="AH760" s="10"/>
      <c r="AI760" s="12">
        <f t="shared" ref="AI760:AI768" si="225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24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19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24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19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24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19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24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19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24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19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209954.5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209954.5</v>
      </c>
      <c r="H770" s="4"/>
      <c r="I770" s="39">
        <f>SUM(I727:I769)</f>
        <v>3079.5</v>
      </c>
      <c r="J770" s="39">
        <f>SUM(J727:J769)</f>
        <v>0</v>
      </c>
      <c r="K770" s="40">
        <f>SUM(K727:K769)</f>
        <v>213034</v>
      </c>
      <c r="N770" s="57"/>
      <c r="O770" s="57"/>
      <c r="P770" s="38">
        <f>SUM(P727:P769)</f>
        <v>291741.5</v>
      </c>
      <c r="Q770" s="38">
        <f>SUM(Q727:Q751)</f>
        <v>-1866</v>
      </c>
      <c r="R770" s="38">
        <f>SUM(R727:R751)</f>
        <v>0</v>
      </c>
      <c r="S770" s="38">
        <f>SUM(S727:S769)</f>
        <v>289875.5</v>
      </c>
      <c r="T770" s="4"/>
      <c r="U770" s="41">
        <f>SUM(U727:U769)</f>
        <v>10424.25</v>
      </c>
      <c r="V770" s="41">
        <f>SUM(V727:V751)</f>
        <v>-378</v>
      </c>
      <c r="W770" s="42">
        <f>SUM(W727:W769)</f>
        <v>299921.75</v>
      </c>
      <c r="Z770" s="57"/>
      <c r="AA770" s="57"/>
      <c r="AB770" s="38">
        <f>SUM(AB727:AB769)</f>
        <v>462617</v>
      </c>
      <c r="AC770" s="38">
        <f>SUM(AC727:AC751)</f>
        <v>-4086</v>
      </c>
      <c r="AD770" s="38">
        <f>SUM(AD727:AD751)</f>
        <v>0</v>
      </c>
      <c r="AE770" s="38">
        <f>SUM(AE727:AE769)</f>
        <v>458531</v>
      </c>
      <c r="AF770" s="4"/>
      <c r="AG770" s="41">
        <f>SUM(AG727:AG769)</f>
        <v>8190</v>
      </c>
      <c r="AH770" s="41">
        <f>SUM(AH727:AH751)</f>
        <v>-240</v>
      </c>
      <c r="AI770" s="42">
        <f>SUM(AI727:AI769)</f>
        <v>466481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44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44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44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75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75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37</v>
      </c>
      <c r="W778" s="24"/>
      <c r="Y778" s="21" t="s">
        <v>75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6" t="s">
        <v>17</v>
      </c>
      <c r="E780" s="126"/>
      <c r="F780" s="109"/>
      <c r="G780" s="27"/>
      <c r="I780" s="124" t="s">
        <v>18</v>
      </c>
      <c r="J780" s="125"/>
      <c r="K780" s="122" t="s">
        <v>19</v>
      </c>
      <c r="N780" s="25"/>
      <c r="O780" s="26"/>
      <c r="P780" s="126" t="s">
        <v>17</v>
      </c>
      <c r="Q780" s="126"/>
      <c r="R780" s="109"/>
      <c r="S780" s="27"/>
      <c r="U780" s="124" t="s">
        <v>18</v>
      </c>
      <c r="V780" s="125"/>
      <c r="W780" s="122" t="s">
        <v>19</v>
      </c>
      <c r="Z780" s="25"/>
      <c r="AA780" s="26"/>
      <c r="AB780" s="126" t="s">
        <v>17</v>
      </c>
      <c r="AC780" s="126"/>
      <c r="AD780" s="109"/>
      <c r="AE780" s="27"/>
      <c r="AG780" s="124" t="s">
        <v>18</v>
      </c>
      <c r="AH780" s="125"/>
      <c r="AI780" s="122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23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23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23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76</v>
      </c>
      <c r="C782" s="91">
        <v>7972</v>
      </c>
      <c r="D782" s="32">
        <f>61974+1842+1826+2980+1704+2010+1664+1374+1000</f>
        <v>76374</v>
      </c>
      <c r="E782" s="32"/>
      <c r="F782" s="32"/>
      <c r="G782" s="32">
        <f t="shared" ref="G782:G815" si="231">SUM(D782:E782)</f>
        <v>76374</v>
      </c>
      <c r="H782" s="12"/>
      <c r="I782" s="12">
        <v>135</v>
      </c>
      <c r="J782" s="12"/>
      <c r="K782" s="12">
        <f t="shared" ref="K782:K815" si="232">SUM(G782:J782)</f>
        <v>76509</v>
      </c>
      <c r="M782" s="10">
        <v>1</v>
      </c>
      <c r="N782" s="30" t="s">
        <v>76</v>
      </c>
      <c r="O782" s="31">
        <v>7941</v>
      </c>
      <c r="P782" s="32">
        <f>338040+64368+1102+6183+1300</f>
        <v>410993</v>
      </c>
      <c r="Q782" s="32">
        <v>-3894</v>
      </c>
      <c r="R782" s="32"/>
      <c r="S782" s="32">
        <f>SUM(P782:Q782)</f>
        <v>407099</v>
      </c>
      <c r="T782" s="12"/>
      <c r="U782" s="12">
        <f>24642+1872</f>
        <v>26514</v>
      </c>
      <c r="V782" s="12">
        <f>-1428+-882</f>
        <v>-2310</v>
      </c>
      <c r="W782" s="12">
        <f>SUM(S782:V782)</f>
        <v>431303</v>
      </c>
      <c r="Y782" s="10">
        <v>1</v>
      </c>
      <c r="Z782" s="30" t="s">
        <v>76</v>
      </c>
      <c r="AA782" s="31">
        <v>7866</v>
      </c>
      <c r="AB782" s="32">
        <f>626*150+596*30+1005+832+1374+650</f>
        <v>115641</v>
      </c>
      <c r="AC782" s="32">
        <v>-1092</v>
      </c>
      <c r="AD782" s="32"/>
      <c r="AE782" s="32">
        <f>SUM(AB782:AC782)</f>
        <v>114549</v>
      </c>
      <c r="AF782" s="12"/>
      <c r="AG782" s="12">
        <f>63*111</f>
        <v>6993</v>
      </c>
      <c r="AH782" s="12"/>
      <c r="AI782" s="12">
        <f>SUM(AE782:AH782)</f>
        <v>121542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76</v>
      </c>
      <c r="C783" s="91">
        <f>C782+1</f>
        <v>7973</v>
      </c>
      <c r="D783" s="32">
        <f>4382+66.5</f>
        <v>4448.5</v>
      </c>
      <c r="E783" s="32"/>
      <c r="F783" s="32"/>
      <c r="G783" s="32">
        <f t="shared" si="231"/>
        <v>4448.5</v>
      </c>
      <c r="H783" s="12"/>
      <c r="I783" s="12"/>
      <c r="J783" s="12"/>
      <c r="K783" s="12">
        <f t="shared" si="232"/>
        <v>4448.5</v>
      </c>
      <c r="M783" s="10">
        <v>2</v>
      </c>
      <c r="N783" s="30" t="s">
        <v>76</v>
      </c>
      <c r="O783" s="31">
        <f>O782+1</f>
        <v>7942</v>
      </c>
      <c r="P783" s="32">
        <f>1878</f>
        <v>1878</v>
      </c>
      <c r="Q783" s="32"/>
      <c r="R783" s="32"/>
      <c r="S783" s="32">
        <f t="shared" ref="S783:S814" si="233">SUM(P783:Q783)</f>
        <v>1878</v>
      </c>
      <c r="T783" s="12"/>
      <c r="U783" s="12">
        <v>54</v>
      </c>
      <c r="V783" s="12">
        <f>-84</f>
        <v>-84</v>
      </c>
      <c r="W783" s="12">
        <f t="shared" ref="W783:W823" si="234">SUM(S783:V783)</f>
        <v>1848</v>
      </c>
      <c r="Y783" s="10">
        <v>2</v>
      </c>
      <c r="Z783" s="30" t="s">
        <v>76</v>
      </c>
      <c r="AA783" s="31">
        <f>AA782+1</f>
        <v>7867</v>
      </c>
      <c r="AB783" s="32">
        <f>17430</f>
        <v>17430</v>
      </c>
      <c r="AC783" s="32"/>
      <c r="AD783" s="32"/>
      <c r="AE783" s="32">
        <f t="shared" ref="AE783:AE820" si="235">SUM(AB783:AC783)</f>
        <v>17430</v>
      </c>
      <c r="AF783" s="12"/>
      <c r="AG783" s="12"/>
      <c r="AH783" s="12"/>
      <c r="AI783" s="12">
        <f t="shared" ref="AI783:AI814" si="236">SUM(AE783:AH783)</f>
        <v>17430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76</v>
      </c>
      <c r="C784" s="91">
        <f t="shared" ref="C784:C789" si="237">C783+1</f>
        <v>7974</v>
      </c>
      <c r="D784" s="33">
        <f>21910+1842+2980</f>
        <v>26732</v>
      </c>
      <c r="E784" s="33"/>
      <c r="F784" s="33"/>
      <c r="G784" s="33">
        <f t="shared" si="231"/>
        <v>26732</v>
      </c>
      <c r="H784" s="34"/>
      <c r="I784" s="34"/>
      <c r="J784" s="34"/>
      <c r="K784" s="34">
        <f t="shared" si="232"/>
        <v>26732</v>
      </c>
      <c r="M784" s="10">
        <v>3</v>
      </c>
      <c r="N784" s="30"/>
      <c r="O784" s="11" t="s">
        <v>27</v>
      </c>
      <c r="P784" s="32"/>
      <c r="Q784" s="32"/>
      <c r="R784" s="32"/>
      <c r="S784" s="32">
        <f t="shared" si="233"/>
        <v>0</v>
      </c>
      <c r="T784" s="12"/>
      <c r="U784" s="12"/>
      <c r="V784" s="12"/>
      <c r="W784" s="12">
        <f t="shared" si="234"/>
        <v>0</v>
      </c>
      <c r="Y784" s="10">
        <v>3</v>
      </c>
      <c r="Z784" s="30" t="s">
        <v>76</v>
      </c>
      <c r="AA784" s="31">
        <f t="shared" ref="AA784:AA791" si="238">AA783+1</f>
        <v>7868</v>
      </c>
      <c r="AB784" s="33">
        <f>10642+3070+596*5</f>
        <v>16692</v>
      </c>
      <c r="AC784" s="33"/>
      <c r="AD784" s="32"/>
      <c r="AE784" s="32">
        <f t="shared" si="235"/>
        <v>16692</v>
      </c>
      <c r="AF784" s="12"/>
      <c r="AG784" s="12"/>
      <c r="AH784" s="12">
        <f>-55*111</f>
        <v>-6105</v>
      </c>
      <c r="AI784" s="12">
        <f t="shared" si="236"/>
        <v>10587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76</v>
      </c>
      <c r="C785" s="91">
        <f t="shared" si="237"/>
        <v>7975</v>
      </c>
      <c r="D785" s="32">
        <f>9390+142.5</f>
        <v>9532.5</v>
      </c>
      <c r="E785" s="32"/>
      <c r="F785" s="32"/>
      <c r="G785" s="32">
        <f t="shared" si="231"/>
        <v>9532.5</v>
      </c>
      <c r="H785" s="12"/>
      <c r="I785" s="12"/>
      <c r="J785" s="12">
        <v>-222</v>
      </c>
      <c r="K785" s="12">
        <f t="shared" si="232"/>
        <v>9310.5</v>
      </c>
      <c r="M785" s="10">
        <v>4</v>
      </c>
      <c r="N785" s="30"/>
      <c r="O785" s="31"/>
      <c r="P785" s="32"/>
      <c r="Q785" s="32"/>
      <c r="R785" s="32"/>
      <c r="S785" s="32">
        <f t="shared" si="233"/>
        <v>0</v>
      </c>
      <c r="T785" s="12"/>
      <c r="U785" s="12"/>
      <c r="V785" s="12"/>
      <c r="W785" s="12">
        <f t="shared" si="234"/>
        <v>0</v>
      </c>
      <c r="Y785" s="10">
        <v>4</v>
      </c>
      <c r="Z785" s="30" t="s">
        <v>76</v>
      </c>
      <c r="AA785" s="31">
        <f t="shared" si="238"/>
        <v>7869</v>
      </c>
      <c r="AB785" s="32">
        <f>3070+832</f>
        <v>3902</v>
      </c>
      <c r="AC785" s="32"/>
      <c r="AD785" s="32"/>
      <c r="AE785" s="32">
        <f t="shared" si="235"/>
        <v>3902</v>
      </c>
      <c r="AF785" s="12"/>
      <c r="AH785" s="12"/>
      <c r="AI785" s="12">
        <f t="shared" si="236"/>
        <v>3902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76</v>
      </c>
      <c r="C786" s="91">
        <f t="shared" si="237"/>
        <v>7976</v>
      </c>
      <c r="D786" s="32">
        <f>10642+2980+832+1300</f>
        <v>15754</v>
      </c>
      <c r="E786" s="32"/>
      <c r="F786" s="32"/>
      <c r="G786" s="32">
        <f t="shared" si="231"/>
        <v>15754</v>
      </c>
      <c r="H786" s="12"/>
      <c r="I786" s="12">
        <f>19.5+162</f>
        <v>181.5</v>
      </c>
      <c r="J786" s="12"/>
      <c r="K786" s="12">
        <f t="shared" si="232"/>
        <v>15935.5</v>
      </c>
      <c r="M786" s="10">
        <v>5</v>
      </c>
      <c r="N786" s="30"/>
      <c r="O786" s="31"/>
      <c r="P786" s="32"/>
      <c r="Q786" s="32"/>
      <c r="R786" s="32"/>
      <c r="S786" s="32">
        <f t="shared" si="233"/>
        <v>0</v>
      </c>
      <c r="T786" s="12"/>
      <c r="U786" s="12"/>
      <c r="V786" s="12"/>
      <c r="W786" s="12">
        <f t="shared" si="234"/>
        <v>0</v>
      </c>
      <c r="Y786" s="10">
        <v>5</v>
      </c>
      <c r="Z786" s="30" t="s">
        <v>76</v>
      </c>
      <c r="AA786" s="31">
        <f t="shared" si="238"/>
        <v>7870</v>
      </c>
      <c r="AB786" s="32">
        <f>375600+49120+13480+59600+17040+2894+4160+2500+5000</f>
        <v>529394</v>
      </c>
      <c r="AC786" s="32"/>
      <c r="AD786" s="32"/>
      <c r="AE786" s="32">
        <f t="shared" si="235"/>
        <v>529394</v>
      </c>
      <c r="AF786" s="12"/>
      <c r="AG786" s="12">
        <v>59643</v>
      </c>
      <c r="AH786" s="12"/>
      <c r="AI786" s="12">
        <f t="shared" si="236"/>
        <v>589037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76</v>
      </c>
      <c r="C787" s="91">
        <f t="shared" si="237"/>
        <v>7977</v>
      </c>
      <c r="D787" s="32">
        <f>626*9+614+76</f>
        <v>6324</v>
      </c>
      <c r="E787" s="32"/>
      <c r="F787" s="32"/>
      <c r="G787" s="32">
        <f t="shared" si="231"/>
        <v>6324</v>
      </c>
      <c r="H787" s="12"/>
      <c r="I787" s="12">
        <v>13.5</v>
      </c>
      <c r="J787" s="12"/>
      <c r="K787" s="12">
        <f t="shared" si="232"/>
        <v>6337.5</v>
      </c>
      <c r="M787" s="10">
        <v>6</v>
      </c>
      <c r="N787" s="30"/>
      <c r="O787" s="31"/>
      <c r="P787" s="32"/>
      <c r="Q787" s="32"/>
      <c r="R787" s="32"/>
      <c r="S787" s="32">
        <f t="shared" si="233"/>
        <v>0</v>
      </c>
      <c r="T787" s="12"/>
      <c r="U787" s="12"/>
      <c r="V787" s="10"/>
      <c r="W787" s="12">
        <f t="shared" si="234"/>
        <v>0</v>
      </c>
      <c r="Y787" s="10">
        <v>6</v>
      </c>
      <c r="Z787" s="30" t="s">
        <v>76</v>
      </c>
      <c r="AA787" s="31">
        <f t="shared" si="238"/>
        <v>7871</v>
      </c>
      <c r="AB787" s="32">
        <f>1728+1447+1020+2204</f>
        <v>6399</v>
      </c>
      <c r="AC787" s="32"/>
      <c r="AD787" s="32"/>
      <c r="AE787" s="32">
        <f t="shared" si="235"/>
        <v>6399</v>
      </c>
      <c r="AF787" s="12"/>
      <c r="AG787" s="12"/>
      <c r="AH787" s="10"/>
      <c r="AI787" s="12">
        <f t="shared" si="236"/>
        <v>6399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76</v>
      </c>
      <c r="C788" s="91">
        <f t="shared" si="237"/>
        <v>7978</v>
      </c>
      <c r="D788" s="32">
        <f>15650+1788</f>
        <v>17438</v>
      </c>
      <c r="E788" s="32"/>
      <c r="F788" s="32"/>
      <c r="G788" s="32">
        <f t="shared" si="231"/>
        <v>17438</v>
      </c>
      <c r="H788" s="12"/>
      <c r="I788" s="12"/>
      <c r="J788" s="12">
        <v>-333</v>
      </c>
      <c r="K788" s="12">
        <f t="shared" si="232"/>
        <v>17105</v>
      </c>
      <c r="M788" s="10">
        <v>7</v>
      </c>
      <c r="N788" s="30"/>
      <c r="O788" s="31"/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 t="s">
        <v>76</v>
      </c>
      <c r="AA788" s="31">
        <f t="shared" si="238"/>
        <v>7872</v>
      </c>
      <c r="AB788" s="32">
        <f>11750+1582+2204+1582+2350+11750+1102+3250+6500+1582</f>
        <v>43652</v>
      </c>
      <c r="AC788" s="32"/>
      <c r="AD788" s="32"/>
      <c r="AE788" s="32">
        <f t="shared" si="235"/>
        <v>43652</v>
      </c>
      <c r="AF788" s="12"/>
      <c r="AG788" s="58"/>
      <c r="AH788" s="12"/>
      <c r="AI788" s="12">
        <f t="shared" si="236"/>
        <v>43652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76</v>
      </c>
      <c r="C789" s="91">
        <f t="shared" si="237"/>
        <v>7979</v>
      </c>
      <c r="D789" s="32">
        <f>852</f>
        <v>852</v>
      </c>
      <c r="E789" s="32"/>
      <c r="F789" s="32"/>
      <c r="G789" s="32">
        <f t="shared" si="231"/>
        <v>852</v>
      </c>
      <c r="H789" s="12"/>
      <c r="I789" s="12"/>
      <c r="J789" s="12"/>
      <c r="K789" s="12">
        <f t="shared" si="232"/>
        <v>852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 t="s">
        <v>76</v>
      </c>
      <c r="AA789" s="31">
        <f t="shared" si="238"/>
        <v>7873</v>
      </c>
      <c r="AB789" s="32">
        <f>125200</f>
        <v>125200</v>
      </c>
      <c r="AC789" s="32"/>
      <c r="AE789" s="32">
        <f t="shared" si="235"/>
        <v>125200</v>
      </c>
      <c r="AF789" s="12"/>
      <c r="AG789" s="12">
        <f>22200</f>
        <v>22200</v>
      </c>
      <c r="AH789" s="12"/>
      <c r="AI789" s="12">
        <f t="shared" si="236"/>
        <v>147400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11" t="s">
        <v>27</v>
      </c>
      <c r="D790" s="32"/>
      <c r="E790" s="32"/>
      <c r="F790" s="32"/>
      <c r="G790" s="32">
        <f t="shared" si="231"/>
        <v>0</v>
      </c>
      <c r="H790" s="12"/>
      <c r="I790" s="12"/>
      <c r="J790" s="12"/>
      <c r="K790" s="12">
        <f t="shared" si="232"/>
        <v>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 t="s">
        <v>76</v>
      </c>
      <c r="AA790" s="31">
        <f t="shared" si="238"/>
        <v>7874</v>
      </c>
      <c r="AB790">
        <f>18780</f>
        <v>18780</v>
      </c>
      <c r="AC790" s="32"/>
      <c r="AD790" s="32"/>
      <c r="AE790" s="32">
        <f t="shared" si="235"/>
        <v>18780</v>
      </c>
      <c r="AF790" s="12"/>
      <c r="AH790" s="12"/>
      <c r="AI790" s="12">
        <f t="shared" si="236"/>
        <v>18780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91"/>
      <c r="D791" s="32"/>
      <c r="E791" s="32"/>
      <c r="F791" s="32"/>
      <c r="G791" s="32">
        <f t="shared" si="231"/>
        <v>0</v>
      </c>
      <c r="H791" s="12"/>
      <c r="I791" s="12"/>
      <c r="J791" s="12"/>
      <c r="K791" s="12">
        <f t="shared" si="232"/>
        <v>0</v>
      </c>
      <c r="M791" s="10">
        <v>10</v>
      </c>
      <c r="N791" s="30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 t="s">
        <v>76</v>
      </c>
      <c r="AA791" s="31">
        <f t="shared" si="238"/>
        <v>7875</v>
      </c>
      <c r="AB791" s="32">
        <f>16276</f>
        <v>16276</v>
      </c>
      <c r="AC791" s="32"/>
      <c r="AD791" s="32"/>
      <c r="AE791" s="32">
        <f t="shared" si="235"/>
        <v>16276</v>
      </c>
      <c r="AF791" s="12"/>
      <c r="AG791" s="12"/>
      <c r="AH791" s="12">
        <v>-8400</v>
      </c>
      <c r="AI791" s="12">
        <f t="shared" si="236"/>
        <v>7876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91"/>
      <c r="D792" s="32"/>
      <c r="E792" s="32"/>
      <c r="F792" s="32"/>
      <c r="G792" s="32">
        <f t="shared" si="231"/>
        <v>0</v>
      </c>
      <c r="H792" s="12"/>
      <c r="I792" s="12"/>
      <c r="J792" s="12"/>
      <c r="K792" s="12">
        <f t="shared" si="232"/>
        <v>0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91"/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91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O794" s="31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91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91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91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91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91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91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91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91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91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57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1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1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57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57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31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57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57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ref="S815:S820" si="239">SUM(P815:Q815)</f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B815" s="47"/>
      <c r="AC815" s="31"/>
      <c r="AD815" s="31"/>
      <c r="AE815" s="32">
        <f t="shared" si="235"/>
        <v>0</v>
      </c>
      <c r="AF815" s="10"/>
      <c r="AG815" s="10"/>
      <c r="AH815" s="10"/>
      <c r="AI815" s="12">
        <f t="shared" ref="AI815:AI823" si="240">SUM(AE815:AH815)</f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3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9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5"/>
        <v>0</v>
      </c>
      <c r="AF816" s="10"/>
      <c r="AG816" s="10"/>
      <c r="AH816" s="10"/>
      <c r="AI816" s="12">
        <f t="shared" si="240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3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9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5"/>
        <v>0</v>
      </c>
      <c r="AF817" s="10"/>
      <c r="AG817" s="10"/>
      <c r="AH817" s="10"/>
      <c r="AI817" s="12">
        <f t="shared" si="240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9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5"/>
        <v>0</v>
      </c>
      <c r="AF818" s="10"/>
      <c r="AG818" s="10"/>
      <c r="AH818" s="10"/>
      <c r="AI818" s="12">
        <f t="shared" si="240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9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5"/>
        <v>0</v>
      </c>
      <c r="AF819" s="10"/>
      <c r="AG819" s="10"/>
      <c r="AH819" s="10"/>
      <c r="AI819" s="12">
        <f t="shared" si="240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9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5"/>
        <v>0</v>
      </c>
      <c r="AF820" s="10"/>
      <c r="AG820" s="10"/>
      <c r="AH820" s="10"/>
      <c r="AI820" s="12">
        <f t="shared" si="240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40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40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40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157455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157455</v>
      </c>
      <c r="H825" s="4"/>
      <c r="I825" s="39">
        <f>SUM(I782:I824)</f>
        <v>330</v>
      </c>
      <c r="J825" s="39">
        <f>SUM(J782:J824)</f>
        <v>-555</v>
      </c>
      <c r="K825" s="40">
        <f>SUM(K782:K824)</f>
        <v>157230</v>
      </c>
      <c r="N825" s="57"/>
      <c r="O825" s="57"/>
      <c r="P825" s="38">
        <f>SUM(P782:P824)</f>
        <v>412871</v>
      </c>
      <c r="Q825" s="38">
        <f>SUM(Q782:Q806)</f>
        <v>-3894</v>
      </c>
      <c r="R825" s="38">
        <f>SUM(R782:R806)</f>
        <v>0</v>
      </c>
      <c r="S825" s="38">
        <f>SUM(S782:S824)</f>
        <v>408977</v>
      </c>
      <c r="T825" s="4"/>
      <c r="U825" s="41">
        <f>SUM(U782:U824)</f>
        <v>26568</v>
      </c>
      <c r="V825" s="41">
        <f>SUM(V782:V806)</f>
        <v>-2394</v>
      </c>
      <c r="W825" s="42">
        <f>SUM(W782:W824)</f>
        <v>433151</v>
      </c>
      <c r="Z825" s="57"/>
      <c r="AA825" s="57"/>
      <c r="AB825" s="38">
        <f>SUM(AB782:AB824)</f>
        <v>893366</v>
      </c>
      <c r="AC825" s="38">
        <f>SUM(AC782:AC806)</f>
        <v>-1092</v>
      </c>
      <c r="AD825" s="38">
        <f>SUM(AD782:AD806)</f>
        <v>0</v>
      </c>
      <c r="AE825" s="38">
        <f>SUM(AE782:AE824)</f>
        <v>892274</v>
      </c>
      <c r="AF825" s="4"/>
      <c r="AG825" s="41">
        <f>SUM(AG782:AG824)</f>
        <v>88836</v>
      </c>
      <c r="AH825" s="41">
        <f>SUM(AH782:AH806)</f>
        <v>-14505</v>
      </c>
      <c r="AI825" s="42">
        <f>SUM(AI782:AI824)</f>
        <v>966605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78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21" t="s">
        <v>78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37</v>
      </c>
      <c r="W833" s="24"/>
      <c r="Y833" s="21" t="s">
        <v>78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6" t="s">
        <v>17</v>
      </c>
      <c r="E835" s="126"/>
      <c r="F835" s="110"/>
      <c r="G835" s="27"/>
      <c r="I835" s="124" t="s">
        <v>18</v>
      </c>
      <c r="J835" s="125"/>
      <c r="K835" s="122" t="s">
        <v>19</v>
      </c>
      <c r="N835" s="25"/>
      <c r="O835" s="26"/>
      <c r="P835" s="126" t="s">
        <v>17</v>
      </c>
      <c r="Q835" s="126"/>
      <c r="R835" s="110"/>
      <c r="S835" s="27"/>
      <c r="U835" s="124" t="s">
        <v>18</v>
      </c>
      <c r="V835" s="125"/>
      <c r="W835" s="122" t="s">
        <v>19</v>
      </c>
      <c r="Z835" s="25"/>
      <c r="AA835" s="26"/>
      <c r="AB835" s="126" t="s">
        <v>17</v>
      </c>
      <c r="AC835" s="126"/>
      <c r="AD835" s="110"/>
      <c r="AE835" s="27"/>
      <c r="AG835" s="124" t="s">
        <v>18</v>
      </c>
      <c r="AH835" s="125"/>
      <c r="AI835" s="122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23"/>
      <c r="N836" s="28" t="s">
        <v>20</v>
      </c>
      <c r="O836" s="28" t="s">
        <v>21</v>
      </c>
      <c r="P836" s="79" t="s">
        <v>22</v>
      </c>
      <c r="Q836" s="80" t="s">
        <v>23</v>
      </c>
      <c r="R836" s="80" t="s">
        <v>32</v>
      </c>
      <c r="S836" s="80" t="s">
        <v>24</v>
      </c>
      <c r="U836" s="29" t="s">
        <v>25</v>
      </c>
      <c r="V836" s="29" t="s">
        <v>26</v>
      </c>
      <c r="W836" s="123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23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79</v>
      </c>
      <c r="C837" s="91">
        <v>7980</v>
      </c>
      <c r="D837" s="32">
        <f>202824+2977</f>
        <v>205801</v>
      </c>
      <c r="E837" s="32">
        <v>-1944</v>
      </c>
      <c r="F837" s="32"/>
      <c r="G837" s="32">
        <f t="shared" ref="G837:G870" si="246">SUM(D837:E837)</f>
        <v>203857</v>
      </c>
      <c r="H837" s="12"/>
      <c r="I837" s="12">
        <f>702</f>
        <v>702</v>
      </c>
      <c r="J837" s="12">
        <v>-420</v>
      </c>
      <c r="K837" s="12">
        <f t="shared" ref="K837:K870" si="247">SUM(G837:J837)</f>
        <v>204139</v>
      </c>
      <c r="M837" s="10">
        <v>1</v>
      </c>
      <c r="N837" s="30" t="s">
        <v>79</v>
      </c>
      <c r="O837" s="31">
        <v>7943</v>
      </c>
      <c r="P837" s="32">
        <f>626+832+9.5+650</f>
        <v>2117.5</v>
      </c>
      <c r="Q837" s="32"/>
      <c r="R837" s="32"/>
      <c r="S837" s="32">
        <f>SUM(P837:Q837)</f>
        <v>2117.5</v>
      </c>
      <c r="T837" s="12"/>
      <c r="U837" s="12"/>
      <c r="V837" s="12"/>
      <c r="W837" s="12">
        <f>SUM(S837:V837)</f>
        <v>2117.5</v>
      </c>
      <c r="Y837" s="10">
        <v>1</v>
      </c>
      <c r="Z837" s="30" t="s">
        <v>79</v>
      </c>
      <c r="AA837" s="31">
        <v>7876</v>
      </c>
      <c r="AB837" s="32">
        <f>17528+2456+596*12+852+832+229</f>
        <v>29049</v>
      </c>
      <c r="AC837" s="32"/>
      <c r="AD837" s="32"/>
      <c r="AE837" s="32">
        <f>SUM(AB837:AC837)</f>
        <v>29049</v>
      </c>
      <c r="AF837" s="12"/>
      <c r="AG837" s="12">
        <f>222+18</f>
        <v>240</v>
      </c>
      <c r="AH837" s="12"/>
      <c r="AI837" s="12">
        <f>SUM(AE837:AH837)</f>
        <v>29289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79</v>
      </c>
      <c r="C838" s="91">
        <f>C837+1</f>
        <v>7981</v>
      </c>
      <c r="D838" s="32">
        <f>626*324+229*13</f>
        <v>205801</v>
      </c>
      <c r="E838" s="32">
        <v>-1944</v>
      </c>
      <c r="F838" s="32"/>
      <c r="G838" s="32">
        <f t="shared" si="246"/>
        <v>203857</v>
      </c>
      <c r="H838" s="12"/>
      <c r="I838" s="12"/>
      <c r="J838" s="12"/>
      <c r="K838" s="12">
        <f t="shared" si="247"/>
        <v>203857</v>
      </c>
      <c r="M838" s="10">
        <v>2</v>
      </c>
      <c r="N838" s="30" t="s">
        <v>79</v>
      </c>
      <c r="O838" s="31">
        <f>O837+1</f>
        <v>7944</v>
      </c>
      <c r="P838" s="32">
        <f>1878+614+28.5</f>
        <v>2520.5</v>
      </c>
      <c r="Q838" s="32"/>
      <c r="R838" s="32"/>
      <c r="S838" s="32">
        <f t="shared" ref="S838:S869" si="248">SUM(P838:Q838)</f>
        <v>2520.5</v>
      </c>
      <c r="T838" s="12"/>
      <c r="U838" s="12"/>
      <c r="V838" s="12"/>
      <c r="W838" s="12">
        <f t="shared" ref="W838:W878" si="249">SUM(S838:V838)</f>
        <v>2520.5</v>
      </c>
      <c r="Y838" s="10">
        <v>2</v>
      </c>
      <c r="Z838" s="30" t="s">
        <v>79</v>
      </c>
      <c r="AA838" s="31">
        <f>AA837+1</f>
        <v>7877</v>
      </c>
      <c r="AB838" s="32">
        <f>21910+8940+229</f>
        <v>31079</v>
      </c>
      <c r="AC838" s="32"/>
      <c r="AD838" s="32"/>
      <c r="AE838" s="32">
        <f t="shared" ref="AE838:AE875" si="250">SUM(AB838:AC838)</f>
        <v>31079</v>
      </c>
      <c r="AF838" s="12"/>
      <c r="AG838" s="12">
        <f>1776+78</f>
        <v>1854</v>
      </c>
      <c r="AH838" s="12"/>
      <c r="AI838" s="12">
        <f t="shared" ref="AI838:AI869" si="251">SUM(AE838:AH838)</f>
        <v>32933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/>
      <c r="C839" s="11" t="s">
        <v>27</v>
      </c>
      <c r="D839" s="33"/>
      <c r="E839" s="33"/>
      <c r="F839" s="33"/>
      <c r="G839" s="33">
        <f t="shared" si="246"/>
        <v>0</v>
      </c>
      <c r="H839" s="34"/>
      <c r="I839" s="34"/>
      <c r="J839" s="34"/>
      <c r="K839" s="34">
        <f t="shared" si="247"/>
        <v>0</v>
      </c>
      <c r="M839" s="10">
        <v>3</v>
      </c>
      <c r="N839" s="30" t="s">
        <v>79</v>
      </c>
      <c r="O839" s="31">
        <f t="shared" ref="O839:O855" si="252">O838+1</f>
        <v>7945</v>
      </c>
      <c r="P839" s="32">
        <f>4382+614+66.5</f>
        <v>5062.5</v>
      </c>
      <c r="Q839" s="32"/>
      <c r="R839" s="32"/>
      <c r="S839" s="32">
        <f t="shared" si="248"/>
        <v>5062.5</v>
      </c>
      <c r="T839" s="12"/>
      <c r="U839" s="12"/>
      <c r="V839" s="12"/>
      <c r="W839" s="12">
        <f t="shared" si="249"/>
        <v>5062.5</v>
      </c>
      <c r="Y839" s="10">
        <v>3</v>
      </c>
      <c r="Z839" s="30" t="s">
        <v>79</v>
      </c>
      <c r="AA839" s="31">
        <f t="shared" ref="AA839:AA846" si="253">AA838+1</f>
        <v>7878</v>
      </c>
      <c r="AB839" s="33">
        <f>3756</f>
        <v>3756</v>
      </c>
      <c r="AC839" s="33"/>
      <c r="AD839" s="32"/>
      <c r="AE839" s="32">
        <f t="shared" si="250"/>
        <v>3756</v>
      </c>
      <c r="AF839" s="12"/>
      <c r="AG839" s="12"/>
      <c r="AH839" s="12"/>
      <c r="AI839" s="12">
        <f t="shared" si="251"/>
        <v>3756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91"/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M840" s="10">
        <v>4</v>
      </c>
      <c r="N840" s="30" t="s">
        <v>79</v>
      </c>
      <c r="O840" s="31">
        <f t="shared" si="252"/>
        <v>7946</v>
      </c>
      <c r="P840" s="32">
        <f>10016+1228+1788</f>
        <v>13032</v>
      </c>
      <c r="Q840" s="32"/>
      <c r="R840" s="32"/>
      <c r="S840" s="32">
        <f t="shared" si="248"/>
        <v>13032</v>
      </c>
      <c r="T840" s="12"/>
      <c r="U840" s="12">
        <f>4.5+2.25</f>
        <v>6.75</v>
      </c>
      <c r="V840" s="12"/>
      <c r="W840" s="12">
        <f t="shared" si="249"/>
        <v>13038.75</v>
      </c>
      <c r="Y840" s="10">
        <v>4</v>
      </c>
      <c r="Z840" s="30" t="s">
        <v>79</v>
      </c>
      <c r="AA840" s="31">
        <f t="shared" si="253"/>
        <v>7879</v>
      </c>
      <c r="AB840" s="32">
        <f>9390+2980+190</f>
        <v>12560</v>
      </c>
      <c r="AC840" s="32"/>
      <c r="AD840" s="32"/>
      <c r="AE840" s="32">
        <f t="shared" si="250"/>
        <v>12560</v>
      </c>
      <c r="AF840" s="12"/>
      <c r="AH840" s="12"/>
      <c r="AI840" s="12">
        <f t="shared" si="251"/>
        <v>12560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91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M841" s="10">
        <v>5</v>
      </c>
      <c r="N841" s="30" t="s">
        <v>79</v>
      </c>
      <c r="O841" s="31">
        <f t="shared" si="252"/>
        <v>7947</v>
      </c>
      <c r="P841" s="32">
        <f>1878+596+38</f>
        <v>2512</v>
      </c>
      <c r="Q841" s="32"/>
      <c r="R841" s="32"/>
      <c r="S841" s="32">
        <f t="shared" si="248"/>
        <v>2512</v>
      </c>
      <c r="T841" s="12"/>
      <c r="U841" s="12"/>
      <c r="V841" s="12"/>
      <c r="W841" s="12">
        <f t="shared" si="249"/>
        <v>2512</v>
      </c>
      <c r="Y841" s="10">
        <v>5</v>
      </c>
      <c r="Z841" s="30" t="s">
        <v>79</v>
      </c>
      <c r="AA841" s="31">
        <f t="shared" si="253"/>
        <v>7880</v>
      </c>
      <c r="AB841" s="32">
        <f>9390+2980+10816+3250</f>
        <v>26436</v>
      </c>
      <c r="AC841" s="32"/>
      <c r="AD841" s="32"/>
      <c r="AE841" s="32">
        <f t="shared" si="250"/>
        <v>26436</v>
      </c>
      <c r="AF841" s="12"/>
      <c r="AG841" s="12">
        <f>1200+108</f>
        <v>1308</v>
      </c>
      <c r="AH841" s="12"/>
      <c r="AI841" s="12">
        <f t="shared" si="251"/>
        <v>27744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91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M842" s="10">
        <v>6</v>
      </c>
      <c r="N842" s="30" t="s">
        <v>79</v>
      </c>
      <c r="O842" s="31">
        <f t="shared" si="252"/>
        <v>7948</v>
      </c>
      <c r="P842" s="32">
        <f>2504+224+1788</f>
        <v>4516</v>
      </c>
      <c r="Q842" s="32"/>
      <c r="R842" s="32"/>
      <c r="S842" s="32">
        <f t="shared" si="248"/>
        <v>4516</v>
      </c>
      <c r="T842" s="12"/>
      <c r="U842" s="12">
        <v>9</v>
      </c>
      <c r="V842" s="10"/>
      <c r="W842" s="12">
        <f t="shared" si="249"/>
        <v>4525</v>
      </c>
      <c r="Y842" s="10">
        <v>6</v>
      </c>
      <c r="Z842" s="30" t="s">
        <v>79</v>
      </c>
      <c r="AA842" s="31">
        <f t="shared" si="253"/>
        <v>7881</v>
      </c>
      <c r="AB842" s="32">
        <f>37560+8940+458</f>
        <v>46958</v>
      </c>
      <c r="AC842" s="32"/>
      <c r="AD842" s="32"/>
      <c r="AE842" s="32">
        <f t="shared" si="250"/>
        <v>46958</v>
      </c>
      <c r="AF842" s="12"/>
      <c r="AG842" s="12"/>
      <c r="AH842" s="10"/>
      <c r="AI842" s="12">
        <f t="shared" si="251"/>
        <v>46958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91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M843" s="10">
        <v>7</v>
      </c>
      <c r="N843" s="30" t="s">
        <v>79</v>
      </c>
      <c r="O843" s="31">
        <f t="shared" si="252"/>
        <v>7949</v>
      </c>
      <c r="P843" s="32">
        <f>112680+3070+5960+1704+2010+1664+229*7</f>
        <v>128691</v>
      </c>
      <c r="Q843" s="32">
        <v>-1206</v>
      </c>
      <c r="R843" s="32"/>
      <c r="S843" s="32">
        <f t="shared" si="248"/>
        <v>127485</v>
      </c>
      <c r="T843" s="12"/>
      <c r="U843" s="12">
        <f>720+10101+468</f>
        <v>11289</v>
      </c>
      <c r="V843" s="12">
        <f>-840+-84</f>
        <v>-924</v>
      </c>
      <c r="W843" s="12">
        <f t="shared" si="249"/>
        <v>137850</v>
      </c>
      <c r="Y843" s="10">
        <v>7</v>
      </c>
      <c r="Z843" s="30" t="s">
        <v>79</v>
      </c>
      <c r="AA843" s="31">
        <f t="shared" si="253"/>
        <v>7882</v>
      </c>
      <c r="AB843" s="32">
        <f>109550+14900+1664+1832</f>
        <v>127946</v>
      </c>
      <c r="AC843" s="32">
        <v>-1212</v>
      </c>
      <c r="AD843" s="32"/>
      <c r="AE843" s="32">
        <f t="shared" si="250"/>
        <v>126734</v>
      </c>
      <c r="AF843" s="12"/>
      <c r="AG843" s="58">
        <f>120+3441+78+81</f>
        <v>3720</v>
      </c>
      <c r="AH843" s="12"/>
      <c r="AI843" s="12">
        <f t="shared" si="251"/>
        <v>130454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91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M844" s="10">
        <v>8</v>
      </c>
      <c r="N844" s="30" t="s">
        <v>79</v>
      </c>
      <c r="O844" s="31">
        <f t="shared" si="252"/>
        <v>7950</v>
      </c>
      <c r="P844" s="32">
        <f>2504</f>
        <v>2504</v>
      </c>
      <c r="Q844" s="32"/>
      <c r="R844" s="32"/>
      <c r="S844" s="32">
        <f t="shared" si="248"/>
        <v>2504</v>
      </c>
      <c r="T844" s="12"/>
      <c r="U844" s="12"/>
      <c r="V844" s="12"/>
      <c r="W844" s="12">
        <f t="shared" si="249"/>
        <v>2504</v>
      </c>
      <c r="Y844" s="10">
        <v>8</v>
      </c>
      <c r="Z844" s="30" t="s">
        <v>79</v>
      </c>
      <c r="AA844" s="31">
        <f t="shared" si="253"/>
        <v>7883</v>
      </c>
      <c r="AB844" s="32">
        <f>8138+913</f>
        <v>9051</v>
      </c>
      <c r="AC844" s="32"/>
      <c r="AE844" s="32">
        <f t="shared" si="250"/>
        <v>9051</v>
      </c>
      <c r="AF844" s="12"/>
      <c r="AG844" s="12"/>
      <c r="AH844" s="12"/>
      <c r="AI844" s="12">
        <f t="shared" si="251"/>
        <v>9051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91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M845" s="10">
        <v>9</v>
      </c>
      <c r="N845" s="30" t="s">
        <v>79</v>
      </c>
      <c r="O845" s="31">
        <v>8001</v>
      </c>
      <c r="P845" s="32">
        <f>3130+614+224+596+832</f>
        <v>5396</v>
      </c>
      <c r="Q845" s="32"/>
      <c r="R845" s="32"/>
      <c r="S845" s="32">
        <f t="shared" si="248"/>
        <v>5396</v>
      </c>
      <c r="T845" s="12"/>
      <c r="U845" s="12">
        <f>31.5+36</f>
        <v>67.5</v>
      </c>
      <c r="V845" s="12"/>
      <c r="W845" s="12">
        <f t="shared" si="249"/>
        <v>5463.5</v>
      </c>
      <c r="Y845" s="10">
        <v>9</v>
      </c>
      <c r="Z845" s="30" t="s">
        <v>79</v>
      </c>
      <c r="AA845" s="31">
        <f t="shared" si="253"/>
        <v>7884</v>
      </c>
      <c r="AB845">
        <f>25040+229</f>
        <v>25269</v>
      </c>
      <c r="AC845" s="32"/>
      <c r="AD845" s="32"/>
      <c r="AE845" s="32">
        <f t="shared" si="250"/>
        <v>25269</v>
      </c>
      <c r="AF845" s="12"/>
      <c r="AG845">
        <f>1554+486</f>
        <v>2040</v>
      </c>
      <c r="AH845" s="12"/>
      <c r="AI845" s="12">
        <f t="shared" si="251"/>
        <v>27309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91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M846" s="10">
        <v>10</v>
      </c>
      <c r="N846" s="30" t="s">
        <v>79</v>
      </c>
      <c r="O846" s="31">
        <f t="shared" si="252"/>
        <v>8002</v>
      </c>
      <c r="P846" s="32">
        <f>1252+614+19</f>
        <v>1885</v>
      </c>
      <c r="Q846" s="32"/>
      <c r="R846" s="32"/>
      <c r="S846" s="32">
        <f t="shared" si="248"/>
        <v>1885</v>
      </c>
      <c r="T846" s="12"/>
      <c r="U846" s="12"/>
      <c r="V846" s="12"/>
      <c r="W846" s="12">
        <f t="shared" si="249"/>
        <v>1885</v>
      </c>
      <c r="Y846" s="10">
        <v>10</v>
      </c>
      <c r="Z846" s="30" t="s">
        <v>79</v>
      </c>
      <c r="AA846" s="31">
        <f t="shared" si="253"/>
        <v>7885</v>
      </c>
      <c r="AB846" s="32">
        <f>5634+832</f>
        <v>6466</v>
      </c>
      <c r="AC846" s="32"/>
      <c r="AD846" s="32"/>
      <c r="AE846" s="32">
        <f t="shared" si="250"/>
        <v>6466</v>
      </c>
      <c r="AF846" s="12"/>
      <c r="AG846" s="12">
        <f>111*9</f>
        <v>999</v>
      </c>
      <c r="AH846" s="12">
        <v>-120</v>
      </c>
      <c r="AI846" s="12">
        <f t="shared" si="251"/>
        <v>7345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M847" s="10">
        <v>11</v>
      </c>
      <c r="N847" s="30" t="s">
        <v>79</v>
      </c>
      <c r="O847" s="31">
        <f t="shared" si="252"/>
        <v>8003</v>
      </c>
      <c r="P847" s="32">
        <f>626+9.5</f>
        <v>635.5</v>
      </c>
      <c r="Q847" s="32"/>
      <c r="R847" s="32"/>
      <c r="S847" s="32">
        <f t="shared" si="248"/>
        <v>635.5</v>
      </c>
      <c r="T847" s="12"/>
      <c r="U847" s="12"/>
      <c r="V847" s="12"/>
      <c r="W847" s="12">
        <f t="shared" si="249"/>
        <v>635.5</v>
      </c>
      <c r="Y847" s="10">
        <v>11</v>
      </c>
      <c r="Z847" s="30"/>
      <c r="AA847" s="11" t="s">
        <v>27</v>
      </c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91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M848" s="10">
        <v>12</v>
      </c>
      <c r="N848" s="30" t="s">
        <v>79</v>
      </c>
      <c r="O848" s="31">
        <f t="shared" si="252"/>
        <v>8004</v>
      </c>
      <c r="P848" s="32">
        <f>3130+1192+66.5</f>
        <v>4388.5</v>
      </c>
      <c r="Q848" s="32"/>
      <c r="R848" s="32"/>
      <c r="S848" s="32">
        <f t="shared" si="248"/>
        <v>4388.5</v>
      </c>
      <c r="T848" s="12"/>
      <c r="U848" s="12"/>
      <c r="V848" s="12"/>
      <c r="W848" s="12">
        <f t="shared" si="249"/>
        <v>4388.5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91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M849" s="10">
        <v>13</v>
      </c>
      <c r="N849" s="30" t="s">
        <v>79</v>
      </c>
      <c r="O849" s="31">
        <f t="shared" si="252"/>
        <v>8005</v>
      </c>
      <c r="P849" s="32">
        <f>1878+1192+229</f>
        <v>3299</v>
      </c>
      <c r="Q849" s="32"/>
      <c r="R849" s="32"/>
      <c r="S849" s="32">
        <f t="shared" si="248"/>
        <v>3299</v>
      </c>
      <c r="T849" s="12"/>
      <c r="U849" s="12">
        <f>109.5</f>
        <v>109.5</v>
      </c>
      <c r="V849" s="12"/>
      <c r="W849" s="12">
        <f t="shared" si="249"/>
        <v>3408.5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91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M850" s="10">
        <v>14</v>
      </c>
      <c r="N850" s="30" t="s">
        <v>79</v>
      </c>
      <c r="O850" s="31">
        <f t="shared" si="252"/>
        <v>8006</v>
      </c>
      <c r="P850" s="32">
        <f>626*5+1192+85.5</f>
        <v>4407.5</v>
      </c>
      <c r="Q850" s="32"/>
      <c r="R850" s="32"/>
      <c r="S850" s="32">
        <f t="shared" si="248"/>
        <v>4407.5</v>
      </c>
      <c r="T850" s="12"/>
      <c r="U850" s="12"/>
      <c r="V850" s="12">
        <v>-1994</v>
      </c>
      <c r="W850" s="12">
        <f t="shared" si="249"/>
        <v>2413.5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91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M851" s="10">
        <v>15</v>
      </c>
      <c r="N851" s="30" t="s">
        <v>79</v>
      </c>
      <c r="O851" s="31">
        <f t="shared" si="252"/>
        <v>8007</v>
      </c>
      <c r="P851" s="32">
        <f>1252+19</f>
        <v>1271</v>
      </c>
      <c r="Q851" s="32"/>
      <c r="R851" s="32"/>
      <c r="S851" s="32">
        <f t="shared" si="248"/>
        <v>1271</v>
      </c>
      <c r="T851" s="12"/>
      <c r="U851" s="12"/>
      <c r="V851" s="12"/>
      <c r="W851" s="12">
        <f t="shared" si="249"/>
        <v>1271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91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M852" s="10">
        <v>16</v>
      </c>
      <c r="N852" s="30" t="s">
        <v>79</v>
      </c>
      <c r="O852" s="31">
        <f t="shared" si="252"/>
        <v>8008</v>
      </c>
      <c r="P852" s="32">
        <f>1252+614+1788+47.5+500</f>
        <v>4201.5</v>
      </c>
      <c r="Q852" s="32"/>
      <c r="R852" s="32"/>
      <c r="S852" s="32">
        <f t="shared" si="248"/>
        <v>4201.5</v>
      </c>
      <c r="T852" s="12"/>
      <c r="U852" s="12"/>
      <c r="V852" s="12"/>
      <c r="W852" s="12">
        <f t="shared" si="249"/>
        <v>4201.5</v>
      </c>
      <c r="Y852" s="10">
        <v>16</v>
      </c>
      <c r="Z852" s="30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91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M853" s="10">
        <v>17</v>
      </c>
      <c r="N853" s="30" t="s">
        <v>79</v>
      </c>
      <c r="O853" s="31">
        <f t="shared" si="252"/>
        <v>8009</v>
      </c>
      <c r="P853" s="35">
        <f>3756+57</f>
        <v>3813</v>
      </c>
      <c r="Q853" s="32"/>
      <c r="R853" s="32"/>
      <c r="S853" s="32">
        <f t="shared" si="248"/>
        <v>3813</v>
      </c>
      <c r="T853" s="12"/>
      <c r="U853" s="12"/>
      <c r="V853" s="12"/>
      <c r="W853" s="12">
        <f t="shared" si="249"/>
        <v>3813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57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M854" s="10">
        <v>18</v>
      </c>
      <c r="N854" s="30" t="s">
        <v>79</v>
      </c>
      <c r="O854" s="31">
        <f t="shared" si="252"/>
        <v>8010</v>
      </c>
      <c r="P854" s="32">
        <f>15650+3576+832</f>
        <v>20058</v>
      </c>
      <c r="Q854" s="32"/>
      <c r="R854" s="32"/>
      <c r="S854" s="32">
        <f t="shared" si="248"/>
        <v>20058</v>
      </c>
      <c r="T854" s="12"/>
      <c r="U854" s="12">
        <v>13.5</v>
      </c>
      <c r="V854" s="12"/>
      <c r="W854" s="12">
        <f t="shared" si="249"/>
        <v>20071.5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91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M855" s="10">
        <v>19</v>
      </c>
      <c r="N855" s="30" t="s">
        <v>79</v>
      </c>
      <c r="O855" s="31">
        <f t="shared" si="252"/>
        <v>8011</v>
      </c>
      <c r="P855" s="32">
        <f>12520+1102+229+650</f>
        <v>14501</v>
      </c>
      <c r="Q855" s="32"/>
      <c r="R855" s="32"/>
      <c r="S855" s="32">
        <f t="shared" si="248"/>
        <v>14501</v>
      </c>
      <c r="T855" s="12"/>
      <c r="U855" s="12"/>
      <c r="V855" s="12"/>
      <c r="W855" s="12">
        <f t="shared" si="249"/>
        <v>14501</v>
      </c>
      <c r="Y855" s="10">
        <v>19</v>
      </c>
      <c r="Z855" s="30"/>
      <c r="AA855" s="31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91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M856" s="10">
        <v>20</v>
      </c>
      <c r="N856" s="30"/>
      <c r="O856" s="11" t="s">
        <v>27</v>
      </c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91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91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91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M859" s="10">
        <v>23</v>
      </c>
      <c r="N859" s="30"/>
      <c r="O859" s="31"/>
      <c r="P859" s="47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57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M861" s="10">
        <v>25</v>
      </c>
      <c r="N861" s="30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1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1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M862" s="10">
        <v>26</v>
      </c>
      <c r="N862" s="30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57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M866" s="10">
        <v>30</v>
      </c>
      <c r="N866" s="30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57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31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M868" s="10">
        <v>32</v>
      </c>
      <c r="N868" s="30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57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57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M870" s="10">
        <v>34</v>
      </c>
      <c r="N870" s="30"/>
      <c r="O870" s="31"/>
      <c r="P870" s="47"/>
      <c r="Q870" s="31"/>
      <c r="R870" s="31"/>
      <c r="S870" s="32">
        <f t="shared" ref="S870:S875" si="254">SUM(P870:Q870)</f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B870" s="47"/>
      <c r="AC870" s="31"/>
      <c r="AD870" s="31"/>
      <c r="AE870" s="32">
        <f t="shared" si="250"/>
        <v>0</v>
      </c>
      <c r="AF870" s="10"/>
      <c r="AG870" s="10"/>
      <c r="AH870" s="10"/>
      <c r="AI870" s="12">
        <f t="shared" ref="AI870:AI878" si="255">SUM(AE870:AH870)</f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31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54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0"/>
        <v>0</v>
      </c>
      <c r="AF871" s="10"/>
      <c r="AG871" s="10"/>
      <c r="AH871" s="10"/>
      <c r="AI871" s="12">
        <f t="shared" si="25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31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54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0"/>
        <v>0</v>
      </c>
      <c r="AF872" s="10"/>
      <c r="AG872" s="10"/>
      <c r="AH872" s="10"/>
      <c r="AI872" s="12">
        <f t="shared" si="25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54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0"/>
        <v>0</v>
      </c>
      <c r="AF873" s="10"/>
      <c r="AG873" s="10"/>
      <c r="AH873" s="10"/>
      <c r="AI873" s="12">
        <f t="shared" si="25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54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0"/>
        <v>0</v>
      </c>
      <c r="AF874" s="10"/>
      <c r="AG874" s="10"/>
      <c r="AH874" s="10"/>
      <c r="AI874" s="12">
        <f t="shared" si="25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54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0"/>
        <v>0</v>
      </c>
      <c r="AF875" s="10"/>
      <c r="AG875" s="10"/>
      <c r="AH875" s="10"/>
      <c r="AI875" s="12">
        <f t="shared" si="25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411602</v>
      </c>
      <c r="E880" s="38">
        <f t="shared" ref="E880:F880" si="260">SUM(E837:E877)</f>
        <v>-3888</v>
      </c>
      <c r="F880" s="38">
        <f t="shared" si="260"/>
        <v>0</v>
      </c>
      <c r="G880" s="38">
        <f>SUM(G837:G879)</f>
        <v>407714</v>
      </c>
      <c r="H880" s="4"/>
      <c r="I880" s="39">
        <f>SUM(I837:I879)</f>
        <v>702</v>
      </c>
      <c r="J880" s="39">
        <f>SUM(J837:J879)</f>
        <v>-420</v>
      </c>
      <c r="K880" s="40">
        <f>SUM(K837:K879)</f>
        <v>407996</v>
      </c>
      <c r="N880" s="57"/>
      <c r="O880" s="57"/>
      <c r="P880" s="38">
        <f>SUM(P837:P879)</f>
        <v>224811.5</v>
      </c>
      <c r="Q880" s="38">
        <f>SUM(Q837:Q861)</f>
        <v>-1206</v>
      </c>
      <c r="R880" s="38">
        <f>SUM(R837:R861)</f>
        <v>0</v>
      </c>
      <c r="S880" s="38">
        <f>SUM(S837:S879)</f>
        <v>223605.5</v>
      </c>
      <c r="T880" s="4"/>
      <c r="U880" s="41">
        <f>SUM(U837:U879)</f>
        <v>11495.25</v>
      </c>
      <c r="V880" s="41">
        <f>SUM(V837:V861)</f>
        <v>-2918</v>
      </c>
      <c r="W880" s="42">
        <f>SUM(W837:W879)</f>
        <v>232182.75</v>
      </c>
      <c r="Z880" s="57"/>
      <c r="AA880" s="57"/>
      <c r="AB880" s="38">
        <f>SUM(AB837:AB879)</f>
        <v>318570</v>
      </c>
      <c r="AC880" s="38">
        <f>SUM(AC837:AC861)</f>
        <v>-1212</v>
      </c>
      <c r="AD880" s="38">
        <f>SUM(AD837:AD861)</f>
        <v>0</v>
      </c>
      <c r="AE880" s="38">
        <f>SUM(AE837:AE879)</f>
        <v>317358</v>
      </c>
      <c r="AF880" s="4"/>
      <c r="AG880" s="41">
        <f>SUM(AG837:AG879)</f>
        <v>10161</v>
      </c>
      <c r="AH880" s="41">
        <f>SUM(AH837:AH861)</f>
        <v>-120</v>
      </c>
      <c r="AI880" s="42">
        <f>SUM(AI837:AI879)</f>
        <v>327399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81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81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37</v>
      </c>
      <c r="W888" s="24"/>
      <c r="Y888" s="21" t="s">
        <v>81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6" t="s">
        <v>17</v>
      </c>
      <c r="E890" s="126"/>
      <c r="F890" s="111"/>
      <c r="G890" s="27"/>
      <c r="I890" s="124" t="s">
        <v>18</v>
      </c>
      <c r="J890" s="125"/>
      <c r="K890" s="122" t="s">
        <v>19</v>
      </c>
      <c r="N890" s="25"/>
      <c r="O890" s="26"/>
      <c r="P890" s="126" t="s">
        <v>17</v>
      </c>
      <c r="Q890" s="126"/>
      <c r="R890" s="111"/>
      <c r="S890" s="27"/>
      <c r="U890" s="124" t="s">
        <v>18</v>
      </c>
      <c r="V890" s="125"/>
      <c r="W890" s="122" t="s">
        <v>19</v>
      </c>
      <c r="Z890" s="25"/>
      <c r="AA890" s="26"/>
      <c r="AB890" s="126" t="s">
        <v>17</v>
      </c>
      <c r="AC890" s="126"/>
      <c r="AD890" s="111"/>
      <c r="AE890" s="27"/>
      <c r="AG890" s="124" t="s">
        <v>18</v>
      </c>
      <c r="AH890" s="125"/>
      <c r="AI890" s="122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23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23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23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82</v>
      </c>
      <c r="C892" s="91">
        <v>7982</v>
      </c>
      <c r="D892" s="32">
        <f>37560+11920</f>
        <v>49480</v>
      </c>
      <c r="E892" s="32"/>
      <c r="F892" s="32"/>
      <c r="G892" s="32">
        <f t="shared" ref="G892:G925" si="261">SUM(D892:E892)</f>
        <v>49480</v>
      </c>
      <c r="H892" s="12"/>
      <c r="I892" s="12">
        <f>8880</f>
        <v>8880</v>
      </c>
      <c r="J892" s="12"/>
      <c r="K892" s="12">
        <f t="shared" ref="K892:K925" si="262">SUM(G892:J892)</f>
        <v>58360</v>
      </c>
      <c r="M892" s="10">
        <v>1</v>
      </c>
      <c r="N892" s="30" t="s">
        <v>82</v>
      </c>
      <c r="O892" s="31">
        <v>8012</v>
      </c>
      <c r="P892" s="32">
        <f>13772+1788+458</f>
        <v>16018</v>
      </c>
      <c r="Q892" s="32"/>
      <c r="R892" s="32"/>
      <c r="S892" s="32">
        <f>SUM(P892:Q892)</f>
        <v>16018</v>
      </c>
      <c r="T892" s="12"/>
      <c r="U892" s="12">
        <f>72+3</f>
        <v>75</v>
      </c>
      <c r="V892" s="12"/>
      <c r="W892" s="12">
        <f>SUM(S892:V892)</f>
        <v>16093</v>
      </c>
      <c r="Y892" s="10">
        <v>1</v>
      </c>
      <c r="Z892" s="30" t="s">
        <v>82</v>
      </c>
      <c r="AA892" s="31">
        <v>7886</v>
      </c>
      <c r="AB892" s="32">
        <f>138972+852+2010+1664</f>
        <v>143498</v>
      </c>
      <c r="AC892" s="32">
        <v>-1362</v>
      </c>
      <c r="AD892" s="32"/>
      <c r="AE892" s="32">
        <f>SUM(AB892:AC892)</f>
        <v>142136</v>
      </c>
      <c r="AF892" s="12"/>
      <c r="AG892" s="12">
        <v>1332</v>
      </c>
      <c r="AH892" s="12"/>
      <c r="AI892" s="12">
        <f>SUM(AE892:AH892)</f>
        <v>143468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82</v>
      </c>
      <c r="C893" s="91">
        <f>C892+1</f>
        <v>7983</v>
      </c>
      <c r="D893" s="32">
        <f>56340+1842+5960+832</f>
        <v>64974</v>
      </c>
      <c r="E893" s="32"/>
      <c r="F893" s="32"/>
      <c r="G893" s="32">
        <f t="shared" si="261"/>
        <v>64974</v>
      </c>
      <c r="H893" s="12"/>
      <c r="I893" s="12">
        <f>2220+648</f>
        <v>2868</v>
      </c>
      <c r="J893" s="12"/>
      <c r="K893" s="12">
        <f t="shared" si="262"/>
        <v>67842</v>
      </c>
      <c r="M893" s="10">
        <v>2</v>
      </c>
      <c r="N893" s="30" t="s">
        <v>82</v>
      </c>
      <c r="O893" s="31">
        <f>O892+1</f>
        <v>8013</v>
      </c>
      <c r="P893" s="32">
        <f>1878+28.5</f>
        <v>1906.5</v>
      </c>
      <c r="Q893" s="32"/>
      <c r="R893" s="32"/>
      <c r="S893" s="32">
        <f t="shared" ref="S893:S924" si="263">SUM(P893:Q893)</f>
        <v>1906.5</v>
      </c>
      <c r="T893" s="12"/>
      <c r="U893" s="12"/>
      <c r="V893" s="12"/>
      <c r="W893" s="12">
        <f t="shared" ref="W893:W933" si="264">SUM(S893:V893)</f>
        <v>1906.5</v>
      </c>
      <c r="Y893" s="10">
        <v>2</v>
      </c>
      <c r="Z893" s="30" t="s">
        <v>82</v>
      </c>
      <c r="AA893" s="31">
        <f>AA892+1</f>
        <v>7887</v>
      </c>
      <c r="AB893" s="32">
        <f>75120+7368+2980+687</f>
        <v>86155</v>
      </c>
      <c r="AC893" s="32">
        <v>-762</v>
      </c>
      <c r="AD893" s="32"/>
      <c r="AE893" s="32">
        <f t="shared" ref="AE893:AE930" si="265">SUM(AB893:AC893)</f>
        <v>85393</v>
      </c>
      <c r="AF893" s="12"/>
      <c r="AG893" s="12"/>
      <c r="AH893" s="12"/>
      <c r="AI893" s="12">
        <f t="shared" ref="AI893:AI924" si="266">SUM(AE893:AH893)</f>
        <v>85393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82</v>
      </c>
      <c r="C894" s="91">
        <f t="shared" ref="C894:C898" si="267">C893+1</f>
        <v>7984</v>
      </c>
      <c r="D894" s="33">
        <f>18780+614+114</f>
        <v>19508</v>
      </c>
      <c r="E894" s="33"/>
      <c r="F894" s="33"/>
      <c r="G894" s="33">
        <f t="shared" si="261"/>
        <v>19508</v>
      </c>
      <c r="H894" s="34"/>
      <c r="I894" s="34"/>
      <c r="J894" s="34"/>
      <c r="K894" s="34">
        <f t="shared" si="262"/>
        <v>19508</v>
      </c>
      <c r="M894" s="10">
        <v>3</v>
      </c>
      <c r="N894" s="30" t="s">
        <v>82</v>
      </c>
      <c r="O894" s="31">
        <f t="shared" ref="O894:O911" si="268">O893+1</f>
        <v>8014</v>
      </c>
      <c r="P894" s="32">
        <f>626+9.5</f>
        <v>635.5</v>
      </c>
      <c r="Q894" s="32"/>
      <c r="R894" s="32"/>
      <c r="S894" s="32">
        <f t="shared" si="263"/>
        <v>635.5</v>
      </c>
      <c r="T894" s="12"/>
      <c r="U894" s="12"/>
      <c r="V894" s="12"/>
      <c r="W894" s="12">
        <f t="shared" si="264"/>
        <v>635.5</v>
      </c>
      <c r="Y894" s="10">
        <v>3</v>
      </c>
      <c r="Z894" s="30" t="s">
        <v>82</v>
      </c>
      <c r="AA894" s="31">
        <f t="shared" ref="AA894:AA896" si="269">AA893+1</f>
        <v>7888</v>
      </c>
      <c r="AB894" s="33">
        <f>6260+2384+133</f>
        <v>8777</v>
      </c>
      <c r="AC894" s="33"/>
      <c r="AD894" s="32"/>
      <c r="AE894" s="32">
        <f t="shared" si="265"/>
        <v>8777</v>
      </c>
      <c r="AF894" s="12"/>
      <c r="AG894" s="12"/>
      <c r="AH894" s="12"/>
      <c r="AI894" s="12">
        <f t="shared" si="266"/>
        <v>8777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82</v>
      </c>
      <c r="C895" s="91">
        <f t="shared" si="267"/>
        <v>7985</v>
      </c>
      <c r="D895" s="32">
        <f>21284+3576</f>
        <v>24860</v>
      </c>
      <c r="E895" s="32"/>
      <c r="F895" s="32"/>
      <c r="G895" s="32">
        <f t="shared" si="261"/>
        <v>24860</v>
      </c>
      <c r="H895" s="12"/>
      <c r="I895" s="12"/>
      <c r="J895" s="12"/>
      <c r="K895" s="12">
        <f t="shared" si="262"/>
        <v>24860</v>
      </c>
      <c r="M895" s="10">
        <v>4</v>
      </c>
      <c r="N895" s="30" t="s">
        <v>82</v>
      </c>
      <c r="O895" s="31">
        <f t="shared" si="268"/>
        <v>8015</v>
      </c>
      <c r="P895" s="32">
        <f>21910+674</f>
        <v>22584</v>
      </c>
      <c r="Q895" s="32"/>
      <c r="R895" s="32"/>
      <c r="S895" s="32">
        <f t="shared" si="263"/>
        <v>22584</v>
      </c>
      <c r="T895" s="12"/>
      <c r="U895" s="12">
        <v>45</v>
      </c>
      <c r="V895" s="12"/>
      <c r="W895" s="12">
        <f t="shared" si="264"/>
        <v>22629</v>
      </c>
      <c r="Y895" s="10">
        <v>4</v>
      </c>
      <c r="Z895" s="30" t="s">
        <v>82</v>
      </c>
      <c r="AA895" s="31">
        <f t="shared" si="269"/>
        <v>7889</v>
      </c>
      <c r="AB895" s="32">
        <f>8764+913+458+1000</f>
        <v>11135</v>
      </c>
      <c r="AC895" s="32"/>
      <c r="AD895" s="32"/>
      <c r="AE895" s="32">
        <f t="shared" si="265"/>
        <v>11135</v>
      </c>
      <c r="AF895" s="12"/>
      <c r="AG895">
        <v>148.5</v>
      </c>
      <c r="AH895" s="12"/>
      <c r="AI895" s="12">
        <f t="shared" si="266"/>
        <v>11283.5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82</v>
      </c>
      <c r="C896" s="91">
        <f t="shared" si="267"/>
        <v>7986</v>
      </c>
      <c r="D896" s="32">
        <f>540238+25560+6870</f>
        <v>572668</v>
      </c>
      <c r="E896" s="32">
        <v>-5358</v>
      </c>
      <c r="F896" s="32"/>
      <c r="G896" s="32">
        <f t="shared" si="261"/>
        <v>567310</v>
      </c>
      <c r="H896" s="12"/>
      <c r="I896" s="12">
        <f>34188+312</f>
        <v>34500</v>
      </c>
      <c r="J896" s="12">
        <f>-240+-3480+-3996+-2100+-630</f>
        <v>-10446</v>
      </c>
      <c r="K896" s="12">
        <f t="shared" si="262"/>
        <v>591364</v>
      </c>
      <c r="M896" s="10">
        <v>5</v>
      </c>
      <c r="N896" s="30" t="s">
        <v>82</v>
      </c>
      <c r="O896" s="31">
        <f t="shared" si="268"/>
        <v>8016</v>
      </c>
      <c r="P896" s="32">
        <f>12*626+1192+114</f>
        <v>8818</v>
      </c>
      <c r="Q896" s="32"/>
      <c r="R896" s="32"/>
      <c r="S896" s="32">
        <f t="shared" si="263"/>
        <v>8818</v>
      </c>
      <c r="T896" s="12"/>
      <c r="U896" s="12">
        <f>9*4.5</f>
        <v>40.5</v>
      </c>
      <c r="V896" s="12"/>
      <c r="W896" s="12">
        <f t="shared" si="264"/>
        <v>8858.5</v>
      </c>
      <c r="Y896" s="10">
        <v>5</v>
      </c>
      <c r="Z896" s="30" t="s">
        <v>82</v>
      </c>
      <c r="AA896" s="31">
        <f t="shared" si="269"/>
        <v>7890</v>
      </c>
      <c r="AB896" s="32">
        <f>626*26+596*5</f>
        <v>19256</v>
      </c>
      <c r="AC896" s="32"/>
      <c r="AD896" s="32"/>
      <c r="AE896" s="32">
        <f t="shared" si="265"/>
        <v>19256</v>
      </c>
      <c r="AF896" s="12"/>
      <c r="AG896" s="12"/>
      <c r="AH896" s="12">
        <v>-2886</v>
      </c>
      <c r="AI896" s="12">
        <f t="shared" si="266"/>
        <v>16370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82</v>
      </c>
      <c r="C897" s="91">
        <f t="shared" si="267"/>
        <v>7987</v>
      </c>
      <c r="D897" s="32">
        <f>11268+3328</f>
        <v>14596</v>
      </c>
      <c r="E897" s="32"/>
      <c r="F897" s="32"/>
      <c r="G897" s="32">
        <f t="shared" si="261"/>
        <v>14596</v>
      </c>
      <c r="H897" s="12"/>
      <c r="I897" s="12"/>
      <c r="J897" s="12"/>
      <c r="K897" s="12">
        <f t="shared" si="262"/>
        <v>14596</v>
      </c>
      <c r="M897" s="10">
        <v>6</v>
      </c>
      <c r="N897" s="30" t="s">
        <v>82</v>
      </c>
      <c r="O897" s="31">
        <f t="shared" si="268"/>
        <v>8017</v>
      </c>
      <c r="P897" s="32">
        <f>1252+596+28.5</f>
        <v>1876.5</v>
      </c>
      <c r="Q897" s="32"/>
      <c r="R897" s="32"/>
      <c r="S897" s="32">
        <f t="shared" si="263"/>
        <v>1876.5</v>
      </c>
      <c r="T897" s="12"/>
      <c r="U897" s="12"/>
      <c r="V897" s="10"/>
      <c r="W897" s="12">
        <f t="shared" si="264"/>
        <v>1876.5</v>
      </c>
      <c r="Y897" s="10">
        <v>6</v>
      </c>
      <c r="Z897" s="30"/>
      <c r="AA897" s="11" t="s">
        <v>27</v>
      </c>
      <c r="AB897" s="32"/>
      <c r="AC897" s="32"/>
      <c r="AD897" s="32"/>
      <c r="AE897" s="32">
        <f t="shared" si="265"/>
        <v>0</v>
      </c>
      <c r="AF897" s="12"/>
      <c r="AG897" s="12"/>
      <c r="AH897" s="10"/>
      <c r="AI897" s="12">
        <f t="shared" si="266"/>
        <v>0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82</v>
      </c>
      <c r="C898" s="91">
        <f t="shared" si="267"/>
        <v>7988</v>
      </c>
      <c r="D898" s="32">
        <f>25040</f>
        <v>25040</v>
      </c>
      <c r="E898" s="32"/>
      <c r="F898" s="32"/>
      <c r="G898" s="32">
        <f t="shared" si="261"/>
        <v>25040</v>
      </c>
      <c r="H898" s="12"/>
      <c r="I898" s="12"/>
      <c r="J898" s="12"/>
      <c r="K898" s="12">
        <f t="shared" si="262"/>
        <v>25040</v>
      </c>
      <c r="M898" s="10">
        <v>7</v>
      </c>
      <c r="N898" s="30" t="s">
        <v>82</v>
      </c>
      <c r="O898" s="31">
        <f t="shared" si="268"/>
        <v>8018</v>
      </c>
      <c r="P898" s="32">
        <f>1252+1192+852+38</f>
        <v>3334</v>
      </c>
      <c r="Q898" s="32"/>
      <c r="R898" s="32"/>
      <c r="S898" s="32">
        <f t="shared" si="263"/>
        <v>3334</v>
      </c>
      <c r="T898" s="12"/>
      <c r="U898" s="12"/>
      <c r="V898" s="12"/>
      <c r="W898" s="12">
        <f t="shared" si="264"/>
        <v>3334</v>
      </c>
      <c r="Y898" s="10">
        <v>7</v>
      </c>
      <c r="Z898" s="30"/>
      <c r="AA898" s="31"/>
      <c r="AB898" s="32"/>
      <c r="AC898" s="32"/>
      <c r="AD898" s="32"/>
      <c r="AE898" s="32">
        <f t="shared" si="265"/>
        <v>0</v>
      </c>
      <c r="AF898" s="12"/>
      <c r="AG898" s="58"/>
      <c r="AH898" s="12"/>
      <c r="AI898" s="12">
        <f t="shared" si="266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11" t="s">
        <v>27</v>
      </c>
      <c r="D899" s="32"/>
      <c r="E899" s="32"/>
      <c r="F899" s="32"/>
      <c r="G899" s="32">
        <f t="shared" si="261"/>
        <v>0</v>
      </c>
      <c r="H899" s="12"/>
      <c r="I899" s="12"/>
      <c r="J899" s="12"/>
      <c r="K899" s="12">
        <f t="shared" si="262"/>
        <v>0</v>
      </c>
      <c r="M899" s="10">
        <v>8</v>
      </c>
      <c r="N899" s="30" t="s">
        <v>82</v>
      </c>
      <c r="O899" s="31">
        <f t="shared" si="268"/>
        <v>8019</v>
      </c>
      <c r="P899" s="32">
        <f>40064+458</f>
        <v>40522</v>
      </c>
      <c r="Q899" s="32"/>
      <c r="R899" s="32"/>
      <c r="S899" s="32">
        <f t="shared" si="263"/>
        <v>40522</v>
      </c>
      <c r="T899" s="12"/>
      <c r="U899" s="12">
        <f>126+72</f>
        <v>198</v>
      </c>
      <c r="V899" s="12"/>
      <c r="W899" s="12">
        <f t="shared" si="264"/>
        <v>40720</v>
      </c>
      <c r="Y899" s="10">
        <v>8</v>
      </c>
      <c r="Z899" s="30"/>
      <c r="AA899" s="31"/>
      <c r="AB899" s="32"/>
      <c r="AC899" s="32"/>
      <c r="AE899" s="32">
        <f t="shared" si="265"/>
        <v>0</v>
      </c>
      <c r="AF899" s="12"/>
      <c r="AG899" s="12"/>
      <c r="AH899" s="12"/>
      <c r="AI899" s="12">
        <f t="shared" si="266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91"/>
      <c r="D900" s="32"/>
      <c r="E900" s="32"/>
      <c r="F900" s="32"/>
      <c r="G900" s="32">
        <f t="shared" si="261"/>
        <v>0</v>
      </c>
      <c r="H900" s="12"/>
      <c r="I900" s="12"/>
      <c r="J900" s="12"/>
      <c r="K900" s="12">
        <f t="shared" si="262"/>
        <v>0</v>
      </c>
      <c r="M900" s="10">
        <v>9</v>
      </c>
      <c r="N900" s="30" t="s">
        <v>82</v>
      </c>
      <c r="O900" s="31">
        <f t="shared" si="268"/>
        <v>8020</v>
      </c>
      <c r="P900" s="32">
        <f>17528+1228+5960+458+1300</f>
        <v>26474</v>
      </c>
      <c r="Q900" s="32"/>
      <c r="R900" s="32"/>
      <c r="S900" s="32">
        <f t="shared" si="263"/>
        <v>26474</v>
      </c>
      <c r="T900" s="12"/>
      <c r="U900" s="12">
        <f>333+72</f>
        <v>405</v>
      </c>
      <c r="V900" s="12"/>
      <c r="W900" s="12">
        <f t="shared" si="264"/>
        <v>26879</v>
      </c>
      <c r="Y900" s="10">
        <v>9</v>
      </c>
      <c r="Z900" s="30"/>
      <c r="AA900" s="31"/>
      <c r="AC900" s="32"/>
      <c r="AD900" s="32"/>
      <c r="AE900" s="32">
        <f t="shared" si="265"/>
        <v>0</v>
      </c>
      <c r="AF900" s="12"/>
      <c r="AH900" s="12"/>
      <c r="AI900" s="12">
        <f t="shared" si="266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91"/>
      <c r="D901" s="32"/>
      <c r="E901" s="32"/>
      <c r="F901" s="32"/>
      <c r="G901" s="32">
        <f t="shared" si="261"/>
        <v>0</v>
      </c>
      <c r="H901" s="12"/>
      <c r="I901" s="12"/>
      <c r="J901" s="12"/>
      <c r="K901" s="12">
        <f t="shared" si="262"/>
        <v>0</v>
      </c>
      <c r="M901" s="10">
        <v>10</v>
      </c>
      <c r="N901" s="30" t="s">
        <v>82</v>
      </c>
      <c r="O901" s="31">
        <f t="shared" si="268"/>
        <v>8021</v>
      </c>
      <c r="P901" s="32">
        <f>1878+112</f>
        <v>1990</v>
      </c>
      <c r="Q901" s="32"/>
      <c r="R901" s="32"/>
      <c r="S901" s="32">
        <f t="shared" si="263"/>
        <v>1990</v>
      </c>
      <c r="T901" s="12"/>
      <c r="U901" s="12"/>
      <c r="V901" s="12"/>
      <c r="W901" s="12">
        <f t="shared" si="264"/>
        <v>1990</v>
      </c>
      <c r="Y901" s="10">
        <v>10</v>
      </c>
      <c r="Z901" s="30"/>
      <c r="AA901" s="31"/>
      <c r="AB901" s="32"/>
      <c r="AC901" s="32"/>
      <c r="AD901" s="32"/>
      <c r="AE901" s="32">
        <f t="shared" si="265"/>
        <v>0</v>
      </c>
      <c r="AF901" s="12"/>
      <c r="AG901" s="12"/>
      <c r="AH901" s="12"/>
      <c r="AI901" s="12">
        <f t="shared" si="266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91"/>
      <c r="D902" s="32"/>
      <c r="E902" s="32"/>
      <c r="F902" s="32"/>
      <c r="G902" s="32">
        <f t="shared" si="261"/>
        <v>0</v>
      </c>
      <c r="H902" s="12"/>
      <c r="I902" s="12"/>
      <c r="J902" s="12"/>
      <c r="K902" s="12">
        <f t="shared" si="262"/>
        <v>0</v>
      </c>
      <c r="M902" s="10">
        <v>11</v>
      </c>
      <c r="N902" s="30" t="s">
        <v>82</v>
      </c>
      <c r="O902" s="31">
        <f t="shared" si="268"/>
        <v>8022</v>
      </c>
      <c r="P902" s="32">
        <f>1878+112</f>
        <v>1990</v>
      </c>
      <c r="Q902" s="32"/>
      <c r="R902" s="32"/>
      <c r="S902" s="32">
        <f t="shared" si="263"/>
        <v>1990</v>
      </c>
      <c r="T902" s="12"/>
      <c r="U902" s="12"/>
      <c r="V902" s="12"/>
      <c r="W902" s="12">
        <f t="shared" si="264"/>
        <v>1990</v>
      </c>
      <c r="Y902" s="10">
        <v>11</v>
      </c>
      <c r="Z902" s="30"/>
      <c r="AB902" s="32"/>
      <c r="AC902" s="32"/>
      <c r="AD902" s="32"/>
      <c r="AE902" s="32">
        <f t="shared" si="265"/>
        <v>0</v>
      </c>
      <c r="AF902" s="12"/>
      <c r="AG902" s="12"/>
      <c r="AH902" s="12"/>
      <c r="AI902" s="12">
        <f t="shared" si="26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91"/>
      <c r="D903" s="32"/>
      <c r="E903" s="32"/>
      <c r="F903" s="32"/>
      <c r="G903" s="32">
        <f t="shared" si="261"/>
        <v>0</v>
      </c>
      <c r="H903" s="12"/>
      <c r="I903" s="12"/>
      <c r="J903" s="10"/>
      <c r="K903" s="12">
        <f t="shared" si="262"/>
        <v>0</v>
      </c>
      <c r="M903" s="10">
        <v>12</v>
      </c>
      <c r="N903" s="30" t="s">
        <v>82</v>
      </c>
      <c r="O903" s="31">
        <f t="shared" si="268"/>
        <v>8023</v>
      </c>
      <c r="P903" s="32">
        <f>1252+19</f>
        <v>1271</v>
      </c>
      <c r="Q903" s="32"/>
      <c r="R903" s="32"/>
      <c r="S903" s="32">
        <f t="shared" si="263"/>
        <v>1271</v>
      </c>
      <c r="T903" s="12"/>
      <c r="U903" s="12"/>
      <c r="V903" s="12"/>
      <c r="W903" s="12">
        <f t="shared" si="264"/>
        <v>1271</v>
      </c>
      <c r="Y903" s="10">
        <v>12</v>
      </c>
      <c r="Z903" s="30"/>
      <c r="AA903" s="31"/>
      <c r="AB903" s="32"/>
      <c r="AC903" s="32"/>
      <c r="AD903" s="32"/>
      <c r="AE903" s="32">
        <f t="shared" si="265"/>
        <v>0</v>
      </c>
      <c r="AF903" s="12"/>
      <c r="AG903" s="12"/>
      <c r="AH903" s="12"/>
      <c r="AI903" s="12">
        <f t="shared" si="26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91"/>
      <c r="D904" s="32"/>
      <c r="E904" s="32"/>
      <c r="F904" s="32"/>
      <c r="G904" s="32">
        <f t="shared" si="261"/>
        <v>0</v>
      </c>
      <c r="H904" s="12"/>
      <c r="I904" s="12"/>
      <c r="J904" s="12"/>
      <c r="K904" s="12">
        <f t="shared" si="262"/>
        <v>0</v>
      </c>
      <c r="M904" s="10">
        <v>13</v>
      </c>
      <c r="N904" s="30" t="s">
        <v>82</v>
      </c>
      <c r="O904" s="31">
        <f t="shared" si="268"/>
        <v>8024</v>
      </c>
      <c r="P904" s="32">
        <f>6260+95</f>
        <v>6355</v>
      </c>
      <c r="Q904" s="32"/>
      <c r="R904" s="32"/>
      <c r="S904" s="32">
        <f t="shared" si="263"/>
        <v>6355</v>
      </c>
      <c r="T904" s="12"/>
      <c r="U904" s="12">
        <v>9</v>
      </c>
      <c r="V904" s="12"/>
      <c r="W904" s="12">
        <f t="shared" si="264"/>
        <v>6364</v>
      </c>
      <c r="Y904" s="10">
        <v>13</v>
      </c>
      <c r="Z904" s="30"/>
      <c r="AA904" s="31"/>
      <c r="AB904" s="32"/>
      <c r="AC904" s="32"/>
      <c r="AD904" s="32"/>
      <c r="AE904" s="32">
        <f t="shared" si="265"/>
        <v>0</v>
      </c>
      <c r="AF904" s="12"/>
      <c r="AG904" s="12"/>
      <c r="AH904" s="12"/>
      <c r="AI904" s="12">
        <f t="shared" si="26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91"/>
      <c r="D905" s="32"/>
      <c r="E905" s="32"/>
      <c r="F905" s="32"/>
      <c r="G905" s="32">
        <f t="shared" si="261"/>
        <v>0</v>
      </c>
      <c r="H905" s="12"/>
      <c r="I905" s="12"/>
      <c r="J905" s="12"/>
      <c r="K905" s="12">
        <f t="shared" si="262"/>
        <v>0</v>
      </c>
      <c r="M905" s="10">
        <v>14</v>
      </c>
      <c r="N905" s="30" t="s">
        <v>82</v>
      </c>
      <c r="O905" s="31">
        <f t="shared" si="268"/>
        <v>8025</v>
      </c>
      <c r="P905" s="32">
        <f>5008+596+9.5*9</f>
        <v>5689.5</v>
      </c>
      <c r="Q905" s="32"/>
      <c r="R905" s="32"/>
      <c r="S905" s="32">
        <f t="shared" si="263"/>
        <v>5689.5</v>
      </c>
      <c r="T905" s="12"/>
      <c r="U905" s="12"/>
      <c r="V905" s="12"/>
      <c r="W905" s="12">
        <f t="shared" si="264"/>
        <v>5689.5</v>
      </c>
      <c r="Y905" s="10">
        <v>14</v>
      </c>
      <c r="Z905" s="30"/>
      <c r="AA905" s="31"/>
      <c r="AB905" s="32"/>
      <c r="AC905" s="32"/>
      <c r="AD905" s="32"/>
      <c r="AE905" s="32">
        <f t="shared" si="265"/>
        <v>0</v>
      </c>
      <c r="AF905" s="12"/>
      <c r="AG905" s="12"/>
      <c r="AH905" s="12"/>
      <c r="AI905" s="12">
        <f t="shared" si="26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91"/>
      <c r="D906" s="32"/>
      <c r="E906" s="32"/>
      <c r="F906" s="32"/>
      <c r="G906" s="32">
        <f t="shared" si="261"/>
        <v>0</v>
      </c>
      <c r="H906" s="12"/>
      <c r="I906" s="12"/>
      <c r="J906" s="12"/>
      <c r="K906" s="12">
        <f t="shared" si="262"/>
        <v>0</v>
      </c>
      <c r="M906" s="10">
        <v>15</v>
      </c>
      <c r="N906" s="30" t="s">
        <v>82</v>
      </c>
      <c r="O906" s="31">
        <f t="shared" si="268"/>
        <v>8026</v>
      </c>
      <c r="P906" s="32">
        <f>3130+47.5</f>
        <v>3177.5</v>
      </c>
      <c r="Q906" s="32"/>
      <c r="R906" s="32"/>
      <c r="S906" s="32">
        <f t="shared" si="263"/>
        <v>3177.5</v>
      </c>
      <c r="T906" s="12"/>
      <c r="U906" s="12">
        <v>22.5</v>
      </c>
      <c r="V906" s="12"/>
      <c r="W906" s="12">
        <f t="shared" si="264"/>
        <v>3200</v>
      </c>
      <c r="Y906" s="10">
        <v>15</v>
      </c>
      <c r="Z906" s="30"/>
      <c r="AA906" s="31"/>
      <c r="AB906" s="32"/>
      <c r="AC906" s="32"/>
      <c r="AD906" s="32"/>
      <c r="AE906" s="32">
        <f t="shared" si="265"/>
        <v>0</v>
      </c>
      <c r="AF906" s="12"/>
      <c r="AG906" s="12"/>
      <c r="AH906" s="12"/>
      <c r="AI906" s="12">
        <f t="shared" si="26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D907" s="32"/>
      <c r="E907" s="32"/>
      <c r="F907" s="32"/>
      <c r="G907" s="32">
        <f t="shared" si="261"/>
        <v>0</v>
      </c>
      <c r="H907" s="12"/>
      <c r="I907" s="12"/>
      <c r="J907" s="12"/>
      <c r="K907" s="12">
        <f t="shared" si="262"/>
        <v>0</v>
      </c>
      <c r="M907" s="10">
        <v>16</v>
      </c>
      <c r="N907" s="30" t="s">
        <v>82</v>
      </c>
      <c r="O907" s="31">
        <f t="shared" si="268"/>
        <v>8027</v>
      </c>
      <c r="P907" s="32">
        <f>626+9.5</f>
        <v>635.5</v>
      </c>
      <c r="Q907" s="32"/>
      <c r="R907" s="32"/>
      <c r="S907" s="32">
        <f t="shared" si="263"/>
        <v>635.5</v>
      </c>
      <c r="T907" s="12"/>
      <c r="U907" s="12">
        <f>111</f>
        <v>111</v>
      </c>
      <c r="V907" s="12"/>
      <c r="W907" s="12">
        <f t="shared" si="264"/>
        <v>746.5</v>
      </c>
      <c r="Y907" s="10">
        <v>16</v>
      </c>
      <c r="Z907" s="30"/>
      <c r="AB907" s="32"/>
      <c r="AC907" s="32"/>
      <c r="AD907" s="32"/>
      <c r="AE907" s="32">
        <f t="shared" si="265"/>
        <v>0</v>
      </c>
      <c r="AF907" s="12"/>
      <c r="AG907" s="12"/>
      <c r="AH907" s="12"/>
      <c r="AI907" s="12">
        <f t="shared" si="26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91"/>
      <c r="D908" s="32"/>
      <c r="E908" s="32"/>
      <c r="F908" s="32"/>
      <c r="G908" s="32">
        <f t="shared" si="261"/>
        <v>0</v>
      </c>
      <c r="H908" s="12"/>
      <c r="I908" s="12"/>
      <c r="J908" s="12"/>
      <c r="K908" s="12">
        <f t="shared" si="262"/>
        <v>0</v>
      </c>
      <c r="M908" s="10">
        <v>17</v>
      </c>
      <c r="N908" s="30" t="s">
        <v>82</v>
      </c>
      <c r="O908" s="31">
        <f t="shared" si="268"/>
        <v>8028</v>
      </c>
      <c r="P908" s="35">
        <f>1878+38</f>
        <v>1916</v>
      </c>
      <c r="Q908" s="32"/>
      <c r="R908" s="32"/>
      <c r="S908" s="32">
        <f t="shared" si="263"/>
        <v>1916</v>
      </c>
      <c r="T908" s="12"/>
      <c r="U908" s="12"/>
      <c r="V908" s="12">
        <v>-111</v>
      </c>
      <c r="W908" s="12">
        <f t="shared" si="264"/>
        <v>1805</v>
      </c>
      <c r="Y908" s="10">
        <v>17</v>
      </c>
      <c r="Z908" s="30"/>
      <c r="AA908" s="31"/>
      <c r="AB908" s="35"/>
      <c r="AC908" s="32"/>
      <c r="AD908" s="32"/>
      <c r="AE908" s="32">
        <f t="shared" si="265"/>
        <v>0</v>
      </c>
      <c r="AF908" s="12"/>
      <c r="AG908" s="12"/>
      <c r="AH908" s="12"/>
      <c r="AI908" s="12">
        <f t="shared" si="26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57"/>
      <c r="D909" s="32"/>
      <c r="E909" s="32"/>
      <c r="F909" s="32"/>
      <c r="G909" s="32">
        <f t="shared" si="261"/>
        <v>0</v>
      </c>
      <c r="H909" s="12"/>
      <c r="I909" s="12"/>
      <c r="J909" s="12"/>
      <c r="K909" s="12">
        <f t="shared" si="262"/>
        <v>0</v>
      </c>
      <c r="M909" s="10">
        <v>18</v>
      </c>
      <c r="N909" s="30" t="s">
        <v>82</v>
      </c>
      <c r="O909" s="31">
        <f t="shared" si="268"/>
        <v>8029</v>
      </c>
      <c r="P909" s="32">
        <f>25040</f>
        <v>25040</v>
      </c>
      <c r="Q909" s="32"/>
      <c r="R909" s="32"/>
      <c r="S909" s="32">
        <f t="shared" si="263"/>
        <v>25040</v>
      </c>
      <c r="T909" s="12"/>
      <c r="U909" s="12"/>
      <c r="V909" s="12"/>
      <c r="W909" s="12">
        <f t="shared" si="264"/>
        <v>25040</v>
      </c>
      <c r="Y909" s="10">
        <v>18</v>
      </c>
      <c r="Z909" s="30"/>
      <c r="AA909" s="31"/>
      <c r="AB909" s="32"/>
      <c r="AC909" s="32"/>
      <c r="AD909" s="32"/>
      <c r="AE909" s="32">
        <f t="shared" si="265"/>
        <v>0</v>
      </c>
      <c r="AF909" s="12"/>
      <c r="AG909" s="12"/>
      <c r="AH909" s="12"/>
      <c r="AI909" s="12">
        <f t="shared" si="26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91"/>
      <c r="D910" s="32"/>
      <c r="E910" s="32"/>
      <c r="F910" s="32"/>
      <c r="G910" s="32">
        <f t="shared" si="261"/>
        <v>0</v>
      </c>
      <c r="H910" s="12"/>
      <c r="I910" s="12"/>
      <c r="J910" s="12"/>
      <c r="K910" s="12">
        <f t="shared" si="262"/>
        <v>0</v>
      </c>
      <c r="M910" s="10">
        <v>19</v>
      </c>
      <c r="N910" s="30" t="s">
        <v>82</v>
      </c>
      <c r="O910" s="31">
        <f t="shared" si="268"/>
        <v>8030</v>
      </c>
      <c r="P910" s="32">
        <f>28170+1842+1192+229</f>
        <v>31433</v>
      </c>
      <c r="Q910" s="32"/>
      <c r="R910" s="32"/>
      <c r="S910" s="32">
        <f t="shared" si="263"/>
        <v>31433</v>
      </c>
      <c r="T910" s="12"/>
      <c r="U910" s="12">
        <v>783</v>
      </c>
      <c r="V910" s="12"/>
      <c r="W910" s="12">
        <f t="shared" si="264"/>
        <v>32216</v>
      </c>
      <c r="Y910" s="10">
        <v>19</v>
      </c>
      <c r="Z910" s="30"/>
      <c r="AA910" s="31"/>
      <c r="AB910" s="32"/>
      <c r="AC910" s="32"/>
      <c r="AD910" s="32"/>
      <c r="AE910" s="32">
        <f t="shared" si="265"/>
        <v>0</v>
      </c>
      <c r="AF910" s="12"/>
      <c r="AG910" s="12"/>
      <c r="AH910" s="12"/>
      <c r="AI910" s="12">
        <f t="shared" si="26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91"/>
      <c r="D911" s="32"/>
      <c r="E911" s="32"/>
      <c r="F911" s="32"/>
      <c r="G911" s="32">
        <f t="shared" si="261"/>
        <v>0</v>
      </c>
      <c r="H911" s="12"/>
      <c r="I911" s="12"/>
      <c r="J911" s="12"/>
      <c r="K911" s="12">
        <f t="shared" si="262"/>
        <v>0</v>
      </c>
      <c r="M911" s="10">
        <v>20</v>
      </c>
      <c r="N911" s="30" t="s">
        <v>82</v>
      </c>
      <c r="O911" s="31">
        <f t="shared" si="268"/>
        <v>8031</v>
      </c>
      <c r="P911" s="32">
        <f>1878+28.5</f>
        <v>1906.5</v>
      </c>
      <c r="Q911" s="32"/>
      <c r="R911" s="32"/>
      <c r="S911" s="32">
        <f t="shared" si="263"/>
        <v>1906.5</v>
      </c>
      <c r="T911" s="12"/>
      <c r="U911" s="12"/>
      <c r="V911" s="12"/>
      <c r="W911" s="12">
        <f t="shared" si="264"/>
        <v>1906.5</v>
      </c>
      <c r="Y911" s="10">
        <v>20</v>
      </c>
      <c r="Z911" s="30"/>
      <c r="AA911" s="31"/>
      <c r="AB911" s="32"/>
      <c r="AC911" s="32"/>
      <c r="AD911" s="32"/>
      <c r="AE911" s="32">
        <f t="shared" si="265"/>
        <v>0</v>
      </c>
      <c r="AF911" s="12"/>
      <c r="AG911" s="12"/>
      <c r="AH911" s="12"/>
      <c r="AI911" s="12">
        <f t="shared" si="26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91"/>
      <c r="D912" s="32"/>
      <c r="E912" s="32"/>
      <c r="F912" s="32"/>
      <c r="G912" s="32">
        <f t="shared" si="261"/>
        <v>0</v>
      </c>
      <c r="H912" s="10"/>
      <c r="I912" s="10"/>
      <c r="J912" s="10"/>
      <c r="K912" s="12">
        <f t="shared" si="262"/>
        <v>0</v>
      </c>
      <c r="M912" s="10">
        <v>21</v>
      </c>
      <c r="N912" s="30"/>
      <c r="O912" s="11" t="s">
        <v>27</v>
      </c>
      <c r="P912" s="46"/>
      <c r="Q912" s="31"/>
      <c r="R912" s="31"/>
      <c r="S912" s="32">
        <f t="shared" si="263"/>
        <v>0</v>
      </c>
      <c r="T912" s="10"/>
      <c r="U912" s="10"/>
      <c r="V912" s="10"/>
      <c r="W912" s="12">
        <f t="shared" si="26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65"/>
        <v>0</v>
      </c>
      <c r="AF912" s="10"/>
      <c r="AG912" s="10"/>
      <c r="AH912" s="10"/>
      <c r="AI912" s="12">
        <f t="shared" si="26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91"/>
      <c r="D913" s="32"/>
      <c r="E913" s="32"/>
      <c r="F913" s="32"/>
      <c r="G913" s="32">
        <f t="shared" si="261"/>
        <v>0</v>
      </c>
      <c r="H913" s="10"/>
      <c r="I913" s="10"/>
      <c r="J913" s="10"/>
      <c r="K913" s="12">
        <f t="shared" si="262"/>
        <v>0</v>
      </c>
      <c r="M913" s="10">
        <v>22</v>
      </c>
      <c r="N913" s="30"/>
      <c r="O913" s="31"/>
      <c r="P913" s="45"/>
      <c r="Q913" s="31"/>
      <c r="R913" s="31"/>
      <c r="S913" s="32">
        <f t="shared" si="263"/>
        <v>0</v>
      </c>
      <c r="T913" s="10"/>
      <c r="U913" s="10"/>
      <c r="V913" s="10"/>
      <c r="W913" s="12">
        <f t="shared" si="26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5"/>
        <v>0</v>
      </c>
      <c r="AF913" s="10"/>
      <c r="AG913" s="10"/>
      <c r="AH913" s="10"/>
      <c r="AI913" s="12">
        <f t="shared" si="26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91"/>
      <c r="D914" s="32"/>
      <c r="E914" s="32"/>
      <c r="F914" s="32"/>
      <c r="G914" s="32">
        <f t="shared" si="261"/>
        <v>0</v>
      </c>
      <c r="H914" s="10"/>
      <c r="I914" s="10"/>
      <c r="J914" s="12"/>
      <c r="K914" s="12">
        <f t="shared" si="262"/>
        <v>0</v>
      </c>
      <c r="M914" s="10">
        <v>23</v>
      </c>
      <c r="N914" s="30"/>
      <c r="O914" s="31"/>
      <c r="P914" s="47"/>
      <c r="S914" s="32">
        <f t="shared" si="263"/>
        <v>0</v>
      </c>
      <c r="T914" s="10"/>
      <c r="U914" s="10"/>
      <c r="V914" s="10"/>
      <c r="W914" s="12">
        <f t="shared" si="264"/>
        <v>0</v>
      </c>
      <c r="Y914" s="10">
        <v>23</v>
      </c>
      <c r="Z914" s="30"/>
      <c r="AA914" s="31"/>
      <c r="AB914" s="47"/>
      <c r="AE914" s="32">
        <f t="shared" si="265"/>
        <v>0</v>
      </c>
      <c r="AF914" s="10"/>
      <c r="AG914" s="10"/>
      <c r="AH914" s="10"/>
      <c r="AI914" s="12">
        <f t="shared" si="26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57"/>
      <c r="D915" s="32"/>
      <c r="E915" s="32"/>
      <c r="F915" s="32"/>
      <c r="G915" s="32">
        <f t="shared" si="261"/>
        <v>0</v>
      </c>
      <c r="H915" s="10"/>
      <c r="I915" s="10"/>
      <c r="J915" s="10"/>
      <c r="K915" s="12">
        <f t="shared" si="262"/>
        <v>0</v>
      </c>
      <c r="M915" s="10">
        <v>24</v>
      </c>
      <c r="N915" s="30"/>
      <c r="O915" s="31"/>
      <c r="P915" s="47"/>
      <c r="Q915" s="31"/>
      <c r="R915" s="31"/>
      <c r="S915" s="32">
        <f t="shared" si="263"/>
        <v>0</v>
      </c>
      <c r="T915" s="10"/>
      <c r="U915" s="10"/>
      <c r="V915" s="10"/>
      <c r="W915" s="12">
        <f t="shared" si="26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5"/>
        <v>0</v>
      </c>
      <c r="AF915" s="10"/>
      <c r="AG915" s="10"/>
      <c r="AH915" s="10"/>
      <c r="AI915" s="12">
        <f t="shared" si="26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61"/>
        <v>0</v>
      </c>
      <c r="H916" s="10"/>
      <c r="I916" s="10"/>
      <c r="J916" s="10"/>
      <c r="K916" s="12">
        <f t="shared" si="262"/>
        <v>0</v>
      </c>
      <c r="M916" s="10">
        <v>25</v>
      </c>
      <c r="N916" s="30"/>
      <c r="P916" s="47"/>
      <c r="Q916" s="31"/>
      <c r="R916" s="31"/>
      <c r="S916" s="32">
        <f t="shared" si="263"/>
        <v>0</v>
      </c>
      <c r="T916" s="10"/>
      <c r="U916" s="10"/>
      <c r="V916" s="10"/>
      <c r="W916" s="12">
        <f t="shared" si="264"/>
        <v>0</v>
      </c>
      <c r="Y916" s="10">
        <v>25</v>
      </c>
      <c r="Z916" s="30"/>
      <c r="AA916" s="11"/>
      <c r="AB916" s="47"/>
      <c r="AC916" s="31"/>
      <c r="AD916" s="31"/>
      <c r="AE916" s="32">
        <f t="shared" si="265"/>
        <v>0</v>
      </c>
      <c r="AF916" s="10"/>
      <c r="AG916" s="10"/>
      <c r="AH916" s="10"/>
      <c r="AI916" s="12">
        <f t="shared" si="26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11"/>
      <c r="D917" s="32"/>
      <c r="E917" s="32"/>
      <c r="F917" s="32"/>
      <c r="G917" s="32">
        <f t="shared" si="261"/>
        <v>0</v>
      </c>
      <c r="H917" s="10"/>
      <c r="I917" s="10"/>
      <c r="J917" s="10"/>
      <c r="K917" s="12">
        <f t="shared" si="262"/>
        <v>0</v>
      </c>
      <c r="M917" s="10">
        <v>26</v>
      </c>
      <c r="N917" s="30"/>
      <c r="P917" s="47"/>
      <c r="Q917" s="31"/>
      <c r="R917" s="31"/>
      <c r="S917" s="32">
        <f t="shared" si="263"/>
        <v>0</v>
      </c>
      <c r="T917" s="10"/>
      <c r="U917" s="10"/>
      <c r="V917" s="10"/>
      <c r="W917" s="12">
        <f t="shared" si="264"/>
        <v>0</v>
      </c>
      <c r="Y917" s="10">
        <v>26</v>
      </c>
      <c r="Z917" s="30"/>
      <c r="AB917" s="47"/>
      <c r="AC917" s="31"/>
      <c r="AD917" s="31"/>
      <c r="AE917" s="32">
        <f t="shared" si="265"/>
        <v>0</v>
      </c>
      <c r="AF917" s="10"/>
      <c r="AG917" s="10"/>
      <c r="AH917" s="10"/>
      <c r="AI917" s="12">
        <f t="shared" si="26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57"/>
      <c r="D918" s="32"/>
      <c r="E918" s="32"/>
      <c r="F918" s="32"/>
      <c r="G918" s="32">
        <f t="shared" si="261"/>
        <v>0</v>
      </c>
      <c r="H918" s="10"/>
      <c r="I918" s="10"/>
      <c r="J918" s="10"/>
      <c r="K918" s="12">
        <f t="shared" si="262"/>
        <v>0</v>
      </c>
      <c r="M918" s="10">
        <v>27</v>
      </c>
      <c r="N918" s="30"/>
      <c r="O918" s="31"/>
      <c r="P918" s="47"/>
      <c r="Q918" s="31"/>
      <c r="R918" s="31"/>
      <c r="S918" s="32">
        <f t="shared" si="263"/>
        <v>0</v>
      </c>
      <c r="T918" s="10"/>
      <c r="U918" s="10"/>
      <c r="V918" s="10"/>
      <c r="W918" s="12">
        <f t="shared" si="26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5"/>
        <v>0</v>
      </c>
      <c r="AF918" s="10"/>
      <c r="AG918" s="10"/>
      <c r="AH918" s="10"/>
      <c r="AI918" s="12">
        <f t="shared" si="26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61"/>
        <v>0</v>
      </c>
      <c r="H919" s="10"/>
      <c r="I919" s="10"/>
      <c r="J919" s="10"/>
      <c r="K919" s="12">
        <f t="shared" si="262"/>
        <v>0</v>
      </c>
      <c r="M919" s="10">
        <v>28</v>
      </c>
      <c r="N919" s="30"/>
      <c r="O919" s="31"/>
      <c r="P919" s="47"/>
      <c r="Q919" s="31"/>
      <c r="R919" s="31"/>
      <c r="S919" s="32">
        <f t="shared" si="263"/>
        <v>0</v>
      </c>
      <c r="T919" s="10"/>
      <c r="U919" s="10"/>
      <c r="V919" s="10"/>
      <c r="W919" s="12">
        <f t="shared" si="26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5"/>
        <v>0</v>
      </c>
      <c r="AF919" s="10"/>
      <c r="AG919" s="10"/>
      <c r="AH919" s="10"/>
      <c r="AI919" s="12">
        <f t="shared" si="26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31"/>
      <c r="D920" s="32"/>
      <c r="E920" s="32"/>
      <c r="F920" s="32"/>
      <c r="G920" s="32">
        <f t="shared" si="261"/>
        <v>0</v>
      </c>
      <c r="H920" s="10"/>
      <c r="I920" s="10"/>
      <c r="J920" s="10"/>
      <c r="K920" s="12">
        <f t="shared" si="262"/>
        <v>0</v>
      </c>
      <c r="M920" s="10">
        <v>29</v>
      </c>
      <c r="N920" s="30"/>
      <c r="P920" s="47"/>
      <c r="Q920" s="31"/>
      <c r="R920" s="31"/>
      <c r="S920" s="32">
        <f t="shared" si="263"/>
        <v>0</v>
      </c>
      <c r="T920" s="10"/>
      <c r="U920" s="10"/>
      <c r="V920" s="10"/>
      <c r="W920" s="12">
        <f t="shared" si="26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5"/>
        <v>0</v>
      </c>
      <c r="AF920" s="10"/>
      <c r="AG920" s="10"/>
      <c r="AH920" s="10"/>
      <c r="AI920" s="12">
        <f t="shared" si="26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61"/>
        <v>0</v>
      </c>
      <c r="H921" s="10"/>
      <c r="I921" s="10"/>
      <c r="J921" s="10"/>
      <c r="K921" s="12">
        <f t="shared" si="262"/>
        <v>0</v>
      </c>
      <c r="M921" s="10">
        <v>30</v>
      </c>
      <c r="N921" s="30"/>
      <c r="P921" s="47"/>
      <c r="Q921" s="31"/>
      <c r="R921" s="31"/>
      <c r="S921" s="32">
        <f t="shared" si="263"/>
        <v>0</v>
      </c>
      <c r="T921" s="10"/>
      <c r="U921" s="10"/>
      <c r="V921" s="10"/>
      <c r="W921" s="12">
        <f t="shared" si="264"/>
        <v>0</v>
      </c>
      <c r="Y921" s="10">
        <v>30</v>
      </c>
      <c r="Z921" s="30"/>
      <c r="AB921" s="47"/>
      <c r="AC921" s="31"/>
      <c r="AD921" s="31"/>
      <c r="AE921" s="32">
        <f t="shared" si="265"/>
        <v>0</v>
      </c>
      <c r="AF921" s="10"/>
      <c r="AG921" s="10"/>
      <c r="AH921" s="10"/>
      <c r="AI921" s="12">
        <f t="shared" si="26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57"/>
      <c r="D922" s="32"/>
      <c r="E922" s="32"/>
      <c r="F922" s="32"/>
      <c r="G922" s="32">
        <f t="shared" si="261"/>
        <v>0</v>
      </c>
      <c r="H922" s="10"/>
      <c r="I922" s="10"/>
      <c r="J922" s="10"/>
      <c r="K922" s="12">
        <f t="shared" si="262"/>
        <v>0</v>
      </c>
      <c r="M922" s="10">
        <v>31</v>
      </c>
      <c r="N922" s="30"/>
      <c r="O922" s="31"/>
      <c r="P922" s="47"/>
      <c r="Q922" s="31"/>
      <c r="R922" s="31"/>
      <c r="S922" s="32">
        <f t="shared" si="263"/>
        <v>0</v>
      </c>
      <c r="T922" s="10"/>
      <c r="U922" s="10"/>
      <c r="V922" s="10"/>
      <c r="W922" s="12">
        <f t="shared" si="264"/>
        <v>0</v>
      </c>
      <c r="Y922" s="10">
        <v>31</v>
      </c>
      <c r="Z922" s="30"/>
      <c r="AB922" s="47"/>
      <c r="AC922" s="31"/>
      <c r="AD922" s="31"/>
      <c r="AE922" s="32">
        <f t="shared" si="265"/>
        <v>0</v>
      </c>
      <c r="AF922" s="10"/>
      <c r="AG922" s="10"/>
      <c r="AH922" s="10"/>
      <c r="AI922" s="12">
        <f t="shared" si="26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31"/>
      <c r="D923" s="32"/>
      <c r="E923" s="32"/>
      <c r="F923" s="32"/>
      <c r="G923" s="32">
        <f t="shared" si="261"/>
        <v>0</v>
      </c>
      <c r="H923" s="10"/>
      <c r="I923" s="10"/>
      <c r="J923" s="10"/>
      <c r="K923" s="12">
        <f t="shared" si="262"/>
        <v>0</v>
      </c>
      <c r="M923" s="10">
        <v>32</v>
      </c>
      <c r="N923" s="30"/>
      <c r="P923" s="47"/>
      <c r="Q923" s="31"/>
      <c r="R923" s="31"/>
      <c r="S923" s="32">
        <f t="shared" si="263"/>
        <v>0</v>
      </c>
      <c r="T923" s="10"/>
      <c r="U923" s="10"/>
      <c r="V923" s="10"/>
      <c r="W923" s="12">
        <f t="shared" si="26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5"/>
        <v>0</v>
      </c>
      <c r="AF923" s="10"/>
      <c r="AG923" s="10"/>
      <c r="AH923" s="10"/>
      <c r="AI923" s="12">
        <f t="shared" si="26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57"/>
      <c r="D924" s="32"/>
      <c r="E924" s="32"/>
      <c r="F924" s="32"/>
      <c r="G924" s="32">
        <f t="shared" si="261"/>
        <v>0</v>
      </c>
      <c r="H924" s="10"/>
      <c r="I924" s="10"/>
      <c r="J924" s="10"/>
      <c r="K924" s="12">
        <f t="shared" si="262"/>
        <v>0</v>
      </c>
      <c r="M924" s="10">
        <v>33</v>
      </c>
      <c r="N924" s="30"/>
      <c r="O924" s="31"/>
      <c r="P924" s="47"/>
      <c r="Q924" s="31"/>
      <c r="R924" s="31"/>
      <c r="S924" s="32">
        <f t="shared" si="263"/>
        <v>0</v>
      </c>
      <c r="T924" s="10"/>
      <c r="U924" s="10"/>
      <c r="V924" s="10"/>
      <c r="W924" s="12">
        <f t="shared" si="26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5"/>
        <v>0</v>
      </c>
      <c r="AF924" s="10"/>
      <c r="AG924" s="10"/>
      <c r="AH924" s="10"/>
      <c r="AI924" s="12">
        <f t="shared" si="26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57"/>
      <c r="D925" s="32"/>
      <c r="E925" s="32"/>
      <c r="F925" s="32"/>
      <c r="G925" s="32">
        <f t="shared" si="261"/>
        <v>0</v>
      </c>
      <c r="H925" s="10"/>
      <c r="I925" s="10"/>
      <c r="J925" s="10"/>
      <c r="K925" s="12">
        <f t="shared" si="262"/>
        <v>0</v>
      </c>
      <c r="M925" s="10">
        <v>34</v>
      </c>
      <c r="N925" s="30"/>
      <c r="O925" s="31"/>
      <c r="P925" s="47"/>
      <c r="Q925" s="31"/>
      <c r="R925" s="31"/>
      <c r="S925" s="32">
        <f t="shared" ref="S925:S930" si="270">SUM(P925:Q925)</f>
        <v>0</v>
      </c>
      <c r="T925" s="10"/>
      <c r="U925" s="10"/>
      <c r="V925" s="10"/>
      <c r="W925" s="12">
        <f t="shared" si="264"/>
        <v>0</v>
      </c>
      <c r="Y925" s="10">
        <v>34</v>
      </c>
      <c r="Z925" s="30"/>
      <c r="AB925" s="47"/>
      <c r="AC925" s="31"/>
      <c r="AD925" s="31"/>
      <c r="AE925" s="32">
        <f t="shared" si="265"/>
        <v>0</v>
      </c>
      <c r="AF925" s="10"/>
      <c r="AG925" s="10"/>
      <c r="AH925" s="10"/>
      <c r="AI925" s="12">
        <f t="shared" ref="AI925:AI933" si="271">SUM(AE925:AH925)</f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3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70"/>
        <v>0</v>
      </c>
      <c r="T926" s="10"/>
      <c r="U926" s="10"/>
      <c r="V926" s="10"/>
      <c r="W926" s="12">
        <f t="shared" si="26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65"/>
        <v>0</v>
      </c>
      <c r="AF926" s="10"/>
      <c r="AG926" s="10"/>
      <c r="AH926" s="10"/>
      <c r="AI926" s="12">
        <f t="shared" si="271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3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70"/>
        <v>0</v>
      </c>
      <c r="T927" s="10"/>
      <c r="U927" s="10"/>
      <c r="V927" s="10"/>
      <c r="W927" s="12">
        <f t="shared" si="26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65"/>
        <v>0</v>
      </c>
      <c r="AF927" s="10"/>
      <c r="AG927" s="10"/>
      <c r="AH927" s="10"/>
      <c r="AI927" s="12">
        <f t="shared" si="271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70"/>
        <v>0</v>
      </c>
      <c r="T928" s="10"/>
      <c r="U928" s="10"/>
      <c r="V928" s="10"/>
      <c r="W928" s="12">
        <f t="shared" si="26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65"/>
        <v>0</v>
      </c>
      <c r="AF928" s="10"/>
      <c r="AG928" s="10"/>
      <c r="AH928" s="10"/>
      <c r="AI928" s="12">
        <f t="shared" si="271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70"/>
        <v>0</v>
      </c>
      <c r="T929" s="10"/>
      <c r="U929" s="10"/>
      <c r="V929" s="10"/>
      <c r="W929" s="12">
        <f t="shared" si="26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65"/>
        <v>0</v>
      </c>
      <c r="AF929" s="10"/>
      <c r="AG929" s="10"/>
      <c r="AH929" s="10"/>
      <c r="AI929" s="12">
        <f t="shared" si="271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70"/>
        <v>0</v>
      </c>
      <c r="T930" s="10"/>
      <c r="U930" s="10"/>
      <c r="V930" s="10"/>
      <c r="W930" s="12">
        <f t="shared" si="26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65"/>
        <v>0</v>
      </c>
      <c r="AF930" s="10"/>
      <c r="AG930" s="10"/>
      <c r="AH930" s="10"/>
      <c r="AI930" s="12">
        <f t="shared" si="271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71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72">SUM(D932:E932)</f>
        <v>0</v>
      </c>
      <c r="H932" s="10"/>
      <c r="I932" s="10"/>
      <c r="J932" s="10"/>
      <c r="K932" s="12">
        <f t="shared" ref="K932" si="273">SUM(G932:J932)</f>
        <v>0</v>
      </c>
      <c r="M932" s="10"/>
      <c r="N932" s="30"/>
      <c r="O932" s="31"/>
      <c r="P932" s="47"/>
      <c r="Q932" s="31"/>
      <c r="R932" s="31"/>
      <c r="S932" s="32">
        <f t="shared" ref="S932" si="274">SUM(P932:Q932)</f>
        <v>0</v>
      </c>
      <c r="T932" s="10"/>
      <c r="U932" s="10"/>
      <c r="V932" s="10"/>
      <c r="W932" s="12">
        <f t="shared" si="264"/>
        <v>0</v>
      </c>
      <c r="Y932" s="10"/>
      <c r="Z932" s="30"/>
      <c r="AA932" s="31"/>
      <c r="AB932" s="47"/>
      <c r="AC932" s="31"/>
      <c r="AD932" s="31"/>
      <c r="AE932" s="32">
        <f t="shared" ref="AE932" si="275">SUM(AB932:AC932)</f>
        <v>0</v>
      </c>
      <c r="AF932" s="10"/>
      <c r="AG932" s="10"/>
      <c r="AH932" s="10"/>
      <c r="AI932" s="12">
        <f t="shared" si="271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71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771126</v>
      </c>
      <c r="E935" s="38">
        <f t="shared" ref="E935:F935" si="276">SUM(E892:E932)</f>
        <v>-5358</v>
      </c>
      <c r="F935" s="38">
        <f t="shared" si="276"/>
        <v>0</v>
      </c>
      <c r="G935" s="38">
        <f>SUM(G892:G934)</f>
        <v>765768</v>
      </c>
      <c r="H935" s="4"/>
      <c r="I935" s="39">
        <f>SUM(I892:I934)</f>
        <v>46248</v>
      </c>
      <c r="J935" s="39">
        <f>SUM(J892:J934)</f>
        <v>-10446</v>
      </c>
      <c r="K935" s="40">
        <f>SUM(K892:K934)</f>
        <v>801570</v>
      </c>
      <c r="N935" s="57"/>
      <c r="O935" s="57"/>
      <c r="P935" s="38">
        <f>SUM(P892:P934)</f>
        <v>203572.5</v>
      </c>
      <c r="Q935" s="38">
        <f>SUM(Q892:Q916)</f>
        <v>0</v>
      </c>
      <c r="R935" s="38">
        <f>SUM(R892:R916)</f>
        <v>0</v>
      </c>
      <c r="S935" s="38">
        <f>SUM(S892:S934)</f>
        <v>203572.5</v>
      </c>
      <c r="T935" s="4"/>
      <c r="U935" s="41">
        <f>SUM(U892:U934)</f>
        <v>1689</v>
      </c>
      <c r="V935" s="41">
        <f>SUM(V892:V916)</f>
        <v>-111</v>
      </c>
      <c r="W935" s="42">
        <f>SUM(W892:W934)</f>
        <v>205150.5</v>
      </c>
      <c r="Z935" s="57"/>
      <c r="AA935" s="57"/>
      <c r="AB935" s="38">
        <f>SUM(AB892:AB934)</f>
        <v>268821</v>
      </c>
      <c r="AC935" s="38">
        <f>SUM(AC892:AC916)</f>
        <v>-2124</v>
      </c>
      <c r="AD935" s="38">
        <f>SUM(AD892:AD916)</f>
        <v>0</v>
      </c>
      <c r="AE935" s="38">
        <f>SUM(AE892:AE934)</f>
        <v>266697</v>
      </c>
      <c r="AF935" s="4"/>
      <c r="AG935" s="41">
        <f>SUM(AG892:AG934)</f>
        <v>1480.5</v>
      </c>
      <c r="AH935" s="41">
        <f>SUM(AH892:AH916)</f>
        <v>-2886</v>
      </c>
      <c r="AI935" s="42">
        <f>SUM(AI892:AI934)</f>
        <v>265291.5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53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53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53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84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M943" s="21" t="s">
        <v>84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37</v>
      </c>
      <c r="W943" s="24"/>
      <c r="Y943" s="21" t="s">
        <v>84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6" t="s">
        <v>17</v>
      </c>
      <c r="E945" s="126"/>
      <c r="F945" s="112"/>
      <c r="G945" s="27"/>
      <c r="I945" s="124" t="s">
        <v>18</v>
      </c>
      <c r="J945" s="125"/>
      <c r="K945" s="122" t="s">
        <v>19</v>
      </c>
      <c r="N945" s="25"/>
      <c r="O945" s="26"/>
      <c r="P945" s="126" t="s">
        <v>17</v>
      </c>
      <c r="Q945" s="126"/>
      <c r="R945" s="112"/>
      <c r="S945" s="27"/>
      <c r="U945" s="124" t="s">
        <v>18</v>
      </c>
      <c r="V945" s="125"/>
      <c r="W945" s="122" t="s">
        <v>19</v>
      </c>
      <c r="Z945" s="25"/>
      <c r="AA945" s="26"/>
      <c r="AB945" s="126" t="s">
        <v>17</v>
      </c>
      <c r="AC945" s="126"/>
      <c r="AD945" s="112"/>
      <c r="AE945" s="27"/>
      <c r="AG945" s="124" t="s">
        <v>18</v>
      </c>
      <c r="AH945" s="125"/>
      <c r="AI945" s="122" t="s">
        <v>19</v>
      </c>
      <c r="AK945" s="62"/>
      <c r="AL945" s="65"/>
      <c r="AM945" s="87"/>
      <c r="AN945" s="121"/>
      <c r="AO945" s="121"/>
      <c r="AP945" s="87"/>
      <c r="AQ945" s="84"/>
      <c r="AR945" s="62"/>
      <c r="AS945" s="121"/>
      <c r="AT945" s="121"/>
      <c r="AU945" s="120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9" t="s">
        <v>22</v>
      </c>
      <c r="E946" s="78" t="s">
        <v>23</v>
      </c>
      <c r="F946" s="80" t="s">
        <v>32</v>
      </c>
      <c r="G946" s="80" t="s">
        <v>24</v>
      </c>
      <c r="I946" s="29" t="s">
        <v>25</v>
      </c>
      <c r="J946" s="29" t="s">
        <v>26</v>
      </c>
      <c r="K946" s="123"/>
      <c r="N946" s="28" t="s">
        <v>20</v>
      </c>
      <c r="O946" s="28" t="s">
        <v>21</v>
      </c>
      <c r="P946" s="79" t="s">
        <v>22</v>
      </c>
      <c r="Q946" s="80" t="s">
        <v>23</v>
      </c>
      <c r="R946" s="80" t="s">
        <v>32</v>
      </c>
      <c r="S946" s="80" t="s">
        <v>24</v>
      </c>
      <c r="U946" s="29" t="s">
        <v>25</v>
      </c>
      <c r="V946" s="29" t="s">
        <v>26</v>
      </c>
      <c r="W946" s="123"/>
      <c r="Z946" s="28" t="s">
        <v>20</v>
      </c>
      <c r="AA946" s="28" t="s">
        <v>21</v>
      </c>
      <c r="AB946" s="79" t="s">
        <v>22</v>
      </c>
      <c r="AC946" s="80" t="s">
        <v>23</v>
      </c>
      <c r="AD946" s="80" t="s">
        <v>32</v>
      </c>
      <c r="AE946" s="80" t="s">
        <v>24</v>
      </c>
      <c r="AG946" s="29" t="s">
        <v>25</v>
      </c>
      <c r="AH946" s="29" t="s">
        <v>26</v>
      </c>
      <c r="AI946" s="123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20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85</v>
      </c>
      <c r="C947" s="91">
        <v>7989</v>
      </c>
      <c r="D947" s="32">
        <f>12520+832+190+500</f>
        <v>14042</v>
      </c>
      <c r="E947" s="32"/>
      <c r="F947" s="32"/>
      <c r="G947" s="32">
        <f t="shared" ref="G947:G980" si="277">SUM(D947:E947)</f>
        <v>14042</v>
      </c>
      <c r="H947" s="12"/>
      <c r="I947" s="12">
        <v>270</v>
      </c>
      <c r="J947" s="12"/>
      <c r="K947" s="12">
        <f t="shared" ref="K947:K980" si="278">SUM(G947:J947)</f>
        <v>14312</v>
      </c>
      <c r="M947" s="10">
        <v>1</v>
      </c>
      <c r="N947" s="30" t="s">
        <v>85</v>
      </c>
      <c r="O947" s="31">
        <v>8032</v>
      </c>
      <c r="P947" s="32">
        <f>6260+1228+674</f>
        <v>8162</v>
      </c>
      <c r="Q947" s="32"/>
      <c r="R947" s="32"/>
      <c r="S947" s="32">
        <f>SUM(P947:Q947)</f>
        <v>8162</v>
      </c>
      <c r="T947" s="12"/>
      <c r="U947" s="12"/>
      <c r="V947" s="12"/>
      <c r="W947" s="12">
        <f>SUM(S947:V947)</f>
        <v>8162</v>
      </c>
      <c r="Y947" s="10">
        <v>1</v>
      </c>
      <c r="Z947" s="30" t="s">
        <v>85</v>
      </c>
      <c r="AA947" s="31">
        <v>7891</v>
      </c>
      <c r="AB947" s="32">
        <f>62600+458</f>
        <v>63058</v>
      </c>
      <c r="AC947" s="32">
        <v>-600</v>
      </c>
      <c r="AD947" s="32"/>
      <c r="AE947" s="32">
        <f>SUM(AB947:AC947)</f>
        <v>62458</v>
      </c>
      <c r="AF947" s="12"/>
      <c r="AG947" s="12">
        <v>156</v>
      </c>
      <c r="AH947" s="12"/>
      <c r="AI947" s="12">
        <f>SUM(AE947:AH947)</f>
        <v>62614</v>
      </c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85</v>
      </c>
      <c r="C948" s="91">
        <f>C947+1</f>
        <v>7990</v>
      </c>
      <c r="D948" s="32">
        <f>626*13+9.5*13</f>
        <v>8261.5</v>
      </c>
      <c r="E948" s="32"/>
      <c r="F948" s="32"/>
      <c r="G948" s="32">
        <f t="shared" si="277"/>
        <v>8261.5</v>
      </c>
      <c r="H948" s="12"/>
      <c r="I948" s="12"/>
      <c r="J948" s="12"/>
      <c r="K948" s="12">
        <f t="shared" si="278"/>
        <v>8261.5</v>
      </c>
      <c r="M948" s="10">
        <v>2</v>
      </c>
      <c r="N948" s="30" t="s">
        <v>85</v>
      </c>
      <c r="O948" s="31">
        <f>O947+1</f>
        <v>8033</v>
      </c>
      <c r="P948" s="32">
        <f>1878+832+28.5</f>
        <v>2738.5</v>
      </c>
      <c r="Q948" s="32"/>
      <c r="R948" s="32"/>
      <c r="S948" s="32">
        <f t="shared" ref="S948:S979" si="279">SUM(P948:Q948)</f>
        <v>2738.5</v>
      </c>
      <c r="T948" s="12"/>
      <c r="U948" s="12"/>
      <c r="V948" s="12">
        <v>-444</v>
      </c>
      <c r="W948" s="12">
        <f t="shared" ref="W948:W988" si="280">SUM(S948:V948)</f>
        <v>2294.5</v>
      </c>
      <c r="Y948" s="10">
        <v>2</v>
      </c>
      <c r="Z948" s="30" t="s">
        <v>85</v>
      </c>
      <c r="AA948" s="31">
        <f>AA947+1</f>
        <v>7892</v>
      </c>
      <c r="AB948" s="32">
        <f>626*7+229</f>
        <v>4611</v>
      </c>
      <c r="AC948" s="32"/>
      <c r="AD948" s="32"/>
      <c r="AE948" s="32">
        <f t="shared" ref="AE948:AE985" si="281">SUM(AB948:AC948)</f>
        <v>4611</v>
      </c>
      <c r="AF948" s="12"/>
      <c r="AG948" s="12"/>
      <c r="AH948" s="12"/>
      <c r="AI948" s="12">
        <f t="shared" ref="AI948:AI979" si="282">SUM(AE948:AH948)</f>
        <v>4611</v>
      </c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85</v>
      </c>
      <c r="C949" s="91">
        <f t="shared" ref="C949:C957" si="283">C948+1</f>
        <v>7991</v>
      </c>
      <c r="D949" s="33">
        <f>626*324+229*13</f>
        <v>205801</v>
      </c>
      <c r="E949" s="33">
        <v>-1944</v>
      </c>
      <c r="F949" s="33"/>
      <c r="G949" s="33">
        <f t="shared" si="277"/>
        <v>203857</v>
      </c>
      <c r="H949" s="34"/>
      <c r="I949" s="34">
        <f>35964+1014</f>
        <v>36978</v>
      </c>
      <c r="J949" s="34"/>
      <c r="K949" s="34">
        <f t="shared" si="278"/>
        <v>240835</v>
      </c>
      <c r="M949" s="10">
        <v>3</v>
      </c>
      <c r="N949" s="30" t="s">
        <v>85</v>
      </c>
      <c r="O949" s="31">
        <f t="shared" ref="O949:O952" si="284">O948+1</f>
        <v>8034</v>
      </c>
      <c r="P949" s="32">
        <f>68860+229</f>
        <v>69089</v>
      </c>
      <c r="Q949" s="32">
        <v>-660</v>
      </c>
      <c r="R949" s="32"/>
      <c r="S949" s="32">
        <f t="shared" si="279"/>
        <v>68429</v>
      </c>
      <c r="T949" s="12"/>
      <c r="U949" s="12">
        <v>837</v>
      </c>
      <c r="V949" s="12"/>
      <c r="W949" s="12">
        <f t="shared" si="280"/>
        <v>69266</v>
      </c>
      <c r="Y949" s="10">
        <v>3</v>
      </c>
      <c r="Z949" s="30" t="s">
        <v>85</v>
      </c>
      <c r="AA949" s="31">
        <f t="shared" ref="AA949:AA956" si="285">AA948+1</f>
        <v>7893</v>
      </c>
      <c r="AB949" s="33">
        <f>31300+5960+1664</f>
        <v>38924</v>
      </c>
      <c r="AC949" s="33"/>
      <c r="AD949" s="32"/>
      <c r="AE949" s="32">
        <f t="shared" si="281"/>
        <v>38924</v>
      </c>
      <c r="AF949" s="12"/>
      <c r="AG949" s="12">
        <v>405</v>
      </c>
      <c r="AH949" s="12"/>
      <c r="AI949" s="12">
        <f t="shared" si="282"/>
        <v>39329</v>
      </c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85</v>
      </c>
      <c r="C950" s="91">
        <f t="shared" si="283"/>
        <v>7992</v>
      </c>
      <c r="D950" s="32">
        <f>81380+1300</f>
        <v>82680</v>
      </c>
      <c r="E950" s="32"/>
      <c r="F950" s="32"/>
      <c r="G950" s="32">
        <f t="shared" si="277"/>
        <v>82680</v>
      </c>
      <c r="H950" s="12"/>
      <c r="I950" s="12">
        <f>444+27</f>
        <v>471</v>
      </c>
      <c r="J950" s="12"/>
      <c r="K950" s="12">
        <f t="shared" si="278"/>
        <v>83151</v>
      </c>
      <c r="M950" s="10">
        <v>4</v>
      </c>
      <c r="N950" s="30" t="s">
        <v>85</v>
      </c>
      <c r="O950" s="31">
        <f t="shared" si="284"/>
        <v>8035</v>
      </c>
      <c r="P950" s="32">
        <f>6260+336</f>
        <v>6596</v>
      </c>
      <c r="Q950" s="32"/>
      <c r="R950" s="32"/>
      <c r="S950" s="32">
        <f t="shared" si="279"/>
        <v>6596</v>
      </c>
      <c r="T950" s="12"/>
      <c r="U950" s="12"/>
      <c r="V950" s="12"/>
      <c r="W950" s="12">
        <f t="shared" si="280"/>
        <v>6596</v>
      </c>
      <c r="Y950" s="10">
        <v>4</v>
      </c>
      <c r="Z950" s="30" t="s">
        <v>85</v>
      </c>
      <c r="AA950" s="31">
        <f t="shared" si="285"/>
        <v>7894</v>
      </c>
      <c r="AB950" s="32">
        <f>626*100+614*5+11920+852*3+832*2+229*5+650*5</f>
        <v>86205</v>
      </c>
      <c r="AC950" s="32">
        <v>-780</v>
      </c>
      <c r="AD950" s="32"/>
      <c r="AE950" s="32">
        <f t="shared" si="281"/>
        <v>85425</v>
      </c>
      <c r="AF950" s="12"/>
      <c r="AG950">
        <f>240+144</f>
        <v>384</v>
      </c>
      <c r="AH950" s="12"/>
      <c r="AI950" s="12">
        <f t="shared" si="282"/>
        <v>85809</v>
      </c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85</v>
      </c>
      <c r="C951" s="91">
        <f t="shared" si="283"/>
        <v>7993</v>
      </c>
      <c r="D951" s="32">
        <f>45072</f>
        <v>45072</v>
      </c>
      <c r="E951" s="32"/>
      <c r="F951" s="32"/>
      <c r="G951" s="32">
        <f t="shared" si="277"/>
        <v>45072</v>
      </c>
      <c r="H951" s="12"/>
      <c r="I951" s="12"/>
      <c r="J951" s="12"/>
      <c r="K951" s="12">
        <f t="shared" si="278"/>
        <v>45072</v>
      </c>
      <c r="M951" s="10">
        <v>5</v>
      </c>
      <c r="N951" s="30" t="s">
        <v>85</v>
      </c>
      <c r="O951" s="31">
        <f t="shared" si="284"/>
        <v>8036</v>
      </c>
      <c r="P951" s="32">
        <f>68860+1842+5960+852+2496+916</f>
        <v>80926</v>
      </c>
      <c r="Q951" s="32"/>
      <c r="R951" s="32"/>
      <c r="S951" s="32">
        <f t="shared" si="279"/>
        <v>80926</v>
      </c>
      <c r="T951" s="12"/>
      <c r="U951" s="12">
        <f>2886+1566</f>
        <v>4452</v>
      </c>
      <c r="V951" s="12"/>
      <c r="W951" s="12">
        <f t="shared" si="280"/>
        <v>85378</v>
      </c>
      <c r="Y951" s="10">
        <v>5</v>
      </c>
      <c r="Z951" s="30" t="s">
        <v>85</v>
      </c>
      <c r="AA951" s="31">
        <f t="shared" si="285"/>
        <v>7895</v>
      </c>
      <c r="AB951" s="32">
        <f>62600+10050+16640+916</f>
        <v>90206</v>
      </c>
      <c r="AC951" s="32">
        <v>-780</v>
      </c>
      <c r="AD951" s="32"/>
      <c r="AE951" s="32">
        <f t="shared" si="281"/>
        <v>89426</v>
      </c>
      <c r="AF951" s="12"/>
      <c r="AG951" s="12">
        <f>120*19+42</f>
        <v>2322</v>
      </c>
      <c r="AH951" s="12"/>
      <c r="AI951" s="12">
        <f t="shared" si="282"/>
        <v>91748</v>
      </c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85</v>
      </c>
      <c r="C952" s="91">
        <f t="shared" si="283"/>
        <v>7994</v>
      </c>
      <c r="D952" s="32">
        <f>7512+114</f>
        <v>7626</v>
      </c>
      <c r="E952" s="32"/>
      <c r="F952" s="32"/>
      <c r="G952" s="32">
        <f t="shared" si="277"/>
        <v>7626</v>
      </c>
      <c r="H952" s="12"/>
      <c r="I952" s="12"/>
      <c r="J952" s="12"/>
      <c r="K952" s="12">
        <f t="shared" si="278"/>
        <v>7626</v>
      </c>
      <c r="M952" s="10">
        <v>6</v>
      </c>
      <c r="N952" s="30" t="s">
        <v>85</v>
      </c>
      <c r="O952" s="31">
        <f t="shared" si="284"/>
        <v>8037</v>
      </c>
      <c r="P952" s="32">
        <f>115810+1175+5960+4260+1832+650</f>
        <v>129687</v>
      </c>
      <c r="Q952" s="32">
        <v>-1206</v>
      </c>
      <c r="R952" s="32"/>
      <c r="S952" s="32">
        <f t="shared" si="279"/>
        <v>128481</v>
      </c>
      <c r="T952" s="12"/>
      <c r="U952" s="12">
        <f>480+6438+546</f>
        <v>7464</v>
      </c>
      <c r="V952" s="10">
        <f>-84+-588+-210</f>
        <v>-882</v>
      </c>
      <c r="W952" s="12">
        <f t="shared" si="280"/>
        <v>135063</v>
      </c>
      <c r="Y952" s="10">
        <v>6</v>
      </c>
      <c r="Z952" s="30" t="s">
        <v>85</v>
      </c>
      <c r="AA952" s="31">
        <f t="shared" si="285"/>
        <v>7896</v>
      </c>
      <c r="AB952" s="32">
        <f>11894+2456+229</f>
        <v>14579</v>
      </c>
      <c r="AC952" s="32"/>
      <c r="AD952" s="32"/>
      <c r="AE952" s="32">
        <f t="shared" si="281"/>
        <v>14579</v>
      </c>
      <c r="AF952" s="12"/>
      <c r="AG952" s="12"/>
      <c r="AH952" s="10"/>
      <c r="AI952" s="12">
        <f t="shared" si="282"/>
        <v>14579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85</v>
      </c>
      <c r="C953" s="91">
        <f t="shared" si="283"/>
        <v>7995</v>
      </c>
      <c r="D953" s="32">
        <f>3756</f>
        <v>3756</v>
      </c>
      <c r="E953" s="32"/>
      <c r="F953" s="32"/>
      <c r="G953" s="32">
        <f t="shared" si="277"/>
        <v>3756</v>
      </c>
      <c r="H953" s="12"/>
      <c r="I953" s="12"/>
      <c r="J953" s="12"/>
      <c r="K953" s="12">
        <f t="shared" si="278"/>
        <v>3756</v>
      </c>
      <c r="M953" s="10">
        <v>7</v>
      </c>
      <c r="N953" s="30"/>
      <c r="O953" s="11" t="s">
        <v>27</v>
      </c>
      <c r="P953" s="32"/>
      <c r="Q953" s="32"/>
      <c r="R953" s="32"/>
      <c r="S953" s="32">
        <f t="shared" si="279"/>
        <v>0</v>
      </c>
      <c r="T953" s="12"/>
      <c r="U953" s="12"/>
      <c r="V953" s="12"/>
      <c r="W953" s="12">
        <f t="shared" si="280"/>
        <v>0</v>
      </c>
      <c r="Y953" s="10">
        <v>7</v>
      </c>
      <c r="Z953" s="30" t="s">
        <v>85</v>
      </c>
      <c r="AA953" s="31">
        <f t="shared" si="285"/>
        <v>7897</v>
      </c>
      <c r="AB953" s="32">
        <f>626*58+614*2+229</f>
        <v>37765</v>
      </c>
      <c r="AC953" s="32"/>
      <c r="AD953" s="32"/>
      <c r="AE953" s="32">
        <f t="shared" si="281"/>
        <v>37765</v>
      </c>
      <c r="AF953" s="12"/>
      <c r="AG953" s="58"/>
      <c r="AH953" s="12"/>
      <c r="AI953" s="12">
        <f t="shared" si="282"/>
        <v>37765</v>
      </c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85</v>
      </c>
      <c r="C954" s="91">
        <f t="shared" si="283"/>
        <v>7996</v>
      </c>
      <c r="D954" s="32">
        <f>6260+614+852+832+95</f>
        <v>8653</v>
      </c>
      <c r="E954" s="32"/>
      <c r="F954" s="32"/>
      <c r="G954" s="32">
        <f t="shared" si="277"/>
        <v>8653</v>
      </c>
      <c r="H954" s="12"/>
      <c r="I954" s="12"/>
      <c r="J954" s="12"/>
      <c r="K954" s="12">
        <f t="shared" si="278"/>
        <v>8653</v>
      </c>
      <c r="M954" s="10">
        <v>8</v>
      </c>
      <c r="N954" s="30"/>
      <c r="O954" s="31"/>
      <c r="P954" s="32"/>
      <c r="Q954" s="32"/>
      <c r="R954" s="32"/>
      <c r="S954" s="32">
        <f t="shared" si="279"/>
        <v>0</v>
      </c>
      <c r="T954" s="12"/>
      <c r="U954" s="12"/>
      <c r="V954" s="12"/>
      <c r="W954" s="12">
        <f t="shared" si="280"/>
        <v>0</v>
      </c>
      <c r="Y954" s="10">
        <v>8</v>
      </c>
      <c r="Z954" s="30" t="s">
        <v>85</v>
      </c>
      <c r="AA954" s="31">
        <f t="shared" si="285"/>
        <v>7898</v>
      </c>
      <c r="AB954" s="32">
        <f>35056+11920+458</f>
        <v>47434</v>
      </c>
      <c r="AC954" s="32">
        <v>-456</v>
      </c>
      <c r="AE954" s="32">
        <f t="shared" si="281"/>
        <v>46978</v>
      </c>
      <c r="AF954" s="12"/>
      <c r="AG954" s="12">
        <f>3108+162</f>
        <v>3270</v>
      </c>
      <c r="AH954" s="12"/>
      <c r="AI954" s="12">
        <f t="shared" si="282"/>
        <v>50248</v>
      </c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85</v>
      </c>
      <c r="C955" s="91">
        <f t="shared" si="283"/>
        <v>7997</v>
      </c>
      <c r="D955" s="32">
        <f>15650+1826+2980+1005+229+500</f>
        <v>22190</v>
      </c>
      <c r="E955" s="32"/>
      <c r="F955" s="32"/>
      <c r="G955" s="32">
        <f t="shared" si="277"/>
        <v>22190</v>
      </c>
      <c r="H955" s="12"/>
      <c r="I955" s="12">
        <f>1.5*37</f>
        <v>55.5</v>
      </c>
      <c r="J955" s="12"/>
      <c r="K955" s="12">
        <f t="shared" si="278"/>
        <v>22245.5</v>
      </c>
      <c r="M955" s="10">
        <v>9</v>
      </c>
      <c r="N955" s="30"/>
      <c r="O955" s="31"/>
      <c r="P955" s="32"/>
      <c r="Q955" s="32"/>
      <c r="R955" s="32"/>
      <c r="S955" s="32">
        <f t="shared" si="279"/>
        <v>0</v>
      </c>
      <c r="T955" s="12"/>
      <c r="U955" s="12"/>
      <c r="V955" s="12"/>
      <c r="W955" s="12">
        <f t="shared" si="280"/>
        <v>0</v>
      </c>
      <c r="Y955" s="10">
        <v>9</v>
      </c>
      <c r="Z955" s="30" t="s">
        <v>85</v>
      </c>
      <c r="AA955" s="31">
        <f t="shared" si="285"/>
        <v>7899</v>
      </c>
      <c r="AB955">
        <f>67608+25032+1374</f>
        <v>94014</v>
      </c>
      <c r="AC955" s="32"/>
      <c r="AD955" s="32"/>
      <c r="AE955" s="32">
        <f t="shared" si="281"/>
        <v>94014</v>
      </c>
      <c r="AF955" s="12"/>
      <c r="AG955">
        <f>16650+468</f>
        <v>17118</v>
      </c>
      <c r="AH955" s="12"/>
      <c r="AI955" s="12">
        <f t="shared" si="282"/>
        <v>111132</v>
      </c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85</v>
      </c>
      <c r="C956" s="91">
        <f t="shared" si="283"/>
        <v>7998</v>
      </c>
      <c r="D956" s="32">
        <f>2739+1005+832</f>
        <v>4576</v>
      </c>
      <c r="E956" s="32"/>
      <c r="F956" s="32"/>
      <c r="G956" s="32">
        <f t="shared" si="277"/>
        <v>4576</v>
      </c>
      <c r="H956" s="12"/>
      <c r="I956" s="12"/>
      <c r="J956" s="12"/>
      <c r="K956" s="12">
        <f t="shared" si="278"/>
        <v>4576</v>
      </c>
      <c r="M956" s="10">
        <v>10</v>
      </c>
      <c r="N956" s="30"/>
      <c r="O956" s="31"/>
      <c r="P956" s="32"/>
      <c r="Q956" s="32"/>
      <c r="R956" s="32"/>
      <c r="S956" s="32">
        <f t="shared" si="279"/>
        <v>0</v>
      </c>
      <c r="T956" s="12"/>
      <c r="U956" s="12"/>
      <c r="V956" s="12"/>
      <c r="W956" s="12">
        <f t="shared" si="280"/>
        <v>0</v>
      </c>
      <c r="Y956" s="10">
        <v>10</v>
      </c>
      <c r="Z956" s="30" t="s">
        <v>85</v>
      </c>
      <c r="AA956" s="31">
        <f t="shared" si="285"/>
        <v>7900</v>
      </c>
      <c r="AB956" s="32">
        <f>614</f>
        <v>614</v>
      </c>
      <c r="AC956" s="32"/>
      <c r="AD956" s="32"/>
      <c r="AE956" s="32">
        <f t="shared" si="281"/>
        <v>614</v>
      </c>
      <c r="AF956" s="12"/>
      <c r="AG956" s="12"/>
      <c r="AH956" s="12"/>
      <c r="AI956" s="12">
        <f t="shared" si="282"/>
        <v>614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 t="s">
        <v>85</v>
      </c>
      <c r="C957" s="91">
        <f t="shared" si="283"/>
        <v>7999</v>
      </c>
      <c r="D957" s="32">
        <f>45650+852+3015+832</f>
        <v>50349</v>
      </c>
      <c r="E957" s="32"/>
      <c r="F957" s="32"/>
      <c r="G957" s="32">
        <f t="shared" si="277"/>
        <v>50349</v>
      </c>
      <c r="H957" s="12"/>
      <c r="I957" s="12"/>
      <c r="J957" s="12"/>
      <c r="K957" s="12">
        <f t="shared" si="278"/>
        <v>50349</v>
      </c>
      <c r="M957" s="10">
        <v>11</v>
      </c>
      <c r="N957" s="30"/>
      <c r="O957" s="31"/>
      <c r="P957" s="32"/>
      <c r="Q957" s="32"/>
      <c r="R957" s="32"/>
      <c r="S957" s="32">
        <f t="shared" si="279"/>
        <v>0</v>
      </c>
      <c r="T957" s="12"/>
      <c r="U957" s="12"/>
      <c r="V957" s="12"/>
      <c r="W957" s="12">
        <f t="shared" si="280"/>
        <v>0</v>
      </c>
      <c r="Y957" s="10">
        <v>11</v>
      </c>
      <c r="Z957" s="30"/>
      <c r="AA957" s="11" t="s">
        <v>27</v>
      </c>
      <c r="AB957" s="32"/>
      <c r="AC957" s="32"/>
      <c r="AD957" s="32"/>
      <c r="AE957" s="32">
        <f t="shared" si="281"/>
        <v>0</v>
      </c>
      <c r="AF957" s="12"/>
      <c r="AG957" s="12"/>
      <c r="AH957" s="12"/>
      <c r="AI957" s="12">
        <f t="shared" si="282"/>
        <v>0</v>
      </c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11" t="s">
        <v>27</v>
      </c>
      <c r="D958" s="32"/>
      <c r="E958" s="32"/>
      <c r="F958" s="32"/>
      <c r="G958" s="32">
        <f t="shared" si="277"/>
        <v>0</v>
      </c>
      <c r="H958" s="12"/>
      <c r="I958" s="12"/>
      <c r="J958" s="10"/>
      <c r="K958" s="12">
        <f t="shared" si="278"/>
        <v>0</v>
      </c>
      <c r="M958" s="10">
        <v>12</v>
      </c>
      <c r="N958" s="30"/>
      <c r="O958" s="31"/>
      <c r="P958" s="32"/>
      <c r="Q958" s="32"/>
      <c r="R958" s="32"/>
      <c r="S958" s="32">
        <f t="shared" si="279"/>
        <v>0</v>
      </c>
      <c r="T958" s="12"/>
      <c r="U958" s="12"/>
      <c r="V958" s="12"/>
      <c r="W958" s="12">
        <f t="shared" si="280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1"/>
        <v>0</v>
      </c>
      <c r="AF958" s="12"/>
      <c r="AG958" s="12"/>
      <c r="AH958" s="12"/>
      <c r="AI958" s="12">
        <f t="shared" si="282"/>
        <v>0</v>
      </c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91"/>
      <c r="D959" s="32"/>
      <c r="E959" s="32"/>
      <c r="F959" s="32"/>
      <c r="G959" s="32">
        <f t="shared" si="277"/>
        <v>0</v>
      </c>
      <c r="H959" s="12"/>
      <c r="I959" s="12"/>
      <c r="J959" s="12"/>
      <c r="K959" s="12">
        <f t="shared" si="278"/>
        <v>0</v>
      </c>
      <c r="M959" s="10">
        <v>13</v>
      </c>
      <c r="N959" s="30"/>
      <c r="O959" s="31"/>
      <c r="P959" s="32"/>
      <c r="Q959" s="32"/>
      <c r="R959" s="32"/>
      <c r="S959" s="32">
        <f t="shared" si="279"/>
        <v>0</v>
      </c>
      <c r="T959" s="12"/>
      <c r="U959" s="12"/>
      <c r="V959" s="12"/>
      <c r="W959" s="12">
        <f t="shared" si="280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81"/>
        <v>0</v>
      </c>
      <c r="AF959" s="12"/>
      <c r="AG959" s="12"/>
      <c r="AH959" s="12"/>
      <c r="AI959" s="12">
        <f t="shared" si="282"/>
        <v>0</v>
      </c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91"/>
      <c r="D960" s="32"/>
      <c r="E960" s="32"/>
      <c r="F960" s="32"/>
      <c r="G960" s="32">
        <f t="shared" si="277"/>
        <v>0</v>
      </c>
      <c r="H960" s="12"/>
      <c r="I960" s="12"/>
      <c r="J960" s="12"/>
      <c r="K960" s="12">
        <f t="shared" si="278"/>
        <v>0</v>
      </c>
      <c r="M960" s="10">
        <v>14</v>
      </c>
      <c r="N960" s="30"/>
      <c r="O960" s="31"/>
      <c r="P960" s="32"/>
      <c r="Q960" s="32"/>
      <c r="R960" s="32"/>
      <c r="S960" s="32">
        <f t="shared" si="279"/>
        <v>0</v>
      </c>
      <c r="T960" s="12"/>
      <c r="U960" s="12"/>
      <c r="V960" s="12"/>
      <c r="W960" s="12">
        <f t="shared" si="280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1"/>
        <v>0</v>
      </c>
      <c r="AF960" s="12"/>
      <c r="AG960" s="12"/>
      <c r="AH960" s="12"/>
      <c r="AI960" s="12">
        <f t="shared" si="282"/>
        <v>0</v>
      </c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91"/>
      <c r="D961" s="32"/>
      <c r="E961" s="32"/>
      <c r="F961" s="32"/>
      <c r="G961" s="32">
        <f t="shared" si="277"/>
        <v>0</v>
      </c>
      <c r="H961" s="12"/>
      <c r="I961" s="12"/>
      <c r="J961" s="12"/>
      <c r="K961" s="12">
        <f t="shared" si="278"/>
        <v>0</v>
      </c>
      <c r="M961" s="10">
        <v>15</v>
      </c>
      <c r="N961" s="30"/>
      <c r="O961" s="31"/>
      <c r="P961" s="32"/>
      <c r="Q961" s="32"/>
      <c r="R961" s="32"/>
      <c r="S961" s="32">
        <f t="shared" si="279"/>
        <v>0</v>
      </c>
      <c r="T961" s="12"/>
      <c r="U961" s="12"/>
      <c r="V961" s="12"/>
      <c r="W961" s="12">
        <f t="shared" si="280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81"/>
        <v>0</v>
      </c>
      <c r="AF961" s="12"/>
      <c r="AG961" s="12"/>
      <c r="AH961" s="12"/>
      <c r="AI961" s="12">
        <f t="shared" si="282"/>
        <v>0</v>
      </c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91"/>
      <c r="D962" s="32"/>
      <c r="E962" s="32"/>
      <c r="F962" s="32"/>
      <c r="G962" s="32">
        <f t="shared" si="277"/>
        <v>0</v>
      </c>
      <c r="H962" s="12"/>
      <c r="I962" s="12"/>
      <c r="J962" s="12"/>
      <c r="K962" s="12">
        <f t="shared" si="278"/>
        <v>0</v>
      </c>
      <c r="M962" s="10">
        <v>16</v>
      </c>
      <c r="N962" s="30"/>
      <c r="O962" s="31"/>
      <c r="P962" s="32"/>
      <c r="Q962" s="32"/>
      <c r="R962" s="32"/>
      <c r="S962" s="32">
        <f t="shared" si="279"/>
        <v>0</v>
      </c>
      <c r="T962" s="12"/>
      <c r="U962" s="12"/>
      <c r="V962" s="12"/>
      <c r="W962" s="12">
        <f t="shared" si="280"/>
        <v>0</v>
      </c>
      <c r="Y962" s="10">
        <v>16</v>
      </c>
      <c r="Z962" s="30"/>
      <c r="AB962" s="32"/>
      <c r="AC962" s="32"/>
      <c r="AD962" s="32"/>
      <c r="AE962" s="32">
        <f t="shared" si="281"/>
        <v>0</v>
      </c>
      <c r="AF962" s="12"/>
      <c r="AG962" s="12"/>
      <c r="AH962" s="12"/>
      <c r="AI962" s="12">
        <f t="shared" si="282"/>
        <v>0</v>
      </c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91"/>
      <c r="D963" s="32"/>
      <c r="E963" s="32"/>
      <c r="F963" s="32"/>
      <c r="G963" s="32">
        <f t="shared" si="277"/>
        <v>0</v>
      </c>
      <c r="H963" s="12"/>
      <c r="I963" s="12"/>
      <c r="J963" s="12"/>
      <c r="K963" s="12">
        <f t="shared" si="278"/>
        <v>0</v>
      </c>
      <c r="M963" s="10">
        <v>17</v>
      </c>
      <c r="N963" s="30"/>
      <c r="O963" s="31"/>
      <c r="P963" s="35"/>
      <c r="Q963" s="32"/>
      <c r="R963" s="32"/>
      <c r="S963" s="32">
        <f t="shared" si="279"/>
        <v>0</v>
      </c>
      <c r="T963" s="12"/>
      <c r="U963" s="12"/>
      <c r="V963" s="12"/>
      <c r="W963" s="12">
        <f t="shared" si="280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1"/>
        <v>0</v>
      </c>
      <c r="AF963" s="12"/>
      <c r="AG963" s="12"/>
      <c r="AH963" s="12"/>
      <c r="AI963" s="12">
        <f t="shared" si="282"/>
        <v>0</v>
      </c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91"/>
      <c r="D964" s="32"/>
      <c r="E964" s="32"/>
      <c r="F964" s="32"/>
      <c r="G964" s="32">
        <f t="shared" si="277"/>
        <v>0</v>
      </c>
      <c r="H964" s="12"/>
      <c r="I964" s="12"/>
      <c r="J964" s="12"/>
      <c r="K964" s="12">
        <f t="shared" si="278"/>
        <v>0</v>
      </c>
      <c r="M964" s="10">
        <v>18</v>
      </c>
      <c r="N964" s="30"/>
      <c r="O964" s="31"/>
      <c r="P964" s="32"/>
      <c r="Q964" s="32"/>
      <c r="R964" s="32"/>
      <c r="S964" s="32">
        <f t="shared" si="279"/>
        <v>0</v>
      </c>
      <c r="T964" s="12"/>
      <c r="U964" s="12"/>
      <c r="V964" s="12"/>
      <c r="W964" s="12">
        <f t="shared" si="280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1"/>
        <v>0</v>
      </c>
      <c r="AF964" s="12"/>
      <c r="AG964" s="12"/>
      <c r="AH964" s="12"/>
      <c r="AI964" s="12">
        <f t="shared" si="282"/>
        <v>0</v>
      </c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91"/>
      <c r="D965" s="32"/>
      <c r="E965" s="32"/>
      <c r="F965" s="32"/>
      <c r="G965" s="32">
        <f t="shared" si="277"/>
        <v>0</v>
      </c>
      <c r="H965" s="12"/>
      <c r="I965" s="12"/>
      <c r="J965" s="12"/>
      <c r="K965" s="12">
        <f t="shared" si="278"/>
        <v>0</v>
      </c>
      <c r="M965" s="10">
        <v>19</v>
      </c>
      <c r="N965" s="30"/>
      <c r="O965" s="31"/>
      <c r="P965" s="32"/>
      <c r="Q965" s="32"/>
      <c r="R965" s="32"/>
      <c r="S965" s="32">
        <f t="shared" si="279"/>
        <v>0</v>
      </c>
      <c r="T965" s="12"/>
      <c r="U965" s="12"/>
      <c r="V965" s="12"/>
      <c r="W965" s="12">
        <f t="shared" si="280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1"/>
        <v>0</v>
      </c>
      <c r="AF965" s="12"/>
      <c r="AG965" s="12"/>
      <c r="AH965" s="12"/>
      <c r="AI965" s="12">
        <f t="shared" si="282"/>
        <v>0</v>
      </c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91"/>
      <c r="D966" s="32"/>
      <c r="E966" s="32"/>
      <c r="F966" s="32"/>
      <c r="G966" s="32">
        <f t="shared" si="277"/>
        <v>0</v>
      </c>
      <c r="H966" s="12"/>
      <c r="I966" s="12"/>
      <c r="J966" s="12"/>
      <c r="K966" s="12">
        <f t="shared" si="278"/>
        <v>0</v>
      </c>
      <c r="M966" s="10">
        <v>20</v>
      </c>
      <c r="N966" s="30"/>
      <c r="O966" s="31"/>
      <c r="P966" s="32"/>
      <c r="Q966" s="32"/>
      <c r="R966" s="32"/>
      <c r="S966" s="32">
        <f t="shared" si="279"/>
        <v>0</v>
      </c>
      <c r="T966" s="12"/>
      <c r="U966" s="12"/>
      <c r="V966" s="12"/>
      <c r="W966" s="12">
        <f t="shared" si="280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1"/>
        <v>0</v>
      </c>
      <c r="AF966" s="12"/>
      <c r="AG966" s="12"/>
      <c r="AH966" s="12"/>
      <c r="AI966" s="12">
        <f t="shared" si="282"/>
        <v>0</v>
      </c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D967" s="32"/>
      <c r="E967" s="32"/>
      <c r="F967" s="32"/>
      <c r="G967" s="32">
        <f t="shared" si="277"/>
        <v>0</v>
      </c>
      <c r="H967" s="10"/>
      <c r="I967" s="10"/>
      <c r="J967" s="10"/>
      <c r="K967" s="12">
        <f t="shared" si="278"/>
        <v>0</v>
      </c>
      <c r="M967" s="10">
        <v>21</v>
      </c>
      <c r="N967" s="30"/>
      <c r="P967" s="46"/>
      <c r="Q967" s="31"/>
      <c r="R967" s="31"/>
      <c r="S967" s="32">
        <f t="shared" si="279"/>
        <v>0</v>
      </c>
      <c r="T967" s="10"/>
      <c r="U967" s="10"/>
      <c r="V967" s="10"/>
      <c r="W967" s="12">
        <f t="shared" si="280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81"/>
        <v>0</v>
      </c>
      <c r="AF967" s="10"/>
      <c r="AG967" s="10"/>
      <c r="AH967" s="10"/>
      <c r="AI967" s="12">
        <f t="shared" si="282"/>
        <v>0</v>
      </c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91"/>
      <c r="D968" s="32"/>
      <c r="E968" s="32"/>
      <c r="F968" s="32"/>
      <c r="G968" s="32">
        <f t="shared" si="277"/>
        <v>0</v>
      </c>
      <c r="H968" s="10"/>
      <c r="I968" s="10"/>
      <c r="J968" s="10"/>
      <c r="K968" s="12">
        <f t="shared" si="278"/>
        <v>0</v>
      </c>
      <c r="M968" s="10">
        <v>22</v>
      </c>
      <c r="N968" s="30"/>
      <c r="O968" s="31"/>
      <c r="P968" s="45"/>
      <c r="Q968" s="31"/>
      <c r="R968" s="31"/>
      <c r="S968" s="32">
        <f t="shared" si="279"/>
        <v>0</v>
      </c>
      <c r="T968" s="10"/>
      <c r="U968" s="10"/>
      <c r="V968" s="10"/>
      <c r="W968" s="12">
        <f t="shared" si="280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1"/>
        <v>0</v>
      </c>
      <c r="AF968" s="10"/>
      <c r="AG968" s="10"/>
      <c r="AH968" s="10"/>
      <c r="AI968" s="12">
        <f t="shared" si="282"/>
        <v>0</v>
      </c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91"/>
      <c r="D969" s="32"/>
      <c r="E969" s="32"/>
      <c r="F969" s="32"/>
      <c r="G969" s="32">
        <f t="shared" si="277"/>
        <v>0</v>
      </c>
      <c r="H969" s="10"/>
      <c r="I969" s="10"/>
      <c r="J969" s="12"/>
      <c r="K969" s="12">
        <f t="shared" si="278"/>
        <v>0</v>
      </c>
      <c r="M969" s="10">
        <v>23</v>
      </c>
      <c r="N969" s="30"/>
      <c r="O969" s="31"/>
      <c r="P969" s="47"/>
      <c r="S969" s="32">
        <f t="shared" si="279"/>
        <v>0</v>
      </c>
      <c r="T969" s="10"/>
      <c r="U969" s="10"/>
      <c r="V969" s="10"/>
      <c r="W969" s="12">
        <f t="shared" si="280"/>
        <v>0</v>
      </c>
      <c r="Y969" s="10">
        <v>23</v>
      </c>
      <c r="Z969" s="30"/>
      <c r="AA969" s="31"/>
      <c r="AB969" s="47"/>
      <c r="AE969" s="32">
        <f t="shared" si="281"/>
        <v>0</v>
      </c>
      <c r="AF969" s="10"/>
      <c r="AG969" s="10"/>
      <c r="AH969" s="10"/>
      <c r="AI969" s="12">
        <f t="shared" si="282"/>
        <v>0</v>
      </c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57"/>
      <c r="D970" s="32"/>
      <c r="E970" s="32"/>
      <c r="F970" s="32"/>
      <c r="G970" s="32">
        <f t="shared" si="277"/>
        <v>0</v>
      </c>
      <c r="H970" s="10"/>
      <c r="I970" s="10"/>
      <c r="J970" s="10"/>
      <c r="K970" s="12">
        <f t="shared" si="278"/>
        <v>0</v>
      </c>
      <c r="M970" s="10">
        <v>24</v>
      </c>
      <c r="N970" s="30"/>
      <c r="O970" s="31"/>
      <c r="P970" s="47"/>
      <c r="Q970" s="31"/>
      <c r="R970" s="31"/>
      <c r="S970" s="32">
        <f t="shared" si="279"/>
        <v>0</v>
      </c>
      <c r="T970" s="10"/>
      <c r="U970" s="10"/>
      <c r="V970" s="10"/>
      <c r="W970" s="12">
        <f t="shared" si="280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1"/>
        <v>0</v>
      </c>
      <c r="AF970" s="10"/>
      <c r="AG970" s="10"/>
      <c r="AH970" s="10"/>
      <c r="AI970" s="12">
        <f t="shared" si="282"/>
        <v>0</v>
      </c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31"/>
      <c r="D971" s="32"/>
      <c r="E971" s="32"/>
      <c r="F971" s="32"/>
      <c r="G971" s="32">
        <f t="shared" si="277"/>
        <v>0</v>
      </c>
      <c r="H971" s="10"/>
      <c r="I971" s="10"/>
      <c r="J971" s="10"/>
      <c r="K971" s="12">
        <f t="shared" si="278"/>
        <v>0</v>
      </c>
      <c r="M971" s="10">
        <v>25</v>
      </c>
      <c r="N971" s="30"/>
      <c r="P971" s="47"/>
      <c r="Q971" s="31"/>
      <c r="R971" s="31"/>
      <c r="S971" s="32">
        <f t="shared" si="279"/>
        <v>0</v>
      </c>
      <c r="T971" s="10"/>
      <c r="U971" s="10"/>
      <c r="V971" s="10"/>
      <c r="W971" s="12">
        <f t="shared" si="280"/>
        <v>0</v>
      </c>
      <c r="Y971" s="10">
        <v>25</v>
      </c>
      <c r="Z971" s="30"/>
      <c r="AB971" s="47"/>
      <c r="AC971" s="31"/>
      <c r="AD971" s="31"/>
      <c r="AE971" s="32">
        <f t="shared" si="281"/>
        <v>0</v>
      </c>
      <c r="AF971" s="10"/>
      <c r="AG971" s="10"/>
      <c r="AH971" s="10"/>
      <c r="AI971" s="12">
        <f t="shared" si="282"/>
        <v>0</v>
      </c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11"/>
      <c r="D972" s="32"/>
      <c r="E972" s="32"/>
      <c r="F972" s="32"/>
      <c r="G972" s="32">
        <f t="shared" si="277"/>
        <v>0</v>
      </c>
      <c r="H972" s="10"/>
      <c r="I972" s="10"/>
      <c r="J972" s="10"/>
      <c r="K972" s="12">
        <f t="shared" si="278"/>
        <v>0</v>
      </c>
      <c r="M972" s="10">
        <v>26</v>
      </c>
      <c r="N972" s="30"/>
      <c r="P972" s="47"/>
      <c r="Q972" s="31"/>
      <c r="R972" s="31"/>
      <c r="S972" s="32">
        <f t="shared" si="279"/>
        <v>0</v>
      </c>
      <c r="T972" s="10"/>
      <c r="U972" s="10"/>
      <c r="V972" s="10"/>
      <c r="W972" s="12">
        <f t="shared" si="280"/>
        <v>0</v>
      </c>
      <c r="Y972" s="10">
        <v>26</v>
      </c>
      <c r="Z972" s="30"/>
      <c r="AB972" s="47"/>
      <c r="AC972" s="31"/>
      <c r="AD972" s="31"/>
      <c r="AE972" s="32">
        <f t="shared" si="281"/>
        <v>0</v>
      </c>
      <c r="AF972" s="10"/>
      <c r="AG972" s="10"/>
      <c r="AH972" s="10"/>
      <c r="AI972" s="12">
        <f t="shared" si="282"/>
        <v>0</v>
      </c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57"/>
      <c r="D973" s="32"/>
      <c r="E973" s="32"/>
      <c r="F973" s="32"/>
      <c r="G973" s="32">
        <f t="shared" si="277"/>
        <v>0</v>
      </c>
      <c r="H973" s="10"/>
      <c r="I973" s="10"/>
      <c r="J973" s="10"/>
      <c r="K973" s="12">
        <f t="shared" si="278"/>
        <v>0</v>
      </c>
      <c r="M973" s="10">
        <v>27</v>
      </c>
      <c r="N973" s="30"/>
      <c r="O973" s="31"/>
      <c r="P973" s="47"/>
      <c r="Q973" s="31"/>
      <c r="R973" s="31"/>
      <c r="S973" s="32">
        <f t="shared" si="279"/>
        <v>0</v>
      </c>
      <c r="T973" s="10"/>
      <c r="U973" s="10"/>
      <c r="V973" s="10"/>
      <c r="W973" s="12">
        <f t="shared" si="280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1"/>
        <v>0</v>
      </c>
      <c r="AF973" s="10"/>
      <c r="AG973" s="10"/>
      <c r="AH973" s="10"/>
      <c r="AI973" s="12">
        <f t="shared" si="282"/>
        <v>0</v>
      </c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31"/>
      <c r="D974" s="32"/>
      <c r="E974" s="32"/>
      <c r="F974" s="32"/>
      <c r="G974" s="32">
        <f t="shared" si="277"/>
        <v>0</v>
      </c>
      <c r="H974" s="10"/>
      <c r="I974" s="10"/>
      <c r="J974" s="10"/>
      <c r="K974" s="12">
        <f t="shared" si="278"/>
        <v>0</v>
      </c>
      <c r="M974" s="10">
        <v>28</v>
      </c>
      <c r="N974" s="30"/>
      <c r="O974" s="31"/>
      <c r="P974" s="47"/>
      <c r="Q974" s="31"/>
      <c r="R974" s="31"/>
      <c r="S974" s="32">
        <f t="shared" si="279"/>
        <v>0</v>
      </c>
      <c r="T974" s="10"/>
      <c r="U974" s="10"/>
      <c r="V974" s="10"/>
      <c r="W974" s="12">
        <f t="shared" si="280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1"/>
        <v>0</v>
      </c>
      <c r="AF974" s="10"/>
      <c r="AG974" s="10"/>
      <c r="AH974" s="10"/>
      <c r="AI974" s="12">
        <f t="shared" si="282"/>
        <v>0</v>
      </c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31"/>
      <c r="D975" s="32"/>
      <c r="E975" s="32"/>
      <c r="F975" s="32"/>
      <c r="G975" s="32">
        <f t="shared" si="277"/>
        <v>0</v>
      </c>
      <c r="H975" s="10"/>
      <c r="I975" s="10"/>
      <c r="J975" s="10"/>
      <c r="K975" s="12">
        <f t="shared" si="278"/>
        <v>0</v>
      </c>
      <c r="M975" s="10">
        <v>29</v>
      </c>
      <c r="N975" s="30"/>
      <c r="P975" s="47"/>
      <c r="Q975" s="31"/>
      <c r="R975" s="31"/>
      <c r="S975" s="32">
        <f t="shared" si="279"/>
        <v>0</v>
      </c>
      <c r="T975" s="10"/>
      <c r="U975" s="10"/>
      <c r="V975" s="10"/>
      <c r="W975" s="12">
        <f t="shared" si="280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1"/>
        <v>0</v>
      </c>
      <c r="AF975" s="10"/>
      <c r="AG975" s="10"/>
      <c r="AH975" s="10"/>
      <c r="AI975" s="12">
        <f t="shared" si="282"/>
        <v>0</v>
      </c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7"/>
        <v>0</v>
      </c>
      <c r="H976" s="10"/>
      <c r="I976" s="10"/>
      <c r="J976" s="10"/>
      <c r="K976" s="12">
        <f t="shared" si="278"/>
        <v>0</v>
      </c>
      <c r="M976" s="10">
        <v>30</v>
      </c>
      <c r="N976" s="30"/>
      <c r="P976" s="47"/>
      <c r="Q976" s="31"/>
      <c r="R976" s="31"/>
      <c r="S976" s="32">
        <f t="shared" si="279"/>
        <v>0</v>
      </c>
      <c r="T976" s="10"/>
      <c r="U976" s="10"/>
      <c r="V976" s="10"/>
      <c r="W976" s="12">
        <f t="shared" si="280"/>
        <v>0</v>
      </c>
      <c r="Y976" s="10">
        <v>30</v>
      </c>
      <c r="Z976" s="30"/>
      <c r="AB976" s="47"/>
      <c r="AC976" s="31"/>
      <c r="AD976" s="31"/>
      <c r="AE976" s="32">
        <f t="shared" si="281"/>
        <v>0</v>
      </c>
      <c r="AF976" s="10"/>
      <c r="AG976" s="10"/>
      <c r="AH976" s="10"/>
      <c r="AI976" s="12">
        <f t="shared" si="282"/>
        <v>0</v>
      </c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57"/>
      <c r="D977" s="32"/>
      <c r="E977" s="32"/>
      <c r="F977" s="32"/>
      <c r="G977" s="32">
        <f t="shared" si="277"/>
        <v>0</v>
      </c>
      <c r="H977" s="10"/>
      <c r="I977" s="10"/>
      <c r="J977" s="10"/>
      <c r="K977" s="12">
        <f t="shared" si="278"/>
        <v>0</v>
      </c>
      <c r="M977" s="10">
        <v>31</v>
      </c>
      <c r="N977" s="30"/>
      <c r="O977" s="31"/>
      <c r="P977" s="47"/>
      <c r="Q977" s="31"/>
      <c r="R977" s="31"/>
      <c r="S977" s="32">
        <f t="shared" si="279"/>
        <v>0</v>
      </c>
      <c r="T977" s="10"/>
      <c r="U977" s="10"/>
      <c r="V977" s="10"/>
      <c r="W977" s="12">
        <f t="shared" si="280"/>
        <v>0</v>
      </c>
      <c r="Y977" s="10">
        <v>31</v>
      </c>
      <c r="Z977" s="30"/>
      <c r="AB977" s="47"/>
      <c r="AC977" s="31"/>
      <c r="AD977" s="31"/>
      <c r="AE977" s="32">
        <f t="shared" si="281"/>
        <v>0</v>
      </c>
      <c r="AF977" s="10"/>
      <c r="AG977" s="10"/>
      <c r="AH977" s="10"/>
      <c r="AI977" s="12">
        <f t="shared" si="282"/>
        <v>0</v>
      </c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31"/>
      <c r="D978" s="32"/>
      <c r="E978" s="32"/>
      <c r="F978" s="32"/>
      <c r="G978" s="32">
        <f t="shared" si="277"/>
        <v>0</v>
      </c>
      <c r="H978" s="10"/>
      <c r="I978" s="10"/>
      <c r="J978" s="10"/>
      <c r="K978" s="12">
        <f t="shared" si="278"/>
        <v>0</v>
      </c>
      <c r="M978" s="10">
        <v>32</v>
      </c>
      <c r="N978" s="30"/>
      <c r="P978" s="47"/>
      <c r="Q978" s="31"/>
      <c r="R978" s="31"/>
      <c r="S978" s="32">
        <f t="shared" si="279"/>
        <v>0</v>
      </c>
      <c r="T978" s="10"/>
      <c r="U978" s="10"/>
      <c r="V978" s="10"/>
      <c r="W978" s="12">
        <f t="shared" si="280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1"/>
        <v>0</v>
      </c>
      <c r="AF978" s="10"/>
      <c r="AG978" s="10"/>
      <c r="AH978" s="10"/>
      <c r="AI978" s="12">
        <f t="shared" si="282"/>
        <v>0</v>
      </c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57"/>
      <c r="D979" s="32"/>
      <c r="E979" s="32"/>
      <c r="F979" s="32"/>
      <c r="G979" s="32">
        <f t="shared" si="277"/>
        <v>0</v>
      </c>
      <c r="H979" s="10"/>
      <c r="I979" s="10"/>
      <c r="J979" s="10"/>
      <c r="K979" s="12">
        <f t="shared" si="278"/>
        <v>0</v>
      </c>
      <c r="M979" s="10">
        <v>33</v>
      </c>
      <c r="N979" s="30"/>
      <c r="O979" s="31"/>
      <c r="P979" s="47"/>
      <c r="Q979" s="31"/>
      <c r="R979" s="31"/>
      <c r="S979" s="32">
        <f t="shared" si="279"/>
        <v>0</v>
      </c>
      <c r="T979" s="10"/>
      <c r="U979" s="10"/>
      <c r="V979" s="10"/>
      <c r="W979" s="12">
        <f t="shared" si="280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1"/>
        <v>0</v>
      </c>
      <c r="AF979" s="10"/>
      <c r="AG979" s="10"/>
      <c r="AH979" s="10"/>
      <c r="AI979" s="12">
        <f t="shared" si="282"/>
        <v>0</v>
      </c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57"/>
      <c r="D980" s="32"/>
      <c r="E980" s="32"/>
      <c r="F980" s="32"/>
      <c r="G980" s="32">
        <f t="shared" si="277"/>
        <v>0</v>
      </c>
      <c r="H980" s="10"/>
      <c r="I980" s="10"/>
      <c r="J980" s="10"/>
      <c r="K980" s="12">
        <f t="shared" si="278"/>
        <v>0</v>
      </c>
      <c r="M980" s="10">
        <v>34</v>
      </c>
      <c r="N980" s="30"/>
      <c r="O980" s="31"/>
      <c r="P980" s="47"/>
      <c r="Q980" s="31"/>
      <c r="R980" s="31"/>
      <c r="S980" s="32">
        <f t="shared" ref="S980:S985" si="286">SUM(P980:Q980)</f>
        <v>0</v>
      </c>
      <c r="T980" s="10"/>
      <c r="U980" s="10"/>
      <c r="V980" s="10"/>
      <c r="W980" s="12">
        <f t="shared" si="280"/>
        <v>0</v>
      </c>
      <c r="Y980" s="10">
        <v>34</v>
      </c>
      <c r="Z980" s="30"/>
      <c r="AB980" s="47"/>
      <c r="AC980" s="31"/>
      <c r="AD980" s="31"/>
      <c r="AE980" s="32">
        <f t="shared" si="281"/>
        <v>0</v>
      </c>
      <c r="AF980" s="10"/>
      <c r="AG980" s="10"/>
      <c r="AH980" s="10"/>
      <c r="AI980" s="12">
        <f t="shared" ref="AI980:AI988" si="287">SUM(AE980:AH980)</f>
        <v>0</v>
      </c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31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86"/>
        <v>0</v>
      </c>
      <c r="T981" s="10"/>
      <c r="U981" s="10"/>
      <c r="V981" s="10"/>
      <c r="W981" s="12">
        <f t="shared" si="280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1"/>
        <v>0</v>
      </c>
      <c r="AF981" s="10"/>
      <c r="AG981" s="10"/>
      <c r="AH981" s="10"/>
      <c r="AI981" s="12">
        <f t="shared" si="287"/>
        <v>0</v>
      </c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31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86"/>
        <v>0</v>
      </c>
      <c r="T982" s="10"/>
      <c r="U982" s="10"/>
      <c r="V982" s="10"/>
      <c r="W982" s="12">
        <f t="shared" si="280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1"/>
        <v>0</v>
      </c>
      <c r="AF982" s="10"/>
      <c r="AG982" s="10"/>
      <c r="AH982" s="10"/>
      <c r="AI982" s="12">
        <f t="shared" si="287"/>
        <v>0</v>
      </c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86"/>
        <v>0</v>
      </c>
      <c r="T983" s="10"/>
      <c r="U983" s="10"/>
      <c r="V983" s="10"/>
      <c r="W983" s="12">
        <f t="shared" si="280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1"/>
        <v>0</v>
      </c>
      <c r="AF983" s="10"/>
      <c r="AG983" s="10"/>
      <c r="AH983" s="10"/>
      <c r="AI983" s="12">
        <f t="shared" si="287"/>
        <v>0</v>
      </c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86"/>
        <v>0</v>
      </c>
      <c r="T984" s="10"/>
      <c r="U984" s="10"/>
      <c r="V984" s="10"/>
      <c r="W984" s="12">
        <f t="shared" si="280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1"/>
        <v>0</v>
      </c>
      <c r="AF984" s="10"/>
      <c r="AG984" s="10"/>
      <c r="AH984" s="10"/>
      <c r="AI984" s="12">
        <f t="shared" si="287"/>
        <v>0</v>
      </c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86"/>
        <v>0</v>
      </c>
      <c r="T985" s="10"/>
      <c r="U985" s="10"/>
      <c r="V985" s="10"/>
      <c r="W985" s="12">
        <f t="shared" si="280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1"/>
        <v>0</v>
      </c>
      <c r="AF985" s="10"/>
      <c r="AG985" s="10"/>
      <c r="AH985" s="10"/>
      <c r="AI985" s="12">
        <f t="shared" si="287"/>
        <v>0</v>
      </c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80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7"/>
        <v>0</v>
      </c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8">SUM(D987:E987)</f>
        <v>0</v>
      </c>
      <c r="H987" s="10"/>
      <c r="I987" s="10"/>
      <c r="J987" s="10"/>
      <c r="K987" s="12">
        <f t="shared" ref="K987" si="289">SUM(G987:J987)</f>
        <v>0</v>
      </c>
      <c r="M987" s="10"/>
      <c r="N987" s="30"/>
      <c r="O987" s="31"/>
      <c r="P987" s="47"/>
      <c r="Q987" s="31"/>
      <c r="R987" s="31"/>
      <c r="S987" s="32">
        <f t="shared" ref="S987" si="290">SUM(P987:Q987)</f>
        <v>0</v>
      </c>
      <c r="T987" s="10"/>
      <c r="U987" s="10"/>
      <c r="V987" s="10"/>
      <c r="W987" s="12">
        <f t="shared" si="280"/>
        <v>0</v>
      </c>
      <c r="Y987" s="10"/>
      <c r="Z987" s="30"/>
      <c r="AA987" s="31"/>
      <c r="AB987" s="47"/>
      <c r="AC987" s="31"/>
      <c r="AD987" s="31"/>
      <c r="AE987" s="32">
        <f t="shared" ref="AE987" si="291">SUM(AB987:AC987)</f>
        <v>0</v>
      </c>
      <c r="AF987" s="10"/>
      <c r="AG987" s="10"/>
      <c r="AH987" s="10"/>
      <c r="AI987" s="12">
        <f t="shared" si="287"/>
        <v>0</v>
      </c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80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7"/>
        <v>0</v>
      </c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453006.5</v>
      </c>
      <c r="E990" s="38">
        <f t="shared" ref="E990:F990" si="292">SUM(E947:E987)</f>
        <v>-1944</v>
      </c>
      <c r="F990" s="38">
        <f t="shared" si="292"/>
        <v>0</v>
      </c>
      <c r="G990" s="38">
        <f>SUM(G947:G989)</f>
        <v>451062.5</v>
      </c>
      <c r="H990" s="4"/>
      <c r="I990" s="39">
        <f>SUM(I947:I989)</f>
        <v>37774.5</v>
      </c>
      <c r="J990" s="39">
        <f>SUM(J947:J989)</f>
        <v>0</v>
      </c>
      <c r="K990" s="40">
        <f>SUM(K947:K989)</f>
        <v>488837</v>
      </c>
      <c r="N990" s="57"/>
      <c r="O990" s="57"/>
      <c r="P990" s="38">
        <f>SUM(P947:P989)</f>
        <v>297198.5</v>
      </c>
      <c r="Q990" s="38">
        <f>SUM(Q947:Q971)</f>
        <v>-1866</v>
      </c>
      <c r="R990" s="38">
        <f>SUM(R947:R971)</f>
        <v>0</v>
      </c>
      <c r="S990" s="38">
        <f>SUM(S947:S989)</f>
        <v>295332.5</v>
      </c>
      <c r="T990" s="4"/>
      <c r="U990" s="41">
        <f>SUM(U947:U989)</f>
        <v>12753</v>
      </c>
      <c r="V990" s="41">
        <f>SUM(V947:V971)</f>
        <v>-1326</v>
      </c>
      <c r="W990" s="42">
        <f>SUM(W947:W989)</f>
        <v>306759.5</v>
      </c>
      <c r="Z990" s="57"/>
      <c r="AA990" s="57"/>
      <c r="AB990" s="38">
        <f>SUM(AB947:AB989)</f>
        <v>477410</v>
      </c>
      <c r="AC990" s="38">
        <f>SUM(AC947:AC971)</f>
        <v>-2616</v>
      </c>
      <c r="AD990" s="38">
        <f>SUM(AD947:AD971)</f>
        <v>0</v>
      </c>
      <c r="AE990" s="38">
        <f>SUM(AE947:AE989)</f>
        <v>474794</v>
      </c>
      <c r="AF990" s="4"/>
      <c r="AG990" s="41">
        <f>SUM(AG947:AG989)</f>
        <v>23655</v>
      </c>
      <c r="AH990" s="41">
        <f>SUM(AH947:AH971)</f>
        <v>0</v>
      </c>
      <c r="AI990" s="42">
        <f>SUM(AI947:AI989)</f>
        <v>498449</v>
      </c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34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34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34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87</v>
      </c>
      <c r="B998" s="20"/>
      <c r="C998" s="57"/>
      <c r="D998" s="57"/>
      <c r="E998" s="57"/>
      <c r="G998" s="57"/>
      <c r="I998" s="22" t="s">
        <v>16</v>
      </c>
      <c r="J998" s="23" t="s">
        <v>33</v>
      </c>
      <c r="K998" s="24"/>
      <c r="M998" s="21" t="s">
        <v>87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37</v>
      </c>
      <c r="W998" s="24"/>
      <c r="Y998" s="21" t="s">
        <v>87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31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6" t="s">
        <v>17</v>
      </c>
      <c r="E1000" s="126"/>
      <c r="F1000" s="113"/>
      <c r="G1000" s="27"/>
      <c r="I1000" s="124" t="s">
        <v>18</v>
      </c>
      <c r="J1000" s="125"/>
      <c r="K1000" s="122" t="s">
        <v>19</v>
      </c>
      <c r="N1000" s="25"/>
      <c r="O1000" s="26"/>
      <c r="P1000" s="126" t="s">
        <v>17</v>
      </c>
      <c r="Q1000" s="126"/>
      <c r="R1000" s="113"/>
      <c r="S1000" s="27"/>
      <c r="U1000" s="124" t="s">
        <v>18</v>
      </c>
      <c r="V1000" s="125"/>
      <c r="W1000" s="122" t="s">
        <v>19</v>
      </c>
      <c r="Z1000" s="25"/>
      <c r="AA1000" s="26"/>
      <c r="AB1000" s="126" t="s">
        <v>17</v>
      </c>
      <c r="AC1000" s="126"/>
      <c r="AD1000" s="113"/>
      <c r="AE1000" s="27"/>
      <c r="AG1000" s="124" t="s">
        <v>18</v>
      </c>
      <c r="AH1000" s="125"/>
      <c r="AI1000" s="122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9" t="s">
        <v>22</v>
      </c>
      <c r="E1001" s="78" t="s">
        <v>23</v>
      </c>
      <c r="F1001" s="80" t="s">
        <v>32</v>
      </c>
      <c r="G1001" s="80" t="s">
        <v>24</v>
      </c>
      <c r="I1001" s="29" t="s">
        <v>25</v>
      </c>
      <c r="J1001" s="29" t="s">
        <v>26</v>
      </c>
      <c r="K1001" s="123"/>
      <c r="N1001" s="28" t="s">
        <v>20</v>
      </c>
      <c r="O1001" s="28" t="s">
        <v>21</v>
      </c>
      <c r="P1001" s="79" t="s">
        <v>22</v>
      </c>
      <c r="Q1001" s="80" t="s">
        <v>23</v>
      </c>
      <c r="R1001" s="80" t="s">
        <v>32</v>
      </c>
      <c r="S1001" s="80" t="s">
        <v>24</v>
      </c>
      <c r="U1001" s="29" t="s">
        <v>25</v>
      </c>
      <c r="V1001" s="29" t="s">
        <v>26</v>
      </c>
      <c r="W1001" s="123"/>
      <c r="Z1001" s="28" t="s">
        <v>20</v>
      </c>
      <c r="AA1001" s="28" t="s">
        <v>21</v>
      </c>
      <c r="AB1001" s="79" t="s">
        <v>22</v>
      </c>
      <c r="AC1001" s="80" t="s">
        <v>23</v>
      </c>
      <c r="AD1001" s="80" t="s">
        <v>32</v>
      </c>
      <c r="AE1001" s="80" t="s">
        <v>24</v>
      </c>
      <c r="AG1001" s="29" t="s">
        <v>25</v>
      </c>
      <c r="AH1001" s="29" t="s">
        <v>26</v>
      </c>
      <c r="AI1001" s="123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88</v>
      </c>
      <c r="C1002" s="91">
        <v>8000</v>
      </c>
      <c r="D1002" s="32">
        <f>20658+614</f>
        <v>21272</v>
      </c>
      <c r="E1002" s="32"/>
      <c r="F1002" s="32"/>
      <c r="G1002" s="32">
        <f t="shared" ref="G1002:G1035" si="293">SUM(D1002:E1002)</f>
        <v>21272</v>
      </c>
      <c r="H1002" s="12"/>
      <c r="I1002" s="12"/>
      <c r="J1002" s="12"/>
      <c r="K1002" s="12">
        <f t="shared" ref="K1002:K1035" si="294">SUM(G1002:J1002)</f>
        <v>21272</v>
      </c>
      <c r="M1002" s="10">
        <v>1</v>
      </c>
      <c r="N1002" s="30" t="s">
        <v>88</v>
      </c>
      <c r="O1002" s="31">
        <v>8038</v>
      </c>
      <c r="P1002" s="32">
        <f>5008+596+832</f>
        <v>6436</v>
      </c>
      <c r="Q1002" s="32"/>
      <c r="R1002" s="32"/>
      <c r="S1002" s="32">
        <f>SUM(P1002:Q1002)</f>
        <v>6436</v>
      </c>
      <c r="T1002" s="12"/>
      <c r="U1002" s="12">
        <f>120+3*111</f>
        <v>453</v>
      </c>
      <c r="V1002" s="12"/>
      <c r="W1002" s="12">
        <f>SUM(S1002:V1002)</f>
        <v>6889</v>
      </c>
      <c r="Y1002" s="10">
        <v>1</v>
      </c>
      <c r="Z1002" s="30" t="s">
        <v>88</v>
      </c>
      <c r="AA1002" s="31">
        <v>7774</v>
      </c>
      <c r="AB1002" s="32">
        <f>56340+5960+687</f>
        <v>62987</v>
      </c>
      <c r="AC1002" s="32"/>
      <c r="AD1002" s="32"/>
      <c r="AE1002" s="32">
        <f>SUM(AB1002:AC1002)</f>
        <v>62987</v>
      </c>
      <c r="AF1002" s="12"/>
      <c r="AG1002" s="12">
        <f>1110+135</f>
        <v>1245</v>
      </c>
      <c r="AH1002" s="12"/>
      <c r="AI1002" s="12">
        <f>SUM(AE1002:AH1002)</f>
        <v>64232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88</v>
      </c>
      <c r="C1003" s="91">
        <v>8051</v>
      </c>
      <c r="D1003" s="32">
        <f>375600+30700+9130+59600+4160+10050+41600+1664+500+2500</f>
        <v>535504</v>
      </c>
      <c r="E1003" s="32"/>
      <c r="F1003" s="32"/>
      <c r="G1003" s="32">
        <f t="shared" si="293"/>
        <v>535504</v>
      </c>
      <c r="H1003" s="12"/>
      <c r="I1003" s="12"/>
      <c r="J1003" s="12"/>
      <c r="K1003" s="12">
        <f t="shared" si="294"/>
        <v>535504</v>
      </c>
      <c r="M1003" s="10">
        <v>2</v>
      </c>
      <c r="N1003" s="30" t="s">
        <v>88</v>
      </c>
      <c r="O1003" s="31">
        <f>O1002+1</f>
        <v>8039</v>
      </c>
      <c r="P1003" s="32">
        <f>626*3+614+9.5*6</f>
        <v>2549</v>
      </c>
      <c r="Q1003" s="32"/>
      <c r="R1003" s="32"/>
      <c r="S1003" s="32">
        <f t="shared" ref="S1003:S1034" si="295">SUM(P1003:Q1003)</f>
        <v>2549</v>
      </c>
      <c r="T1003" s="12"/>
      <c r="U1003" s="12"/>
      <c r="V1003" s="12">
        <f>-333+-336</f>
        <v>-669</v>
      </c>
      <c r="W1003" s="12">
        <f t="shared" ref="W1003:W1043" si="296">SUM(S1003:V1003)</f>
        <v>1880</v>
      </c>
      <c r="Y1003" s="10">
        <v>2</v>
      </c>
      <c r="Z1003" s="30" t="s">
        <v>88</v>
      </c>
      <c r="AA1003" s="31">
        <f>AA1002+1</f>
        <v>7775</v>
      </c>
      <c r="AB1003" s="32">
        <f>65730+596*22+2496+687</f>
        <v>82025</v>
      </c>
      <c r="AC1003" s="32">
        <v>-780</v>
      </c>
      <c r="AD1003" s="32"/>
      <c r="AE1003" s="32">
        <f t="shared" ref="AE1003:AE1040" si="297">SUM(AB1003:AC1003)</f>
        <v>81245</v>
      </c>
      <c r="AF1003" s="12"/>
      <c r="AG1003" s="12"/>
      <c r="AH1003" s="12">
        <v>-390</v>
      </c>
      <c r="AI1003" s="12">
        <f t="shared" ref="AI1003:AI1034" si="298">SUM(AE1003:AH1003)</f>
        <v>80855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88</v>
      </c>
      <c r="C1004" s="91">
        <f t="shared" ref="C1004:C1006" si="299">C1003+1</f>
        <v>8052</v>
      </c>
      <c r="D1004" s="33">
        <f>1447+1582+1300</f>
        <v>4329</v>
      </c>
      <c r="E1004" s="33"/>
      <c r="F1004" s="33"/>
      <c r="G1004" s="33">
        <f t="shared" si="293"/>
        <v>4329</v>
      </c>
      <c r="H1004" s="34"/>
      <c r="I1004" s="34">
        <f>83250+10080</f>
        <v>93330</v>
      </c>
      <c r="J1004" s="34">
        <f>-120+-2664+-111+-5880+-18564+-2016</f>
        <v>-29355</v>
      </c>
      <c r="K1004" s="34">
        <f t="shared" si="294"/>
        <v>68304</v>
      </c>
      <c r="M1004" s="10">
        <v>3</v>
      </c>
      <c r="N1004" s="30" t="s">
        <v>88</v>
      </c>
      <c r="O1004" s="31">
        <f t="shared" ref="O1004:O1006" si="300">O1003+1</f>
        <v>8040</v>
      </c>
      <c r="P1004" s="32">
        <f>125200+29800+4260+5824+2290</f>
        <v>167374</v>
      </c>
      <c r="Q1004" s="32">
        <v>-1572</v>
      </c>
      <c r="R1004" s="32"/>
      <c r="S1004" s="32">
        <f t="shared" si="295"/>
        <v>165802</v>
      </c>
      <c r="T1004" s="12"/>
      <c r="U1004" s="12">
        <f>240+702</f>
        <v>942</v>
      </c>
      <c r="V1004" s="12">
        <f>-168+-168</f>
        <v>-336</v>
      </c>
      <c r="W1004" s="12">
        <f t="shared" si="296"/>
        <v>166408</v>
      </c>
      <c r="Y1004" s="10">
        <v>3</v>
      </c>
      <c r="Z1004" s="30" t="s">
        <v>88</v>
      </c>
      <c r="AA1004" s="31">
        <f t="shared" ref="AA1004" si="301">AA1003+1</f>
        <v>7776</v>
      </c>
      <c r="AB1004" s="33">
        <f>626*100+687</f>
        <v>63287</v>
      </c>
      <c r="AC1004" s="33">
        <v>-600</v>
      </c>
      <c r="AD1004" s="32"/>
      <c r="AE1004" s="32">
        <f t="shared" si="297"/>
        <v>62687</v>
      </c>
      <c r="AF1004" s="12"/>
      <c r="AG1004" s="12"/>
      <c r="AH1004" s="12"/>
      <c r="AI1004" s="12">
        <f t="shared" si="298"/>
        <v>62687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88</v>
      </c>
      <c r="C1005" s="91">
        <f t="shared" si="299"/>
        <v>8053</v>
      </c>
      <c r="D1005" s="32">
        <f>1667+1175+1175</f>
        <v>4017</v>
      </c>
      <c r="E1005" s="32"/>
      <c r="F1005" s="32"/>
      <c r="G1005" s="32">
        <f t="shared" si="293"/>
        <v>4017</v>
      </c>
      <c r="H1005" s="12"/>
      <c r="I1005" s="12"/>
      <c r="J1005" s="12"/>
      <c r="K1005" s="12">
        <f t="shared" si="294"/>
        <v>4017</v>
      </c>
      <c r="M1005" s="10">
        <v>4</v>
      </c>
      <c r="N1005" s="30" t="s">
        <v>88</v>
      </c>
      <c r="O1005" s="31">
        <f t="shared" si="300"/>
        <v>8041</v>
      </c>
      <c r="P1005" s="32">
        <f>20658+229</f>
        <v>20887</v>
      </c>
      <c r="Q1005" s="32"/>
      <c r="R1005" s="32"/>
      <c r="S1005" s="32">
        <f t="shared" si="295"/>
        <v>20887</v>
      </c>
      <c r="T1005" s="12"/>
      <c r="U1005" s="12">
        <v>162</v>
      </c>
      <c r="V1005" s="12"/>
      <c r="W1005" s="12">
        <f t="shared" si="296"/>
        <v>21049</v>
      </c>
      <c r="Y1005" s="10">
        <v>4</v>
      </c>
      <c r="Z1005" s="30"/>
      <c r="AA1005" s="11" t="s">
        <v>27</v>
      </c>
      <c r="AB1005" s="32"/>
      <c r="AC1005" s="32"/>
      <c r="AD1005" s="32"/>
      <c r="AE1005" s="32">
        <f t="shared" si="297"/>
        <v>0</v>
      </c>
      <c r="AF1005" s="12"/>
      <c r="AH1005" s="12"/>
      <c r="AI1005" s="12">
        <f t="shared" si="298"/>
        <v>0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88</v>
      </c>
      <c r="C1006" s="91">
        <f t="shared" si="299"/>
        <v>8054</v>
      </c>
      <c r="D1006" s="32">
        <f>832</f>
        <v>832</v>
      </c>
      <c r="E1006" s="32"/>
      <c r="F1006" s="32"/>
      <c r="G1006" s="32">
        <f t="shared" si="293"/>
        <v>832</v>
      </c>
      <c r="H1006" s="12"/>
      <c r="I1006" s="12"/>
      <c r="J1006" s="12"/>
      <c r="K1006" s="12">
        <f t="shared" si="294"/>
        <v>832</v>
      </c>
      <c r="M1006" s="10">
        <v>5</v>
      </c>
      <c r="N1006" s="30" t="s">
        <v>88</v>
      </c>
      <c r="O1006" s="31">
        <f t="shared" si="300"/>
        <v>8042</v>
      </c>
      <c r="P1006" s="32">
        <f>62600+4298+6740+1826+1704+2010+1664+650+1175</f>
        <v>82667</v>
      </c>
      <c r="Q1006" s="32"/>
      <c r="R1006" s="32"/>
      <c r="S1006" s="32">
        <f t="shared" si="295"/>
        <v>82667</v>
      </c>
      <c r="T1006" s="12"/>
      <c r="U1006" s="12">
        <f>888+444+108+270+72</f>
        <v>1782</v>
      </c>
      <c r="V1006" s="12"/>
      <c r="W1006" s="12">
        <f t="shared" si="296"/>
        <v>84449</v>
      </c>
      <c r="Y1006" s="10">
        <v>5</v>
      </c>
      <c r="Z1006" s="30"/>
      <c r="AA1006" s="31"/>
      <c r="AB1006" s="32"/>
      <c r="AC1006" s="32"/>
      <c r="AD1006" s="32"/>
      <c r="AE1006" s="32">
        <f t="shared" si="297"/>
        <v>0</v>
      </c>
      <c r="AF1006" s="12"/>
      <c r="AG1006" s="12"/>
      <c r="AH1006" s="12"/>
      <c r="AI1006" s="12">
        <f t="shared" si="298"/>
        <v>0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/>
      <c r="C1007" s="11" t="s">
        <v>27</v>
      </c>
      <c r="D1007" s="32"/>
      <c r="E1007" s="32"/>
      <c r="F1007" s="32"/>
      <c r="G1007" s="32">
        <f t="shared" si="293"/>
        <v>0</v>
      </c>
      <c r="H1007" s="12"/>
      <c r="I1007" s="12"/>
      <c r="J1007" s="12"/>
      <c r="K1007" s="12">
        <f t="shared" si="294"/>
        <v>0</v>
      </c>
      <c r="M1007" s="10">
        <v>6</v>
      </c>
      <c r="N1007" s="30" t="s">
        <v>88</v>
      </c>
      <c r="O1007" s="31">
        <v>8044</v>
      </c>
      <c r="P1007" s="32">
        <f>626*70+614*4+674*3+596*25+852</f>
        <v>64050</v>
      </c>
      <c r="Q1007" s="32"/>
      <c r="R1007" s="32"/>
      <c r="S1007" s="32">
        <f t="shared" si="295"/>
        <v>64050</v>
      </c>
      <c r="T1007" s="12"/>
      <c r="U1007" s="12">
        <v>405</v>
      </c>
      <c r="V1007" s="10"/>
      <c r="W1007" s="12">
        <f t="shared" si="296"/>
        <v>64455</v>
      </c>
      <c r="Y1007" s="10">
        <v>6</v>
      </c>
      <c r="Z1007" s="30"/>
      <c r="AA1007" s="31"/>
      <c r="AB1007" s="32"/>
      <c r="AC1007" s="32"/>
      <c r="AD1007" s="32"/>
      <c r="AE1007" s="32">
        <f t="shared" si="297"/>
        <v>0</v>
      </c>
      <c r="AF1007" s="12"/>
      <c r="AG1007" s="12"/>
      <c r="AH1007" s="10"/>
      <c r="AI1007" s="12">
        <f t="shared" si="298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/>
      <c r="C1008" s="91"/>
      <c r="D1008" s="32"/>
      <c r="E1008" s="32"/>
      <c r="F1008" s="32"/>
      <c r="G1008" s="32">
        <f t="shared" si="293"/>
        <v>0</v>
      </c>
      <c r="H1008" s="12"/>
      <c r="I1008" s="12"/>
      <c r="J1008" s="12"/>
      <c r="K1008" s="12">
        <f t="shared" si="294"/>
        <v>0</v>
      </c>
      <c r="M1008" s="10">
        <v>7</v>
      </c>
      <c r="N1008" s="30" t="s">
        <v>88</v>
      </c>
      <c r="O1008" s="31">
        <v>8045</v>
      </c>
      <c r="P1008" s="32">
        <f>6260+95</f>
        <v>6355</v>
      </c>
      <c r="Q1008" s="32"/>
      <c r="R1008" s="32"/>
      <c r="S1008" s="32">
        <f t="shared" si="295"/>
        <v>6355</v>
      </c>
      <c r="T1008" s="12"/>
      <c r="U1008" s="12">
        <v>130.5</v>
      </c>
      <c r="V1008" s="12"/>
      <c r="W1008" s="12">
        <f t="shared" si="296"/>
        <v>6485.5</v>
      </c>
      <c r="Y1008" s="10">
        <v>7</v>
      </c>
      <c r="Z1008" s="30"/>
      <c r="AA1008" s="31"/>
      <c r="AB1008" s="32"/>
      <c r="AC1008" s="32"/>
      <c r="AD1008" s="32"/>
      <c r="AE1008" s="32">
        <f t="shared" si="297"/>
        <v>0</v>
      </c>
      <c r="AF1008" s="12"/>
      <c r="AG1008" s="58"/>
      <c r="AH1008" s="12"/>
      <c r="AI1008" s="12">
        <f t="shared" si="298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/>
      <c r="C1009" s="91"/>
      <c r="D1009" s="32"/>
      <c r="E1009" s="32"/>
      <c r="F1009" s="32"/>
      <c r="G1009" s="32">
        <f t="shared" si="293"/>
        <v>0</v>
      </c>
      <c r="H1009" s="12"/>
      <c r="I1009" s="12"/>
      <c r="J1009" s="12"/>
      <c r="K1009" s="12">
        <f t="shared" si="294"/>
        <v>0</v>
      </c>
      <c r="M1009" s="10">
        <v>8</v>
      </c>
      <c r="N1009" s="30"/>
      <c r="O1009" s="11" t="s">
        <v>27</v>
      </c>
      <c r="P1009" s="32"/>
      <c r="Q1009" s="32"/>
      <c r="R1009" s="32"/>
      <c r="S1009" s="32">
        <f t="shared" si="295"/>
        <v>0</v>
      </c>
      <c r="T1009" s="12"/>
      <c r="U1009" s="12"/>
      <c r="V1009" s="12"/>
      <c r="W1009" s="12">
        <f t="shared" si="296"/>
        <v>0</v>
      </c>
      <c r="Y1009" s="10">
        <v>8</v>
      </c>
      <c r="Z1009" s="30"/>
      <c r="AA1009" s="31"/>
      <c r="AB1009" s="32"/>
      <c r="AC1009" s="32"/>
      <c r="AE1009" s="32">
        <f t="shared" si="297"/>
        <v>0</v>
      </c>
      <c r="AF1009" s="12"/>
      <c r="AG1009" s="12"/>
      <c r="AH1009" s="12"/>
      <c r="AI1009" s="12">
        <f t="shared" si="298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/>
      <c r="C1010" s="91"/>
      <c r="D1010" s="32"/>
      <c r="E1010" s="32"/>
      <c r="F1010" s="32"/>
      <c r="G1010" s="32">
        <f t="shared" si="293"/>
        <v>0</v>
      </c>
      <c r="H1010" s="12"/>
      <c r="I1010" s="12"/>
      <c r="J1010" s="12"/>
      <c r="K1010" s="12">
        <f t="shared" si="294"/>
        <v>0</v>
      </c>
      <c r="M1010" s="10">
        <v>9</v>
      </c>
      <c r="N1010" s="30"/>
      <c r="P1010" s="32"/>
      <c r="Q1010" s="32"/>
      <c r="R1010" s="32"/>
      <c r="S1010" s="32">
        <f t="shared" si="295"/>
        <v>0</v>
      </c>
      <c r="T1010" s="12"/>
      <c r="U1010" s="12"/>
      <c r="V1010" s="12"/>
      <c r="W1010" s="12">
        <f t="shared" si="296"/>
        <v>0</v>
      </c>
      <c r="Y1010" s="10">
        <v>9</v>
      </c>
      <c r="Z1010" s="30"/>
      <c r="AA1010" s="31"/>
      <c r="AC1010" s="32"/>
      <c r="AD1010" s="32"/>
      <c r="AE1010" s="32">
        <f t="shared" si="297"/>
        <v>0</v>
      </c>
      <c r="AF1010" s="12"/>
      <c r="AH1010" s="12"/>
      <c r="AI1010" s="12">
        <f t="shared" si="298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/>
      <c r="C1011" s="91"/>
      <c r="D1011" s="32"/>
      <c r="E1011" s="32"/>
      <c r="F1011" s="32"/>
      <c r="G1011" s="32">
        <f t="shared" si="293"/>
        <v>0</v>
      </c>
      <c r="H1011" s="12"/>
      <c r="I1011" s="12"/>
      <c r="J1011" s="12"/>
      <c r="K1011" s="12">
        <f t="shared" si="294"/>
        <v>0</v>
      </c>
      <c r="M1011" s="10">
        <v>10</v>
      </c>
      <c r="N1011" s="30"/>
      <c r="O1011" s="31"/>
      <c r="P1011" s="32"/>
      <c r="Q1011" s="32"/>
      <c r="R1011" s="32"/>
      <c r="S1011" s="32">
        <f t="shared" si="295"/>
        <v>0</v>
      </c>
      <c r="T1011" s="12"/>
      <c r="U1011" s="12"/>
      <c r="V1011" s="12"/>
      <c r="W1011" s="12">
        <f t="shared" si="296"/>
        <v>0</v>
      </c>
      <c r="Y1011" s="10">
        <v>10</v>
      </c>
      <c r="Z1011" s="30"/>
      <c r="AA1011" s="31"/>
      <c r="AB1011" s="32"/>
      <c r="AC1011" s="32"/>
      <c r="AD1011" s="32"/>
      <c r="AE1011" s="32">
        <f t="shared" si="297"/>
        <v>0</v>
      </c>
      <c r="AF1011" s="12"/>
      <c r="AG1011" s="12"/>
      <c r="AH1011" s="12"/>
      <c r="AI1011" s="12">
        <f t="shared" si="298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/>
      <c r="C1012" s="91"/>
      <c r="D1012" s="32"/>
      <c r="E1012" s="32"/>
      <c r="F1012" s="32"/>
      <c r="G1012" s="32">
        <f t="shared" si="293"/>
        <v>0</v>
      </c>
      <c r="H1012" s="12"/>
      <c r="I1012" s="12"/>
      <c r="J1012" s="12"/>
      <c r="K1012" s="12">
        <f t="shared" si="294"/>
        <v>0</v>
      </c>
      <c r="M1012" s="10">
        <v>11</v>
      </c>
      <c r="N1012" s="30"/>
      <c r="O1012" s="31"/>
      <c r="P1012" s="32"/>
      <c r="Q1012" s="32"/>
      <c r="R1012" s="32"/>
      <c r="S1012" s="32">
        <f t="shared" si="295"/>
        <v>0</v>
      </c>
      <c r="T1012" s="12"/>
      <c r="U1012" s="12"/>
      <c r="V1012" s="12"/>
      <c r="W1012" s="12">
        <f t="shared" si="296"/>
        <v>0</v>
      </c>
      <c r="Y1012" s="10">
        <v>11</v>
      </c>
      <c r="Z1012" s="30"/>
      <c r="AB1012" s="32"/>
      <c r="AC1012" s="32"/>
      <c r="AD1012" s="32"/>
      <c r="AE1012" s="32">
        <f t="shared" si="297"/>
        <v>0</v>
      </c>
      <c r="AF1012" s="12"/>
      <c r="AG1012" s="12"/>
      <c r="AH1012" s="12"/>
      <c r="AI1012" s="12">
        <f t="shared" si="298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/>
      <c r="D1013" s="32"/>
      <c r="E1013" s="32"/>
      <c r="F1013" s="32"/>
      <c r="G1013" s="32">
        <f t="shared" si="293"/>
        <v>0</v>
      </c>
      <c r="H1013" s="12"/>
      <c r="I1013" s="12"/>
      <c r="J1013" s="10"/>
      <c r="K1013" s="12">
        <f t="shared" si="294"/>
        <v>0</v>
      </c>
      <c r="M1013" s="10">
        <v>12</v>
      </c>
      <c r="N1013" s="30"/>
      <c r="O1013" s="31"/>
      <c r="P1013" s="32"/>
      <c r="Q1013" s="32"/>
      <c r="R1013" s="32"/>
      <c r="S1013" s="32">
        <f t="shared" si="295"/>
        <v>0</v>
      </c>
      <c r="T1013" s="12"/>
      <c r="U1013" s="12"/>
      <c r="V1013" s="12"/>
      <c r="W1013" s="12">
        <f t="shared" si="296"/>
        <v>0</v>
      </c>
      <c r="Y1013" s="10">
        <v>12</v>
      </c>
      <c r="Z1013" s="30"/>
      <c r="AA1013" s="31"/>
      <c r="AB1013" s="32"/>
      <c r="AC1013" s="32"/>
      <c r="AD1013" s="32"/>
      <c r="AE1013" s="32">
        <f t="shared" si="297"/>
        <v>0</v>
      </c>
      <c r="AF1013" s="12"/>
      <c r="AG1013" s="12"/>
      <c r="AH1013" s="12"/>
      <c r="AI1013" s="12">
        <f t="shared" si="298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/>
      <c r="C1014" s="91"/>
      <c r="D1014" s="32"/>
      <c r="E1014" s="32"/>
      <c r="F1014" s="32"/>
      <c r="G1014" s="32">
        <f t="shared" si="293"/>
        <v>0</v>
      </c>
      <c r="H1014" s="12"/>
      <c r="I1014" s="12"/>
      <c r="J1014" s="12"/>
      <c r="K1014" s="12">
        <f t="shared" si="294"/>
        <v>0</v>
      </c>
      <c r="M1014" s="10">
        <v>13</v>
      </c>
      <c r="N1014" s="30"/>
      <c r="O1014" s="31"/>
      <c r="P1014" s="32"/>
      <c r="Q1014" s="32"/>
      <c r="R1014" s="32"/>
      <c r="S1014" s="32">
        <f t="shared" si="295"/>
        <v>0</v>
      </c>
      <c r="T1014" s="12"/>
      <c r="U1014" s="12"/>
      <c r="V1014" s="12"/>
      <c r="W1014" s="12">
        <f t="shared" si="296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297"/>
        <v>0</v>
      </c>
      <c r="AF1014" s="12"/>
      <c r="AG1014" s="12"/>
      <c r="AH1014" s="12"/>
      <c r="AI1014" s="12">
        <f t="shared" si="298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/>
      <c r="C1015" s="91"/>
      <c r="D1015" s="32"/>
      <c r="E1015" s="32"/>
      <c r="F1015" s="32"/>
      <c r="G1015" s="32">
        <f t="shared" si="293"/>
        <v>0</v>
      </c>
      <c r="H1015" s="12"/>
      <c r="I1015" s="12"/>
      <c r="J1015" s="12"/>
      <c r="K1015" s="12">
        <f t="shared" si="294"/>
        <v>0</v>
      </c>
      <c r="M1015" s="10">
        <v>14</v>
      </c>
      <c r="N1015" s="30"/>
      <c r="O1015" s="31"/>
      <c r="P1015" s="32"/>
      <c r="Q1015" s="32"/>
      <c r="R1015" s="32"/>
      <c r="S1015" s="32">
        <f t="shared" si="295"/>
        <v>0</v>
      </c>
      <c r="T1015" s="12"/>
      <c r="U1015" s="12"/>
      <c r="V1015" s="12"/>
      <c r="W1015" s="12">
        <f t="shared" si="296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97"/>
        <v>0</v>
      </c>
      <c r="AF1015" s="12"/>
      <c r="AG1015" s="12"/>
      <c r="AH1015" s="12"/>
      <c r="AI1015" s="12">
        <f t="shared" si="298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91"/>
      <c r="D1016" s="32"/>
      <c r="E1016" s="32"/>
      <c r="F1016" s="32"/>
      <c r="G1016" s="32">
        <f t="shared" si="293"/>
        <v>0</v>
      </c>
      <c r="H1016" s="12"/>
      <c r="I1016" s="12"/>
      <c r="J1016" s="12"/>
      <c r="K1016" s="12">
        <f t="shared" si="294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95"/>
        <v>0</v>
      </c>
      <c r="T1016" s="12"/>
      <c r="U1016" s="12"/>
      <c r="V1016" s="12"/>
      <c r="W1016" s="12">
        <f t="shared" si="296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97"/>
        <v>0</v>
      </c>
      <c r="AF1016" s="12"/>
      <c r="AG1016" s="12"/>
      <c r="AH1016" s="12"/>
      <c r="AI1016" s="12">
        <f t="shared" si="298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91"/>
      <c r="D1017" s="32"/>
      <c r="E1017" s="32"/>
      <c r="F1017" s="32"/>
      <c r="G1017" s="32">
        <f t="shared" si="293"/>
        <v>0</v>
      </c>
      <c r="H1017" s="12"/>
      <c r="I1017" s="12"/>
      <c r="J1017" s="12"/>
      <c r="K1017" s="12">
        <f t="shared" si="294"/>
        <v>0</v>
      </c>
      <c r="M1017" s="10">
        <v>16</v>
      </c>
      <c r="N1017" s="30"/>
      <c r="O1017" s="31"/>
      <c r="P1017" s="32"/>
      <c r="Q1017" s="32"/>
      <c r="R1017" s="32"/>
      <c r="S1017" s="32">
        <f t="shared" si="295"/>
        <v>0</v>
      </c>
      <c r="T1017" s="12"/>
      <c r="U1017" s="12"/>
      <c r="V1017" s="12"/>
      <c r="W1017" s="12">
        <f t="shared" si="296"/>
        <v>0</v>
      </c>
      <c r="Y1017" s="10">
        <v>16</v>
      </c>
      <c r="Z1017" s="30"/>
      <c r="AB1017" s="32"/>
      <c r="AC1017" s="32"/>
      <c r="AD1017" s="32"/>
      <c r="AE1017" s="32">
        <f t="shared" si="297"/>
        <v>0</v>
      </c>
      <c r="AF1017" s="12"/>
      <c r="AG1017" s="12"/>
      <c r="AH1017" s="12"/>
      <c r="AI1017" s="12">
        <f t="shared" si="298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91"/>
      <c r="D1018" s="32"/>
      <c r="E1018" s="32"/>
      <c r="F1018" s="32"/>
      <c r="G1018" s="32">
        <f t="shared" si="293"/>
        <v>0</v>
      </c>
      <c r="H1018" s="12"/>
      <c r="I1018" s="12"/>
      <c r="J1018" s="12"/>
      <c r="K1018" s="12">
        <f t="shared" si="294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95"/>
        <v>0</v>
      </c>
      <c r="T1018" s="12"/>
      <c r="U1018" s="12"/>
      <c r="V1018" s="12"/>
      <c r="W1018" s="12">
        <f t="shared" si="296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97"/>
        <v>0</v>
      </c>
      <c r="AF1018" s="12"/>
      <c r="AG1018" s="12"/>
      <c r="AH1018" s="12"/>
      <c r="AI1018" s="12">
        <f t="shared" si="298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91"/>
      <c r="D1019" s="32"/>
      <c r="E1019" s="32"/>
      <c r="F1019" s="32"/>
      <c r="G1019" s="32">
        <f t="shared" si="293"/>
        <v>0</v>
      </c>
      <c r="H1019" s="12"/>
      <c r="I1019" s="12"/>
      <c r="J1019" s="12"/>
      <c r="K1019" s="12">
        <f t="shared" si="294"/>
        <v>0</v>
      </c>
      <c r="M1019" s="10">
        <v>18</v>
      </c>
      <c r="N1019" s="30"/>
      <c r="O1019" s="31"/>
      <c r="P1019" s="32"/>
      <c r="Q1019" s="32"/>
      <c r="R1019" s="32"/>
      <c r="S1019" s="32">
        <f t="shared" si="295"/>
        <v>0</v>
      </c>
      <c r="T1019" s="12"/>
      <c r="U1019" s="12"/>
      <c r="V1019" s="12"/>
      <c r="W1019" s="12">
        <f t="shared" si="296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297"/>
        <v>0</v>
      </c>
      <c r="AF1019" s="12"/>
      <c r="AG1019" s="12"/>
      <c r="AH1019" s="12"/>
      <c r="AI1019" s="12">
        <f t="shared" si="298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91"/>
      <c r="D1020" s="32"/>
      <c r="E1020" s="32"/>
      <c r="F1020" s="32"/>
      <c r="G1020" s="32">
        <f t="shared" si="293"/>
        <v>0</v>
      </c>
      <c r="H1020" s="12"/>
      <c r="I1020" s="12"/>
      <c r="J1020" s="12"/>
      <c r="K1020" s="12">
        <f t="shared" si="294"/>
        <v>0</v>
      </c>
      <c r="M1020" s="10">
        <v>19</v>
      </c>
      <c r="N1020" s="30"/>
      <c r="O1020" s="31"/>
      <c r="P1020" s="32"/>
      <c r="Q1020" s="32"/>
      <c r="R1020" s="32"/>
      <c r="S1020" s="32">
        <f t="shared" si="295"/>
        <v>0</v>
      </c>
      <c r="T1020" s="12"/>
      <c r="U1020" s="12"/>
      <c r="V1020" s="12"/>
      <c r="W1020" s="12">
        <f t="shared" si="296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97"/>
        <v>0</v>
      </c>
      <c r="AF1020" s="12"/>
      <c r="AG1020" s="12"/>
      <c r="AH1020" s="12"/>
      <c r="AI1020" s="12">
        <f t="shared" si="298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91"/>
      <c r="D1021" s="32"/>
      <c r="E1021" s="32"/>
      <c r="F1021" s="32"/>
      <c r="G1021" s="32">
        <f t="shared" si="293"/>
        <v>0</v>
      </c>
      <c r="H1021" s="12"/>
      <c r="I1021" s="12"/>
      <c r="J1021" s="12"/>
      <c r="K1021" s="12">
        <f t="shared" si="294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95"/>
        <v>0</v>
      </c>
      <c r="T1021" s="12"/>
      <c r="U1021" s="12"/>
      <c r="V1021" s="12"/>
      <c r="W1021" s="12">
        <f t="shared" si="296"/>
        <v>0</v>
      </c>
      <c r="Y1021" s="10">
        <v>20</v>
      </c>
      <c r="Z1021" s="30"/>
      <c r="AA1021" s="31"/>
      <c r="AB1021" s="32"/>
      <c r="AC1021" s="32"/>
      <c r="AD1021" s="32"/>
      <c r="AE1021" s="32">
        <f t="shared" si="297"/>
        <v>0</v>
      </c>
      <c r="AF1021" s="12"/>
      <c r="AG1021" s="12"/>
      <c r="AH1021" s="12"/>
      <c r="AI1021" s="12">
        <f t="shared" si="298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57"/>
      <c r="D1022" s="32"/>
      <c r="E1022" s="32"/>
      <c r="F1022" s="32"/>
      <c r="G1022" s="32">
        <f t="shared" si="293"/>
        <v>0</v>
      </c>
      <c r="H1022" s="10"/>
      <c r="I1022" s="10"/>
      <c r="J1022" s="10"/>
      <c r="K1022" s="12">
        <f t="shared" si="294"/>
        <v>0</v>
      </c>
      <c r="M1022" s="10">
        <v>21</v>
      </c>
      <c r="N1022" s="30"/>
      <c r="P1022" s="46"/>
      <c r="Q1022" s="31"/>
      <c r="R1022" s="31"/>
      <c r="S1022" s="32">
        <f t="shared" si="295"/>
        <v>0</v>
      </c>
      <c r="T1022" s="10"/>
      <c r="U1022" s="10"/>
      <c r="V1022" s="10"/>
      <c r="W1022" s="12">
        <f t="shared" si="296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297"/>
        <v>0</v>
      </c>
      <c r="AF1022" s="10"/>
      <c r="AG1022" s="10"/>
      <c r="AH1022" s="10"/>
      <c r="AI1022" s="12">
        <f t="shared" si="298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91"/>
      <c r="D1023" s="32"/>
      <c r="E1023" s="32"/>
      <c r="F1023" s="32"/>
      <c r="G1023" s="32">
        <f t="shared" si="293"/>
        <v>0</v>
      </c>
      <c r="H1023" s="10"/>
      <c r="I1023" s="10"/>
      <c r="J1023" s="10"/>
      <c r="K1023" s="12">
        <f t="shared" si="294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95"/>
        <v>0</v>
      </c>
      <c r="T1023" s="10"/>
      <c r="U1023" s="10"/>
      <c r="V1023" s="10"/>
      <c r="W1023" s="12">
        <f t="shared" si="296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97"/>
        <v>0</v>
      </c>
      <c r="AF1023" s="10"/>
      <c r="AG1023" s="10"/>
      <c r="AH1023" s="10"/>
      <c r="AI1023" s="12">
        <f t="shared" si="298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91"/>
      <c r="D1024" s="32"/>
      <c r="E1024" s="32"/>
      <c r="F1024" s="32"/>
      <c r="G1024" s="32">
        <f t="shared" si="293"/>
        <v>0</v>
      </c>
      <c r="H1024" s="10"/>
      <c r="I1024" s="10"/>
      <c r="J1024" s="12"/>
      <c r="K1024" s="12">
        <f t="shared" si="294"/>
        <v>0</v>
      </c>
      <c r="M1024" s="10">
        <v>23</v>
      </c>
      <c r="N1024" s="30"/>
      <c r="O1024" s="31"/>
      <c r="P1024" s="47"/>
      <c r="S1024" s="32">
        <f t="shared" si="295"/>
        <v>0</v>
      </c>
      <c r="T1024" s="10"/>
      <c r="U1024" s="10"/>
      <c r="V1024" s="10"/>
      <c r="W1024" s="12">
        <f t="shared" si="296"/>
        <v>0</v>
      </c>
      <c r="Y1024" s="10">
        <v>23</v>
      </c>
      <c r="Z1024" s="30"/>
      <c r="AA1024" s="31"/>
      <c r="AB1024" s="47"/>
      <c r="AE1024" s="32">
        <f t="shared" si="297"/>
        <v>0</v>
      </c>
      <c r="AF1024" s="10"/>
      <c r="AG1024" s="10"/>
      <c r="AH1024" s="10"/>
      <c r="AI1024" s="12">
        <f t="shared" si="298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57"/>
      <c r="D1025" s="32"/>
      <c r="E1025" s="32"/>
      <c r="F1025" s="32"/>
      <c r="G1025" s="32">
        <f t="shared" si="293"/>
        <v>0</v>
      </c>
      <c r="H1025" s="10"/>
      <c r="I1025" s="10"/>
      <c r="J1025" s="10"/>
      <c r="K1025" s="12">
        <f t="shared" si="294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95"/>
        <v>0</v>
      </c>
      <c r="T1025" s="10"/>
      <c r="U1025" s="10"/>
      <c r="V1025" s="10"/>
      <c r="W1025" s="12">
        <f t="shared" si="296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97"/>
        <v>0</v>
      </c>
      <c r="AF1025" s="10"/>
      <c r="AG1025" s="10"/>
      <c r="AH1025" s="10"/>
      <c r="AI1025" s="12">
        <f t="shared" si="298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31"/>
      <c r="D1026" s="32"/>
      <c r="E1026" s="32"/>
      <c r="F1026" s="32"/>
      <c r="G1026" s="32">
        <f t="shared" si="293"/>
        <v>0</v>
      </c>
      <c r="H1026" s="10"/>
      <c r="I1026" s="10"/>
      <c r="J1026" s="10"/>
      <c r="K1026" s="12">
        <f t="shared" si="294"/>
        <v>0</v>
      </c>
      <c r="M1026" s="10">
        <v>25</v>
      </c>
      <c r="N1026" s="30"/>
      <c r="P1026" s="47"/>
      <c r="Q1026" s="31"/>
      <c r="R1026" s="31"/>
      <c r="S1026" s="32">
        <f t="shared" si="295"/>
        <v>0</v>
      </c>
      <c r="T1026" s="10"/>
      <c r="U1026" s="10"/>
      <c r="V1026" s="10"/>
      <c r="W1026" s="12">
        <f t="shared" si="296"/>
        <v>0</v>
      </c>
      <c r="Y1026" s="10">
        <v>25</v>
      </c>
      <c r="Z1026" s="30"/>
      <c r="AB1026" s="47"/>
      <c r="AC1026" s="31"/>
      <c r="AD1026" s="31"/>
      <c r="AE1026" s="32">
        <f t="shared" si="297"/>
        <v>0</v>
      </c>
      <c r="AF1026" s="10"/>
      <c r="AG1026" s="10"/>
      <c r="AH1026" s="10"/>
      <c r="AI1026" s="12">
        <f t="shared" si="298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11"/>
      <c r="D1027" s="32"/>
      <c r="E1027" s="32"/>
      <c r="F1027" s="32"/>
      <c r="G1027" s="32">
        <f t="shared" si="293"/>
        <v>0</v>
      </c>
      <c r="H1027" s="10"/>
      <c r="I1027" s="10"/>
      <c r="J1027" s="10"/>
      <c r="K1027" s="12">
        <f t="shared" si="294"/>
        <v>0</v>
      </c>
      <c r="M1027" s="10">
        <v>26</v>
      </c>
      <c r="N1027" s="30"/>
      <c r="P1027" s="47"/>
      <c r="Q1027" s="31"/>
      <c r="R1027" s="31"/>
      <c r="S1027" s="32">
        <f t="shared" si="295"/>
        <v>0</v>
      </c>
      <c r="T1027" s="10"/>
      <c r="U1027" s="10"/>
      <c r="V1027" s="10"/>
      <c r="W1027" s="12">
        <f t="shared" si="296"/>
        <v>0</v>
      </c>
      <c r="Y1027" s="10">
        <v>26</v>
      </c>
      <c r="Z1027" s="30"/>
      <c r="AB1027" s="47"/>
      <c r="AC1027" s="31"/>
      <c r="AD1027" s="31"/>
      <c r="AE1027" s="32">
        <f t="shared" si="297"/>
        <v>0</v>
      </c>
      <c r="AF1027" s="10"/>
      <c r="AG1027" s="10"/>
      <c r="AH1027" s="10"/>
      <c r="AI1027" s="12">
        <f t="shared" si="298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57"/>
      <c r="D1028" s="32"/>
      <c r="E1028" s="32"/>
      <c r="F1028" s="32"/>
      <c r="G1028" s="32">
        <f t="shared" si="293"/>
        <v>0</v>
      </c>
      <c r="H1028" s="10"/>
      <c r="I1028" s="10"/>
      <c r="J1028" s="10"/>
      <c r="K1028" s="12">
        <f t="shared" si="294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95"/>
        <v>0</v>
      </c>
      <c r="T1028" s="10"/>
      <c r="U1028" s="10"/>
      <c r="V1028" s="10"/>
      <c r="W1028" s="12">
        <f t="shared" si="296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97"/>
        <v>0</v>
      </c>
      <c r="AF1028" s="10"/>
      <c r="AG1028" s="10"/>
      <c r="AH1028" s="10"/>
      <c r="AI1028" s="12">
        <f t="shared" si="298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31"/>
      <c r="D1029" s="32"/>
      <c r="E1029" s="32"/>
      <c r="F1029" s="32"/>
      <c r="G1029" s="32">
        <f t="shared" si="293"/>
        <v>0</v>
      </c>
      <c r="H1029" s="10"/>
      <c r="I1029" s="10"/>
      <c r="J1029" s="10"/>
      <c r="K1029" s="12">
        <f t="shared" si="294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95"/>
        <v>0</v>
      </c>
      <c r="T1029" s="10"/>
      <c r="U1029" s="10"/>
      <c r="V1029" s="10"/>
      <c r="W1029" s="12">
        <f t="shared" si="296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97"/>
        <v>0</v>
      </c>
      <c r="AF1029" s="10"/>
      <c r="AG1029" s="10"/>
      <c r="AH1029" s="10"/>
      <c r="AI1029" s="12">
        <f t="shared" si="298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31"/>
      <c r="D1030" s="32"/>
      <c r="E1030" s="32"/>
      <c r="F1030" s="32"/>
      <c r="G1030" s="32">
        <f t="shared" si="293"/>
        <v>0</v>
      </c>
      <c r="H1030" s="10"/>
      <c r="I1030" s="10"/>
      <c r="J1030" s="10"/>
      <c r="K1030" s="12">
        <f t="shared" si="294"/>
        <v>0</v>
      </c>
      <c r="M1030" s="10">
        <v>29</v>
      </c>
      <c r="N1030" s="30"/>
      <c r="P1030" s="47"/>
      <c r="Q1030" s="31"/>
      <c r="R1030" s="31"/>
      <c r="S1030" s="32">
        <f t="shared" si="295"/>
        <v>0</v>
      </c>
      <c r="T1030" s="10"/>
      <c r="U1030" s="10"/>
      <c r="V1030" s="10"/>
      <c r="W1030" s="12">
        <f t="shared" si="296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97"/>
        <v>0</v>
      </c>
      <c r="AF1030" s="10"/>
      <c r="AG1030" s="10"/>
      <c r="AH1030" s="10"/>
      <c r="AI1030" s="12">
        <f t="shared" si="298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57"/>
      <c r="D1031" s="32"/>
      <c r="E1031" s="32"/>
      <c r="F1031" s="32"/>
      <c r="G1031" s="32">
        <f t="shared" si="293"/>
        <v>0</v>
      </c>
      <c r="H1031" s="10"/>
      <c r="I1031" s="10"/>
      <c r="J1031" s="10"/>
      <c r="K1031" s="12">
        <f t="shared" si="294"/>
        <v>0</v>
      </c>
      <c r="M1031" s="10">
        <v>30</v>
      </c>
      <c r="N1031" s="30"/>
      <c r="P1031" s="47"/>
      <c r="Q1031" s="31"/>
      <c r="R1031" s="31"/>
      <c r="S1031" s="32">
        <f t="shared" si="295"/>
        <v>0</v>
      </c>
      <c r="T1031" s="10"/>
      <c r="U1031" s="10"/>
      <c r="V1031" s="10"/>
      <c r="W1031" s="12">
        <f t="shared" si="296"/>
        <v>0</v>
      </c>
      <c r="Y1031" s="10">
        <v>30</v>
      </c>
      <c r="Z1031" s="30"/>
      <c r="AB1031" s="47"/>
      <c r="AC1031" s="31"/>
      <c r="AD1031" s="31"/>
      <c r="AE1031" s="32">
        <f t="shared" si="297"/>
        <v>0</v>
      </c>
      <c r="AF1031" s="10"/>
      <c r="AG1031" s="10"/>
      <c r="AH1031" s="10"/>
      <c r="AI1031" s="12">
        <f t="shared" si="298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57"/>
      <c r="D1032" s="32"/>
      <c r="E1032" s="32"/>
      <c r="F1032" s="32"/>
      <c r="G1032" s="32">
        <f t="shared" si="293"/>
        <v>0</v>
      </c>
      <c r="H1032" s="10"/>
      <c r="I1032" s="10"/>
      <c r="J1032" s="10"/>
      <c r="K1032" s="12">
        <f t="shared" si="294"/>
        <v>0</v>
      </c>
      <c r="M1032" s="10">
        <v>31</v>
      </c>
      <c r="N1032" s="30"/>
      <c r="O1032" s="31"/>
      <c r="P1032" s="47"/>
      <c r="Q1032" s="31"/>
      <c r="R1032" s="31"/>
      <c r="S1032" s="32">
        <f t="shared" si="295"/>
        <v>0</v>
      </c>
      <c r="T1032" s="10"/>
      <c r="U1032" s="10"/>
      <c r="V1032" s="10"/>
      <c r="W1032" s="12">
        <f t="shared" si="296"/>
        <v>0</v>
      </c>
      <c r="Y1032" s="10">
        <v>31</v>
      </c>
      <c r="Z1032" s="30"/>
      <c r="AB1032" s="47"/>
      <c r="AC1032" s="31"/>
      <c r="AD1032" s="31"/>
      <c r="AE1032" s="32">
        <f t="shared" si="297"/>
        <v>0</v>
      </c>
      <c r="AF1032" s="10"/>
      <c r="AG1032" s="10"/>
      <c r="AH1032" s="10"/>
      <c r="AI1032" s="12">
        <f t="shared" si="298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31"/>
      <c r="D1033" s="32"/>
      <c r="E1033" s="32"/>
      <c r="F1033" s="32"/>
      <c r="G1033" s="32">
        <f t="shared" si="293"/>
        <v>0</v>
      </c>
      <c r="H1033" s="10"/>
      <c r="I1033" s="10"/>
      <c r="J1033" s="10"/>
      <c r="K1033" s="12">
        <f t="shared" si="294"/>
        <v>0</v>
      </c>
      <c r="M1033" s="10">
        <v>32</v>
      </c>
      <c r="N1033" s="30"/>
      <c r="P1033" s="47"/>
      <c r="Q1033" s="31"/>
      <c r="R1033" s="31"/>
      <c r="S1033" s="32">
        <f t="shared" si="295"/>
        <v>0</v>
      </c>
      <c r="T1033" s="10"/>
      <c r="U1033" s="10"/>
      <c r="V1033" s="10"/>
      <c r="W1033" s="12">
        <f t="shared" si="296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97"/>
        <v>0</v>
      </c>
      <c r="AF1033" s="10"/>
      <c r="AG1033" s="10"/>
      <c r="AH1033" s="10"/>
      <c r="AI1033" s="12">
        <f t="shared" si="298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57"/>
      <c r="D1034" s="32"/>
      <c r="E1034" s="32"/>
      <c r="F1034" s="32"/>
      <c r="G1034" s="32">
        <f t="shared" si="293"/>
        <v>0</v>
      </c>
      <c r="H1034" s="10"/>
      <c r="I1034" s="10"/>
      <c r="J1034" s="10"/>
      <c r="K1034" s="12">
        <f t="shared" si="294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95"/>
        <v>0</v>
      </c>
      <c r="T1034" s="10"/>
      <c r="U1034" s="10"/>
      <c r="V1034" s="10"/>
      <c r="W1034" s="12">
        <f t="shared" si="296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97"/>
        <v>0</v>
      </c>
      <c r="AF1034" s="10"/>
      <c r="AG1034" s="10"/>
      <c r="AH1034" s="10"/>
      <c r="AI1034" s="12">
        <f t="shared" si="298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57"/>
      <c r="D1035" s="32"/>
      <c r="E1035" s="32"/>
      <c r="F1035" s="32"/>
      <c r="G1035" s="32">
        <f t="shared" si="293"/>
        <v>0</v>
      </c>
      <c r="H1035" s="10"/>
      <c r="I1035" s="10"/>
      <c r="J1035" s="10"/>
      <c r="K1035" s="12">
        <f t="shared" si="294"/>
        <v>0</v>
      </c>
      <c r="M1035" s="10">
        <v>34</v>
      </c>
      <c r="N1035" s="30"/>
      <c r="O1035" s="31"/>
      <c r="P1035" s="47"/>
      <c r="Q1035" s="31"/>
      <c r="R1035" s="31"/>
      <c r="S1035" s="32">
        <f t="shared" ref="S1035:S1040" si="302">SUM(P1035:Q1035)</f>
        <v>0</v>
      </c>
      <c r="T1035" s="10"/>
      <c r="U1035" s="10"/>
      <c r="V1035" s="10"/>
      <c r="W1035" s="12">
        <f t="shared" si="296"/>
        <v>0</v>
      </c>
      <c r="Y1035" s="10">
        <v>34</v>
      </c>
      <c r="Z1035" s="30"/>
      <c r="AB1035" s="47"/>
      <c r="AC1035" s="31"/>
      <c r="AD1035" s="31"/>
      <c r="AE1035" s="32">
        <f t="shared" si="297"/>
        <v>0</v>
      </c>
      <c r="AF1035" s="10"/>
      <c r="AG1035" s="10"/>
      <c r="AH1035" s="10"/>
      <c r="AI1035" s="12">
        <f t="shared" ref="AI1035:AI1043" si="303">SUM(AE1035:AH1035)</f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31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302"/>
        <v>0</v>
      </c>
      <c r="T1036" s="10"/>
      <c r="U1036" s="10"/>
      <c r="V1036" s="10"/>
      <c r="W1036" s="12">
        <f t="shared" si="296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97"/>
        <v>0</v>
      </c>
      <c r="AF1036" s="10"/>
      <c r="AG1036" s="10"/>
      <c r="AH1036" s="10"/>
      <c r="AI1036" s="12">
        <f t="shared" si="303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31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302"/>
        <v>0</v>
      </c>
      <c r="T1037" s="10"/>
      <c r="U1037" s="10"/>
      <c r="V1037" s="10"/>
      <c r="W1037" s="12">
        <f t="shared" si="296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97"/>
        <v>0</v>
      </c>
      <c r="AF1037" s="10"/>
      <c r="AG1037" s="10"/>
      <c r="AH1037" s="10"/>
      <c r="AI1037" s="12">
        <f t="shared" si="303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302"/>
        <v>0</v>
      </c>
      <c r="T1038" s="10"/>
      <c r="U1038" s="10"/>
      <c r="V1038" s="10"/>
      <c r="W1038" s="12">
        <f t="shared" si="296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97"/>
        <v>0</v>
      </c>
      <c r="AF1038" s="10"/>
      <c r="AG1038" s="10"/>
      <c r="AH1038" s="10"/>
      <c r="AI1038" s="12">
        <f t="shared" si="303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302"/>
        <v>0</v>
      </c>
      <c r="T1039" s="10"/>
      <c r="U1039" s="10"/>
      <c r="V1039" s="10"/>
      <c r="W1039" s="12">
        <f t="shared" si="296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97"/>
        <v>0</v>
      </c>
      <c r="AF1039" s="10"/>
      <c r="AG1039" s="10"/>
      <c r="AH1039" s="10"/>
      <c r="AI1039" s="12">
        <f t="shared" si="303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302"/>
        <v>0</v>
      </c>
      <c r="T1040" s="10"/>
      <c r="U1040" s="10"/>
      <c r="V1040" s="10"/>
      <c r="W1040" s="12">
        <f t="shared" si="296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97"/>
        <v>0</v>
      </c>
      <c r="AF1040" s="10"/>
      <c r="AG1040" s="10"/>
      <c r="AH1040" s="10"/>
      <c r="AI1040" s="12">
        <f t="shared" si="303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6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303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304">SUM(D1042:E1042)</f>
        <v>0</v>
      </c>
      <c r="H1042" s="10"/>
      <c r="I1042" s="10"/>
      <c r="J1042" s="10"/>
      <c r="K1042" s="12">
        <f t="shared" ref="K1042" si="305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306">SUM(P1042:Q1042)</f>
        <v>0</v>
      </c>
      <c r="T1042" s="10"/>
      <c r="U1042" s="10"/>
      <c r="V1042" s="10"/>
      <c r="W1042" s="12">
        <f t="shared" si="296"/>
        <v>0</v>
      </c>
      <c r="Y1042" s="10"/>
      <c r="Z1042" s="30"/>
      <c r="AA1042" s="31"/>
      <c r="AB1042" s="47"/>
      <c r="AC1042" s="31"/>
      <c r="AD1042" s="31"/>
      <c r="AE1042" s="32">
        <f t="shared" ref="AE1042" si="307">SUM(AB1042:AC1042)</f>
        <v>0</v>
      </c>
      <c r="AF1042" s="10"/>
      <c r="AG1042" s="10"/>
      <c r="AH1042" s="10"/>
      <c r="AI1042" s="12">
        <f t="shared" si="303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6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303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565954</v>
      </c>
      <c r="E1045" s="38">
        <f t="shared" ref="E1045:F1045" si="308">SUM(E1002:E1042)</f>
        <v>0</v>
      </c>
      <c r="F1045" s="38">
        <f t="shared" si="308"/>
        <v>0</v>
      </c>
      <c r="G1045" s="38">
        <f>SUM(G1002:G1044)</f>
        <v>565954</v>
      </c>
      <c r="H1045" s="4"/>
      <c r="I1045" s="39">
        <f>SUM(I1002:I1044)</f>
        <v>93330</v>
      </c>
      <c r="J1045" s="39">
        <f>SUM(J1002:J1044)</f>
        <v>-29355</v>
      </c>
      <c r="K1045" s="40">
        <f>SUM(K1002:K1044)</f>
        <v>629929</v>
      </c>
      <c r="N1045" s="57"/>
      <c r="O1045" s="57"/>
      <c r="P1045" s="38">
        <f>SUM(P1002:P1044)</f>
        <v>350318</v>
      </c>
      <c r="Q1045" s="38">
        <f>SUM(Q1002:Q1026)</f>
        <v>-1572</v>
      </c>
      <c r="R1045" s="38">
        <f>SUM(R1002:R1026)</f>
        <v>0</v>
      </c>
      <c r="S1045" s="38">
        <f>SUM(S1002:S1044)</f>
        <v>348746</v>
      </c>
      <c r="T1045" s="4"/>
      <c r="U1045" s="41">
        <f>SUM(U1002:U1044)</f>
        <v>3874.5</v>
      </c>
      <c r="V1045" s="41">
        <f>SUM(V1002:V1026)</f>
        <v>-1005</v>
      </c>
      <c r="W1045" s="42">
        <f>SUM(W1002:W1044)</f>
        <v>351615.5</v>
      </c>
      <c r="Z1045" s="57"/>
      <c r="AA1045" s="57"/>
      <c r="AB1045" s="38">
        <f>SUM(AB1002:AB1044)</f>
        <v>208299</v>
      </c>
      <c r="AC1045" s="38">
        <f>SUM(AC1002:AC1026)</f>
        <v>-1380</v>
      </c>
      <c r="AD1045" s="38">
        <f>SUM(AD1002:AD1026)</f>
        <v>0</v>
      </c>
      <c r="AE1045" s="38">
        <f>SUM(AE1002:AE1044)</f>
        <v>206919</v>
      </c>
      <c r="AF1045" s="4"/>
      <c r="AG1045" s="41">
        <f>SUM(AG1002:AG1044)</f>
        <v>1245</v>
      </c>
      <c r="AH1045" s="41">
        <f>SUM(AH1002:AH1026)</f>
        <v>-390</v>
      </c>
      <c r="AI1045" s="42">
        <f>SUM(AI1002:AI1044)</f>
        <v>207774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41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41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41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90</v>
      </c>
      <c r="B1053" s="20"/>
      <c r="C1053" s="57"/>
      <c r="D1053" s="57"/>
      <c r="E1053" s="57"/>
      <c r="G1053" s="57"/>
      <c r="I1053" s="22" t="s">
        <v>16</v>
      </c>
      <c r="J1053" s="23" t="s">
        <v>33</v>
      </c>
      <c r="K1053" s="24"/>
      <c r="M1053" s="21" t="s">
        <v>90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37</v>
      </c>
      <c r="W1053" s="24"/>
      <c r="Y1053" s="21" t="s">
        <v>90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31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6" t="s">
        <v>17</v>
      </c>
      <c r="E1055" s="126"/>
      <c r="F1055" s="114"/>
      <c r="G1055" s="27"/>
      <c r="I1055" s="124" t="s">
        <v>18</v>
      </c>
      <c r="J1055" s="125"/>
      <c r="K1055" s="122" t="s">
        <v>19</v>
      </c>
      <c r="N1055" s="25"/>
      <c r="O1055" s="26"/>
      <c r="P1055" s="126" t="s">
        <v>17</v>
      </c>
      <c r="Q1055" s="126"/>
      <c r="R1055" s="114"/>
      <c r="S1055" s="27"/>
      <c r="U1055" s="124" t="s">
        <v>18</v>
      </c>
      <c r="V1055" s="125"/>
      <c r="W1055" s="122" t="s">
        <v>19</v>
      </c>
      <c r="Z1055" s="25"/>
      <c r="AA1055" s="26"/>
      <c r="AB1055" s="126" t="s">
        <v>17</v>
      </c>
      <c r="AC1055" s="126"/>
      <c r="AD1055" s="114"/>
      <c r="AE1055" s="27"/>
      <c r="AG1055" s="124" t="s">
        <v>18</v>
      </c>
      <c r="AH1055" s="125"/>
      <c r="AI1055" s="122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9" t="s">
        <v>22</v>
      </c>
      <c r="E1056" s="78" t="s">
        <v>23</v>
      </c>
      <c r="F1056" s="80" t="s">
        <v>32</v>
      </c>
      <c r="G1056" s="80" t="s">
        <v>24</v>
      </c>
      <c r="I1056" s="29" t="s">
        <v>25</v>
      </c>
      <c r="J1056" s="29" t="s">
        <v>26</v>
      </c>
      <c r="K1056" s="123"/>
      <c r="N1056" s="28" t="s">
        <v>20</v>
      </c>
      <c r="O1056" s="28" t="s">
        <v>21</v>
      </c>
      <c r="P1056" s="79" t="s">
        <v>22</v>
      </c>
      <c r="Q1056" s="80" t="s">
        <v>23</v>
      </c>
      <c r="R1056" s="80" t="s">
        <v>32</v>
      </c>
      <c r="S1056" s="80" t="s">
        <v>24</v>
      </c>
      <c r="U1056" s="29" t="s">
        <v>25</v>
      </c>
      <c r="V1056" s="29" t="s">
        <v>26</v>
      </c>
      <c r="W1056" s="123"/>
      <c r="Z1056" s="28" t="s">
        <v>20</v>
      </c>
      <c r="AA1056" s="28" t="s">
        <v>21</v>
      </c>
      <c r="AB1056" s="79" t="s">
        <v>22</v>
      </c>
      <c r="AC1056" s="80" t="s">
        <v>23</v>
      </c>
      <c r="AD1056" s="80" t="s">
        <v>32</v>
      </c>
      <c r="AE1056" s="80" t="s">
        <v>24</v>
      </c>
      <c r="AG1056" s="29" t="s">
        <v>25</v>
      </c>
      <c r="AH1056" s="29" t="s">
        <v>26</v>
      </c>
      <c r="AI1056" s="123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91</v>
      </c>
      <c r="C1057" s="91">
        <v>8055</v>
      </c>
      <c r="D1057" s="32">
        <f>626*6+57</f>
        <v>3813</v>
      </c>
      <c r="E1057" s="32"/>
      <c r="F1057" s="32"/>
      <c r="G1057" s="32">
        <f t="shared" ref="G1057:G1090" si="309">SUM(D1057:E1057)</f>
        <v>3813</v>
      </c>
      <c r="H1057" s="12"/>
      <c r="I1057" s="12"/>
      <c r="J1057" s="12"/>
      <c r="K1057" s="12">
        <f t="shared" ref="K1057:K1090" si="310">SUM(G1057:J1057)</f>
        <v>3813</v>
      </c>
      <c r="M1057" s="10">
        <v>1</v>
      </c>
      <c r="N1057" s="30" t="s">
        <v>91</v>
      </c>
      <c r="O1057" s="31">
        <v>8046</v>
      </c>
      <c r="P1057" s="32">
        <f>25040+614+229+650</f>
        <v>26533</v>
      </c>
      <c r="Q1057" s="32"/>
      <c r="R1057" s="32"/>
      <c r="S1057" s="32">
        <f>SUM(P1057:Q1057)</f>
        <v>26533</v>
      </c>
      <c r="T1057" s="12"/>
      <c r="U1057" s="12"/>
      <c r="V1057" s="12"/>
      <c r="W1057" s="12">
        <f>SUM(S1057:V1057)</f>
        <v>26533</v>
      </c>
      <c r="Y1057" s="10">
        <v>1</v>
      </c>
      <c r="Z1057" s="30" t="s">
        <v>91</v>
      </c>
      <c r="AA1057" s="31">
        <v>7777</v>
      </c>
      <c r="AB1057" s="32">
        <f>31300+458</f>
        <v>31758</v>
      </c>
      <c r="AC1057" s="32">
        <v>-300</v>
      </c>
      <c r="AD1057" s="32"/>
      <c r="AE1057" s="32">
        <f>SUM(AB1057:AC1057)</f>
        <v>31458</v>
      </c>
      <c r="AF1057" s="12"/>
      <c r="AG1057" s="12"/>
      <c r="AH1057" s="12"/>
      <c r="AI1057" s="12">
        <f>SUM(AE1057:AH1057)</f>
        <v>31458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91</v>
      </c>
      <c r="C1058" s="91">
        <f>C1057+1</f>
        <v>8056</v>
      </c>
      <c r="D1058" s="32">
        <f>28170</f>
        <v>28170</v>
      </c>
      <c r="E1058" s="32"/>
      <c r="F1058" s="32"/>
      <c r="G1058" s="32">
        <f t="shared" si="309"/>
        <v>28170</v>
      </c>
      <c r="H1058" s="12"/>
      <c r="I1058" s="12"/>
      <c r="J1058" s="12"/>
      <c r="K1058" s="12">
        <f t="shared" si="310"/>
        <v>28170</v>
      </c>
      <c r="M1058" s="10">
        <v>2</v>
      </c>
      <c r="N1058" s="30" t="s">
        <v>91</v>
      </c>
      <c r="O1058" s="31">
        <f>O1057+1</f>
        <v>8047</v>
      </c>
      <c r="P1058" s="32">
        <f>6260+2384+133</f>
        <v>8777</v>
      </c>
      <c r="Q1058" s="32"/>
      <c r="R1058" s="32"/>
      <c r="S1058" s="32">
        <f t="shared" ref="S1058:S1089" si="311">SUM(P1058:Q1058)</f>
        <v>8777</v>
      </c>
      <c r="T1058" s="12"/>
      <c r="U1058" s="12"/>
      <c r="V1058" s="12"/>
      <c r="W1058" s="12">
        <f t="shared" ref="W1058:W1098" si="312">SUM(S1058:V1058)</f>
        <v>8777</v>
      </c>
      <c r="Y1058" s="10">
        <v>2</v>
      </c>
      <c r="Z1058" s="30" t="s">
        <v>91</v>
      </c>
      <c r="AA1058" s="31">
        <f>AA1057+1</f>
        <v>7778</v>
      </c>
      <c r="AB1058" s="32">
        <f>93900+1175+1175+29800+4260+3015+4160+1832+1175</f>
        <v>140492</v>
      </c>
      <c r="AC1058" s="32">
        <v>-1296</v>
      </c>
      <c r="AD1058" s="32"/>
      <c r="AE1058" s="32">
        <f t="shared" ref="AE1058:AE1095" si="313">SUM(AB1058:AC1058)</f>
        <v>139196</v>
      </c>
      <c r="AF1058" s="12"/>
      <c r="AG1058" s="12">
        <f>1560+22200+78*8</f>
        <v>24384</v>
      </c>
      <c r="AH1058" s="12"/>
      <c r="AI1058" s="12">
        <f t="shared" ref="AI1058:AI1089" si="314">SUM(AE1058:AH1058)</f>
        <v>163580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91</v>
      </c>
      <c r="C1059" s="91">
        <f t="shared" ref="C1059:C1061" si="315">C1058+1</f>
        <v>8057</v>
      </c>
      <c r="D1059" s="33">
        <f>626*1835+596*108+229*80</f>
        <v>1231398</v>
      </c>
      <c r="E1059" s="33">
        <v>-11658</v>
      </c>
      <c r="F1059" s="33"/>
      <c r="G1059" s="33">
        <f t="shared" si="309"/>
        <v>1219740</v>
      </c>
      <c r="H1059" s="34"/>
      <c r="I1059" s="34">
        <f>133311+6240</f>
        <v>139551</v>
      </c>
      <c r="J1059" s="34">
        <f>-3480+-999+-168+-504</f>
        <v>-5151</v>
      </c>
      <c r="K1059" s="34">
        <f t="shared" si="310"/>
        <v>1354140</v>
      </c>
      <c r="M1059" s="10">
        <v>3</v>
      </c>
      <c r="N1059" s="30" t="s">
        <v>91</v>
      </c>
      <c r="O1059" s="31">
        <f t="shared" ref="O1059:O1067" si="316">O1058+1</f>
        <v>8048</v>
      </c>
      <c r="P1059" s="32">
        <f>626+9.5</f>
        <v>635.5</v>
      </c>
      <c r="Q1059" s="32"/>
      <c r="R1059" s="32"/>
      <c r="S1059" s="32">
        <f t="shared" si="311"/>
        <v>635.5</v>
      </c>
      <c r="T1059" s="12"/>
      <c r="U1059" s="12"/>
      <c r="V1059" s="12"/>
      <c r="W1059" s="12">
        <f t="shared" si="312"/>
        <v>635.5</v>
      </c>
      <c r="Y1059" s="10">
        <v>3</v>
      </c>
      <c r="Z1059" s="30" t="s">
        <v>91</v>
      </c>
      <c r="AA1059" s="31">
        <f t="shared" ref="AA1059:AA1061" si="317">AA1058+1</f>
        <v>7779</v>
      </c>
      <c r="AB1059" s="33">
        <f>626*200+614*10+1500+7035+1832+3250</f>
        <v>144957</v>
      </c>
      <c r="AC1059" s="33">
        <v>-1302</v>
      </c>
      <c r="AD1059" s="32"/>
      <c r="AE1059" s="32">
        <f t="shared" si="313"/>
        <v>143655</v>
      </c>
      <c r="AF1059" s="12"/>
      <c r="AG1059" s="12"/>
      <c r="AH1059" s="12"/>
      <c r="AI1059" s="12">
        <f t="shared" si="314"/>
        <v>143655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91</v>
      </c>
      <c r="C1060" s="91">
        <f t="shared" si="315"/>
        <v>8058</v>
      </c>
      <c r="D1060" s="32">
        <f>626*20+1175+913+2980+852+1175+832+237+500+674</f>
        <v>21858</v>
      </c>
      <c r="E1060" s="32"/>
      <c r="F1060" s="32"/>
      <c r="G1060" s="32">
        <f t="shared" si="309"/>
        <v>21858</v>
      </c>
      <c r="H1060" s="12"/>
      <c r="I1060" s="12">
        <f>144+405+37</f>
        <v>586</v>
      </c>
      <c r="J1060" s="12"/>
      <c r="K1060" s="12">
        <f t="shared" si="310"/>
        <v>22444</v>
      </c>
      <c r="M1060" s="10">
        <v>4</v>
      </c>
      <c r="N1060" s="30" t="s">
        <v>91</v>
      </c>
      <c r="O1060" s="31">
        <f t="shared" si="316"/>
        <v>8049</v>
      </c>
      <c r="P1060" s="32">
        <f>1878+1192+47.5</f>
        <v>3117.5</v>
      </c>
      <c r="Q1060" s="32"/>
      <c r="R1060" s="32"/>
      <c r="S1060" s="32">
        <f t="shared" si="311"/>
        <v>3117.5</v>
      </c>
      <c r="T1060" s="12"/>
      <c r="U1060" s="12"/>
      <c r="V1060" s="12"/>
      <c r="W1060" s="12">
        <f t="shared" si="312"/>
        <v>3117.5</v>
      </c>
      <c r="Y1060" s="10">
        <v>4</v>
      </c>
      <c r="Z1060" s="30" t="s">
        <v>91</v>
      </c>
      <c r="AA1060" s="31">
        <f t="shared" si="317"/>
        <v>7780</v>
      </c>
      <c r="AB1060" s="32">
        <f>626*190+674*10+596*69</f>
        <v>166804</v>
      </c>
      <c r="AC1060" s="32">
        <v>-1614</v>
      </c>
      <c r="AD1060" s="32"/>
      <c r="AE1060" s="32">
        <f t="shared" si="313"/>
        <v>165190</v>
      </c>
      <c r="AF1060" s="12"/>
      <c r="AG1060">
        <v>29859</v>
      </c>
      <c r="AH1060" s="12"/>
      <c r="AI1060" s="12">
        <f t="shared" si="314"/>
        <v>195049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91</v>
      </c>
      <c r="C1061" s="91">
        <f t="shared" si="315"/>
        <v>8059</v>
      </c>
      <c r="D1061" s="32">
        <f>28170</f>
        <v>28170</v>
      </c>
      <c r="E1061" s="32"/>
      <c r="F1061" s="32"/>
      <c r="G1061" s="32">
        <f t="shared" si="309"/>
        <v>28170</v>
      </c>
      <c r="H1061" s="12"/>
      <c r="I1061" s="12"/>
      <c r="J1061" s="12"/>
      <c r="K1061" s="12">
        <f t="shared" si="310"/>
        <v>28170</v>
      </c>
      <c r="M1061" s="10">
        <v>5</v>
      </c>
      <c r="N1061" s="30" t="s">
        <v>91</v>
      </c>
      <c r="O1061" s="31">
        <f t="shared" si="316"/>
        <v>8050</v>
      </c>
      <c r="P1061" s="32">
        <f>2504+38</f>
        <v>2542</v>
      </c>
      <c r="Q1061" s="32"/>
      <c r="R1061" s="32"/>
      <c r="S1061" s="32">
        <f t="shared" si="311"/>
        <v>2542</v>
      </c>
      <c r="T1061" s="12"/>
      <c r="U1061" s="12"/>
      <c r="V1061" s="12"/>
      <c r="W1061" s="12">
        <f t="shared" si="312"/>
        <v>2542</v>
      </c>
      <c r="Y1061" s="10">
        <v>5</v>
      </c>
      <c r="Z1061" s="30" t="s">
        <v>91</v>
      </c>
      <c r="AA1061" s="31">
        <f t="shared" si="317"/>
        <v>7781</v>
      </c>
      <c r="AB1061" s="32">
        <f>626*100+614*10+229*3</f>
        <v>69427</v>
      </c>
      <c r="AC1061" s="32">
        <v>-660</v>
      </c>
      <c r="AD1061" s="32"/>
      <c r="AE1061" s="32">
        <f t="shared" si="313"/>
        <v>68767</v>
      </c>
      <c r="AF1061" s="12"/>
      <c r="AG1061" s="12"/>
      <c r="AH1061" s="12"/>
      <c r="AI1061" s="12">
        <f t="shared" si="314"/>
        <v>68767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/>
      <c r="C1062" s="11" t="s">
        <v>27</v>
      </c>
      <c r="D1062" s="32"/>
      <c r="E1062" s="32"/>
      <c r="F1062" s="32"/>
      <c r="G1062" s="32">
        <f t="shared" si="309"/>
        <v>0</v>
      </c>
      <c r="H1062" s="12"/>
      <c r="I1062" s="12"/>
      <c r="J1062" s="12"/>
      <c r="K1062" s="12">
        <f t="shared" si="310"/>
        <v>0</v>
      </c>
      <c r="M1062" s="10">
        <v>6</v>
      </c>
      <c r="N1062" s="30" t="s">
        <v>91</v>
      </c>
      <c r="O1062" s="31">
        <v>8101</v>
      </c>
      <c r="P1062" s="32">
        <f>626*3+28.5</f>
        <v>1906.5</v>
      </c>
      <c r="Q1062" s="32"/>
      <c r="R1062" s="32"/>
      <c r="S1062" s="32">
        <f t="shared" si="311"/>
        <v>1906.5</v>
      </c>
      <c r="T1062" s="12"/>
      <c r="U1062" s="12"/>
      <c r="V1062" s="10"/>
      <c r="W1062" s="12">
        <f t="shared" si="312"/>
        <v>1906.5</v>
      </c>
      <c r="Y1062" s="10">
        <v>6</v>
      </c>
      <c r="Z1062" s="30"/>
      <c r="AA1062" s="11" t="s">
        <v>27</v>
      </c>
      <c r="AB1062" s="32"/>
      <c r="AC1062" s="32"/>
      <c r="AD1062" s="32"/>
      <c r="AE1062" s="32">
        <f t="shared" si="313"/>
        <v>0</v>
      </c>
      <c r="AF1062" s="12"/>
      <c r="AG1062" s="12"/>
      <c r="AH1062" s="10"/>
      <c r="AI1062" s="12">
        <f t="shared" si="314"/>
        <v>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/>
      <c r="C1063" s="91"/>
      <c r="D1063" s="32"/>
      <c r="E1063" s="32"/>
      <c r="F1063" s="32"/>
      <c r="G1063" s="32">
        <f t="shared" si="309"/>
        <v>0</v>
      </c>
      <c r="H1063" s="12"/>
      <c r="I1063" s="12"/>
      <c r="J1063" s="12"/>
      <c r="K1063" s="12">
        <f t="shared" si="310"/>
        <v>0</v>
      </c>
      <c r="M1063" s="10">
        <v>7</v>
      </c>
      <c r="N1063" s="30" t="s">
        <v>91</v>
      </c>
      <c r="O1063" s="31">
        <f t="shared" si="316"/>
        <v>8102</v>
      </c>
      <c r="P1063" s="32">
        <f>2504+38</f>
        <v>2542</v>
      </c>
      <c r="Q1063" s="32"/>
      <c r="R1063" s="32"/>
      <c r="S1063" s="32">
        <f t="shared" si="311"/>
        <v>2542</v>
      </c>
      <c r="T1063" s="12"/>
      <c r="U1063" s="12"/>
      <c r="V1063" s="12"/>
      <c r="W1063" s="12">
        <f t="shared" si="312"/>
        <v>2542</v>
      </c>
      <c r="Y1063" s="10">
        <v>7</v>
      </c>
      <c r="Z1063" s="30"/>
      <c r="AA1063" s="31"/>
      <c r="AB1063" s="32"/>
      <c r="AC1063" s="32"/>
      <c r="AD1063" s="32"/>
      <c r="AE1063" s="32">
        <f t="shared" si="313"/>
        <v>0</v>
      </c>
      <c r="AF1063" s="12"/>
      <c r="AG1063" s="58"/>
      <c r="AH1063" s="12"/>
      <c r="AI1063" s="12">
        <f t="shared" si="314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/>
      <c r="C1064" s="91"/>
      <c r="D1064" s="32"/>
      <c r="E1064" s="32"/>
      <c r="F1064" s="32"/>
      <c r="G1064" s="32">
        <f t="shared" si="309"/>
        <v>0</v>
      </c>
      <c r="H1064" s="12"/>
      <c r="I1064" s="12"/>
      <c r="J1064" s="12"/>
      <c r="K1064" s="12">
        <f t="shared" si="310"/>
        <v>0</v>
      </c>
      <c r="M1064" s="10">
        <v>8</v>
      </c>
      <c r="N1064" s="30" t="s">
        <v>91</v>
      </c>
      <c r="O1064" s="31">
        <f t="shared" si="316"/>
        <v>8103</v>
      </c>
      <c r="P1064" s="32">
        <f>12520+650</f>
        <v>13170</v>
      </c>
      <c r="Q1064" s="32"/>
      <c r="R1064" s="32"/>
      <c r="S1064" s="32">
        <f t="shared" si="311"/>
        <v>13170</v>
      </c>
      <c r="T1064" s="12"/>
      <c r="U1064" s="12">
        <v>777</v>
      </c>
      <c r="V1064" s="12"/>
      <c r="W1064" s="12">
        <f t="shared" si="312"/>
        <v>13947</v>
      </c>
      <c r="Y1064" s="10">
        <v>8</v>
      </c>
      <c r="Z1064" s="30"/>
      <c r="AB1064" s="32"/>
      <c r="AC1064" s="32"/>
      <c r="AE1064" s="32">
        <f t="shared" si="313"/>
        <v>0</v>
      </c>
      <c r="AF1064" s="12"/>
      <c r="AG1064" s="12"/>
      <c r="AH1064" s="12"/>
      <c r="AI1064" s="12">
        <f t="shared" si="314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/>
      <c r="C1065" s="91"/>
      <c r="D1065" s="32"/>
      <c r="E1065" s="32"/>
      <c r="F1065" s="32"/>
      <c r="G1065" s="32">
        <f t="shared" si="309"/>
        <v>0</v>
      </c>
      <c r="H1065" s="12"/>
      <c r="I1065" s="12"/>
      <c r="J1065" s="12"/>
      <c r="K1065" s="12">
        <f t="shared" si="310"/>
        <v>0</v>
      </c>
      <c r="M1065" s="10">
        <v>9</v>
      </c>
      <c r="N1065" s="30" t="s">
        <v>91</v>
      </c>
      <c r="O1065" s="31">
        <f t="shared" si="316"/>
        <v>8104</v>
      </c>
      <c r="P1065" s="32">
        <f>13772+1228+2980</f>
        <v>17980</v>
      </c>
      <c r="Q1065" s="32"/>
      <c r="R1065" s="32"/>
      <c r="S1065" s="32">
        <f t="shared" si="311"/>
        <v>17980</v>
      </c>
      <c r="T1065" s="12"/>
      <c r="U1065" s="12"/>
      <c r="V1065" s="12"/>
      <c r="W1065" s="12">
        <f t="shared" si="312"/>
        <v>17980</v>
      </c>
      <c r="Y1065" s="10">
        <v>9</v>
      </c>
      <c r="Z1065" s="30"/>
      <c r="AA1065" s="31"/>
      <c r="AC1065" s="32"/>
      <c r="AD1065" s="32"/>
      <c r="AE1065" s="32">
        <f t="shared" si="313"/>
        <v>0</v>
      </c>
      <c r="AF1065" s="12"/>
      <c r="AH1065" s="12"/>
      <c r="AI1065" s="12">
        <f t="shared" si="314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/>
      <c r="C1066" s="91"/>
      <c r="D1066" s="32"/>
      <c r="E1066" s="32"/>
      <c r="F1066" s="32"/>
      <c r="G1066" s="32">
        <f t="shared" si="309"/>
        <v>0</v>
      </c>
      <c r="H1066" s="12"/>
      <c r="I1066" s="12"/>
      <c r="J1066" s="12"/>
      <c r="K1066" s="12">
        <f t="shared" si="310"/>
        <v>0</v>
      </c>
      <c r="M1066" s="10">
        <v>10</v>
      </c>
      <c r="N1066" s="30" t="s">
        <v>91</v>
      </c>
      <c r="O1066" s="31">
        <f t="shared" si="316"/>
        <v>8105</v>
      </c>
      <c r="P1066" s="32">
        <f>6260+95</f>
        <v>6355</v>
      </c>
      <c r="Q1066" s="32"/>
      <c r="R1066" s="32"/>
      <c r="S1066" s="32">
        <f t="shared" si="311"/>
        <v>6355</v>
      </c>
      <c r="T1066" s="12"/>
      <c r="U1066" s="12">
        <v>15</v>
      </c>
      <c r="V1066" s="12"/>
      <c r="W1066" s="12">
        <f t="shared" si="312"/>
        <v>6370</v>
      </c>
      <c r="Y1066" s="10">
        <v>10</v>
      </c>
      <c r="Z1066" s="30"/>
      <c r="AA1066" s="31"/>
      <c r="AB1066" s="32"/>
      <c r="AC1066" s="32"/>
      <c r="AD1066" s="32"/>
      <c r="AE1066" s="32">
        <f t="shared" si="313"/>
        <v>0</v>
      </c>
      <c r="AF1066" s="12"/>
      <c r="AG1066" s="12"/>
      <c r="AH1066" s="12"/>
      <c r="AI1066" s="12">
        <f t="shared" si="314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/>
      <c r="C1067" s="91"/>
      <c r="D1067" s="32"/>
      <c r="E1067" s="32"/>
      <c r="F1067" s="32"/>
      <c r="G1067" s="32">
        <f t="shared" si="309"/>
        <v>0</v>
      </c>
      <c r="H1067" s="12"/>
      <c r="I1067" s="12"/>
      <c r="J1067" s="12"/>
      <c r="K1067" s="12">
        <f t="shared" si="310"/>
        <v>0</v>
      </c>
      <c r="M1067" s="10">
        <v>11</v>
      </c>
      <c r="N1067" s="30" t="s">
        <v>91</v>
      </c>
      <c r="O1067" s="31">
        <f t="shared" si="316"/>
        <v>8106</v>
      </c>
      <c r="P1067" s="32">
        <f>250400+6140+29800+4122</f>
        <v>290462</v>
      </c>
      <c r="Q1067" s="32">
        <v>-2760</v>
      </c>
      <c r="R1067" s="32"/>
      <c r="S1067" s="32">
        <f t="shared" si="311"/>
        <v>287702</v>
      </c>
      <c r="T1067" s="12"/>
      <c r="U1067" s="12">
        <f>18759+1248</f>
        <v>20007</v>
      </c>
      <c r="V1067" s="12">
        <f>-120+-168+-336+-420</f>
        <v>-1044</v>
      </c>
      <c r="W1067" s="12">
        <f t="shared" si="312"/>
        <v>306665</v>
      </c>
      <c r="Y1067" s="10">
        <v>11</v>
      </c>
      <c r="Z1067" s="30"/>
      <c r="AB1067" s="32"/>
      <c r="AC1067" s="32"/>
      <c r="AD1067" s="32"/>
      <c r="AE1067" s="32">
        <f t="shared" si="313"/>
        <v>0</v>
      </c>
      <c r="AF1067" s="12"/>
      <c r="AG1067" s="12"/>
      <c r="AH1067" s="12"/>
      <c r="AI1067" s="12">
        <f t="shared" si="314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/>
      <c r="C1068" s="57"/>
      <c r="D1068" s="32"/>
      <c r="E1068" s="32"/>
      <c r="F1068" s="32"/>
      <c r="G1068" s="32">
        <f t="shared" si="309"/>
        <v>0</v>
      </c>
      <c r="H1068" s="12"/>
      <c r="I1068" s="12"/>
      <c r="J1068" s="10"/>
      <c r="K1068" s="12">
        <f t="shared" si="310"/>
        <v>0</v>
      </c>
      <c r="M1068" s="10">
        <v>12</v>
      </c>
      <c r="N1068" s="30"/>
      <c r="O1068" s="11" t="s">
        <v>27</v>
      </c>
      <c r="P1068" s="32"/>
      <c r="Q1068" s="32"/>
      <c r="R1068" s="32"/>
      <c r="S1068" s="32">
        <f t="shared" si="311"/>
        <v>0</v>
      </c>
      <c r="T1068" s="12"/>
      <c r="U1068" s="12"/>
      <c r="V1068" s="12"/>
      <c r="W1068" s="12">
        <f t="shared" si="312"/>
        <v>0</v>
      </c>
      <c r="Y1068" s="10">
        <v>12</v>
      </c>
      <c r="Z1068" s="30"/>
      <c r="AA1068" s="31"/>
      <c r="AB1068" s="32"/>
      <c r="AC1068" s="32"/>
      <c r="AD1068" s="32"/>
      <c r="AE1068" s="32">
        <f t="shared" si="313"/>
        <v>0</v>
      </c>
      <c r="AF1068" s="12"/>
      <c r="AG1068" s="12"/>
      <c r="AH1068" s="12"/>
      <c r="AI1068" s="12">
        <f t="shared" si="314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/>
      <c r="C1069" s="91"/>
      <c r="D1069" s="32"/>
      <c r="E1069" s="32"/>
      <c r="F1069" s="32"/>
      <c r="G1069" s="32">
        <f t="shared" si="309"/>
        <v>0</v>
      </c>
      <c r="H1069" s="12"/>
      <c r="I1069" s="12"/>
      <c r="J1069" s="12"/>
      <c r="K1069" s="12">
        <f t="shared" si="310"/>
        <v>0</v>
      </c>
      <c r="M1069" s="10">
        <v>13</v>
      </c>
      <c r="N1069" s="30"/>
      <c r="O1069" s="31"/>
      <c r="P1069" s="32"/>
      <c r="Q1069" s="32"/>
      <c r="R1069" s="32"/>
      <c r="S1069" s="32">
        <f t="shared" si="311"/>
        <v>0</v>
      </c>
      <c r="T1069" s="12"/>
      <c r="U1069" s="12"/>
      <c r="V1069" s="12"/>
      <c r="W1069" s="12">
        <f t="shared" si="312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313"/>
        <v>0</v>
      </c>
      <c r="AF1069" s="12"/>
      <c r="AG1069" s="12"/>
      <c r="AH1069" s="12"/>
      <c r="AI1069" s="12">
        <f t="shared" si="314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91"/>
      <c r="D1070" s="32"/>
      <c r="E1070" s="32"/>
      <c r="F1070" s="32"/>
      <c r="G1070" s="32">
        <f t="shared" si="309"/>
        <v>0</v>
      </c>
      <c r="H1070" s="12"/>
      <c r="I1070" s="12"/>
      <c r="J1070" s="12"/>
      <c r="K1070" s="12">
        <f t="shared" si="310"/>
        <v>0</v>
      </c>
      <c r="M1070" s="10">
        <v>14</v>
      </c>
      <c r="N1070" s="30"/>
      <c r="O1070" s="31"/>
      <c r="P1070" s="32"/>
      <c r="Q1070" s="32"/>
      <c r="R1070" s="32"/>
      <c r="S1070" s="32">
        <f t="shared" si="311"/>
        <v>0</v>
      </c>
      <c r="T1070" s="12"/>
      <c r="U1070" s="12"/>
      <c r="V1070" s="12"/>
      <c r="W1070" s="12">
        <f t="shared" si="312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313"/>
        <v>0</v>
      </c>
      <c r="AF1070" s="12"/>
      <c r="AG1070" s="12"/>
      <c r="AH1070" s="12"/>
      <c r="AI1070" s="12">
        <f t="shared" si="314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C1071" s="91"/>
      <c r="D1071" s="32"/>
      <c r="E1071" s="32"/>
      <c r="F1071" s="32"/>
      <c r="G1071" s="32">
        <f t="shared" si="309"/>
        <v>0</v>
      </c>
      <c r="H1071" s="12"/>
      <c r="I1071" s="12"/>
      <c r="J1071" s="12"/>
      <c r="K1071" s="12">
        <f t="shared" si="310"/>
        <v>0</v>
      </c>
      <c r="M1071" s="10">
        <v>15</v>
      </c>
      <c r="N1071" s="30"/>
      <c r="O1071" s="31"/>
      <c r="P1071" s="32"/>
      <c r="Q1071" s="32"/>
      <c r="R1071" s="32"/>
      <c r="S1071" s="32">
        <f t="shared" si="311"/>
        <v>0</v>
      </c>
      <c r="T1071" s="12"/>
      <c r="U1071" s="12"/>
      <c r="V1071" s="12"/>
      <c r="W1071" s="12">
        <f t="shared" si="312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313"/>
        <v>0</v>
      </c>
      <c r="AF1071" s="12"/>
      <c r="AG1071" s="12"/>
      <c r="AH1071" s="12"/>
      <c r="AI1071" s="12">
        <f t="shared" si="314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91"/>
      <c r="D1072" s="32"/>
      <c r="E1072" s="32"/>
      <c r="F1072" s="32"/>
      <c r="G1072" s="32">
        <f t="shared" si="309"/>
        <v>0</v>
      </c>
      <c r="H1072" s="12"/>
      <c r="I1072" s="12"/>
      <c r="J1072" s="12"/>
      <c r="K1072" s="12">
        <f t="shared" si="310"/>
        <v>0</v>
      </c>
      <c r="M1072" s="10">
        <v>16</v>
      </c>
      <c r="N1072" s="30"/>
      <c r="O1072" s="31"/>
      <c r="P1072" s="32"/>
      <c r="Q1072" s="32"/>
      <c r="R1072" s="32"/>
      <c r="S1072" s="32">
        <f t="shared" si="311"/>
        <v>0</v>
      </c>
      <c r="T1072" s="12"/>
      <c r="U1072" s="12"/>
      <c r="V1072" s="12"/>
      <c r="W1072" s="12">
        <f t="shared" si="312"/>
        <v>0</v>
      </c>
      <c r="Y1072" s="10">
        <v>16</v>
      </c>
      <c r="Z1072" s="30"/>
      <c r="AB1072" s="32"/>
      <c r="AC1072" s="32"/>
      <c r="AD1072" s="32"/>
      <c r="AE1072" s="32">
        <f t="shared" si="313"/>
        <v>0</v>
      </c>
      <c r="AF1072" s="12"/>
      <c r="AG1072" s="12"/>
      <c r="AH1072" s="12"/>
      <c r="AI1072" s="12">
        <f t="shared" si="314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91"/>
      <c r="D1073" s="32"/>
      <c r="E1073" s="32"/>
      <c r="F1073" s="32"/>
      <c r="G1073" s="32">
        <f t="shared" si="309"/>
        <v>0</v>
      </c>
      <c r="H1073" s="12"/>
      <c r="I1073" s="12"/>
      <c r="J1073" s="12"/>
      <c r="K1073" s="12">
        <f t="shared" si="310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311"/>
        <v>0</v>
      </c>
      <c r="T1073" s="12"/>
      <c r="U1073" s="12"/>
      <c r="V1073" s="12"/>
      <c r="W1073" s="12">
        <f t="shared" si="312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313"/>
        <v>0</v>
      </c>
      <c r="AF1073" s="12"/>
      <c r="AG1073" s="12"/>
      <c r="AH1073" s="12"/>
      <c r="AI1073" s="12">
        <f t="shared" si="314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91"/>
      <c r="D1074" s="32"/>
      <c r="E1074" s="32"/>
      <c r="F1074" s="32"/>
      <c r="G1074" s="32">
        <f t="shared" si="309"/>
        <v>0</v>
      </c>
      <c r="H1074" s="12"/>
      <c r="I1074" s="12"/>
      <c r="J1074" s="12"/>
      <c r="K1074" s="12">
        <f t="shared" si="310"/>
        <v>0</v>
      </c>
      <c r="M1074" s="10">
        <v>18</v>
      </c>
      <c r="N1074" s="30"/>
      <c r="O1074" s="31"/>
      <c r="P1074" s="32"/>
      <c r="Q1074" s="32"/>
      <c r="R1074" s="32"/>
      <c r="S1074" s="32">
        <f t="shared" si="311"/>
        <v>0</v>
      </c>
      <c r="T1074" s="12"/>
      <c r="U1074" s="12"/>
      <c r="V1074" s="12"/>
      <c r="W1074" s="12">
        <f t="shared" si="312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313"/>
        <v>0</v>
      </c>
      <c r="AF1074" s="12"/>
      <c r="AG1074" s="12"/>
      <c r="AH1074" s="12"/>
      <c r="AI1074" s="12">
        <f t="shared" si="314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91"/>
      <c r="D1075" s="32"/>
      <c r="E1075" s="32"/>
      <c r="F1075" s="32"/>
      <c r="G1075" s="32">
        <f t="shared" si="309"/>
        <v>0</v>
      </c>
      <c r="H1075" s="12"/>
      <c r="I1075" s="12"/>
      <c r="J1075" s="12"/>
      <c r="K1075" s="12">
        <f t="shared" si="310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311"/>
        <v>0</v>
      </c>
      <c r="T1075" s="12"/>
      <c r="U1075" s="12"/>
      <c r="V1075" s="12"/>
      <c r="W1075" s="12">
        <f t="shared" si="312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313"/>
        <v>0</v>
      </c>
      <c r="AF1075" s="12"/>
      <c r="AG1075" s="12"/>
      <c r="AH1075" s="12"/>
      <c r="AI1075" s="12">
        <f t="shared" si="314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91"/>
      <c r="D1076" s="32"/>
      <c r="E1076" s="32"/>
      <c r="F1076" s="32"/>
      <c r="G1076" s="32">
        <f t="shared" si="309"/>
        <v>0</v>
      </c>
      <c r="H1076" s="12"/>
      <c r="I1076" s="12"/>
      <c r="J1076" s="12"/>
      <c r="K1076" s="12">
        <f t="shared" si="310"/>
        <v>0</v>
      </c>
      <c r="M1076" s="10">
        <v>20</v>
      </c>
      <c r="N1076" s="30"/>
      <c r="P1076" s="32"/>
      <c r="Q1076" s="32"/>
      <c r="R1076" s="32"/>
      <c r="S1076" s="32">
        <f t="shared" si="311"/>
        <v>0</v>
      </c>
      <c r="T1076" s="12"/>
      <c r="U1076" s="12"/>
      <c r="V1076" s="12"/>
      <c r="W1076" s="12">
        <f t="shared" si="312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313"/>
        <v>0</v>
      </c>
      <c r="AF1076" s="12"/>
      <c r="AG1076" s="12"/>
      <c r="AH1076" s="12"/>
      <c r="AI1076" s="12">
        <f t="shared" si="314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D1077" s="32"/>
      <c r="E1077" s="32"/>
      <c r="F1077" s="32"/>
      <c r="G1077" s="32">
        <f t="shared" si="309"/>
        <v>0</v>
      </c>
      <c r="H1077" s="10"/>
      <c r="I1077" s="10"/>
      <c r="J1077" s="10"/>
      <c r="K1077" s="12">
        <f t="shared" si="310"/>
        <v>0</v>
      </c>
      <c r="M1077" s="10">
        <v>21</v>
      </c>
      <c r="N1077" s="30"/>
      <c r="P1077" s="46"/>
      <c r="Q1077" s="31"/>
      <c r="R1077" s="31"/>
      <c r="S1077" s="32">
        <f t="shared" si="311"/>
        <v>0</v>
      </c>
      <c r="T1077" s="10"/>
      <c r="U1077" s="10"/>
      <c r="V1077" s="10"/>
      <c r="W1077" s="12">
        <f t="shared" si="312"/>
        <v>0</v>
      </c>
      <c r="Y1077" s="10">
        <v>21</v>
      </c>
      <c r="Z1077" s="30"/>
      <c r="AA1077" s="31"/>
      <c r="AB1077" s="46"/>
      <c r="AC1077" s="31"/>
      <c r="AD1077" s="31"/>
      <c r="AE1077" s="32">
        <f t="shared" si="313"/>
        <v>0</v>
      </c>
      <c r="AF1077" s="10"/>
      <c r="AG1077" s="10"/>
      <c r="AH1077" s="10"/>
      <c r="AI1077" s="12">
        <f t="shared" si="314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91"/>
      <c r="D1078" s="32"/>
      <c r="E1078" s="32"/>
      <c r="F1078" s="32"/>
      <c r="G1078" s="32">
        <f t="shared" si="309"/>
        <v>0</v>
      </c>
      <c r="H1078" s="10"/>
      <c r="I1078" s="10"/>
      <c r="J1078" s="10"/>
      <c r="K1078" s="12">
        <f t="shared" si="310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311"/>
        <v>0</v>
      </c>
      <c r="T1078" s="10"/>
      <c r="U1078" s="10"/>
      <c r="V1078" s="10"/>
      <c r="W1078" s="12">
        <f t="shared" si="312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313"/>
        <v>0</v>
      </c>
      <c r="AF1078" s="10"/>
      <c r="AG1078" s="10"/>
      <c r="AH1078" s="10"/>
      <c r="AI1078" s="12">
        <f t="shared" si="314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91"/>
      <c r="D1079" s="32"/>
      <c r="E1079" s="32"/>
      <c r="F1079" s="32"/>
      <c r="G1079" s="32">
        <f t="shared" si="309"/>
        <v>0</v>
      </c>
      <c r="H1079" s="10"/>
      <c r="I1079" s="10"/>
      <c r="J1079" s="12"/>
      <c r="K1079" s="12">
        <f t="shared" si="310"/>
        <v>0</v>
      </c>
      <c r="M1079" s="10">
        <v>23</v>
      </c>
      <c r="N1079" s="30"/>
      <c r="O1079" s="31"/>
      <c r="P1079" s="47"/>
      <c r="S1079" s="32">
        <f t="shared" si="311"/>
        <v>0</v>
      </c>
      <c r="T1079" s="10"/>
      <c r="U1079" s="10"/>
      <c r="V1079" s="10"/>
      <c r="W1079" s="12">
        <f t="shared" si="312"/>
        <v>0</v>
      </c>
      <c r="Y1079" s="10">
        <v>23</v>
      </c>
      <c r="Z1079" s="30"/>
      <c r="AA1079" s="31"/>
      <c r="AB1079" s="47"/>
      <c r="AE1079" s="32">
        <f t="shared" si="313"/>
        <v>0</v>
      </c>
      <c r="AF1079" s="10"/>
      <c r="AG1079" s="10"/>
      <c r="AH1079" s="10"/>
      <c r="AI1079" s="12">
        <f t="shared" si="314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57"/>
      <c r="D1080" s="32"/>
      <c r="E1080" s="32"/>
      <c r="F1080" s="32"/>
      <c r="G1080" s="32">
        <f t="shared" si="309"/>
        <v>0</v>
      </c>
      <c r="H1080" s="10"/>
      <c r="I1080" s="10"/>
      <c r="J1080" s="10"/>
      <c r="K1080" s="12">
        <f t="shared" si="310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311"/>
        <v>0</v>
      </c>
      <c r="T1080" s="10"/>
      <c r="U1080" s="10"/>
      <c r="V1080" s="10"/>
      <c r="W1080" s="12">
        <f t="shared" si="312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313"/>
        <v>0</v>
      </c>
      <c r="AF1080" s="10"/>
      <c r="AG1080" s="10"/>
      <c r="AH1080" s="10"/>
      <c r="AI1080" s="12">
        <f t="shared" si="314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31"/>
      <c r="D1081" s="32"/>
      <c r="E1081" s="32"/>
      <c r="F1081" s="32"/>
      <c r="G1081" s="32">
        <f t="shared" si="309"/>
        <v>0</v>
      </c>
      <c r="H1081" s="10"/>
      <c r="I1081" s="10"/>
      <c r="J1081" s="10"/>
      <c r="K1081" s="12">
        <f t="shared" si="310"/>
        <v>0</v>
      </c>
      <c r="M1081" s="10">
        <v>25</v>
      </c>
      <c r="N1081" s="30"/>
      <c r="P1081" s="47"/>
      <c r="Q1081" s="31"/>
      <c r="R1081" s="31"/>
      <c r="S1081" s="32">
        <f t="shared" si="311"/>
        <v>0</v>
      </c>
      <c r="T1081" s="10"/>
      <c r="U1081" s="10"/>
      <c r="V1081" s="10"/>
      <c r="W1081" s="12">
        <f t="shared" si="312"/>
        <v>0</v>
      </c>
      <c r="Y1081" s="10">
        <v>25</v>
      </c>
      <c r="Z1081" s="30"/>
      <c r="AB1081" s="47"/>
      <c r="AC1081" s="31"/>
      <c r="AD1081" s="31"/>
      <c r="AE1081" s="32">
        <f t="shared" si="313"/>
        <v>0</v>
      </c>
      <c r="AF1081" s="10"/>
      <c r="AG1081" s="10"/>
      <c r="AH1081" s="10"/>
      <c r="AI1081" s="12">
        <f t="shared" si="314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11"/>
      <c r="D1082" s="32"/>
      <c r="E1082" s="32"/>
      <c r="F1082" s="32"/>
      <c r="G1082" s="32">
        <f t="shared" si="309"/>
        <v>0</v>
      </c>
      <c r="H1082" s="10"/>
      <c r="I1082" s="10"/>
      <c r="J1082" s="10"/>
      <c r="K1082" s="12">
        <f t="shared" si="310"/>
        <v>0</v>
      </c>
      <c r="M1082" s="10">
        <v>26</v>
      </c>
      <c r="N1082" s="30"/>
      <c r="P1082" s="47"/>
      <c r="Q1082" s="31"/>
      <c r="R1082" s="31"/>
      <c r="S1082" s="32">
        <f t="shared" si="311"/>
        <v>0</v>
      </c>
      <c r="T1082" s="10"/>
      <c r="U1082" s="10"/>
      <c r="V1082" s="10"/>
      <c r="W1082" s="12">
        <f t="shared" si="312"/>
        <v>0</v>
      </c>
      <c r="Y1082" s="10">
        <v>26</v>
      </c>
      <c r="Z1082" s="30"/>
      <c r="AB1082" s="47"/>
      <c r="AC1082" s="31"/>
      <c r="AD1082" s="31"/>
      <c r="AE1082" s="32">
        <f t="shared" si="313"/>
        <v>0</v>
      </c>
      <c r="AF1082" s="10"/>
      <c r="AG1082" s="10"/>
      <c r="AH1082" s="10"/>
      <c r="AI1082" s="12">
        <f t="shared" si="314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57"/>
      <c r="D1083" s="32"/>
      <c r="E1083" s="32"/>
      <c r="F1083" s="32"/>
      <c r="G1083" s="32">
        <f t="shared" si="309"/>
        <v>0</v>
      </c>
      <c r="H1083" s="10"/>
      <c r="I1083" s="10"/>
      <c r="J1083" s="10"/>
      <c r="K1083" s="12">
        <f t="shared" si="310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311"/>
        <v>0</v>
      </c>
      <c r="T1083" s="10"/>
      <c r="U1083" s="10"/>
      <c r="V1083" s="10"/>
      <c r="W1083" s="12">
        <f t="shared" si="312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313"/>
        <v>0</v>
      </c>
      <c r="AF1083" s="10"/>
      <c r="AG1083" s="10"/>
      <c r="AH1083" s="10"/>
      <c r="AI1083" s="12">
        <f t="shared" si="314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31"/>
      <c r="D1084" s="32"/>
      <c r="E1084" s="32"/>
      <c r="F1084" s="32"/>
      <c r="G1084" s="32">
        <f t="shared" si="309"/>
        <v>0</v>
      </c>
      <c r="H1084" s="10"/>
      <c r="I1084" s="10"/>
      <c r="J1084" s="10"/>
      <c r="K1084" s="12">
        <f t="shared" si="310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311"/>
        <v>0</v>
      </c>
      <c r="T1084" s="10"/>
      <c r="U1084" s="10"/>
      <c r="V1084" s="10"/>
      <c r="W1084" s="12">
        <f t="shared" si="312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313"/>
        <v>0</v>
      </c>
      <c r="AF1084" s="10"/>
      <c r="AG1084" s="10"/>
      <c r="AH1084" s="10"/>
      <c r="AI1084" s="12">
        <f t="shared" si="314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31"/>
      <c r="D1085" s="32"/>
      <c r="E1085" s="32"/>
      <c r="F1085" s="32"/>
      <c r="G1085" s="32">
        <f t="shared" si="309"/>
        <v>0</v>
      </c>
      <c r="H1085" s="10"/>
      <c r="I1085" s="10"/>
      <c r="J1085" s="10"/>
      <c r="K1085" s="12">
        <f t="shared" si="310"/>
        <v>0</v>
      </c>
      <c r="M1085" s="10">
        <v>29</v>
      </c>
      <c r="N1085" s="30"/>
      <c r="P1085" s="47"/>
      <c r="Q1085" s="31"/>
      <c r="R1085" s="31"/>
      <c r="S1085" s="32">
        <f t="shared" si="311"/>
        <v>0</v>
      </c>
      <c r="T1085" s="10"/>
      <c r="U1085" s="10"/>
      <c r="V1085" s="10"/>
      <c r="W1085" s="12">
        <f t="shared" si="312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313"/>
        <v>0</v>
      </c>
      <c r="AF1085" s="10"/>
      <c r="AG1085" s="10"/>
      <c r="AH1085" s="10"/>
      <c r="AI1085" s="12">
        <f t="shared" si="314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309"/>
        <v>0</v>
      </c>
      <c r="H1086" s="10"/>
      <c r="I1086" s="10"/>
      <c r="J1086" s="10"/>
      <c r="K1086" s="12">
        <f t="shared" si="310"/>
        <v>0</v>
      </c>
      <c r="M1086" s="10">
        <v>30</v>
      </c>
      <c r="N1086" s="30"/>
      <c r="P1086" s="47"/>
      <c r="Q1086" s="31"/>
      <c r="R1086" s="31"/>
      <c r="S1086" s="32">
        <f t="shared" si="311"/>
        <v>0</v>
      </c>
      <c r="T1086" s="10"/>
      <c r="U1086" s="10"/>
      <c r="V1086" s="10"/>
      <c r="W1086" s="12">
        <f t="shared" si="312"/>
        <v>0</v>
      </c>
      <c r="Y1086" s="10">
        <v>30</v>
      </c>
      <c r="Z1086" s="30"/>
      <c r="AB1086" s="47"/>
      <c r="AC1086" s="31"/>
      <c r="AD1086" s="31"/>
      <c r="AE1086" s="32">
        <f t="shared" si="313"/>
        <v>0</v>
      </c>
      <c r="AF1086" s="10"/>
      <c r="AG1086" s="10"/>
      <c r="AH1086" s="10"/>
      <c r="AI1086" s="12">
        <f t="shared" si="314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57"/>
      <c r="D1087" s="32"/>
      <c r="E1087" s="32"/>
      <c r="F1087" s="32"/>
      <c r="G1087" s="32">
        <f t="shared" si="309"/>
        <v>0</v>
      </c>
      <c r="H1087" s="10"/>
      <c r="I1087" s="10"/>
      <c r="J1087" s="10"/>
      <c r="K1087" s="12">
        <f t="shared" si="310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311"/>
        <v>0</v>
      </c>
      <c r="T1087" s="10"/>
      <c r="U1087" s="10"/>
      <c r="V1087" s="10"/>
      <c r="W1087" s="12">
        <f t="shared" si="312"/>
        <v>0</v>
      </c>
      <c r="Y1087" s="10">
        <v>31</v>
      </c>
      <c r="Z1087" s="30"/>
      <c r="AB1087" s="47"/>
      <c r="AC1087" s="31"/>
      <c r="AD1087" s="31"/>
      <c r="AE1087" s="32">
        <f t="shared" si="313"/>
        <v>0</v>
      </c>
      <c r="AF1087" s="10"/>
      <c r="AG1087" s="10"/>
      <c r="AH1087" s="10"/>
      <c r="AI1087" s="12">
        <f t="shared" si="314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31"/>
      <c r="D1088" s="32"/>
      <c r="E1088" s="32"/>
      <c r="F1088" s="32"/>
      <c r="G1088" s="32">
        <f t="shared" si="309"/>
        <v>0</v>
      </c>
      <c r="H1088" s="10"/>
      <c r="I1088" s="10"/>
      <c r="J1088" s="10"/>
      <c r="K1088" s="12">
        <f t="shared" si="310"/>
        <v>0</v>
      </c>
      <c r="M1088" s="10">
        <v>32</v>
      </c>
      <c r="N1088" s="30"/>
      <c r="P1088" s="47"/>
      <c r="Q1088" s="31"/>
      <c r="R1088" s="31"/>
      <c r="S1088" s="32">
        <f t="shared" si="311"/>
        <v>0</v>
      </c>
      <c r="T1088" s="10"/>
      <c r="U1088" s="10"/>
      <c r="V1088" s="10"/>
      <c r="W1088" s="12">
        <f t="shared" si="312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313"/>
        <v>0</v>
      </c>
      <c r="AF1088" s="10"/>
      <c r="AG1088" s="10"/>
      <c r="AH1088" s="10"/>
      <c r="AI1088" s="12">
        <f t="shared" si="314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57"/>
      <c r="D1089" s="32"/>
      <c r="E1089" s="32"/>
      <c r="F1089" s="32"/>
      <c r="G1089" s="32">
        <f t="shared" si="309"/>
        <v>0</v>
      </c>
      <c r="H1089" s="10"/>
      <c r="I1089" s="10"/>
      <c r="J1089" s="10"/>
      <c r="K1089" s="12">
        <f t="shared" si="310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311"/>
        <v>0</v>
      </c>
      <c r="T1089" s="10"/>
      <c r="U1089" s="10"/>
      <c r="V1089" s="10"/>
      <c r="W1089" s="12">
        <f t="shared" si="312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313"/>
        <v>0</v>
      </c>
      <c r="AF1089" s="10"/>
      <c r="AG1089" s="10"/>
      <c r="AH1089" s="10"/>
      <c r="AI1089" s="12">
        <f t="shared" si="314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57"/>
      <c r="D1090" s="32"/>
      <c r="E1090" s="32"/>
      <c r="F1090" s="32"/>
      <c r="G1090" s="32">
        <f t="shared" si="309"/>
        <v>0</v>
      </c>
      <c r="H1090" s="10"/>
      <c r="I1090" s="10"/>
      <c r="J1090" s="10"/>
      <c r="K1090" s="12">
        <f t="shared" si="310"/>
        <v>0</v>
      </c>
      <c r="M1090" s="10">
        <v>34</v>
      </c>
      <c r="N1090" s="30"/>
      <c r="O1090" s="31"/>
      <c r="P1090" s="47"/>
      <c r="Q1090" s="31"/>
      <c r="R1090" s="31"/>
      <c r="S1090" s="32">
        <f t="shared" ref="S1090:S1095" si="318">SUM(P1090:Q1090)</f>
        <v>0</v>
      </c>
      <c r="T1090" s="10"/>
      <c r="U1090" s="10"/>
      <c r="V1090" s="10"/>
      <c r="W1090" s="12">
        <f t="shared" si="312"/>
        <v>0</v>
      </c>
      <c r="Y1090" s="10">
        <v>34</v>
      </c>
      <c r="Z1090" s="30"/>
      <c r="AB1090" s="47"/>
      <c r="AC1090" s="31"/>
      <c r="AD1090" s="31"/>
      <c r="AE1090" s="32">
        <f t="shared" si="313"/>
        <v>0</v>
      </c>
      <c r="AF1090" s="10"/>
      <c r="AG1090" s="10"/>
      <c r="AH1090" s="10"/>
      <c r="AI1090" s="12">
        <f t="shared" ref="AI1090:AI1098" si="319">SUM(AE1090:AH1090)</f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31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318"/>
        <v>0</v>
      </c>
      <c r="T1091" s="10"/>
      <c r="U1091" s="10"/>
      <c r="V1091" s="10"/>
      <c r="W1091" s="12">
        <f t="shared" si="312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313"/>
        <v>0</v>
      </c>
      <c r="AF1091" s="10"/>
      <c r="AG1091" s="10"/>
      <c r="AH1091" s="10"/>
      <c r="AI1091" s="12">
        <f t="shared" si="319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31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318"/>
        <v>0</v>
      </c>
      <c r="T1092" s="10"/>
      <c r="U1092" s="10"/>
      <c r="V1092" s="10"/>
      <c r="W1092" s="12">
        <f t="shared" si="312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313"/>
        <v>0</v>
      </c>
      <c r="AF1092" s="10"/>
      <c r="AG1092" s="10"/>
      <c r="AH1092" s="10"/>
      <c r="AI1092" s="12">
        <f t="shared" si="319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318"/>
        <v>0</v>
      </c>
      <c r="T1093" s="10"/>
      <c r="U1093" s="10"/>
      <c r="V1093" s="10"/>
      <c r="W1093" s="12">
        <f t="shared" si="312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313"/>
        <v>0</v>
      </c>
      <c r="AF1093" s="10"/>
      <c r="AG1093" s="10"/>
      <c r="AH1093" s="10"/>
      <c r="AI1093" s="12">
        <f t="shared" si="319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318"/>
        <v>0</v>
      </c>
      <c r="T1094" s="10"/>
      <c r="U1094" s="10"/>
      <c r="V1094" s="10"/>
      <c r="W1094" s="12">
        <f t="shared" si="312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313"/>
        <v>0</v>
      </c>
      <c r="AF1094" s="10"/>
      <c r="AG1094" s="10"/>
      <c r="AH1094" s="10"/>
      <c r="AI1094" s="12">
        <f t="shared" si="319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318"/>
        <v>0</v>
      </c>
      <c r="T1095" s="10"/>
      <c r="U1095" s="10"/>
      <c r="V1095" s="10"/>
      <c r="W1095" s="12">
        <f t="shared" si="312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313"/>
        <v>0</v>
      </c>
      <c r="AF1095" s="10"/>
      <c r="AG1095" s="10"/>
      <c r="AH1095" s="10"/>
      <c r="AI1095" s="12">
        <f t="shared" si="319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312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319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20">SUM(D1097:E1097)</f>
        <v>0</v>
      </c>
      <c r="H1097" s="10"/>
      <c r="I1097" s="10"/>
      <c r="J1097" s="10"/>
      <c r="K1097" s="12">
        <f t="shared" ref="K1097" si="321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22">SUM(P1097:Q1097)</f>
        <v>0</v>
      </c>
      <c r="T1097" s="10"/>
      <c r="U1097" s="10"/>
      <c r="V1097" s="10"/>
      <c r="W1097" s="12">
        <f t="shared" si="312"/>
        <v>0</v>
      </c>
      <c r="Y1097" s="10"/>
      <c r="Z1097" s="30"/>
      <c r="AA1097" s="31"/>
      <c r="AB1097" s="47"/>
      <c r="AC1097" s="31"/>
      <c r="AD1097" s="31"/>
      <c r="AE1097" s="32">
        <f t="shared" ref="AE1097" si="323">SUM(AB1097:AC1097)</f>
        <v>0</v>
      </c>
      <c r="AF1097" s="10"/>
      <c r="AG1097" s="10"/>
      <c r="AH1097" s="10"/>
      <c r="AI1097" s="12">
        <f t="shared" si="319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312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319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1313409</v>
      </c>
      <c r="E1100" s="38">
        <f t="shared" ref="E1100:F1100" si="324">SUM(E1057:E1097)</f>
        <v>-11658</v>
      </c>
      <c r="F1100" s="38">
        <f t="shared" si="324"/>
        <v>0</v>
      </c>
      <c r="G1100" s="38">
        <f>SUM(G1057:G1099)</f>
        <v>1301751</v>
      </c>
      <c r="H1100" s="4"/>
      <c r="I1100" s="39">
        <f>SUM(I1057:I1099)</f>
        <v>140137</v>
      </c>
      <c r="J1100" s="39">
        <f>SUM(J1057:J1099)</f>
        <v>-5151</v>
      </c>
      <c r="K1100" s="40">
        <f>SUM(K1057:K1099)</f>
        <v>1436737</v>
      </c>
      <c r="N1100" s="57"/>
      <c r="O1100" s="57"/>
      <c r="P1100" s="38">
        <f>SUM(P1057:P1099)</f>
        <v>374020.5</v>
      </c>
      <c r="Q1100" s="38">
        <f>SUM(Q1057:Q1081)</f>
        <v>-2760</v>
      </c>
      <c r="R1100" s="38">
        <f>SUM(R1057:R1081)</f>
        <v>0</v>
      </c>
      <c r="S1100" s="38">
        <f>SUM(S1057:S1099)</f>
        <v>371260.5</v>
      </c>
      <c r="T1100" s="4"/>
      <c r="U1100" s="41">
        <f>SUM(U1057:U1099)</f>
        <v>20799</v>
      </c>
      <c r="V1100" s="41">
        <f>SUM(V1057:V1081)</f>
        <v>-1044</v>
      </c>
      <c r="W1100" s="42">
        <f>SUM(W1057:W1099)</f>
        <v>391015.5</v>
      </c>
      <c r="Z1100" s="57"/>
      <c r="AA1100" s="57"/>
      <c r="AB1100" s="38">
        <f>SUM(AB1057:AB1099)</f>
        <v>553438</v>
      </c>
      <c r="AC1100" s="38">
        <f>SUM(AC1057:AC1081)</f>
        <v>-5172</v>
      </c>
      <c r="AD1100" s="38">
        <f>SUM(AD1057:AD1081)</f>
        <v>0</v>
      </c>
      <c r="AE1100" s="38">
        <f>SUM(AE1057:AE1099)</f>
        <v>548266</v>
      </c>
      <c r="AF1100" s="4"/>
      <c r="AG1100" s="41">
        <f>SUM(AG1057:AG1099)</f>
        <v>54243</v>
      </c>
      <c r="AH1100" s="41">
        <f>SUM(AH1057:AH1081)</f>
        <v>0</v>
      </c>
      <c r="AI1100" s="42">
        <f>SUM(AI1057:AI1099)</f>
        <v>602509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44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44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44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94</v>
      </c>
      <c r="B1108" s="20"/>
      <c r="C1108" s="57"/>
      <c r="D1108" s="57"/>
      <c r="E1108" s="57"/>
      <c r="G1108" s="57"/>
      <c r="I1108" s="22" t="s">
        <v>16</v>
      </c>
      <c r="J1108" s="23" t="s">
        <v>33</v>
      </c>
      <c r="K1108" s="24"/>
      <c r="M1108" s="21" t="s">
        <v>94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37</v>
      </c>
      <c r="W1108" s="24"/>
      <c r="Y1108" s="21" t="s">
        <v>94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31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6" t="s">
        <v>17</v>
      </c>
      <c r="E1110" s="126"/>
      <c r="F1110" s="115"/>
      <c r="G1110" s="27"/>
      <c r="I1110" s="124" t="s">
        <v>18</v>
      </c>
      <c r="J1110" s="125"/>
      <c r="K1110" s="122" t="s">
        <v>19</v>
      </c>
      <c r="N1110" s="25"/>
      <c r="O1110" s="26"/>
      <c r="P1110" s="126" t="s">
        <v>17</v>
      </c>
      <c r="Q1110" s="126"/>
      <c r="R1110" s="115"/>
      <c r="S1110" s="27"/>
      <c r="U1110" s="124" t="s">
        <v>18</v>
      </c>
      <c r="V1110" s="125"/>
      <c r="W1110" s="122" t="s">
        <v>19</v>
      </c>
      <c r="Z1110" s="25"/>
      <c r="AA1110" s="26"/>
      <c r="AB1110" s="126" t="s">
        <v>17</v>
      </c>
      <c r="AC1110" s="126"/>
      <c r="AD1110" s="115"/>
      <c r="AE1110" s="27"/>
      <c r="AG1110" s="124" t="s">
        <v>18</v>
      </c>
      <c r="AH1110" s="125"/>
      <c r="AI1110" s="122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9" t="s">
        <v>22</v>
      </c>
      <c r="E1111" s="78" t="s">
        <v>23</v>
      </c>
      <c r="F1111" s="80" t="s">
        <v>32</v>
      </c>
      <c r="G1111" s="80" t="s">
        <v>24</v>
      </c>
      <c r="I1111" s="29" t="s">
        <v>25</v>
      </c>
      <c r="J1111" s="29" t="s">
        <v>26</v>
      </c>
      <c r="K1111" s="123"/>
      <c r="N1111" s="28" t="s">
        <v>20</v>
      </c>
      <c r="O1111" s="28" t="s">
        <v>21</v>
      </c>
      <c r="P1111" s="79" t="s">
        <v>22</v>
      </c>
      <c r="Q1111" s="80" t="s">
        <v>23</v>
      </c>
      <c r="R1111" s="80" t="s">
        <v>32</v>
      </c>
      <c r="S1111" s="80" t="s">
        <v>24</v>
      </c>
      <c r="U1111" s="29" t="s">
        <v>25</v>
      </c>
      <c r="V1111" s="29" t="s">
        <v>26</v>
      </c>
      <c r="W1111" s="123"/>
      <c r="Z1111" s="28" t="s">
        <v>20</v>
      </c>
      <c r="AA1111" s="28" t="s">
        <v>21</v>
      </c>
      <c r="AB1111" s="79" t="s">
        <v>22</v>
      </c>
      <c r="AC1111" s="80" t="s">
        <v>23</v>
      </c>
      <c r="AD1111" s="80" t="s">
        <v>32</v>
      </c>
      <c r="AE1111" s="80" t="s">
        <v>24</v>
      </c>
      <c r="AG1111" s="29" t="s">
        <v>25</v>
      </c>
      <c r="AH1111" s="29" t="s">
        <v>26</v>
      </c>
      <c r="AI1111" s="123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95</v>
      </c>
      <c r="C1112" s="91">
        <v>8060</v>
      </c>
      <c r="D1112" s="32">
        <f>6260+614+852+832+500</f>
        <v>9058</v>
      </c>
      <c r="E1112" s="32"/>
      <c r="F1112" s="32"/>
      <c r="G1112" s="32">
        <f t="shared" ref="G1112:G1156" si="325">SUM(D1112:E1112)</f>
        <v>9058</v>
      </c>
      <c r="H1112" s="12"/>
      <c r="I1112" s="12">
        <f>666+9</f>
        <v>675</v>
      </c>
      <c r="J1112" s="12"/>
      <c r="K1112" s="12">
        <f t="shared" ref="K1112:K1156" si="326">SUM(G1112:J1112)</f>
        <v>9733</v>
      </c>
      <c r="M1112" s="10">
        <v>1</v>
      </c>
      <c r="N1112" s="30" t="s">
        <v>95</v>
      </c>
      <c r="O1112" s="31">
        <v>8107</v>
      </c>
      <c r="P1112" s="32">
        <f>3756+614+832+66.5</f>
        <v>5268.5</v>
      </c>
      <c r="Q1112" s="32"/>
      <c r="R1112" s="32"/>
      <c r="S1112" s="32">
        <f>SUM(P1112:Q1112)</f>
        <v>5268.5</v>
      </c>
      <c r="T1112" s="12"/>
      <c r="U1112" s="12"/>
      <c r="V1112" s="12"/>
      <c r="W1112" s="12">
        <f>SUM(S1112:V1112)</f>
        <v>5268.5</v>
      </c>
      <c r="Y1112" s="10">
        <v>1</v>
      </c>
      <c r="Z1112" s="30" t="s">
        <v>95</v>
      </c>
      <c r="AA1112" s="31">
        <v>7782</v>
      </c>
      <c r="AB1112" s="32">
        <f>626*100+674*5+596*50+229*6</f>
        <v>97144</v>
      </c>
      <c r="AC1112" s="32">
        <v>-930</v>
      </c>
      <c r="AD1112" s="32"/>
      <c r="AE1112" s="32">
        <f>SUM(AB1112:AC1112)</f>
        <v>96214</v>
      </c>
      <c r="AF1112" s="12"/>
      <c r="AG1112" s="12"/>
      <c r="AH1112" s="12"/>
      <c r="AI1112" s="12">
        <f>SUM(AE1112:AH1112)</f>
        <v>96214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95</v>
      </c>
      <c r="C1113" s="91">
        <f>C1112+1</f>
        <v>8061</v>
      </c>
      <c r="D1113" s="32">
        <f>81380+11920+1300</f>
        <v>94600</v>
      </c>
      <c r="E1113" s="32"/>
      <c r="F1113" s="32"/>
      <c r="G1113" s="32">
        <f t="shared" si="325"/>
        <v>94600</v>
      </c>
      <c r="H1113" s="12"/>
      <c r="I1113" s="12">
        <v>3441</v>
      </c>
      <c r="J1113" s="12">
        <f>-156+-168+-13</f>
        <v>-337</v>
      </c>
      <c r="K1113" s="12">
        <f t="shared" si="326"/>
        <v>97704</v>
      </c>
      <c r="M1113" s="10">
        <v>2</v>
      </c>
      <c r="N1113" s="30" t="s">
        <v>95</v>
      </c>
      <c r="O1113" s="31">
        <f>O1112+1</f>
        <v>8108</v>
      </c>
      <c r="P1113" s="32">
        <f>125200+10016+458</f>
        <v>135674</v>
      </c>
      <c r="Q1113" s="32">
        <v>-1296</v>
      </c>
      <c r="R1113" s="32"/>
      <c r="S1113" s="32">
        <f t="shared" ref="S1113:S1156" si="327">SUM(P1113:Q1113)</f>
        <v>134378</v>
      </c>
      <c r="T1113" s="12"/>
      <c r="U1113" s="12">
        <f>111*46+78+4.5*30+1.5*9</f>
        <v>5332.5</v>
      </c>
      <c r="V1113" s="12">
        <f>-120+-126</f>
        <v>-246</v>
      </c>
      <c r="W1113" s="12">
        <f t="shared" ref="W1113:W1156" si="328">SUM(S1113:V1113)</f>
        <v>139464.5</v>
      </c>
      <c r="Y1113" s="10">
        <v>2</v>
      </c>
      <c r="Z1113" s="30" t="s">
        <v>95</v>
      </c>
      <c r="AA1113" s="31">
        <f>AA1112+1</f>
        <v>7783</v>
      </c>
      <c r="AB1113" s="32">
        <f>2504+614</f>
        <v>3118</v>
      </c>
      <c r="AC1113" s="32"/>
      <c r="AD1113" s="32"/>
      <c r="AE1113" s="32">
        <f t="shared" ref="AE1113:AE1156" si="329">SUM(AB1113:AC1113)</f>
        <v>3118</v>
      </c>
      <c r="AF1113" s="12"/>
      <c r="AG1113" s="12"/>
      <c r="AH1113" s="12"/>
      <c r="AI1113" s="12">
        <f t="shared" ref="AI1113:AI1156" si="330">SUM(AE1113:AH1113)</f>
        <v>3118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95</v>
      </c>
      <c r="C1114" s="91">
        <f t="shared" ref="C1114:C1122" si="331">C1113+1</f>
        <v>8062</v>
      </c>
      <c r="D1114" s="33">
        <f>63852+614*3+596*15+832+500</f>
        <v>75966</v>
      </c>
      <c r="E1114" s="33"/>
      <c r="F1114" s="33"/>
      <c r="G1114" s="33">
        <f t="shared" si="325"/>
        <v>75966</v>
      </c>
      <c r="H1114" s="34"/>
      <c r="I1114" s="34">
        <f>1110+81</f>
        <v>1191</v>
      </c>
      <c r="J1114" s="34"/>
      <c r="K1114" s="34">
        <f t="shared" si="326"/>
        <v>77157</v>
      </c>
      <c r="M1114" s="10">
        <v>3</v>
      </c>
      <c r="N1114" s="30" t="s">
        <v>95</v>
      </c>
      <c r="O1114" s="31">
        <f t="shared" ref="O1114:O1122" si="332">O1113+1</f>
        <v>8109</v>
      </c>
      <c r="P1114" s="32">
        <f>626*48</f>
        <v>30048</v>
      </c>
      <c r="Q1114" s="32"/>
      <c r="R1114" s="32"/>
      <c r="S1114" s="32">
        <f t="shared" si="327"/>
        <v>30048</v>
      </c>
      <c r="T1114" s="12"/>
      <c r="U1114" s="12"/>
      <c r="V1114" s="12">
        <v>-555</v>
      </c>
      <c r="W1114" s="12">
        <f t="shared" si="328"/>
        <v>29493</v>
      </c>
      <c r="Y1114" s="10">
        <v>3</v>
      </c>
      <c r="Z1114" s="30" t="s">
        <v>95</v>
      </c>
      <c r="AA1114" s="31">
        <f t="shared" ref="AA1114:AA1121" si="333">AA1113+1</f>
        <v>7784</v>
      </c>
      <c r="AB1114" s="33">
        <f>6260</f>
        <v>6260</v>
      </c>
      <c r="AC1114" s="33"/>
      <c r="AD1114" s="32"/>
      <c r="AE1114" s="32">
        <f t="shared" si="329"/>
        <v>6260</v>
      </c>
      <c r="AF1114" s="12"/>
      <c r="AG1114" s="12">
        <f>1110</f>
        <v>1110</v>
      </c>
      <c r="AH1114" s="12"/>
      <c r="AI1114" s="12">
        <f t="shared" si="330"/>
        <v>7370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95</v>
      </c>
      <c r="C1115" s="91">
        <f t="shared" si="331"/>
        <v>8063</v>
      </c>
      <c r="D1115" s="32">
        <f>29422+2022+832+500+650</f>
        <v>33426</v>
      </c>
      <c r="E1115" s="32"/>
      <c r="F1115" s="32"/>
      <c r="G1115" s="32">
        <f t="shared" si="325"/>
        <v>33426</v>
      </c>
      <c r="H1115" s="12"/>
      <c r="I1115" s="12">
        <f>777+4.5*27+1.5*17</f>
        <v>924</v>
      </c>
      <c r="J1115" s="12"/>
      <c r="K1115" s="12">
        <f t="shared" si="326"/>
        <v>34350</v>
      </c>
      <c r="M1115" s="10">
        <v>4</v>
      </c>
      <c r="N1115" s="30" t="s">
        <v>95</v>
      </c>
      <c r="O1115" s="31">
        <v>8111</v>
      </c>
      <c r="P1115" s="32">
        <f>626*489+596*108+229*27+650*5</f>
        <v>379915</v>
      </c>
      <c r="Q1115" s="32">
        <v>-3582</v>
      </c>
      <c r="R1115" s="32"/>
      <c r="S1115" s="32">
        <f t="shared" si="327"/>
        <v>376333</v>
      </c>
      <c r="T1115" s="12"/>
      <c r="U1115" s="12">
        <f>78*14</f>
        <v>1092</v>
      </c>
      <c r="V1115" s="12">
        <f>-111*51+-840</f>
        <v>-6501</v>
      </c>
      <c r="W1115" s="12">
        <f t="shared" si="328"/>
        <v>370924</v>
      </c>
      <c r="Y1115" s="10">
        <v>4</v>
      </c>
      <c r="Z1115" s="30" t="s">
        <v>95</v>
      </c>
      <c r="AA1115" s="31">
        <f t="shared" si="333"/>
        <v>7785</v>
      </c>
      <c r="AB1115" s="32">
        <f>626*162+596*38+229*8</f>
        <v>125892</v>
      </c>
      <c r="AC1115" s="32">
        <v>-1200</v>
      </c>
      <c r="AD1115" s="32"/>
      <c r="AE1115" s="32">
        <f t="shared" si="329"/>
        <v>124692</v>
      </c>
      <c r="AF1115" s="12"/>
      <c r="AG1115">
        <f>9990+234</f>
        <v>10224</v>
      </c>
      <c r="AH1115" s="12"/>
      <c r="AI1115" s="12">
        <f t="shared" si="330"/>
        <v>134916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95</v>
      </c>
      <c r="C1116" s="91">
        <f t="shared" si="331"/>
        <v>8064</v>
      </c>
      <c r="D1116" s="32">
        <f>3756+57</f>
        <v>3813</v>
      </c>
      <c r="E1116" s="32"/>
      <c r="F1116" s="32"/>
      <c r="G1116" s="32">
        <f t="shared" si="325"/>
        <v>3813</v>
      </c>
      <c r="H1116" s="12"/>
      <c r="I1116" s="12"/>
      <c r="J1116" s="12"/>
      <c r="K1116" s="12">
        <f t="shared" si="326"/>
        <v>3813</v>
      </c>
      <c r="M1116" s="10">
        <v>5</v>
      </c>
      <c r="N1116" s="30" t="s">
        <v>95</v>
      </c>
      <c r="O1116" s="31">
        <f t="shared" si="332"/>
        <v>8112</v>
      </c>
      <c r="P1116" s="32">
        <f>626*60+596*20+832*2+229*3</f>
        <v>51831</v>
      </c>
      <c r="Q1116" s="32"/>
      <c r="R1116" s="32"/>
      <c r="S1116" s="32">
        <f t="shared" si="327"/>
        <v>51831</v>
      </c>
      <c r="T1116" s="12"/>
      <c r="U1116" s="12">
        <v>240</v>
      </c>
      <c r="V1116" s="12"/>
      <c r="W1116" s="12">
        <f t="shared" si="328"/>
        <v>52071</v>
      </c>
      <c r="Y1116" s="10">
        <v>5</v>
      </c>
      <c r="Z1116" s="30" t="s">
        <v>95</v>
      </c>
      <c r="AA1116" s="31">
        <f t="shared" si="333"/>
        <v>7786</v>
      </c>
      <c r="AB1116" s="32">
        <f>626*120+614*10+852*2+1005*5+832*3</f>
        <v>90485</v>
      </c>
      <c r="AC1116" s="32">
        <v>-828</v>
      </c>
      <c r="AD1116" s="32"/>
      <c r="AE1116" s="32">
        <f t="shared" si="329"/>
        <v>89657</v>
      </c>
      <c r="AF1116" s="12"/>
      <c r="AG1116" s="12"/>
      <c r="AH1116" s="12"/>
      <c r="AI1116" s="12">
        <f t="shared" si="330"/>
        <v>89657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 t="s">
        <v>95</v>
      </c>
      <c r="C1117" s="91">
        <f t="shared" si="331"/>
        <v>8065</v>
      </c>
      <c r="D1117" s="32">
        <f>28796+2384+229</f>
        <v>31409</v>
      </c>
      <c r="E1117" s="32"/>
      <c r="F1117" s="32"/>
      <c r="G1117" s="32">
        <f t="shared" si="325"/>
        <v>31409</v>
      </c>
      <c r="H1117" s="12"/>
      <c r="I1117" s="12"/>
      <c r="J1117" s="12"/>
      <c r="K1117" s="12">
        <f t="shared" si="326"/>
        <v>31409</v>
      </c>
      <c r="M1117" s="10">
        <v>6</v>
      </c>
      <c r="N1117" s="30"/>
      <c r="O1117" s="11" t="s">
        <v>27</v>
      </c>
      <c r="P1117" s="32"/>
      <c r="Q1117" s="32"/>
      <c r="R1117" s="32"/>
      <c r="S1117" s="32">
        <f t="shared" si="327"/>
        <v>0</v>
      </c>
      <c r="T1117" s="12"/>
      <c r="U1117" s="12"/>
      <c r="V1117" s="10"/>
      <c r="W1117" s="12">
        <f t="shared" si="328"/>
        <v>0</v>
      </c>
      <c r="Y1117" s="10">
        <v>6</v>
      </c>
      <c r="Z1117" s="30" t="s">
        <v>95</v>
      </c>
      <c r="AA1117" s="31">
        <f t="shared" si="333"/>
        <v>7787</v>
      </c>
      <c r="AB1117" s="32">
        <f>626*116+614*29+229*3</f>
        <v>91109</v>
      </c>
      <c r="AC1117" s="32">
        <v>-870</v>
      </c>
      <c r="AD1117" s="32"/>
      <c r="AE1117" s="32">
        <f t="shared" si="329"/>
        <v>90239</v>
      </c>
      <c r="AF1117" s="12"/>
      <c r="AG1117" s="12"/>
      <c r="AH1117" s="10"/>
      <c r="AI1117" s="12">
        <f t="shared" si="330"/>
        <v>90239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 t="s">
        <v>95</v>
      </c>
      <c r="C1118" s="91">
        <f t="shared" si="331"/>
        <v>8066</v>
      </c>
      <c r="D1118" s="32">
        <f>2980</f>
        <v>2980</v>
      </c>
      <c r="E1118" s="32"/>
      <c r="F1118" s="32"/>
      <c r="G1118" s="32">
        <f t="shared" si="325"/>
        <v>2980</v>
      </c>
      <c r="H1118" s="12"/>
      <c r="I1118" s="12">
        <v>135</v>
      </c>
      <c r="J1118" s="12"/>
      <c r="K1118" s="12">
        <f t="shared" si="326"/>
        <v>3115</v>
      </c>
      <c r="M1118" s="10">
        <v>7</v>
      </c>
      <c r="N1118" s="30"/>
      <c r="O1118" s="31"/>
      <c r="P1118" s="32"/>
      <c r="Q1118" s="32"/>
      <c r="R1118" s="32"/>
      <c r="S1118" s="32">
        <f t="shared" si="327"/>
        <v>0</v>
      </c>
      <c r="T1118" s="12"/>
      <c r="U1118" s="12"/>
      <c r="V1118" s="12"/>
      <c r="W1118" s="12">
        <f t="shared" si="328"/>
        <v>0</v>
      </c>
      <c r="Y1118" s="10">
        <v>7</v>
      </c>
      <c r="Z1118" s="30" t="s">
        <v>95</v>
      </c>
      <c r="AA1118" s="31">
        <f t="shared" si="333"/>
        <v>7788</v>
      </c>
      <c r="AB1118" s="32">
        <f>85136+11920+1664+458</f>
        <v>99178</v>
      </c>
      <c r="AC1118" s="32">
        <v>-948</v>
      </c>
      <c r="AD1118" s="32"/>
      <c r="AE1118" s="32">
        <f t="shared" si="329"/>
        <v>98230</v>
      </c>
      <c r="AF1118" s="12"/>
      <c r="AG1118" s="58"/>
      <c r="AH1118" s="12"/>
      <c r="AI1118" s="12">
        <f t="shared" si="330"/>
        <v>98230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 t="s">
        <v>95</v>
      </c>
      <c r="C1119" s="91">
        <f t="shared" si="331"/>
        <v>8067</v>
      </c>
      <c r="D1119" s="32">
        <f>62600+2696</f>
        <v>65296</v>
      </c>
      <c r="E1119" s="32"/>
      <c r="F1119" s="32"/>
      <c r="G1119" s="32">
        <f t="shared" si="325"/>
        <v>65296</v>
      </c>
      <c r="H1119" s="12"/>
      <c r="I1119" s="12"/>
      <c r="J1119" s="12"/>
      <c r="K1119" s="12">
        <f t="shared" si="326"/>
        <v>65296</v>
      </c>
      <c r="M1119" s="10">
        <v>8</v>
      </c>
      <c r="N1119" s="30"/>
      <c r="O1119" s="31"/>
      <c r="P1119" s="32"/>
      <c r="Q1119" s="32"/>
      <c r="R1119" s="32"/>
      <c r="S1119" s="32">
        <f t="shared" si="327"/>
        <v>0</v>
      </c>
      <c r="T1119" s="12"/>
      <c r="U1119" s="12"/>
      <c r="V1119" s="12"/>
      <c r="W1119" s="12">
        <f t="shared" si="328"/>
        <v>0</v>
      </c>
      <c r="Y1119" s="10">
        <v>8</v>
      </c>
      <c r="Z1119" s="30"/>
      <c r="AA1119" s="11" t="s">
        <v>27</v>
      </c>
      <c r="AB1119" s="32"/>
      <c r="AC1119" s="32"/>
      <c r="AE1119" s="32">
        <f t="shared" si="329"/>
        <v>0</v>
      </c>
      <c r="AF1119" s="12"/>
      <c r="AG1119" s="12"/>
      <c r="AH1119" s="12"/>
      <c r="AI1119" s="12">
        <f t="shared" si="330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 t="s">
        <v>95</v>
      </c>
      <c r="C1120" s="91">
        <f t="shared" si="331"/>
        <v>8068</v>
      </c>
      <c r="D1120" s="32">
        <f>3756+57</f>
        <v>3813</v>
      </c>
      <c r="E1120" s="32"/>
      <c r="F1120" s="32"/>
      <c r="G1120" s="32">
        <f t="shared" si="325"/>
        <v>3813</v>
      </c>
      <c r="H1120" s="12"/>
      <c r="I1120" s="12"/>
      <c r="J1120" s="12"/>
      <c r="K1120" s="12">
        <f t="shared" si="326"/>
        <v>3813</v>
      </c>
      <c r="M1120" s="10">
        <v>9</v>
      </c>
      <c r="N1120" s="30"/>
      <c r="O1120" s="31"/>
      <c r="P1120" s="32"/>
      <c r="Q1120" s="32"/>
      <c r="R1120" s="32"/>
      <c r="S1120" s="32">
        <f t="shared" si="327"/>
        <v>0</v>
      </c>
      <c r="T1120" s="12"/>
      <c r="U1120" s="12"/>
      <c r="V1120" s="12"/>
      <c r="W1120" s="12">
        <f t="shared" si="328"/>
        <v>0</v>
      </c>
      <c r="Y1120" s="10">
        <v>9</v>
      </c>
      <c r="Z1120" s="30"/>
      <c r="AA1120" s="31"/>
      <c r="AC1120" s="32"/>
      <c r="AD1120" s="32"/>
      <c r="AE1120" s="32">
        <f t="shared" si="329"/>
        <v>0</v>
      </c>
      <c r="AF1120" s="12"/>
      <c r="AH1120" s="12"/>
      <c r="AI1120" s="12">
        <f t="shared" si="330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 t="s">
        <v>95</v>
      </c>
      <c r="C1121" s="91">
        <f t="shared" si="331"/>
        <v>8069</v>
      </c>
      <c r="D1121" s="32">
        <f>6260+614+1192+852</f>
        <v>8918</v>
      </c>
      <c r="E1121" s="32"/>
      <c r="F1121" s="32"/>
      <c r="G1121" s="32">
        <f t="shared" si="325"/>
        <v>8918</v>
      </c>
      <c r="H1121" s="12"/>
      <c r="I1121" s="12"/>
      <c r="J1121" s="12"/>
      <c r="K1121" s="12">
        <f t="shared" si="326"/>
        <v>8918</v>
      </c>
      <c r="M1121" s="10">
        <v>10</v>
      </c>
      <c r="N1121" s="30"/>
      <c r="O1121" s="31"/>
      <c r="P1121" s="32"/>
      <c r="Q1121" s="32"/>
      <c r="R1121" s="32"/>
      <c r="S1121" s="32">
        <f t="shared" si="327"/>
        <v>0</v>
      </c>
      <c r="T1121" s="12"/>
      <c r="U1121" s="12"/>
      <c r="V1121" s="12"/>
      <c r="W1121" s="12">
        <f t="shared" si="328"/>
        <v>0</v>
      </c>
      <c r="Y1121" s="10">
        <v>10</v>
      </c>
      <c r="Z1121" s="30"/>
      <c r="AA1121" s="31"/>
      <c r="AB1121" s="32"/>
      <c r="AC1121" s="32"/>
      <c r="AD1121" s="32"/>
      <c r="AE1121" s="32">
        <f t="shared" si="329"/>
        <v>0</v>
      </c>
      <c r="AF1121" s="12"/>
      <c r="AG1121" s="12"/>
      <c r="AH1121" s="12"/>
      <c r="AI1121" s="12">
        <f t="shared" si="330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 t="s">
        <v>95</v>
      </c>
      <c r="C1122" s="91">
        <f t="shared" si="331"/>
        <v>8070</v>
      </c>
      <c r="D1122" s="32">
        <f>5634+596+95</f>
        <v>6325</v>
      </c>
      <c r="E1122" s="32"/>
      <c r="F1122" s="32"/>
      <c r="G1122" s="32">
        <f t="shared" si="325"/>
        <v>6325</v>
      </c>
      <c r="H1122" s="12"/>
      <c r="I1122" s="12">
        <v>54</v>
      </c>
      <c r="J1122" s="12"/>
      <c r="K1122" s="12">
        <f t="shared" si="326"/>
        <v>6379</v>
      </c>
      <c r="M1122" s="10">
        <v>11</v>
      </c>
      <c r="N1122" s="30"/>
      <c r="O1122" s="31"/>
      <c r="P1122" s="32"/>
      <c r="Q1122" s="32"/>
      <c r="R1122" s="32"/>
      <c r="S1122" s="32">
        <f t="shared" si="327"/>
        <v>0</v>
      </c>
      <c r="T1122" s="12"/>
      <c r="U1122" s="12"/>
      <c r="V1122" s="12"/>
      <c r="W1122" s="12">
        <f t="shared" si="328"/>
        <v>0</v>
      </c>
      <c r="Y1122" s="10">
        <v>11</v>
      </c>
      <c r="Z1122" s="30"/>
      <c r="AB1122" s="32"/>
      <c r="AC1122" s="32"/>
      <c r="AD1122" s="32"/>
      <c r="AE1122" s="32">
        <f t="shared" si="329"/>
        <v>0</v>
      </c>
      <c r="AF1122" s="12"/>
      <c r="AG1122" s="12"/>
      <c r="AH1122" s="12"/>
      <c r="AI1122" s="12">
        <f t="shared" si="330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11" t="s">
        <v>27</v>
      </c>
      <c r="D1123" s="32"/>
      <c r="E1123" s="32"/>
      <c r="F1123" s="32"/>
      <c r="G1123" s="32">
        <f t="shared" si="325"/>
        <v>0</v>
      </c>
      <c r="H1123" s="12"/>
      <c r="I1123" s="12"/>
      <c r="J1123" s="10"/>
      <c r="K1123" s="12">
        <f t="shared" si="326"/>
        <v>0</v>
      </c>
      <c r="M1123" s="10">
        <v>12</v>
      </c>
      <c r="N1123" s="30"/>
      <c r="P1123" s="32"/>
      <c r="Q1123" s="32"/>
      <c r="R1123" s="32"/>
      <c r="S1123" s="32">
        <f t="shared" si="327"/>
        <v>0</v>
      </c>
      <c r="T1123" s="12"/>
      <c r="U1123" s="12"/>
      <c r="V1123" s="12"/>
      <c r="W1123" s="12">
        <f t="shared" si="328"/>
        <v>0</v>
      </c>
      <c r="Y1123" s="10">
        <v>12</v>
      </c>
      <c r="Z1123" s="30"/>
      <c r="AA1123" s="31"/>
      <c r="AB1123" s="32"/>
      <c r="AC1123" s="32"/>
      <c r="AD1123" s="32"/>
      <c r="AE1123" s="32">
        <f t="shared" si="329"/>
        <v>0</v>
      </c>
      <c r="AF1123" s="12"/>
      <c r="AG1123" s="12"/>
      <c r="AH1123" s="12"/>
      <c r="AI1123" s="12">
        <f t="shared" si="330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91"/>
      <c r="D1124" s="32"/>
      <c r="E1124" s="32"/>
      <c r="F1124" s="32"/>
      <c r="G1124" s="32">
        <f t="shared" si="325"/>
        <v>0</v>
      </c>
      <c r="H1124" s="12"/>
      <c r="I1124" s="12"/>
      <c r="J1124" s="12"/>
      <c r="K1124" s="12">
        <f t="shared" si="326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327"/>
        <v>0</v>
      </c>
      <c r="T1124" s="12"/>
      <c r="U1124" s="12"/>
      <c r="V1124" s="12"/>
      <c r="W1124" s="12">
        <f t="shared" si="328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329"/>
        <v>0</v>
      </c>
      <c r="AF1124" s="12"/>
      <c r="AG1124" s="12"/>
      <c r="AH1124" s="12"/>
      <c r="AI1124" s="12">
        <f t="shared" si="330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91"/>
      <c r="D1125" s="32"/>
      <c r="E1125" s="32"/>
      <c r="F1125" s="32"/>
      <c r="G1125" s="32">
        <f t="shared" si="325"/>
        <v>0</v>
      </c>
      <c r="H1125" s="12"/>
      <c r="I1125" s="12"/>
      <c r="J1125" s="12"/>
      <c r="K1125" s="12">
        <f t="shared" si="326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327"/>
        <v>0</v>
      </c>
      <c r="T1125" s="12"/>
      <c r="U1125" s="12"/>
      <c r="V1125" s="12"/>
      <c r="W1125" s="12">
        <f t="shared" si="328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29"/>
        <v>0</v>
      </c>
      <c r="AF1125" s="12"/>
      <c r="AG1125" s="12"/>
      <c r="AH1125" s="12"/>
      <c r="AI1125" s="12">
        <f t="shared" si="330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91"/>
      <c r="D1126" s="32"/>
      <c r="E1126" s="32"/>
      <c r="F1126" s="32"/>
      <c r="G1126" s="32">
        <f t="shared" si="325"/>
        <v>0</v>
      </c>
      <c r="H1126" s="12"/>
      <c r="I1126" s="12"/>
      <c r="J1126" s="12"/>
      <c r="K1126" s="12">
        <f t="shared" si="326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327"/>
        <v>0</v>
      </c>
      <c r="T1126" s="12"/>
      <c r="U1126" s="12"/>
      <c r="V1126" s="12"/>
      <c r="W1126" s="12">
        <f t="shared" si="328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329"/>
        <v>0</v>
      </c>
      <c r="AF1126" s="12"/>
      <c r="AG1126" s="12"/>
      <c r="AH1126" s="12"/>
      <c r="AI1126" s="12">
        <f t="shared" si="330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91"/>
      <c r="D1127" s="32"/>
      <c r="E1127" s="32"/>
      <c r="F1127" s="32"/>
      <c r="G1127" s="32">
        <f t="shared" si="325"/>
        <v>0</v>
      </c>
      <c r="H1127" s="12"/>
      <c r="I1127" s="12"/>
      <c r="J1127" s="12"/>
      <c r="K1127" s="12">
        <f t="shared" si="326"/>
        <v>0</v>
      </c>
      <c r="M1127" s="10">
        <v>16</v>
      </c>
      <c r="N1127" s="30"/>
      <c r="O1127" s="31"/>
      <c r="P1127" s="32"/>
      <c r="Q1127" s="32"/>
      <c r="R1127" s="32"/>
      <c r="S1127" s="32">
        <f t="shared" si="327"/>
        <v>0</v>
      </c>
      <c r="T1127" s="12"/>
      <c r="U1127" s="12"/>
      <c r="V1127" s="12"/>
      <c r="W1127" s="12">
        <f t="shared" si="328"/>
        <v>0</v>
      </c>
      <c r="Y1127" s="10">
        <v>16</v>
      </c>
      <c r="Z1127" s="30"/>
      <c r="AB1127" s="32"/>
      <c r="AC1127" s="32"/>
      <c r="AD1127" s="32"/>
      <c r="AE1127" s="32">
        <f t="shared" si="329"/>
        <v>0</v>
      </c>
      <c r="AF1127" s="12"/>
      <c r="AG1127" s="12"/>
      <c r="AH1127" s="12"/>
      <c r="AI1127" s="12">
        <f t="shared" si="330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91"/>
      <c r="D1128" s="32"/>
      <c r="E1128" s="32"/>
      <c r="F1128" s="32"/>
      <c r="G1128" s="32">
        <f t="shared" si="325"/>
        <v>0</v>
      </c>
      <c r="H1128" s="12"/>
      <c r="I1128" s="12"/>
      <c r="J1128" s="12"/>
      <c r="K1128" s="12">
        <f t="shared" si="326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327"/>
        <v>0</v>
      </c>
      <c r="T1128" s="12"/>
      <c r="U1128" s="12"/>
      <c r="V1128" s="12"/>
      <c r="W1128" s="12">
        <f t="shared" si="328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29"/>
        <v>0</v>
      </c>
      <c r="AF1128" s="12"/>
      <c r="AG1128" s="12"/>
      <c r="AH1128" s="12"/>
      <c r="AI1128" s="12">
        <f t="shared" si="330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91"/>
      <c r="D1129" s="32"/>
      <c r="E1129" s="32"/>
      <c r="F1129" s="32"/>
      <c r="G1129" s="32">
        <f t="shared" si="325"/>
        <v>0</v>
      </c>
      <c r="H1129" s="12"/>
      <c r="I1129" s="12"/>
      <c r="J1129" s="12"/>
      <c r="K1129" s="12">
        <f t="shared" si="326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327"/>
        <v>0</v>
      </c>
      <c r="T1129" s="12"/>
      <c r="U1129" s="12"/>
      <c r="V1129" s="12"/>
      <c r="W1129" s="12">
        <f t="shared" si="328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29"/>
        <v>0</v>
      </c>
      <c r="AF1129" s="12"/>
      <c r="AG1129" s="12"/>
      <c r="AH1129" s="12"/>
      <c r="AI1129" s="12">
        <f t="shared" si="330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91"/>
      <c r="D1130" s="32"/>
      <c r="E1130" s="32"/>
      <c r="F1130" s="32"/>
      <c r="G1130" s="32">
        <f t="shared" si="325"/>
        <v>0</v>
      </c>
      <c r="H1130" s="12"/>
      <c r="I1130" s="12"/>
      <c r="J1130" s="12"/>
      <c r="K1130" s="12">
        <f t="shared" si="326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327"/>
        <v>0</v>
      </c>
      <c r="T1130" s="12"/>
      <c r="U1130" s="12"/>
      <c r="V1130" s="12"/>
      <c r="W1130" s="12">
        <f t="shared" si="328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29"/>
        <v>0</v>
      </c>
      <c r="AF1130" s="12"/>
      <c r="AG1130" s="12"/>
      <c r="AH1130" s="12"/>
      <c r="AI1130" s="12">
        <f t="shared" si="330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91"/>
      <c r="D1131" s="32"/>
      <c r="E1131" s="32"/>
      <c r="F1131" s="32"/>
      <c r="G1131" s="32">
        <f t="shared" si="325"/>
        <v>0</v>
      </c>
      <c r="H1131" s="12"/>
      <c r="I1131" s="12"/>
      <c r="J1131" s="12"/>
      <c r="K1131" s="12">
        <f t="shared" si="326"/>
        <v>0</v>
      </c>
      <c r="M1131" s="10">
        <v>20</v>
      </c>
      <c r="N1131" s="30"/>
      <c r="P1131" s="32"/>
      <c r="Q1131" s="32"/>
      <c r="R1131" s="32"/>
      <c r="S1131" s="32">
        <f t="shared" si="327"/>
        <v>0</v>
      </c>
      <c r="T1131" s="12"/>
      <c r="U1131" s="12"/>
      <c r="V1131" s="12"/>
      <c r="W1131" s="12">
        <f t="shared" si="328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329"/>
        <v>0</v>
      </c>
      <c r="AF1131" s="12"/>
      <c r="AG1131" s="12"/>
      <c r="AH1131" s="12"/>
      <c r="AI1131" s="12">
        <f t="shared" si="330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57"/>
      <c r="D1132" s="32"/>
      <c r="E1132" s="32"/>
      <c r="F1132" s="32"/>
      <c r="G1132" s="32">
        <f t="shared" si="325"/>
        <v>0</v>
      </c>
      <c r="H1132" s="10"/>
      <c r="I1132" s="10"/>
      <c r="J1132" s="10"/>
      <c r="K1132" s="12">
        <f t="shared" si="326"/>
        <v>0</v>
      </c>
      <c r="M1132" s="10">
        <v>21</v>
      </c>
      <c r="N1132" s="30"/>
      <c r="P1132" s="46"/>
      <c r="Q1132" s="31"/>
      <c r="R1132" s="31"/>
      <c r="S1132" s="32">
        <f t="shared" si="327"/>
        <v>0</v>
      </c>
      <c r="T1132" s="10"/>
      <c r="U1132" s="10"/>
      <c r="V1132" s="10"/>
      <c r="W1132" s="12">
        <f t="shared" si="328"/>
        <v>0</v>
      </c>
      <c r="Y1132" s="10">
        <v>21</v>
      </c>
      <c r="Z1132" s="30"/>
      <c r="AA1132" s="31"/>
      <c r="AB1132" s="46"/>
      <c r="AC1132" s="31"/>
      <c r="AD1132" s="31"/>
      <c r="AE1132" s="32">
        <f t="shared" si="329"/>
        <v>0</v>
      </c>
      <c r="AF1132" s="10"/>
      <c r="AG1132" s="10"/>
      <c r="AH1132" s="10"/>
      <c r="AI1132" s="12">
        <f t="shared" si="330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91"/>
      <c r="D1133" s="32"/>
      <c r="E1133" s="32"/>
      <c r="F1133" s="32"/>
      <c r="G1133" s="32">
        <f t="shared" si="325"/>
        <v>0</v>
      </c>
      <c r="H1133" s="10"/>
      <c r="I1133" s="10"/>
      <c r="J1133" s="10"/>
      <c r="K1133" s="12">
        <f t="shared" si="326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327"/>
        <v>0</v>
      </c>
      <c r="T1133" s="10"/>
      <c r="U1133" s="10"/>
      <c r="V1133" s="10"/>
      <c r="W1133" s="12">
        <f t="shared" si="328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29"/>
        <v>0</v>
      </c>
      <c r="AF1133" s="10"/>
      <c r="AG1133" s="10"/>
      <c r="AH1133" s="10"/>
      <c r="AI1133" s="12">
        <f t="shared" si="330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91"/>
      <c r="D1134" s="32"/>
      <c r="E1134" s="32"/>
      <c r="F1134" s="32"/>
      <c r="G1134" s="32">
        <f t="shared" si="325"/>
        <v>0</v>
      </c>
      <c r="H1134" s="10"/>
      <c r="I1134" s="10"/>
      <c r="J1134" s="12"/>
      <c r="K1134" s="12">
        <f t="shared" si="326"/>
        <v>0</v>
      </c>
      <c r="M1134" s="10">
        <v>23</v>
      </c>
      <c r="N1134" s="30"/>
      <c r="O1134" s="31"/>
      <c r="P1134" s="47"/>
      <c r="S1134" s="32">
        <f t="shared" si="327"/>
        <v>0</v>
      </c>
      <c r="T1134" s="10"/>
      <c r="U1134" s="10"/>
      <c r="V1134" s="10"/>
      <c r="W1134" s="12">
        <f t="shared" si="328"/>
        <v>0</v>
      </c>
      <c r="Y1134" s="10">
        <v>23</v>
      </c>
      <c r="Z1134" s="30"/>
      <c r="AA1134" s="31"/>
      <c r="AB1134" s="47"/>
      <c r="AE1134" s="32">
        <f t="shared" si="329"/>
        <v>0</v>
      </c>
      <c r="AF1134" s="10"/>
      <c r="AG1134" s="10"/>
      <c r="AH1134" s="10"/>
      <c r="AI1134" s="12">
        <f t="shared" si="330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57"/>
      <c r="D1135" s="32"/>
      <c r="E1135" s="32"/>
      <c r="F1135" s="32"/>
      <c r="G1135" s="32">
        <f t="shared" si="325"/>
        <v>0</v>
      </c>
      <c r="H1135" s="10"/>
      <c r="I1135" s="10"/>
      <c r="J1135" s="10"/>
      <c r="K1135" s="12">
        <f t="shared" si="326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327"/>
        <v>0</v>
      </c>
      <c r="T1135" s="10"/>
      <c r="U1135" s="10"/>
      <c r="V1135" s="10"/>
      <c r="W1135" s="12">
        <f t="shared" si="328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29"/>
        <v>0</v>
      </c>
      <c r="AF1135" s="10"/>
      <c r="AG1135" s="10"/>
      <c r="AH1135" s="10"/>
      <c r="AI1135" s="12">
        <f t="shared" si="330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31"/>
      <c r="D1136" s="32"/>
      <c r="E1136" s="32"/>
      <c r="F1136" s="32"/>
      <c r="G1136" s="32">
        <f t="shared" si="325"/>
        <v>0</v>
      </c>
      <c r="H1136" s="10"/>
      <c r="I1136" s="10"/>
      <c r="J1136" s="10"/>
      <c r="K1136" s="12">
        <f t="shared" si="326"/>
        <v>0</v>
      </c>
      <c r="M1136" s="10">
        <v>25</v>
      </c>
      <c r="N1136" s="30"/>
      <c r="P1136" s="47"/>
      <c r="Q1136" s="31"/>
      <c r="R1136" s="31"/>
      <c r="S1136" s="32">
        <f t="shared" si="327"/>
        <v>0</v>
      </c>
      <c r="T1136" s="10"/>
      <c r="U1136" s="10"/>
      <c r="V1136" s="10"/>
      <c r="W1136" s="12">
        <f t="shared" si="328"/>
        <v>0</v>
      </c>
      <c r="Y1136" s="10">
        <v>25</v>
      </c>
      <c r="Z1136" s="30"/>
      <c r="AB1136" s="47"/>
      <c r="AC1136" s="31"/>
      <c r="AD1136" s="31"/>
      <c r="AE1136" s="32">
        <f t="shared" si="329"/>
        <v>0</v>
      </c>
      <c r="AF1136" s="10"/>
      <c r="AG1136" s="10"/>
      <c r="AH1136" s="10"/>
      <c r="AI1136" s="12">
        <f t="shared" si="330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11"/>
      <c r="D1137" s="32"/>
      <c r="E1137" s="32"/>
      <c r="F1137" s="32"/>
      <c r="G1137" s="32">
        <f t="shared" si="325"/>
        <v>0</v>
      </c>
      <c r="H1137" s="10"/>
      <c r="I1137" s="10"/>
      <c r="J1137" s="10"/>
      <c r="K1137" s="12">
        <f t="shared" si="326"/>
        <v>0</v>
      </c>
      <c r="M1137" s="10">
        <v>26</v>
      </c>
      <c r="N1137" s="30"/>
      <c r="P1137" s="47"/>
      <c r="Q1137" s="31"/>
      <c r="R1137" s="31"/>
      <c r="S1137" s="32">
        <f t="shared" si="327"/>
        <v>0</v>
      </c>
      <c r="T1137" s="10"/>
      <c r="U1137" s="10"/>
      <c r="V1137" s="10"/>
      <c r="W1137" s="12">
        <f t="shared" si="328"/>
        <v>0</v>
      </c>
      <c r="Y1137" s="10">
        <v>26</v>
      </c>
      <c r="Z1137" s="30"/>
      <c r="AB1137" s="47"/>
      <c r="AC1137" s="31"/>
      <c r="AD1137" s="31"/>
      <c r="AE1137" s="32">
        <f t="shared" si="329"/>
        <v>0</v>
      </c>
      <c r="AF1137" s="10"/>
      <c r="AG1137" s="10"/>
      <c r="AH1137" s="10"/>
      <c r="AI1137" s="12">
        <f t="shared" si="330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57"/>
      <c r="D1138" s="32"/>
      <c r="E1138" s="32"/>
      <c r="F1138" s="32"/>
      <c r="G1138" s="32">
        <f t="shared" si="325"/>
        <v>0</v>
      </c>
      <c r="H1138" s="10"/>
      <c r="I1138" s="10"/>
      <c r="J1138" s="10"/>
      <c r="K1138" s="12">
        <f t="shared" si="326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327"/>
        <v>0</v>
      </c>
      <c r="T1138" s="10"/>
      <c r="U1138" s="10"/>
      <c r="V1138" s="10"/>
      <c r="W1138" s="12">
        <f t="shared" si="328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29"/>
        <v>0</v>
      </c>
      <c r="AF1138" s="10"/>
      <c r="AG1138" s="10"/>
      <c r="AH1138" s="10"/>
      <c r="AI1138" s="12">
        <f t="shared" si="330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31"/>
      <c r="D1139" s="32"/>
      <c r="E1139" s="32"/>
      <c r="F1139" s="32"/>
      <c r="G1139" s="32">
        <f t="shared" si="325"/>
        <v>0</v>
      </c>
      <c r="H1139" s="10"/>
      <c r="I1139" s="10"/>
      <c r="J1139" s="10"/>
      <c r="K1139" s="12">
        <f t="shared" si="326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27"/>
        <v>0</v>
      </c>
      <c r="T1139" s="10"/>
      <c r="U1139" s="10"/>
      <c r="V1139" s="10"/>
      <c r="W1139" s="12">
        <f t="shared" si="328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29"/>
        <v>0</v>
      </c>
      <c r="AF1139" s="10"/>
      <c r="AG1139" s="10"/>
      <c r="AH1139" s="10"/>
      <c r="AI1139" s="12">
        <f t="shared" si="330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31"/>
      <c r="D1140" s="32"/>
      <c r="E1140" s="32"/>
      <c r="F1140" s="32"/>
      <c r="G1140" s="32">
        <f t="shared" si="325"/>
        <v>0</v>
      </c>
      <c r="H1140" s="10"/>
      <c r="I1140" s="10"/>
      <c r="J1140" s="10"/>
      <c r="K1140" s="12">
        <f t="shared" si="326"/>
        <v>0</v>
      </c>
      <c r="M1140" s="10">
        <v>29</v>
      </c>
      <c r="N1140" s="30"/>
      <c r="P1140" s="47"/>
      <c r="Q1140" s="31"/>
      <c r="R1140" s="31"/>
      <c r="S1140" s="32">
        <f t="shared" si="327"/>
        <v>0</v>
      </c>
      <c r="T1140" s="10"/>
      <c r="U1140" s="10"/>
      <c r="V1140" s="10"/>
      <c r="W1140" s="12">
        <f t="shared" si="328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29"/>
        <v>0</v>
      </c>
      <c r="AF1140" s="10"/>
      <c r="AG1140" s="10"/>
      <c r="AH1140" s="10"/>
      <c r="AI1140" s="12">
        <f t="shared" si="330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57"/>
      <c r="D1141" s="32"/>
      <c r="E1141" s="32"/>
      <c r="F1141" s="32"/>
      <c r="G1141" s="32">
        <f t="shared" si="325"/>
        <v>0</v>
      </c>
      <c r="H1141" s="10"/>
      <c r="I1141" s="10"/>
      <c r="J1141" s="10"/>
      <c r="K1141" s="12">
        <f t="shared" si="326"/>
        <v>0</v>
      </c>
      <c r="M1141" s="10">
        <v>30</v>
      </c>
      <c r="N1141" s="30"/>
      <c r="P1141" s="47"/>
      <c r="Q1141" s="31"/>
      <c r="R1141" s="31"/>
      <c r="S1141" s="32">
        <f t="shared" si="327"/>
        <v>0</v>
      </c>
      <c r="T1141" s="10"/>
      <c r="U1141" s="10"/>
      <c r="V1141" s="10"/>
      <c r="W1141" s="12">
        <f t="shared" si="328"/>
        <v>0</v>
      </c>
      <c r="Y1141" s="10">
        <v>30</v>
      </c>
      <c r="Z1141" s="30"/>
      <c r="AB1141" s="47"/>
      <c r="AC1141" s="31"/>
      <c r="AD1141" s="31"/>
      <c r="AE1141" s="32">
        <f t="shared" si="329"/>
        <v>0</v>
      </c>
      <c r="AF1141" s="10"/>
      <c r="AG1141" s="10"/>
      <c r="AH1141" s="10"/>
      <c r="AI1141" s="12">
        <f t="shared" si="330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57"/>
      <c r="D1142" s="32"/>
      <c r="E1142" s="32"/>
      <c r="F1142" s="32"/>
      <c r="G1142" s="32">
        <f t="shared" si="325"/>
        <v>0</v>
      </c>
      <c r="H1142" s="10"/>
      <c r="I1142" s="10"/>
      <c r="J1142" s="10"/>
      <c r="K1142" s="12">
        <f t="shared" si="326"/>
        <v>0</v>
      </c>
      <c r="M1142" s="10">
        <v>31</v>
      </c>
      <c r="N1142" s="30"/>
      <c r="O1142" s="31"/>
      <c r="P1142" s="47"/>
      <c r="Q1142" s="31"/>
      <c r="R1142" s="31"/>
      <c r="S1142" s="32">
        <f t="shared" si="327"/>
        <v>0</v>
      </c>
      <c r="T1142" s="10"/>
      <c r="U1142" s="10"/>
      <c r="V1142" s="10"/>
      <c r="W1142" s="12">
        <f t="shared" si="328"/>
        <v>0</v>
      </c>
      <c r="Y1142" s="10">
        <v>31</v>
      </c>
      <c r="Z1142" s="30"/>
      <c r="AB1142" s="47"/>
      <c r="AC1142" s="31"/>
      <c r="AD1142" s="31"/>
      <c r="AE1142" s="32">
        <f t="shared" si="329"/>
        <v>0</v>
      </c>
      <c r="AF1142" s="10"/>
      <c r="AG1142" s="10"/>
      <c r="AH1142" s="10"/>
      <c r="AI1142" s="12">
        <f t="shared" si="330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31"/>
      <c r="D1143" s="32"/>
      <c r="E1143" s="32"/>
      <c r="F1143" s="32"/>
      <c r="G1143" s="32">
        <f t="shared" si="325"/>
        <v>0</v>
      </c>
      <c r="H1143" s="10"/>
      <c r="I1143" s="10"/>
      <c r="J1143" s="10"/>
      <c r="K1143" s="12">
        <f t="shared" si="326"/>
        <v>0</v>
      </c>
      <c r="M1143" s="10">
        <v>32</v>
      </c>
      <c r="N1143" s="30"/>
      <c r="P1143" s="47"/>
      <c r="Q1143" s="31"/>
      <c r="R1143" s="31"/>
      <c r="S1143" s="32">
        <f t="shared" si="327"/>
        <v>0</v>
      </c>
      <c r="T1143" s="10"/>
      <c r="U1143" s="10"/>
      <c r="V1143" s="10"/>
      <c r="W1143" s="12">
        <f t="shared" si="328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29"/>
        <v>0</v>
      </c>
      <c r="AF1143" s="10"/>
      <c r="AG1143" s="10"/>
      <c r="AH1143" s="10"/>
      <c r="AI1143" s="12">
        <f t="shared" si="330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57"/>
      <c r="D1144" s="32"/>
      <c r="E1144" s="32"/>
      <c r="F1144" s="32"/>
      <c r="G1144" s="32">
        <f t="shared" si="325"/>
        <v>0</v>
      </c>
      <c r="H1144" s="10"/>
      <c r="I1144" s="10"/>
      <c r="J1144" s="10"/>
      <c r="K1144" s="12">
        <f t="shared" si="326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27"/>
        <v>0</v>
      </c>
      <c r="T1144" s="10"/>
      <c r="U1144" s="10"/>
      <c r="V1144" s="10"/>
      <c r="W1144" s="12">
        <f t="shared" si="328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29"/>
        <v>0</v>
      </c>
      <c r="AF1144" s="10"/>
      <c r="AG1144" s="10"/>
      <c r="AH1144" s="10"/>
      <c r="AI1144" s="12">
        <f t="shared" si="330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57"/>
      <c r="D1145" s="32"/>
      <c r="E1145" s="32"/>
      <c r="F1145" s="32"/>
      <c r="G1145" s="32">
        <f t="shared" si="325"/>
        <v>0</v>
      </c>
      <c r="H1145" s="10"/>
      <c r="I1145" s="10"/>
      <c r="J1145" s="10"/>
      <c r="K1145" s="12">
        <f t="shared" si="326"/>
        <v>0</v>
      </c>
      <c r="M1145" s="10">
        <v>34</v>
      </c>
      <c r="N1145" s="30"/>
      <c r="O1145" s="31"/>
      <c r="P1145" s="47"/>
      <c r="Q1145" s="31"/>
      <c r="R1145" s="31"/>
      <c r="S1145" s="32">
        <f t="shared" ref="S1145:S1155" si="334">SUM(P1145:Q1145)</f>
        <v>0</v>
      </c>
      <c r="T1145" s="10"/>
      <c r="U1145" s="10"/>
      <c r="V1145" s="10"/>
      <c r="W1145" s="12">
        <f t="shared" si="328"/>
        <v>0</v>
      </c>
      <c r="Y1145" s="10">
        <v>34</v>
      </c>
      <c r="Z1145" s="30"/>
      <c r="AB1145" s="47"/>
      <c r="AC1145" s="31"/>
      <c r="AD1145" s="31"/>
      <c r="AE1145" s="32">
        <f t="shared" si="329"/>
        <v>0</v>
      </c>
      <c r="AF1145" s="10"/>
      <c r="AG1145" s="10"/>
      <c r="AH1145" s="10"/>
      <c r="AI1145" s="12">
        <f t="shared" ref="AI1145:AI1156" si="335">SUM(AE1145:AH1145)</f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31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34"/>
        <v>0</v>
      </c>
      <c r="T1146" s="10"/>
      <c r="U1146" s="10"/>
      <c r="V1146" s="10"/>
      <c r="W1146" s="12">
        <f t="shared" si="328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29"/>
        <v>0</v>
      </c>
      <c r="AF1146" s="10"/>
      <c r="AG1146" s="10"/>
      <c r="AH1146" s="10"/>
      <c r="AI1146" s="12">
        <f t="shared" si="335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31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34"/>
        <v>0</v>
      </c>
      <c r="T1147" s="10"/>
      <c r="U1147" s="10"/>
      <c r="V1147" s="10"/>
      <c r="W1147" s="12">
        <f t="shared" si="328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29"/>
        <v>0</v>
      </c>
      <c r="AF1147" s="10"/>
      <c r="AG1147" s="10"/>
      <c r="AH1147" s="10"/>
      <c r="AI1147" s="12">
        <f t="shared" si="335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34"/>
        <v>0</v>
      </c>
      <c r="T1148" s="10"/>
      <c r="U1148" s="10"/>
      <c r="V1148" s="10"/>
      <c r="W1148" s="12">
        <f t="shared" si="328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29"/>
        <v>0</v>
      </c>
      <c r="AF1148" s="10"/>
      <c r="AG1148" s="10"/>
      <c r="AH1148" s="10"/>
      <c r="AI1148" s="12">
        <f t="shared" si="335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34"/>
        <v>0</v>
      </c>
      <c r="T1149" s="10"/>
      <c r="U1149" s="10"/>
      <c r="V1149" s="10"/>
      <c r="W1149" s="12">
        <f t="shared" si="328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29"/>
        <v>0</v>
      </c>
      <c r="AF1149" s="10"/>
      <c r="AG1149" s="10"/>
      <c r="AH1149" s="10"/>
      <c r="AI1149" s="12">
        <f t="shared" si="335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34"/>
        <v>0</v>
      </c>
      <c r="T1150" s="10"/>
      <c r="U1150" s="10"/>
      <c r="V1150" s="10"/>
      <c r="W1150" s="12">
        <f t="shared" si="328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29"/>
        <v>0</v>
      </c>
      <c r="AF1150" s="10"/>
      <c r="AG1150" s="10"/>
      <c r="AH1150" s="10"/>
      <c r="AI1150" s="12">
        <f t="shared" si="335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28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35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36">SUM(D1152:E1152)</f>
        <v>0</v>
      </c>
      <c r="H1152" s="10"/>
      <c r="I1152" s="10"/>
      <c r="J1152" s="10"/>
      <c r="K1152" s="12">
        <f t="shared" ref="K1152" si="337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38">SUM(P1152:Q1152)</f>
        <v>0</v>
      </c>
      <c r="T1152" s="10"/>
      <c r="U1152" s="10"/>
      <c r="V1152" s="10"/>
      <c r="W1152" s="12">
        <f t="shared" si="328"/>
        <v>0</v>
      </c>
      <c r="Y1152" s="10"/>
      <c r="Z1152" s="30"/>
      <c r="AA1152" s="31"/>
      <c r="AB1152" s="47"/>
      <c r="AC1152" s="31"/>
      <c r="AD1152" s="31"/>
      <c r="AE1152" s="32">
        <f t="shared" ref="AE1152" si="339">SUM(AB1152:AC1152)</f>
        <v>0</v>
      </c>
      <c r="AF1152" s="10"/>
      <c r="AG1152" s="10"/>
      <c r="AH1152" s="10"/>
      <c r="AI1152" s="12">
        <f t="shared" si="335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28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35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335604</v>
      </c>
      <c r="E1155" s="38">
        <f t="shared" ref="E1155:G1155" si="340">SUM(E1112:E1152)</f>
        <v>0</v>
      </c>
      <c r="F1155" s="38">
        <f t="shared" si="340"/>
        <v>0</v>
      </c>
      <c r="G1155" s="38">
        <f>SUM(G1112:G1154)</f>
        <v>335604</v>
      </c>
      <c r="H1155" s="4"/>
      <c r="I1155" s="39">
        <f>SUM(I1112:I1154)</f>
        <v>6420</v>
      </c>
      <c r="J1155" s="39">
        <f>SUM(J1112:J1154)</f>
        <v>-337</v>
      </c>
      <c r="K1155" s="40">
        <f>SUM(K1112:K1154)</f>
        <v>341687</v>
      </c>
      <c r="N1155" s="57"/>
      <c r="O1155" s="57"/>
      <c r="P1155" s="38">
        <f>SUM(P1112:P1154)</f>
        <v>602736.5</v>
      </c>
      <c r="Q1155" s="38">
        <f>SUM(Q1112:Q1136)</f>
        <v>-4878</v>
      </c>
      <c r="R1155" s="38">
        <f>SUM(R1112:R1136)</f>
        <v>0</v>
      </c>
      <c r="S1155" s="38">
        <f>SUM(S1112:S1154)</f>
        <v>597858.5</v>
      </c>
      <c r="T1155" s="4"/>
      <c r="U1155" s="41">
        <f>SUM(U1112:U1154)</f>
        <v>6664.5</v>
      </c>
      <c r="V1155" s="41">
        <f>SUM(V1112:V1136)</f>
        <v>-7302</v>
      </c>
      <c r="W1155" s="42">
        <f>SUM(W1112:W1154)</f>
        <v>597221</v>
      </c>
      <c r="Z1155" s="57"/>
      <c r="AA1155" s="57"/>
      <c r="AB1155" s="38">
        <f>SUM(AB1112:AB1154)</f>
        <v>513186</v>
      </c>
      <c r="AC1155" s="38">
        <f>SUM(AC1112:AC1136)</f>
        <v>-4776</v>
      </c>
      <c r="AD1155" s="38">
        <f>SUM(AD1112:AD1136)</f>
        <v>0</v>
      </c>
      <c r="AE1155" s="38">
        <f>SUM(AE1112:AE1154)</f>
        <v>508410</v>
      </c>
      <c r="AF1155" s="4"/>
      <c r="AG1155" s="41">
        <f>SUM(AG1112:AG1154)</f>
        <v>11334</v>
      </c>
      <c r="AH1155" s="41">
        <f>SUM(AH1112:AH1136)</f>
        <v>0</v>
      </c>
      <c r="AI1155" s="42">
        <f>SUM(AI1112:AI1154)</f>
        <v>519744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21"/>
      <c r="E1165" s="121"/>
      <c r="F1165" s="89"/>
      <c r="G1165" s="89"/>
      <c r="H1165" s="62"/>
      <c r="I1165" s="121"/>
      <c r="J1165" s="121"/>
      <c r="K1165" s="120"/>
      <c r="L1165" s="62"/>
      <c r="M1165" s="62"/>
      <c r="N1165" s="65"/>
      <c r="O1165" s="89"/>
      <c r="P1165" s="121"/>
      <c r="Q1165" s="121"/>
      <c r="R1165" s="89"/>
      <c r="S1165" s="89"/>
      <c r="T1165" s="62"/>
      <c r="U1165" s="121"/>
      <c r="V1165" s="121"/>
      <c r="W1165" s="120"/>
      <c r="X1165" s="62"/>
      <c r="Y1165" s="62"/>
      <c r="Z1165" s="65"/>
      <c r="AA1165" s="89"/>
      <c r="AB1165" s="121"/>
      <c r="AC1165" s="121"/>
      <c r="AD1165" s="89"/>
      <c r="AE1165" s="89"/>
      <c r="AF1165" s="62"/>
      <c r="AG1165" s="121"/>
      <c r="AH1165" s="121"/>
      <c r="AI1165" s="120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20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20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20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21"/>
      <c r="E1221" s="121"/>
      <c r="F1221" s="87"/>
      <c r="G1221" s="87"/>
      <c r="H1221" s="62"/>
      <c r="I1221" s="121"/>
      <c r="J1221" s="121"/>
      <c r="K1221" s="120"/>
      <c r="L1221" s="62"/>
      <c r="M1221" s="62"/>
      <c r="N1221" s="65"/>
      <c r="O1221" s="87"/>
      <c r="P1221" s="121"/>
      <c r="Q1221" s="121"/>
      <c r="R1221" s="87"/>
      <c r="S1221" s="87"/>
      <c r="T1221" s="62"/>
      <c r="U1221" s="121"/>
      <c r="V1221" s="121"/>
      <c r="W1221" s="120"/>
      <c r="X1221" s="62"/>
      <c r="Y1221" s="62"/>
      <c r="Z1221" s="65"/>
      <c r="AA1221" s="87"/>
      <c r="AB1221" s="121"/>
      <c r="AC1221" s="121"/>
      <c r="AD1221" s="87"/>
      <c r="AE1221" s="87"/>
      <c r="AF1221" s="62"/>
      <c r="AG1221" s="121"/>
      <c r="AH1221" s="121"/>
      <c r="AI1221" s="120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20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20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20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21"/>
      <c r="E1283" s="121"/>
      <c r="F1283" s="84"/>
      <c r="G1283" s="84"/>
      <c r="H1283" s="62"/>
      <c r="I1283" s="121"/>
      <c r="J1283" s="121"/>
      <c r="K1283" s="120"/>
      <c r="L1283" s="62"/>
      <c r="M1283" s="62"/>
      <c r="N1283" s="65"/>
      <c r="O1283" s="84"/>
      <c r="P1283" s="121"/>
      <c r="Q1283" s="121"/>
      <c r="R1283" s="84"/>
      <c r="S1283" s="84"/>
      <c r="T1283" s="62"/>
      <c r="U1283" s="121"/>
      <c r="V1283" s="121"/>
      <c r="W1283" s="120"/>
      <c r="X1283" s="62"/>
      <c r="Y1283" s="62"/>
      <c r="Z1283" s="65"/>
      <c r="AA1283" s="84"/>
      <c r="AB1283" s="121"/>
      <c r="AC1283" s="121"/>
      <c r="AD1283" s="84"/>
      <c r="AE1283" s="84"/>
      <c r="AF1283" s="62"/>
      <c r="AG1283" s="121"/>
      <c r="AH1283" s="121"/>
      <c r="AI1283" s="120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20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20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20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2025-12-26T00:56:31Z</dcterms:modified>
</cp:coreProperties>
</file>