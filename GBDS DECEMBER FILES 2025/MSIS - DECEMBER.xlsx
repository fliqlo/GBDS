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A0250CF-02B9-4ABD-B5BD-4B50F447257B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006" i="2" l="1"/>
  <c r="AB1004" i="2" l="1"/>
  <c r="AE1004" i="2" s="1"/>
  <c r="AI1004" i="2" s="1"/>
  <c r="AB1003" i="2"/>
  <c r="AG1002" i="2"/>
  <c r="AB1002" i="2"/>
  <c r="AE1002" i="2"/>
  <c r="AA1003" i="2"/>
  <c r="AA1004" i="2" s="1"/>
  <c r="AE1003" i="2"/>
  <c r="AI1003" i="2"/>
  <c r="AE1005" i="2"/>
  <c r="AI1005" i="2" s="1"/>
  <c r="AG1045" i="2"/>
  <c r="AE1006" i="2"/>
  <c r="AI1006" i="2" s="1"/>
  <c r="AE1007" i="2"/>
  <c r="AI1007" i="2" s="1"/>
  <c r="AE1008" i="2"/>
  <c r="AI1008" i="2" s="1"/>
  <c r="AE1009" i="2"/>
  <c r="AI1009" i="2" s="1"/>
  <c r="AE1010" i="2"/>
  <c r="AI1010" i="2" s="1"/>
  <c r="AE1011" i="2"/>
  <c r="AI1011" i="2"/>
  <c r="AE1012" i="2"/>
  <c r="AI1012" i="2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H1045" i="2"/>
  <c r="P1008" i="2"/>
  <c r="P1007" i="2"/>
  <c r="U1006" i="2"/>
  <c r="P1005" i="2"/>
  <c r="O1005" i="2"/>
  <c r="O1006" i="2"/>
  <c r="V1004" i="2"/>
  <c r="U1004" i="2"/>
  <c r="P1004" i="2"/>
  <c r="V1003" i="2"/>
  <c r="P1003" i="2"/>
  <c r="U1002" i="2"/>
  <c r="P1002" i="2"/>
  <c r="D1006" i="2"/>
  <c r="D1005" i="2"/>
  <c r="J1004" i="2"/>
  <c r="I1004" i="2"/>
  <c r="D1004" i="2"/>
  <c r="D1003" i="2"/>
  <c r="D1002" i="2"/>
  <c r="AI1002" i="2" l="1"/>
  <c r="AI1045" i="2" s="1"/>
  <c r="AE1045" i="2"/>
  <c r="AB1045" i="2"/>
  <c r="U1045" i="2"/>
  <c r="P1045" i="2"/>
  <c r="S1002" i="2"/>
  <c r="W1002" i="2" s="1"/>
  <c r="O1003" i="2"/>
  <c r="S1003" i="2"/>
  <c r="O1004" i="2"/>
  <c r="S1004" i="2"/>
  <c r="W1004" i="2"/>
  <c r="S1006" i="2"/>
  <c r="W1006" i="2" s="1"/>
  <c r="S1007" i="2"/>
  <c r="W1007" i="2" s="1"/>
  <c r="S1008" i="2"/>
  <c r="W1008" i="2" s="1"/>
  <c r="S1009" i="2"/>
  <c r="W1009" i="2"/>
  <c r="S1010" i="2"/>
  <c r="W1010" i="2"/>
  <c r="S1011" i="2"/>
  <c r="W1011" i="2" s="1"/>
  <c r="S1012" i="2"/>
  <c r="W1012" i="2"/>
  <c r="S1013" i="2"/>
  <c r="W1013" i="2"/>
  <c r="S1014" i="2"/>
  <c r="W1014" i="2"/>
  <c r="S1015" i="2"/>
  <c r="W1015" i="2"/>
  <c r="S1016" i="2"/>
  <c r="W1016" i="2"/>
  <c r="S1017" i="2"/>
  <c r="W1017" i="2"/>
  <c r="S1018" i="2"/>
  <c r="W1018" i="2"/>
  <c r="S1019" i="2"/>
  <c r="W1019" i="2"/>
  <c r="S1020" i="2"/>
  <c r="W1020" i="2"/>
  <c r="S1021" i="2"/>
  <c r="W1021" i="2"/>
  <c r="S1022" i="2"/>
  <c r="W1022" i="2"/>
  <c r="S1023" i="2"/>
  <c r="W1023" i="2"/>
  <c r="S1024" i="2"/>
  <c r="W1024" i="2"/>
  <c r="S1025" i="2"/>
  <c r="W1025" i="2"/>
  <c r="S1026" i="2"/>
  <c r="W1026" i="2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V1045" i="2"/>
  <c r="G1002" i="2"/>
  <c r="C1004" i="2"/>
  <c r="C1005" i="2" s="1"/>
  <c r="C1006" i="2" s="1"/>
  <c r="G1003" i="2"/>
  <c r="K1003" i="2"/>
  <c r="G1004" i="2"/>
  <c r="K1004" i="2" s="1"/>
  <c r="I1045" i="2"/>
  <c r="G1005" i="2"/>
  <c r="K1005" i="2" s="1"/>
  <c r="G1006" i="2"/>
  <c r="K1006" i="2"/>
  <c r="G1007" i="2"/>
  <c r="K1007" i="2" s="1"/>
  <c r="G1008" i="2"/>
  <c r="K1008" i="2"/>
  <c r="G1009" i="2"/>
  <c r="K1009" i="2" s="1"/>
  <c r="G1010" i="2"/>
  <c r="K1010" i="2"/>
  <c r="G1011" i="2"/>
  <c r="K1011" i="2" s="1"/>
  <c r="G1012" i="2"/>
  <c r="K1012" i="2" s="1"/>
  <c r="G1013" i="2"/>
  <c r="K1013" i="2"/>
  <c r="G1014" i="2"/>
  <c r="K1014" i="2" s="1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/>
  <c r="G1021" i="2"/>
  <c r="K1021" i="2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D1045" i="2"/>
  <c r="E1045" i="2"/>
  <c r="F1045" i="2"/>
  <c r="J1045" i="2"/>
  <c r="S1005" i="2" l="1"/>
  <c r="W1005" i="2" s="1"/>
  <c r="W1003" i="2"/>
  <c r="G1045" i="2"/>
  <c r="K1002" i="2"/>
  <c r="K1045" i="2" s="1"/>
  <c r="AB956" i="2"/>
  <c r="AG955" i="2"/>
  <c r="AB955" i="2"/>
  <c r="AG954" i="2"/>
  <c r="AB954" i="2"/>
  <c r="AB953" i="2"/>
  <c r="AE953" i="2" s="1"/>
  <c r="AI953" i="2" s="1"/>
  <c r="AB952" i="2"/>
  <c r="AE952" i="2" s="1"/>
  <c r="AI952" i="2" s="1"/>
  <c r="AG951" i="2"/>
  <c r="AB951" i="2"/>
  <c r="AE951" i="2" s="1"/>
  <c r="AG950" i="2"/>
  <c r="AB950" i="2"/>
  <c r="AB949" i="2"/>
  <c r="AB948" i="2"/>
  <c r="AB947" i="2"/>
  <c r="AA952" i="2"/>
  <c r="AA953" i="2" s="1"/>
  <c r="AA954" i="2" s="1"/>
  <c r="AA955" i="2" s="1"/>
  <c r="AA956" i="2" s="1"/>
  <c r="AE947" i="2"/>
  <c r="AI947" i="2"/>
  <c r="AA948" i="2"/>
  <c r="AA949" i="2" s="1"/>
  <c r="AA950" i="2" s="1"/>
  <c r="AA951" i="2" s="1"/>
  <c r="AE948" i="2"/>
  <c r="AE949" i="2"/>
  <c r="AI949" i="2" s="1"/>
  <c r="AE954" i="2"/>
  <c r="AI954" i="2"/>
  <c r="AE955" i="2"/>
  <c r="AI955" i="2" s="1"/>
  <c r="AE956" i="2"/>
  <c r="AI956" i="2"/>
  <c r="AE957" i="2"/>
  <c r="AI957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V952" i="2"/>
  <c r="U952" i="2"/>
  <c r="P952" i="2"/>
  <c r="S952" i="2" s="1"/>
  <c r="U951" i="2"/>
  <c r="P951" i="2"/>
  <c r="S951" i="2" s="1"/>
  <c r="P950" i="2"/>
  <c r="P949" i="2"/>
  <c r="P948" i="2"/>
  <c r="S948" i="2" s="1"/>
  <c r="W948" i="2" s="1"/>
  <c r="P947" i="2"/>
  <c r="S947" i="2"/>
  <c r="W947" i="2" s="1"/>
  <c r="O948" i="2"/>
  <c r="O949" i="2"/>
  <c r="O950" i="2" s="1"/>
  <c r="O951" i="2" s="1"/>
  <c r="O952" i="2" s="1"/>
  <c r="S949" i="2"/>
  <c r="W949" i="2" s="1"/>
  <c r="S950" i="2"/>
  <c r="W950" i="2" s="1"/>
  <c r="S953" i="2"/>
  <c r="W953" i="2" s="1"/>
  <c r="S954" i="2"/>
  <c r="W954" i="2" s="1"/>
  <c r="S955" i="2"/>
  <c r="W955" i="2" s="1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/>
  <c r="W986" i="2"/>
  <c r="S987" i="2"/>
  <c r="W987" i="2"/>
  <c r="W988" i="2"/>
  <c r="Q990" i="2"/>
  <c r="R990" i="2"/>
  <c r="V990" i="2"/>
  <c r="D957" i="2"/>
  <c r="G957" i="2" s="1"/>
  <c r="K957" i="2" s="1"/>
  <c r="D956" i="2"/>
  <c r="G956" i="2" s="1"/>
  <c r="K956" i="2" s="1"/>
  <c r="I955" i="2"/>
  <c r="D955" i="2"/>
  <c r="G955" i="2" s="1"/>
  <c r="K955" i="2" s="1"/>
  <c r="D954" i="2"/>
  <c r="D953" i="2"/>
  <c r="D952" i="2"/>
  <c r="G952" i="2" s="1"/>
  <c r="K952" i="2" s="1"/>
  <c r="D951" i="2"/>
  <c r="G951" i="2" s="1"/>
  <c r="K951" i="2" s="1"/>
  <c r="I950" i="2"/>
  <c r="D950" i="2"/>
  <c r="I949" i="2"/>
  <c r="D949" i="2"/>
  <c r="G949" i="2" s="1"/>
  <c r="D948" i="2"/>
  <c r="G948" i="2"/>
  <c r="K948" i="2" s="1"/>
  <c r="D947" i="2"/>
  <c r="G947" i="2" s="1"/>
  <c r="K947" i="2" s="1"/>
  <c r="C954" i="2"/>
  <c r="C955" i="2" s="1"/>
  <c r="C956" i="2" s="1"/>
  <c r="C957" i="2" s="1"/>
  <c r="C948" i="2"/>
  <c r="C949" i="2"/>
  <c r="C950" i="2" s="1"/>
  <c r="C951" i="2" s="1"/>
  <c r="C952" i="2" s="1"/>
  <c r="C953" i="2" s="1"/>
  <c r="G950" i="2"/>
  <c r="J990" i="2"/>
  <c r="G953" i="2"/>
  <c r="K953" i="2" s="1"/>
  <c r="G954" i="2"/>
  <c r="K954" i="2"/>
  <c r="G958" i="2"/>
  <c r="K958" i="2"/>
  <c r="G959" i="2"/>
  <c r="K959" i="2"/>
  <c r="G960" i="2"/>
  <c r="K960" i="2" s="1"/>
  <c r="G961" i="2"/>
  <c r="K961" i="2" s="1"/>
  <c r="G962" i="2"/>
  <c r="K962" i="2"/>
  <c r="G963" i="2"/>
  <c r="K963" i="2"/>
  <c r="G964" i="2"/>
  <c r="K964" i="2" s="1"/>
  <c r="G965" i="2"/>
  <c r="K965" i="2"/>
  <c r="G966" i="2"/>
  <c r="K966" i="2"/>
  <c r="G967" i="2"/>
  <c r="K967" i="2"/>
  <c r="G968" i="2"/>
  <c r="K968" i="2" s="1"/>
  <c r="G969" i="2"/>
  <c r="K969" i="2" s="1"/>
  <c r="G970" i="2"/>
  <c r="K970" i="2"/>
  <c r="G971" i="2"/>
  <c r="K971" i="2"/>
  <c r="G972" i="2"/>
  <c r="K972" i="2" s="1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 s="1"/>
  <c r="G987" i="2"/>
  <c r="K987" i="2"/>
  <c r="E990" i="2"/>
  <c r="F990" i="2"/>
  <c r="W1045" i="2" l="1"/>
  <c r="S1045" i="2"/>
  <c r="AG990" i="2"/>
  <c r="AI951" i="2"/>
  <c r="AB990" i="2"/>
  <c r="AE950" i="2"/>
  <c r="AI950" i="2" s="1"/>
  <c r="AI948" i="2"/>
  <c r="U990" i="2"/>
  <c r="W952" i="2"/>
  <c r="W990" i="2" s="1"/>
  <c r="W951" i="2"/>
  <c r="P990" i="2"/>
  <c r="S990" i="2"/>
  <c r="K950" i="2"/>
  <c r="K990" i="2" s="1"/>
  <c r="I990" i="2"/>
  <c r="K949" i="2"/>
  <c r="D990" i="2"/>
  <c r="G990" i="2"/>
  <c r="AB896" i="2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I990" i="2" l="1"/>
  <c r="AE990" i="2"/>
  <c r="AB935" i="2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AKT JOY
DAPAON, SINDANGAN</t>
        </r>
      </text>
    </comment>
    <comment ref="C947" authorId="0" shapeId="0" xr:uid="{6BDD9BF1-E36A-4E50-8388-BF75EEFFF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947" authorId="0" shapeId="0" xr:uid="{5314551C-D47C-44AD-9930-C4D02B463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OYLANE STORE
DELOSOM, BACUNGAN</t>
        </r>
      </text>
    </comment>
    <comment ref="AA947" authorId="0" shapeId="0" xr:uid="{4EEC59AD-CB32-4859-BFA6-2B505585E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POB, SALUG</t>
        </r>
      </text>
    </comment>
    <comment ref="C948" authorId="0" shapeId="0" xr:uid="{FD79D3CC-26AC-4235-A372-FAD03997E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948" authorId="0" shapeId="0" xr:uid="{78EBA31E-FE11-4B0D-8331-B0DB085A6E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POB, BACUNGAN</t>
        </r>
      </text>
    </comment>
    <comment ref="AA948" authorId="0" shapeId="0" xr:uid="{4B1184EC-5353-4995-B1A5-38B2EF0B7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CAYACAP, TERESITA
POB, SALUG</t>
        </r>
      </text>
    </comment>
    <comment ref="C949" authorId="0" shapeId="0" xr:uid="{26EF4BC3-71CA-4DC7-BC51-11F5C66AF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9" authorId="0" shapeId="0" xr:uid="{6BAFFE2B-6919-491F-AAC7-FDB2A2C659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949" authorId="0" shapeId="0" xr:uid="{003D19BA-06DA-459E-8D0D-3D216FA9A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950" authorId="0" shapeId="0" xr:uid="{76508145-684D-42F6-BEF0-61DAD3A62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950" authorId="0" shapeId="0" xr:uid="{C1C9A8A9-1A9E-46FA-910A-B4052568D6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CHERRY STORE
GUSAO, BACUNGAN</t>
        </r>
      </text>
    </comment>
    <comment ref="AA950" authorId="0" shapeId="0" xr:uid="{89168F80-0867-422E-98E6-1B2DD45A8B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ALBERT
BAYBAY, LILOY</t>
        </r>
      </text>
    </comment>
    <comment ref="C951" authorId="0" shapeId="0" xr:uid="{CBB1C2A6-804E-428C-92DC-8228AF76F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51" authorId="0" shapeId="0" xr:uid="{AA41A830-2B75-4A45-913A-D599EC7FC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951" authorId="0" shapeId="0" xr:uid="{625EC9E3-0187-42B2-983C-A618F435B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52" authorId="0" shapeId="0" xr:uid="{3DEF72A2-54F1-48F6-84FE-1FD281B36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952" authorId="0" shapeId="0" xr:uid="{D3555E4A-5C54-4FA6-B676-8B0A286C7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952" authorId="0" shapeId="0" xr:uid="{D6E5AD90-1164-4362-9110-315667235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ANALIZA
BAYBAY, LILOY</t>
        </r>
      </text>
    </comment>
    <comment ref="C953" authorId="0" shapeId="0" xr:uid="{3F770D94-01BC-43FA-B54C-B89230564C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953" authorId="0" shapeId="0" xr:uid="{027DF27A-4393-43E6-8369-C680237E4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954" authorId="0" shapeId="0" xr:uid="{F4D202AC-489A-47C7-8707-2D770A73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KRYSTAL DAWN STORE
POB, SINDANGAN</t>
        </r>
      </text>
    </comment>
    <comment ref="AA954" authorId="0" shapeId="0" xr:uid="{04B7A178-8533-4691-9AD6-0A082EE19A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5" authorId="0" shapeId="0" xr:uid="{1E76CE08-7FEF-4844-B3F8-AB43C710F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AA955" authorId="0" shapeId="0" xr:uid="{71902B57-7F06-42E7-94A0-8461E058FA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56" authorId="0" shapeId="0" xr:uid="{DB99E416-D984-46DB-AE35-E28AFB87F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AA956" authorId="0" shapeId="0" xr:uid="{431D74DA-AEA2-49D3-B3E3-B4912361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TIMAGOS, EATERY
BAYBAY, LILOY</t>
        </r>
      </text>
    </comment>
    <comment ref="C957" authorId="0" shapeId="0" xr:uid="{947DE67C-05E5-499E-95E4-69645CDA5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02" authorId="0" shapeId="0" xr:uid="{0612BB8B-A9D6-4595-B291-9EBCE55A63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8A17DC8-49B9-465C-91C0-1C1D680434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DINGGONG
INUMAN, SINDANGAN</t>
        </r>
      </text>
    </comment>
    <comment ref="AA1002" authorId="0" shapeId="0" xr:uid="{C370B9BA-15C3-4F4B-B88A-9A468A419A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003" authorId="0" shapeId="0" xr:uid="{0D2FFE39-D2EA-405A-B736-890A85186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3" authorId="0" shapeId="0" xr:uid="{E5394F56-C732-465A-9137-38A4E32C0C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003" authorId="0" shapeId="0" xr:uid="{DEC00184-0894-4F49-AD6F-144A1541A8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004" authorId="0" shapeId="0" xr:uid="{DB91E12A-5BD2-4109-B373-E7AE876C47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4" authorId="0" shapeId="0" xr:uid="{06DB0EE1-7A4D-424D-99B6-BD9C8C12E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1004" authorId="0" shapeId="0" xr:uid="{469504AF-5280-4187-BB89-6E2E7DC70B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005" authorId="0" shapeId="0" xr:uid="{7BA25567-4F84-4264-8B90-3E0BCC7A5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NEILVIN</t>
        </r>
      </text>
    </comment>
    <comment ref="O1005" authorId="0" shapeId="0" xr:uid="{E05AFE22-C5A2-4EE1-BE91-F1B2835B29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1006" authorId="0" shapeId="0" xr:uid="{F25BCBE6-5A1D-4932-9CB6-D095D0A14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006" authorId="0" shapeId="0" xr:uid="{AF0EDAC3-B32F-41AA-AC6D-1ACA92470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007" authorId="0" shapeId="0" xr:uid="{0D6E655B-CFBC-49F6-A568-33AB789608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
DAPAON, SINDANGAN</t>
        </r>
      </text>
    </comment>
    <comment ref="O1008" authorId="0" shapeId="0" xr:uid="{DEAED444-FA64-404D-9686-0E50C48EE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</commentList>
</comments>
</file>

<file path=xl/sharedStrings.xml><?xml version="1.0" encoding="utf-8"?>
<sst xmlns="http://schemas.openxmlformats.org/spreadsheetml/2006/main" count="1363" uniqueCount="90">
  <si>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</si>
  <si>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</si>
  <si>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</si>
  <si>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</si>
  <si>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</si>
  <si>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</si>
  <si>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</si>
  <si>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</si>
  <si>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</si>
  <si>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</si>
  <si>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</si>
  <si>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</si>
  <si>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</si>
  <si>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</si>
  <si>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</si>
  <si>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</si>
  <si>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</si>
  <si>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</si>
  <si>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</si>
  <si>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</si>
  <si>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</si>
  <si>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</si>
  <si>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</si>
  <si>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</si>
  <si>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</si>
  <si>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</si>
  <si>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</si>
  <si>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</si>
  <si>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</si>
  <si>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</si>
  <si>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</si>
  <si>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</si>
  <si>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</si>
  <si>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</si>
  <si>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</si>
  <si>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</si>
  <si>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</si>
  <si>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</si>
  <si>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</si>
  <si>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</si>
  <si>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</si>
  <si>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</si>
  <si>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</si>
  <si>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</si>
  <si>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</si>
  <si>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</si>
  <si>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</si>
  <si>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</si>
  <si>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</si>
  <si>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</si>
  <si>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</si>
  <si>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</si>
  <si>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</si>
  <si>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</si>
  <si>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</si>
  <si>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</si>
  <si>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</si>
  <si>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</si>
  <si>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</si>
  <si>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</si>
  <si>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</si>
  <si>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</si>
  <si>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</si>
  <si>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</si>
  <si>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</si>
  <si>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</si>
  <si>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</si>
  <si>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</si>
  <si>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</si>
  <si>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</si>
  <si>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</si>
  <si>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</si>
  <si>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</si>
  <si>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</si>
  <si>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</si>
  <si>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</si>
  <si>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</si>
  <si>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</si>
  <si>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</si>
  <si>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</si>
  <si>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</si>
  <si>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</si>
  <si>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</si>
  <si>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</si>
  <si>
    <t>DECEMBER 20, 2025</t>
  </si>
  <si>
    <t>12/20/2025</t>
  </si>
  <si>
    <t>7989-7999/8032-8037/7891-7900</t>
  </si>
  <si>
    <t>DECEMBER 22, 2025</t>
  </si>
  <si>
    <t>12/22/2025</t>
  </si>
  <si>
    <t>8000,8051-8054/8038-8045/7774-7776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</si>
</sst>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32" sqref="C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38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 t="s">
        <v>86</v>
      </c>
      <c r="D29" s="16">
        <f t="shared" ref="D29:D36" si="4">J29</f>
        <v>1221189</v>
      </c>
      <c r="F29" s="14">
        <v>451062.5</v>
      </c>
      <c r="G29" s="14">
        <v>295332.5</v>
      </c>
      <c r="H29" s="14">
        <v>474794</v>
      </c>
      <c r="I29" s="14"/>
      <c r="J29" s="17">
        <f t="shared" si="1"/>
        <v>1221189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89</v>
      </c>
      <c r="D31" s="16">
        <f t="shared" si="4"/>
        <v>1120444</v>
      </c>
      <c r="E31" s="14"/>
      <c r="F31" s="14">
        <v>565954</v>
      </c>
      <c r="G31" s="14">
        <v>347571</v>
      </c>
      <c r="H31" s="14">
        <v>206919</v>
      </c>
      <c r="I31" s="14"/>
      <c r="J31" s="17">
        <f t="shared" si="1"/>
        <v>1120444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17130472</v>
      </c>
      <c r="J42" s="49">
        <f>SUM(J10:J41)</f>
        <v>17130472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F996" zoomScale="115" zoomScaleNormal="115" workbookViewId="0">
      <selection activeCell="P1004" sqref="P1004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17</v>
      </c>
      <c r="E10" s="124"/>
      <c r="F10" s="77"/>
      <c r="G10" s="27"/>
      <c r="I10" s="122" t="s">
        <v>18</v>
      </c>
      <c r="J10" s="123"/>
      <c r="K10" s="120" t="s">
        <v>19</v>
      </c>
      <c r="N10" s="25"/>
      <c r="O10" s="26"/>
      <c r="P10" s="124" t="s">
        <v>17</v>
      </c>
      <c r="Q10" s="124"/>
      <c r="R10" s="77"/>
      <c r="S10" s="27"/>
      <c r="U10" s="122" t="s">
        <v>18</v>
      </c>
      <c r="V10" s="123"/>
      <c r="W10" s="120" t="s">
        <v>19</v>
      </c>
      <c r="Z10" s="25"/>
      <c r="AA10" s="26"/>
      <c r="AB10" s="124" t="s">
        <v>17</v>
      </c>
      <c r="AC10" s="124"/>
      <c r="AD10" s="77"/>
      <c r="AE10" s="27"/>
      <c r="AG10" s="122" t="s">
        <v>18</v>
      </c>
      <c r="AH10" s="123"/>
      <c r="AI10" s="12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4" t="s">
        <v>17</v>
      </c>
      <c r="E65" s="124"/>
      <c r="F65" s="95"/>
      <c r="G65" s="27"/>
      <c r="I65" s="122" t="s">
        <v>18</v>
      </c>
      <c r="J65" s="123"/>
      <c r="K65" s="120" t="s">
        <v>19</v>
      </c>
      <c r="N65" s="25"/>
      <c r="O65" s="26"/>
      <c r="P65" s="124" t="s">
        <v>17</v>
      </c>
      <c r="Q65" s="124"/>
      <c r="R65" s="95"/>
      <c r="S65" s="27"/>
      <c r="U65" s="122" t="s">
        <v>18</v>
      </c>
      <c r="V65" s="123"/>
      <c r="W65" s="120" t="s">
        <v>19</v>
      </c>
      <c r="Z65" s="25"/>
      <c r="AA65" s="26"/>
      <c r="AB65" s="124" t="s">
        <v>17</v>
      </c>
      <c r="AC65" s="124"/>
      <c r="AD65" s="95"/>
      <c r="AE65" s="27"/>
      <c r="AG65" s="122" t="s">
        <v>18</v>
      </c>
      <c r="AH65" s="123"/>
      <c r="AI65" s="12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9"/>
      <c r="AO67" s="119"/>
      <c r="AP67" s="87"/>
      <c r="AQ67" s="62"/>
      <c r="AR67" s="119"/>
      <c r="AS67" s="119"/>
      <c r="AT67" s="11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17</v>
      </c>
      <c r="E120" s="124"/>
      <c r="F120" s="96"/>
      <c r="G120" s="27"/>
      <c r="I120" s="122" t="s">
        <v>18</v>
      </c>
      <c r="J120" s="123"/>
      <c r="K120" s="120" t="s">
        <v>19</v>
      </c>
      <c r="N120" s="25"/>
      <c r="O120" s="26"/>
      <c r="P120" s="124" t="s">
        <v>17</v>
      </c>
      <c r="Q120" s="124"/>
      <c r="R120" s="96"/>
      <c r="S120" s="27"/>
      <c r="U120" s="122" t="s">
        <v>18</v>
      </c>
      <c r="V120" s="123"/>
      <c r="W120" s="120" t="s">
        <v>19</v>
      </c>
      <c r="Z120" s="25"/>
      <c r="AA120" s="26"/>
      <c r="AB120" s="124" t="s">
        <v>17</v>
      </c>
      <c r="AC120" s="124"/>
      <c r="AD120" s="96"/>
      <c r="AE120" s="27"/>
      <c r="AG120" s="122" t="s">
        <v>18</v>
      </c>
      <c r="AH120" s="123"/>
      <c r="AI120" s="12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9"/>
      <c r="E175" s="119"/>
      <c r="F175" s="93"/>
      <c r="G175" s="93"/>
      <c r="H175" s="62"/>
      <c r="I175" s="119"/>
      <c r="J175" s="119"/>
      <c r="K175" s="118"/>
      <c r="N175" s="25"/>
      <c r="O175" s="26"/>
      <c r="P175" s="124" t="s">
        <v>17</v>
      </c>
      <c r="Q175" s="124"/>
      <c r="R175" s="97"/>
      <c r="S175" s="27"/>
      <c r="U175" s="122" t="s">
        <v>18</v>
      </c>
      <c r="V175" s="123"/>
      <c r="W175" s="120" t="s">
        <v>19</v>
      </c>
      <c r="Z175" s="25"/>
      <c r="AA175" s="26"/>
      <c r="AB175" s="124" t="s">
        <v>17</v>
      </c>
      <c r="AC175" s="124"/>
      <c r="AD175" s="97"/>
      <c r="AE175" s="27"/>
      <c r="AG175" s="122" t="s">
        <v>18</v>
      </c>
      <c r="AH175" s="123"/>
      <c r="AI175" s="12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1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9"/>
      <c r="AO181" s="119"/>
      <c r="AP181" s="87"/>
      <c r="AQ181" s="62"/>
      <c r="AR181" s="119"/>
      <c r="AS181" s="119"/>
      <c r="AT181" s="11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4" t="s">
        <v>17</v>
      </c>
      <c r="E230" s="124"/>
      <c r="F230" s="98"/>
      <c r="G230" s="27"/>
      <c r="I230" s="122" t="s">
        <v>18</v>
      </c>
      <c r="J230" s="123"/>
      <c r="K230" s="120" t="s">
        <v>19</v>
      </c>
      <c r="N230" s="25"/>
      <c r="O230" s="26"/>
      <c r="P230" s="124" t="s">
        <v>17</v>
      </c>
      <c r="Q230" s="124"/>
      <c r="R230" s="98"/>
      <c r="S230" s="27"/>
      <c r="U230" s="122" t="s">
        <v>18</v>
      </c>
      <c r="V230" s="123"/>
      <c r="W230" s="120" t="s">
        <v>19</v>
      </c>
      <c r="Z230" s="25"/>
      <c r="AA230" s="26"/>
      <c r="AB230" s="124" t="s">
        <v>17</v>
      </c>
      <c r="AC230" s="124"/>
      <c r="AD230" s="98"/>
      <c r="AE230" s="27"/>
      <c r="AG230" s="122" t="s">
        <v>18</v>
      </c>
      <c r="AH230" s="123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1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4" t="s">
        <v>17</v>
      </c>
      <c r="E285" s="124"/>
      <c r="F285" s="99"/>
      <c r="G285" s="27"/>
      <c r="I285" s="122" t="s">
        <v>18</v>
      </c>
      <c r="J285" s="123"/>
      <c r="K285" s="120" t="s">
        <v>19</v>
      </c>
      <c r="N285" s="25"/>
      <c r="O285" s="26"/>
      <c r="P285" s="124" t="s">
        <v>17</v>
      </c>
      <c r="Q285" s="124"/>
      <c r="R285" s="99"/>
      <c r="S285" s="27"/>
      <c r="U285" s="122" t="s">
        <v>18</v>
      </c>
      <c r="V285" s="123"/>
      <c r="W285" s="120" t="s">
        <v>19</v>
      </c>
      <c r="Z285" s="25"/>
      <c r="AA285" s="26"/>
      <c r="AB285" s="124" t="s">
        <v>17</v>
      </c>
      <c r="AC285" s="124"/>
      <c r="AD285" s="99"/>
      <c r="AE285" s="27"/>
      <c r="AG285" s="122" t="s">
        <v>18</v>
      </c>
      <c r="AH285" s="123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4" t="s">
        <v>17</v>
      </c>
      <c r="E340" s="124"/>
      <c r="F340" s="100"/>
      <c r="G340" s="27"/>
      <c r="I340" s="122" t="s">
        <v>18</v>
      </c>
      <c r="J340" s="123"/>
      <c r="K340" s="120" t="s">
        <v>19</v>
      </c>
      <c r="N340" s="25"/>
      <c r="O340" s="26"/>
      <c r="P340" s="124" t="s">
        <v>17</v>
      </c>
      <c r="Q340" s="124"/>
      <c r="R340" s="100"/>
      <c r="S340" s="27"/>
      <c r="U340" s="122" t="s">
        <v>18</v>
      </c>
      <c r="V340" s="123"/>
      <c r="W340" s="120" t="s">
        <v>19</v>
      </c>
      <c r="Z340" s="25"/>
      <c r="AA340" s="26"/>
      <c r="AB340" s="124" t="s">
        <v>17</v>
      </c>
      <c r="AC340" s="124"/>
      <c r="AD340" s="100"/>
      <c r="AE340" s="27"/>
      <c r="AG340" s="122" t="s">
        <v>18</v>
      </c>
      <c r="AH340" s="123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4" t="s">
        <v>17</v>
      </c>
      <c r="E395" s="124"/>
      <c r="F395" s="101"/>
      <c r="G395" s="27"/>
      <c r="I395" s="122" t="s">
        <v>18</v>
      </c>
      <c r="J395" s="123"/>
      <c r="K395" s="120" t="s">
        <v>19</v>
      </c>
      <c r="N395" s="25"/>
      <c r="O395" s="26"/>
      <c r="P395" s="124" t="s">
        <v>17</v>
      </c>
      <c r="Q395" s="124"/>
      <c r="R395" s="101"/>
      <c r="S395" s="27"/>
      <c r="U395" s="122" t="s">
        <v>18</v>
      </c>
      <c r="V395" s="123"/>
      <c r="W395" s="120" t="s">
        <v>19</v>
      </c>
      <c r="Z395" s="25"/>
      <c r="AA395" s="26"/>
      <c r="AB395" s="124" t="s">
        <v>17</v>
      </c>
      <c r="AC395" s="124"/>
      <c r="AD395" s="101"/>
      <c r="AE395" s="27"/>
      <c r="AG395" s="122" t="s">
        <v>18</v>
      </c>
      <c r="AH395" s="123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1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1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9"/>
      <c r="E450" s="119"/>
      <c r="F450" s="93"/>
      <c r="G450" s="93"/>
      <c r="H450" s="62"/>
      <c r="I450" s="119"/>
      <c r="J450" s="119"/>
      <c r="K450" s="118"/>
      <c r="N450" s="25"/>
      <c r="O450" s="26"/>
      <c r="P450" s="124" t="s">
        <v>17</v>
      </c>
      <c r="Q450" s="124"/>
      <c r="R450" s="102"/>
      <c r="S450" s="27"/>
      <c r="U450" s="122" t="s">
        <v>18</v>
      </c>
      <c r="V450" s="123"/>
      <c r="W450" s="120" t="s">
        <v>19</v>
      </c>
      <c r="Z450" s="25"/>
      <c r="AA450" s="26"/>
      <c r="AB450" s="124" t="s">
        <v>17</v>
      </c>
      <c r="AC450" s="124"/>
      <c r="AD450" s="102"/>
      <c r="AE450" s="27"/>
      <c r="AG450" s="122" t="s">
        <v>18</v>
      </c>
      <c r="AH450" s="123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1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4" t="s">
        <v>17</v>
      </c>
      <c r="E505" s="124"/>
      <c r="F505" s="103"/>
      <c r="G505" s="27"/>
      <c r="I505" s="122" t="s">
        <v>18</v>
      </c>
      <c r="J505" s="123"/>
      <c r="K505" s="120" t="s">
        <v>19</v>
      </c>
      <c r="N505" s="25"/>
      <c r="O505" s="26"/>
      <c r="P505" s="124" t="s">
        <v>17</v>
      </c>
      <c r="Q505" s="124"/>
      <c r="R505" s="103"/>
      <c r="S505" s="27"/>
      <c r="U505" s="122" t="s">
        <v>18</v>
      </c>
      <c r="V505" s="123"/>
      <c r="W505" s="120" t="s">
        <v>19</v>
      </c>
      <c r="Z505" s="25"/>
      <c r="AA505" s="26"/>
      <c r="AB505" s="124" t="s">
        <v>17</v>
      </c>
      <c r="AC505" s="124"/>
      <c r="AD505" s="103"/>
      <c r="AE505" s="27"/>
      <c r="AG505" s="122" t="s">
        <v>18</v>
      </c>
      <c r="AH505" s="123"/>
      <c r="AI505" s="12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1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1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4" t="s">
        <v>17</v>
      </c>
      <c r="E560" s="124"/>
      <c r="F560" s="104"/>
      <c r="G560" s="27"/>
      <c r="I560" s="122" t="s">
        <v>18</v>
      </c>
      <c r="J560" s="123"/>
      <c r="K560" s="120" t="s">
        <v>19</v>
      </c>
      <c r="N560" s="25"/>
      <c r="O560" s="26"/>
      <c r="P560" s="124" t="s">
        <v>17</v>
      </c>
      <c r="Q560" s="124"/>
      <c r="R560" s="104"/>
      <c r="S560" s="27"/>
      <c r="U560" s="122" t="s">
        <v>18</v>
      </c>
      <c r="V560" s="123"/>
      <c r="W560" s="120" t="s">
        <v>19</v>
      </c>
      <c r="Z560" s="25"/>
      <c r="AA560" s="26"/>
      <c r="AB560" s="124" t="s">
        <v>17</v>
      </c>
      <c r="AC560" s="124"/>
      <c r="AD560" s="104"/>
      <c r="AE560" s="27"/>
      <c r="AG560" s="122" t="s">
        <v>18</v>
      </c>
      <c r="AH560" s="123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1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4" t="s">
        <v>17</v>
      </c>
      <c r="E615" s="124"/>
      <c r="F615" s="105"/>
      <c r="G615" s="27"/>
      <c r="I615" s="122" t="s">
        <v>18</v>
      </c>
      <c r="J615" s="123"/>
      <c r="K615" s="120" t="s">
        <v>19</v>
      </c>
      <c r="N615" s="25"/>
      <c r="O615" s="26"/>
      <c r="P615" s="124" t="s">
        <v>17</v>
      </c>
      <c r="Q615" s="124"/>
      <c r="R615" s="105"/>
      <c r="S615" s="27"/>
      <c r="U615" s="122" t="s">
        <v>18</v>
      </c>
      <c r="V615" s="123"/>
      <c r="W615" s="120" t="s">
        <v>19</v>
      </c>
      <c r="Z615" s="25"/>
      <c r="AA615" s="26"/>
      <c r="AB615" s="124" t="s">
        <v>17</v>
      </c>
      <c r="AC615" s="124"/>
      <c r="AD615" s="105"/>
      <c r="AE615" s="27"/>
      <c r="AG615" s="122" t="s">
        <v>18</v>
      </c>
      <c r="AH615" s="123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1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1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4" t="s">
        <v>17</v>
      </c>
      <c r="E670" s="124"/>
      <c r="F670" s="106"/>
      <c r="G670" s="27"/>
      <c r="I670" s="122" t="s">
        <v>18</v>
      </c>
      <c r="J670" s="123"/>
      <c r="K670" s="120" t="s">
        <v>19</v>
      </c>
      <c r="N670" s="25"/>
      <c r="O670" s="26"/>
      <c r="P670" s="124" t="s">
        <v>17</v>
      </c>
      <c r="Q670" s="124"/>
      <c r="R670" s="106"/>
      <c r="S670" s="27"/>
      <c r="U670" s="122" t="s">
        <v>18</v>
      </c>
      <c r="V670" s="123"/>
      <c r="W670" s="120" t="s">
        <v>19</v>
      </c>
      <c r="Z670" s="25"/>
      <c r="AA670" s="26"/>
      <c r="AB670" s="124" t="s">
        <v>17</v>
      </c>
      <c r="AC670" s="124"/>
      <c r="AD670" s="106"/>
      <c r="AE670" s="27"/>
      <c r="AG670" s="122" t="s">
        <v>18</v>
      </c>
      <c r="AH670" s="123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4" t="s">
        <v>17</v>
      </c>
      <c r="E725" s="124"/>
      <c r="F725" s="107"/>
      <c r="G725" s="27"/>
      <c r="I725" s="122" t="s">
        <v>18</v>
      </c>
      <c r="J725" s="123"/>
      <c r="K725" s="120" t="s">
        <v>19</v>
      </c>
      <c r="N725" s="25"/>
      <c r="O725" s="26"/>
      <c r="P725" s="124" t="s">
        <v>17</v>
      </c>
      <c r="Q725" s="124"/>
      <c r="R725" s="108"/>
      <c r="S725" s="27"/>
      <c r="U725" s="122" t="s">
        <v>18</v>
      </c>
      <c r="V725" s="123"/>
      <c r="W725" s="120" t="s">
        <v>19</v>
      </c>
      <c r="Z725" s="25"/>
      <c r="AA725" s="26"/>
      <c r="AB725" s="124" t="s">
        <v>17</v>
      </c>
      <c r="AC725" s="124"/>
      <c r="AD725" s="108"/>
      <c r="AE725" s="27"/>
      <c r="AG725" s="122" t="s">
        <v>18</v>
      </c>
      <c r="AH725" s="123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44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75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75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37</v>
      </c>
      <c r="W778" s="24"/>
      <c r="Y778" s="21" t="s">
        <v>75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4" t="s">
        <v>17</v>
      </c>
      <c r="E780" s="124"/>
      <c r="F780" s="109"/>
      <c r="G780" s="27"/>
      <c r="I780" s="122" t="s">
        <v>18</v>
      </c>
      <c r="J780" s="123"/>
      <c r="K780" s="120" t="s">
        <v>19</v>
      </c>
      <c r="N780" s="25"/>
      <c r="O780" s="26"/>
      <c r="P780" s="124" t="s">
        <v>17</v>
      </c>
      <c r="Q780" s="124"/>
      <c r="R780" s="109"/>
      <c r="S780" s="27"/>
      <c r="U780" s="122" t="s">
        <v>18</v>
      </c>
      <c r="V780" s="123"/>
      <c r="W780" s="120" t="s">
        <v>19</v>
      </c>
      <c r="Z780" s="25"/>
      <c r="AA780" s="26"/>
      <c r="AB780" s="124" t="s">
        <v>17</v>
      </c>
      <c r="AC780" s="124"/>
      <c r="AD780" s="109"/>
      <c r="AE780" s="27"/>
      <c r="AG780" s="122" t="s">
        <v>18</v>
      </c>
      <c r="AH780" s="123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1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76</v>
      </c>
      <c r="C782" s="91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76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76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76</v>
      </c>
      <c r="C783" s="91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76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76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76</v>
      </c>
      <c r="C784" s="91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76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76</v>
      </c>
      <c r="C785" s="91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76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76</v>
      </c>
      <c r="C786" s="91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76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76</v>
      </c>
      <c r="C787" s="91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76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76</v>
      </c>
      <c r="C788" s="91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76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76</v>
      </c>
      <c r="C789" s="91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76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76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76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91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78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78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37</v>
      </c>
      <c r="W833" s="24"/>
      <c r="Y833" s="21" t="s">
        <v>78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4" t="s">
        <v>17</v>
      </c>
      <c r="E835" s="124"/>
      <c r="F835" s="110"/>
      <c r="G835" s="27"/>
      <c r="I835" s="122" t="s">
        <v>18</v>
      </c>
      <c r="J835" s="123"/>
      <c r="K835" s="120" t="s">
        <v>19</v>
      </c>
      <c r="N835" s="25"/>
      <c r="O835" s="26"/>
      <c r="P835" s="124" t="s">
        <v>17</v>
      </c>
      <c r="Q835" s="124"/>
      <c r="R835" s="110"/>
      <c r="S835" s="27"/>
      <c r="U835" s="122" t="s">
        <v>18</v>
      </c>
      <c r="V835" s="123"/>
      <c r="W835" s="120" t="s">
        <v>19</v>
      </c>
      <c r="Z835" s="25"/>
      <c r="AA835" s="26"/>
      <c r="AB835" s="124" t="s">
        <v>17</v>
      </c>
      <c r="AC835" s="124"/>
      <c r="AD835" s="110"/>
      <c r="AE835" s="27"/>
      <c r="AG835" s="122" t="s">
        <v>18</v>
      </c>
      <c r="AH835" s="123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1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1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79</v>
      </c>
      <c r="C837" s="91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M837" s="10">
        <v>1</v>
      </c>
      <c r="N837" s="30" t="s">
        <v>79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79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79</v>
      </c>
      <c r="C838" s="91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79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79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79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79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91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79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79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79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79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79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79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9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79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79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79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79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79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79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79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79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79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79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79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79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79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79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79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79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79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91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81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81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37</v>
      </c>
      <c r="W888" s="24"/>
      <c r="Y888" s="21" t="s">
        <v>81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4" t="s">
        <v>17</v>
      </c>
      <c r="E890" s="124"/>
      <c r="F890" s="111"/>
      <c r="G890" s="27"/>
      <c r="I890" s="122" t="s">
        <v>18</v>
      </c>
      <c r="J890" s="123"/>
      <c r="K890" s="120" t="s">
        <v>19</v>
      </c>
      <c r="N890" s="25"/>
      <c r="O890" s="26"/>
      <c r="P890" s="124" t="s">
        <v>17</v>
      </c>
      <c r="Q890" s="124"/>
      <c r="R890" s="111"/>
      <c r="S890" s="27"/>
      <c r="U890" s="122" t="s">
        <v>18</v>
      </c>
      <c r="V890" s="123"/>
      <c r="W890" s="120" t="s">
        <v>19</v>
      </c>
      <c r="Z890" s="25"/>
      <c r="AA890" s="26"/>
      <c r="AB890" s="124" t="s">
        <v>17</v>
      </c>
      <c r="AC890" s="124"/>
      <c r="AD890" s="111"/>
      <c r="AE890" s="27"/>
      <c r="AG890" s="122" t="s">
        <v>18</v>
      </c>
      <c r="AH890" s="123"/>
      <c r="AI890" s="120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1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1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1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82</v>
      </c>
      <c r="C892" s="91">
        <v>7982</v>
      </c>
      <c r="D892" s="32">
        <f>37560+11920</f>
        <v>49480</v>
      </c>
      <c r="E892" s="32"/>
      <c r="F892" s="32"/>
      <c r="G892" s="32">
        <f t="shared" ref="G892:G925" si="261">SUM(D892:E892)</f>
        <v>49480</v>
      </c>
      <c r="H892" s="12"/>
      <c r="I892" s="12">
        <f>8880</f>
        <v>8880</v>
      </c>
      <c r="J892" s="12"/>
      <c r="K892" s="12">
        <f t="shared" ref="K892:K925" si="262">SUM(G892:J892)</f>
        <v>58360</v>
      </c>
      <c r="M892" s="10">
        <v>1</v>
      </c>
      <c r="N892" s="30" t="s">
        <v>82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82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82</v>
      </c>
      <c r="C893" s="91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M893" s="10">
        <v>2</v>
      </c>
      <c r="N893" s="30" t="s">
        <v>82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24" si="263">SUM(P893:Q893)</f>
        <v>1906.5</v>
      </c>
      <c r="T893" s="12"/>
      <c r="U893" s="12"/>
      <c r="V893" s="12"/>
      <c r="W893" s="12">
        <f t="shared" ref="W893:W933" si="264">SUM(S893:V893)</f>
        <v>1906.5</v>
      </c>
      <c r="Y893" s="10">
        <v>2</v>
      </c>
      <c r="Z893" s="30" t="s">
        <v>82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0" si="265">SUM(AB893:AC893)</f>
        <v>85393</v>
      </c>
      <c r="AF893" s="12"/>
      <c r="AG893" s="12"/>
      <c r="AH893" s="12"/>
      <c r="AI893" s="12">
        <f t="shared" ref="AI893:AI924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82</v>
      </c>
      <c r="C894" s="91">
        <f t="shared" ref="C894:C898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M894" s="10">
        <v>3</v>
      </c>
      <c r="N894" s="30" t="s">
        <v>82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82</v>
      </c>
      <c r="AA894" s="31">
        <f t="shared" ref="AA894:AA896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82</v>
      </c>
      <c r="C895" s="91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M895" s="10">
        <v>4</v>
      </c>
      <c r="N895" s="30" t="s">
        <v>82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82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82</v>
      </c>
      <c r="C896" s="91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M896" s="10">
        <v>5</v>
      </c>
      <c r="N896" s="30" t="s">
        <v>82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82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82</v>
      </c>
      <c r="C897" s="91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M897" s="10">
        <v>6</v>
      </c>
      <c r="N897" s="30" t="s">
        <v>82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82</v>
      </c>
      <c r="C898" s="91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M898" s="10">
        <v>7</v>
      </c>
      <c r="N898" s="30" t="s">
        <v>82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82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9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82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9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 t="s">
        <v>82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9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 t="s">
        <v>82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9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 t="s">
        <v>82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 t="s">
        <v>82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 t="s">
        <v>82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 t="s">
        <v>82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 t="s">
        <v>82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 t="s">
        <v>82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 t="s">
        <v>82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 t="s">
        <v>82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9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 t="s">
        <v>82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91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ref="S925:S930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3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F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84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84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37</v>
      </c>
      <c r="W943" s="24"/>
      <c r="Y943" s="21" t="s">
        <v>84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4" t="s">
        <v>17</v>
      </c>
      <c r="E945" s="124"/>
      <c r="F945" s="112"/>
      <c r="G945" s="27"/>
      <c r="I945" s="122" t="s">
        <v>18</v>
      </c>
      <c r="J945" s="123"/>
      <c r="K945" s="120" t="s">
        <v>19</v>
      </c>
      <c r="N945" s="25"/>
      <c r="O945" s="26"/>
      <c r="P945" s="124" t="s">
        <v>17</v>
      </c>
      <c r="Q945" s="124"/>
      <c r="R945" s="112"/>
      <c r="S945" s="27"/>
      <c r="U945" s="122" t="s">
        <v>18</v>
      </c>
      <c r="V945" s="123"/>
      <c r="W945" s="120" t="s">
        <v>19</v>
      </c>
      <c r="Z945" s="25"/>
      <c r="AA945" s="26"/>
      <c r="AB945" s="124" t="s">
        <v>17</v>
      </c>
      <c r="AC945" s="124"/>
      <c r="AD945" s="112"/>
      <c r="AE945" s="27"/>
      <c r="AG945" s="122" t="s">
        <v>18</v>
      </c>
      <c r="AH945" s="123"/>
      <c r="AI945" s="120" t="s">
        <v>19</v>
      </c>
      <c r="AK945" s="62"/>
      <c r="AL945" s="65"/>
      <c r="AM945" s="87"/>
      <c r="AN945" s="119"/>
      <c r="AO945" s="119"/>
      <c r="AP945" s="87"/>
      <c r="AQ945" s="84"/>
      <c r="AR945" s="62"/>
      <c r="AS945" s="119"/>
      <c r="AT945" s="119"/>
      <c r="AU945" s="118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1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1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1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8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85</v>
      </c>
      <c r="C947" s="91">
        <v>7989</v>
      </c>
      <c r="D947" s="32">
        <f>12520+832+190+500</f>
        <v>14042</v>
      </c>
      <c r="E947" s="32"/>
      <c r="F947" s="32"/>
      <c r="G947" s="32">
        <f t="shared" ref="G947:G980" si="277">SUM(D947:E947)</f>
        <v>14042</v>
      </c>
      <c r="H947" s="12"/>
      <c r="I947" s="12">
        <v>270</v>
      </c>
      <c r="J947" s="12"/>
      <c r="K947" s="12">
        <f t="shared" ref="K947:K980" si="278">SUM(G947:J947)</f>
        <v>14312</v>
      </c>
      <c r="M947" s="10">
        <v>1</v>
      </c>
      <c r="N947" s="30" t="s">
        <v>85</v>
      </c>
      <c r="O947" s="31">
        <v>8032</v>
      </c>
      <c r="P947" s="32">
        <f>6260+1228+674</f>
        <v>8162</v>
      </c>
      <c r="Q947" s="32"/>
      <c r="R947" s="32"/>
      <c r="S947" s="32">
        <f>SUM(P947:Q947)</f>
        <v>8162</v>
      </c>
      <c r="T947" s="12"/>
      <c r="U947" s="12"/>
      <c r="V947" s="12"/>
      <c r="W947" s="12">
        <f>SUM(S947:V947)</f>
        <v>8162</v>
      </c>
      <c r="Y947" s="10">
        <v>1</v>
      </c>
      <c r="Z947" s="30" t="s">
        <v>85</v>
      </c>
      <c r="AA947" s="31">
        <v>7891</v>
      </c>
      <c r="AB947" s="32">
        <f>62600+458</f>
        <v>63058</v>
      </c>
      <c r="AC947" s="32">
        <v>-600</v>
      </c>
      <c r="AD947" s="32"/>
      <c r="AE947" s="32">
        <f>SUM(AB947:AC947)</f>
        <v>62458</v>
      </c>
      <c r="AF947" s="12"/>
      <c r="AG947" s="12">
        <v>156</v>
      </c>
      <c r="AH947" s="12"/>
      <c r="AI947" s="12">
        <f>SUM(AE947:AH947)</f>
        <v>62614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85</v>
      </c>
      <c r="C948" s="91">
        <f>C947+1</f>
        <v>7990</v>
      </c>
      <c r="D948" s="32">
        <f>626*13+9.5*13</f>
        <v>8261.5</v>
      </c>
      <c r="E948" s="32"/>
      <c r="F948" s="32"/>
      <c r="G948" s="32">
        <f t="shared" si="277"/>
        <v>8261.5</v>
      </c>
      <c r="H948" s="12"/>
      <c r="I948" s="12"/>
      <c r="J948" s="12"/>
      <c r="K948" s="12">
        <f t="shared" si="278"/>
        <v>8261.5</v>
      </c>
      <c r="M948" s="10">
        <v>2</v>
      </c>
      <c r="N948" s="30" t="s">
        <v>85</v>
      </c>
      <c r="O948" s="31">
        <f>O947+1</f>
        <v>8033</v>
      </c>
      <c r="P948" s="32">
        <f>1878+832+28.5</f>
        <v>2738.5</v>
      </c>
      <c r="Q948" s="32"/>
      <c r="R948" s="32"/>
      <c r="S948" s="32">
        <f t="shared" ref="S948:S979" si="279">SUM(P948:Q948)</f>
        <v>2738.5</v>
      </c>
      <c r="T948" s="12"/>
      <c r="U948" s="12"/>
      <c r="V948" s="12">
        <v>-444</v>
      </c>
      <c r="W948" s="12">
        <f t="shared" ref="W948:W988" si="280">SUM(S948:V948)</f>
        <v>2294.5</v>
      </c>
      <c r="Y948" s="10">
        <v>2</v>
      </c>
      <c r="Z948" s="30" t="s">
        <v>85</v>
      </c>
      <c r="AA948" s="31">
        <f>AA947+1</f>
        <v>7892</v>
      </c>
      <c r="AB948" s="32">
        <f>626*7+229</f>
        <v>4611</v>
      </c>
      <c r="AC948" s="32"/>
      <c r="AD948" s="32"/>
      <c r="AE948" s="32">
        <f t="shared" ref="AE948:AE985" si="281">SUM(AB948:AC948)</f>
        <v>4611</v>
      </c>
      <c r="AF948" s="12"/>
      <c r="AG948" s="12"/>
      <c r="AH948" s="12"/>
      <c r="AI948" s="12">
        <f t="shared" ref="AI948:AI979" si="282">SUM(AE948:AH948)</f>
        <v>4611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85</v>
      </c>
      <c r="C949" s="91">
        <f t="shared" ref="C949:C957" si="283">C948+1</f>
        <v>7991</v>
      </c>
      <c r="D949" s="33">
        <f>626*324+229*13</f>
        <v>205801</v>
      </c>
      <c r="E949" s="33">
        <v>-1944</v>
      </c>
      <c r="F949" s="33"/>
      <c r="G949" s="33">
        <f t="shared" si="277"/>
        <v>203857</v>
      </c>
      <c r="H949" s="34"/>
      <c r="I949" s="34">
        <f>35964+1014</f>
        <v>36978</v>
      </c>
      <c r="J949" s="34"/>
      <c r="K949" s="34">
        <f t="shared" si="278"/>
        <v>240835</v>
      </c>
      <c r="M949" s="10">
        <v>3</v>
      </c>
      <c r="N949" s="30" t="s">
        <v>85</v>
      </c>
      <c r="O949" s="31">
        <f t="shared" ref="O949:O952" si="284">O948+1</f>
        <v>8034</v>
      </c>
      <c r="P949" s="32">
        <f>68860+229</f>
        <v>69089</v>
      </c>
      <c r="Q949" s="32">
        <v>-660</v>
      </c>
      <c r="R949" s="32"/>
      <c r="S949" s="32">
        <f t="shared" si="279"/>
        <v>68429</v>
      </c>
      <c r="T949" s="12"/>
      <c r="U949" s="12">
        <v>837</v>
      </c>
      <c r="V949" s="12"/>
      <c r="W949" s="12">
        <f t="shared" si="280"/>
        <v>69266</v>
      </c>
      <c r="Y949" s="10">
        <v>3</v>
      </c>
      <c r="Z949" s="30" t="s">
        <v>85</v>
      </c>
      <c r="AA949" s="31">
        <f t="shared" ref="AA949:AA956" si="285">AA948+1</f>
        <v>7893</v>
      </c>
      <c r="AB949" s="33">
        <f>31300+5960+1664</f>
        <v>38924</v>
      </c>
      <c r="AC949" s="33"/>
      <c r="AD949" s="32"/>
      <c r="AE949" s="32">
        <f t="shared" si="281"/>
        <v>38924</v>
      </c>
      <c r="AF949" s="12"/>
      <c r="AG949" s="12">
        <v>405</v>
      </c>
      <c r="AH949" s="12"/>
      <c r="AI949" s="12">
        <f t="shared" si="282"/>
        <v>39329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85</v>
      </c>
      <c r="C950" s="91">
        <f t="shared" si="283"/>
        <v>7992</v>
      </c>
      <c r="D950" s="32">
        <f>81380+1300</f>
        <v>82680</v>
      </c>
      <c r="E950" s="32"/>
      <c r="F950" s="32"/>
      <c r="G950" s="32">
        <f t="shared" si="277"/>
        <v>82680</v>
      </c>
      <c r="H950" s="12"/>
      <c r="I950" s="12">
        <f>444+27</f>
        <v>471</v>
      </c>
      <c r="J950" s="12"/>
      <c r="K950" s="12">
        <f t="shared" si="278"/>
        <v>83151</v>
      </c>
      <c r="M950" s="10">
        <v>4</v>
      </c>
      <c r="N950" s="30" t="s">
        <v>85</v>
      </c>
      <c r="O950" s="31">
        <f t="shared" si="284"/>
        <v>8035</v>
      </c>
      <c r="P950" s="32">
        <f>6260+336</f>
        <v>6596</v>
      </c>
      <c r="Q950" s="32"/>
      <c r="R950" s="32"/>
      <c r="S950" s="32">
        <f t="shared" si="279"/>
        <v>6596</v>
      </c>
      <c r="T950" s="12"/>
      <c r="U950" s="12"/>
      <c r="V950" s="12"/>
      <c r="W950" s="12">
        <f t="shared" si="280"/>
        <v>6596</v>
      </c>
      <c r="Y950" s="10">
        <v>4</v>
      </c>
      <c r="Z950" s="30" t="s">
        <v>85</v>
      </c>
      <c r="AA950" s="31">
        <f t="shared" si="285"/>
        <v>7894</v>
      </c>
      <c r="AB950" s="32">
        <f>626*100+614*5+11920+852*3+832*2+229*5+650*5</f>
        <v>86205</v>
      </c>
      <c r="AC950" s="32">
        <v>-780</v>
      </c>
      <c r="AD950" s="32"/>
      <c r="AE950" s="32">
        <f t="shared" si="281"/>
        <v>85425</v>
      </c>
      <c r="AF950" s="12"/>
      <c r="AG950">
        <f>240+144</f>
        <v>384</v>
      </c>
      <c r="AH950" s="12"/>
      <c r="AI950" s="12">
        <f t="shared" si="282"/>
        <v>85809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85</v>
      </c>
      <c r="C951" s="91">
        <f t="shared" si="283"/>
        <v>7993</v>
      </c>
      <c r="D951" s="32">
        <f>45072</f>
        <v>45072</v>
      </c>
      <c r="E951" s="32"/>
      <c r="F951" s="32"/>
      <c r="G951" s="32">
        <f t="shared" si="277"/>
        <v>45072</v>
      </c>
      <c r="H951" s="12"/>
      <c r="I951" s="12"/>
      <c r="J951" s="12"/>
      <c r="K951" s="12">
        <f t="shared" si="278"/>
        <v>45072</v>
      </c>
      <c r="M951" s="10">
        <v>5</v>
      </c>
      <c r="N951" s="30" t="s">
        <v>85</v>
      </c>
      <c r="O951" s="31">
        <f t="shared" si="284"/>
        <v>8036</v>
      </c>
      <c r="P951" s="32">
        <f>68860+1842+5960+852+2496+916</f>
        <v>80926</v>
      </c>
      <c r="Q951" s="32"/>
      <c r="R951" s="32"/>
      <c r="S951" s="32">
        <f t="shared" si="279"/>
        <v>80926</v>
      </c>
      <c r="T951" s="12"/>
      <c r="U951" s="12">
        <f>2886+1566</f>
        <v>4452</v>
      </c>
      <c r="V951" s="12"/>
      <c r="W951" s="12">
        <f t="shared" si="280"/>
        <v>85378</v>
      </c>
      <c r="Y951" s="10">
        <v>5</v>
      </c>
      <c r="Z951" s="30" t="s">
        <v>85</v>
      </c>
      <c r="AA951" s="31">
        <f t="shared" si="285"/>
        <v>7895</v>
      </c>
      <c r="AB951" s="32">
        <f>62600+10050+16640+916</f>
        <v>90206</v>
      </c>
      <c r="AC951" s="32">
        <v>-780</v>
      </c>
      <c r="AD951" s="32"/>
      <c r="AE951" s="32">
        <f t="shared" si="281"/>
        <v>89426</v>
      </c>
      <c r="AF951" s="12"/>
      <c r="AG951" s="12">
        <f>120*19+42</f>
        <v>2322</v>
      </c>
      <c r="AH951" s="12"/>
      <c r="AI951" s="12">
        <f t="shared" si="282"/>
        <v>91748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85</v>
      </c>
      <c r="C952" s="91">
        <f t="shared" si="283"/>
        <v>7994</v>
      </c>
      <c r="D952" s="32">
        <f>7512+114</f>
        <v>7626</v>
      </c>
      <c r="E952" s="32"/>
      <c r="F952" s="32"/>
      <c r="G952" s="32">
        <f t="shared" si="277"/>
        <v>7626</v>
      </c>
      <c r="H952" s="12"/>
      <c r="I952" s="12"/>
      <c r="J952" s="12"/>
      <c r="K952" s="12">
        <f t="shared" si="278"/>
        <v>7626</v>
      </c>
      <c r="M952" s="10">
        <v>6</v>
      </c>
      <c r="N952" s="30" t="s">
        <v>85</v>
      </c>
      <c r="O952" s="31">
        <f t="shared" si="284"/>
        <v>8037</v>
      </c>
      <c r="P952" s="32">
        <f>115810+1175+5960+4260+1832+650</f>
        <v>129687</v>
      </c>
      <c r="Q952" s="32">
        <v>-1206</v>
      </c>
      <c r="R952" s="32"/>
      <c r="S952" s="32">
        <f t="shared" si="279"/>
        <v>128481</v>
      </c>
      <c r="T952" s="12"/>
      <c r="U952" s="12">
        <f>480+6438+546</f>
        <v>7464</v>
      </c>
      <c r="V952" s="10">
        <f>-84+-588+-210</f>
        <v>-882</v>
      </c>
      <c r="W952" s="12">
        <f t="shared" si="280"/>
        <v>135063</v>
      </c>
      <c r="Y952" s="10">
        <v>6</v>
      </c>
      <c r="Z952" s="30" t="s">
        <v>85</v>
      </c>
      <c r="AA952" s="31">
        <f t="shared" si="285"/>
        <v>7896</v>
      </c>
      <c r="AB952" s="32">
        <f>11894+2456+229</f>
        <v>14579</v>
      </c>
      <c r="AC952" s="32"/>
      <c r="AD952" s="32"/>
      <c r="AE952" s="32">
        <f t="shared" si="281"/>
        <v>14579</v>
      </c>
      <c r="AF952" s="12"/>
      <c r="AG952" s="12"/>
      <c r="AH952" s="10"/>
      <c r="AI952" s="12">
        <f t="shared" si="282"/>
        <v>14579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85</v>
      </c>
      <c r="C953" s="91">
        <f t="shared" si="283"/>
        <v>7995</v>
      </c>
      <c r="D953" s="32">
        <f>3756</f>
        <v>3756</v>
      </c>
      <c r="E953" s="32"/>
      <c r="F953" s="32"/>
      <c r="G953" s="32">
        <f t="shared" si="277"/>
        <v>3756</v>
      </c>
      <c r="H953" s="12"/>
      <c r="I953" s="12"/>
      <c r="J953" s="12"/>
      <c r="K953" s="12">
        <f t="shared" si="278"/>
        <v>3756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79"/>
        <v>0</v>
      </c>
      <c r="T953" s="12"/>
      <c r="U953" s="12"/>
      <c r="V953" s="12"/>
      <c r="W953" s="12">
        <f t="shared" si="280"/>
        <v>0</v>
      </c>
      <c r="Y953" s="10">
        <v>7</v>
      </c>
      <c r="Z953" s="30" t="s">
        <v>85</v>
      </c>
      <c r="AA953" s="31">
        <f t="shared" si="285"/>
        <v>7897</v>
      </c>
      <c r="AB953" s="32">
        <f>626*58+614*2+229</f>
        <v>37765</v>
      </c>
      <c r="AC953" s="32"/>
      <c r="AD953" s="32"/>
      <c r="AE953" s="32">
        <f t="shared" si="281"/>
        <v>37765</v>
      </c>
      <c r="AF953" s="12"/>
      <c r="AG953" s="58"/>
      <c r="AH953" s="12"/>
      <c r="AI953" s="12">
        <f t="shared" si="282"/>
        <v>37765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85</v>
      </c>
      <c r="C954" s="91">
        <f t="shared" si="283"/>
        <v>7996</v>
      </c>
      <c r="D954" s="32">
        <f>6260+614+852+832+95</f>
        <v>8653</v>
      </c>
      <c r="E954" s="32"/>
      <c r="F954" s="32"/>
      <c r="G954" s="32">
        <f t="shared" si="277"/>
        <v>8653</v>
      </c>
      <c r="H954" s="12"/>
      <c r="I954" s="12"/>
      <c r="J954" s="12"/>
      <c r="K954" s="12">
        <f t="shared" si="278"/>
        <v>8653</v>
      </c>
      <c r="M954" s="10">
        <v>8</v>
      </c>
      <c r="N954" s="30"/>
      <c r="O954" s="31"/>
      <c r="P954" s="32"/>
      <c r="Q954" s="32"/>
      <c r="R954" s="32"/>
      <c r="S954" s="32">
        <f t="shared" si="279"/>
        <v>0</v>
      </c>
      <c r="T954" s="12"/>
      <c r="U954" s="12"/>
      <c r="V954" s="12"/>
      <c r="W954" s="12">
        <f t="shared" si="280"/>
        <v>0</v>
      </c>
      <c r="Y954" s="10">
        <v>8</v>
      </c>
      <c r="Z954" s="30" t="s">
        <v>85</v>
      </c>
      <c r="AA954" s="31">
        <f t="shared" si="285"/>
        <v>7898</v>
      </c>
      <c r="AB954" s="32">
        <f>35056+11920+458</f>
        <v>47434</v>
      </c>
      <c r="AC954" s="32">
        <v>-456</v>
      </c>
      <c r="AE954" s="32">
        <f t="shared" si="281"/>
        <v>46978</v>
      </c>
      <c r="AF954" s="12"/>
      <c r="AG954" s="12">
        <f>3108+162</f>
        <v>3270</v>
      </c>
      <c r="AH954" s="12"/>
      <c r="AI954" s="12">
        <f t="shared" si="282"/>
        <v>50248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85</v>
      </c>
      <c r="C955" s="91">
        <f t="shared" si="283"/>
        <v>7997</v>
      </c>
      <c r="D955" s="32">
        <f>15650+1826+2980+1005+229+500</f>
        <v>22190</v>
      </c>
      <c r="E955" s="32"/>
      <c r="F955" s="32"/>
      <c r="G955" s="32">
        <f t="shared" si="277"/>
        <v>22190</v>
      </c>
      <c r="H955" s="12"/>
      <c r="I955" s="12">
        <f>1.5*37</f>
        <v>55.5</v>
      </c>
      <c r="J955" s="12"/>
      <c r="K955" s="12">
        <f t="shared" si="278"/>
        <v>22245.5</v>
      </c>
      <c r="M955" s="10">
        <v>9</v>
      </c>
      <c r="N955" s="30"/>
      <c r="O955" s="31"/>
      <c r="P955" s="32"/>
      <c r="Q955" s="32"/>
      <c r="R955" s="32"/>
      <c r="S955" s="32">
        <f t="shared" si="279"/>
        <v>0</v>
      </c>
      <c r="T955" s="12"/>
      <c r="U955" s="12"/>
      <c r="V955" s="12"/>
      <c r="W955" s="12">
        <f t="shared" si="280"/>
        <v>0</v>
      </c>
      <c r="Y955" s="10">
        <v>9</v>
      </c>
      <c r="Z955" s="30" t="s">
        <v>85</v>
      </c>
      <c r="AA955" s="31">
        <f t="shared" si="285"/>
        <v>7899</v>
      </c>
      <c r="AB955">
        <f>67608+25032+1374</f>
        <v>94014</v>
      </c>
      <c r="AC955" s="32"/>
      <c r="AD955" s="32"/>
      <c r="AE955" s="32">
        <f t="shared" si="281"/>
        <v>94014</v>
      </c>
      <c r="AF955" s="12"/>
      <c r="AG955">
        <f>16650+468</f>
        <v>17118</v>
      </c>
      <c r="AH955" s="12"/>
      <c r="AI955" s="12">
        <f t="shared" si="282"/>
        <v>111132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85</v>
      </c>
      <c r="C956" s="91">
        <f t="shared" si="283"/>
        <v>7998</v>
      </c>
      <c r="D956" s="32">
        <f>2739+1005+832</f>
        <v>4576</v>
      </c>
      <c r="E956" s="32"/>
      <c r="F956" s="32"/>
      <c r="G956" s="32">
        <f t="shared" si="277"/>
        <v>4576</v>
      </c>
      <c r="H956" s="12"/>
      <c r="I956" s="12"/>
      <c r="J956" s="12"/>
      <c r="K956" s="12">
        <f t="shared" si="278"/>
        <v>4576</v>
      </c>
      <c r="M956" s="10">
        <v>10</v>
      </c>
      <c r="N956" s="30"/>
      <c r="O956" s="31"/>
      <c r="P956" s="32"/>
      <c r="Q956" s="32"/>
      <c r="R956" s="32"/>
      <c r="S956" s="32">
        <f t="shared" si="279"/>
        <v>0</v>
      </c>
      <c r="T956" s="12"/>
      <c r="U956" s="12"/>
      <c r="V956" s="12"/>
      <c r="W956" s="12">
        <f t="shared" si="280"/>
        <v>0</v>
      </c>
      <c r="Y956" s="10">
        <v>10</v>
      </c>
      <c r="Z956" s="30" t="s">
        <v>85</v>
      </c>
      <c r="AA956" s="31">
        <f t="shared" si="285"/>
        <v>7900</v>
      </c>
      <c r="AB956" s="32">
        <f>614</f>
        <v>614</v>
      </c>
      <c r="AC956" s="32"/>
      <c r="AD956" s="32"/>
      <c r="AE956" s="32">
        <f t="shared" si="281"/>
        <v>614</v>
      </c>
      <c r="AF956" s="12"/>
      <c r="AG956" s="12"/>
      <c r="AH956" s="12"/>
      <c r="AI956" s="12">
        <f t="shared" si="282"/>
        <v>614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85</v>
      </c>
      <c r="C957" s="91">
        <f t="shared" si="283"/>
        <v>7999</v>
      </c>
      <c r="D957" s="32">
        <f>45650+852+3015+832</f>
        <v>50349</v>
      </c>
      <c r="E957" s="32"/>
      <c r="F957" s="32"/>
      <c r="G957" s="32">
        <f t="shared" si="277"/>
        <v>50349</v>
      </c>
      <c r="H957" s="12"/>
      <c r="I957" s="12"/>
      <c r="J957" s="12"/>
      <c r="K957" s="12">
        <f t="shared" si="278"/>
        <v>50349</v>
      </c>
      <c r="M957" s="10">
        <v>11</v>
      </c>
      <c r="N957" s="30"/>
      <c r="O957" s="31"/>
      <c r="P957" s="32"/>
      <c r="Q957" s="32"/>
      <c r="R957" s="32"/>
      <c r="S957" s="32">
        <f t="shared" si="279"/>
        <v>0</v>
      </c>
      <c r="T957" s="12"/>
      <c r="U957" s="12"/>
      <c r="V957" s="12"/>
      <c r="W957" s="12">
        <f t="shared" si="280"/>
        <v>0</v>
      </c>
      <c r="Y957" s="10">
        <v>11</v>
      </c>
      <c r="Z957" s="30"/>
      <c r="AA957" s="11" t="s">
        <v>27</v>
      </c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7"/>
        <v>0</v>
      </c>
      <c r="H958" s="12"/>
      <c r="I958" s="12"/>
      <c r="J958" s="10"/>
      <c r="K958" s="12">
        <f t="shared" si="278"/>
        <v>0</v>
      </c>
      <c r="M958" s="10">
        <v>12</v>
      </c>
      <c r="N958" s="30"/>
      <c r="O958" s="31"/>
      <c r="P958" s="32"/>
      <c r="Q958" s="32"/>
      <c r="R958" s="32"/>
      <c r="S958" s="32">
        <f t="shared" si="279"/>
        <v>0</v>
      </c>
      <c r="T958" s="12"/>
      <c r="U958" s="12"/>
      <c r="V958" s="12"/>
      <c r="W958" s="12">
        <f t="shared" si="280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91"/>
      <c r="D959" s="32"/>
      <c r="E959" s="32"/>
      <c r="F959" s="32"/>
      <c r="G959" s="32">
        <f t="shared" si="277"/>
        <v>0</v>
      </c>
      <c r="H959" s="12"/>
      <c r="I959" s="12"/>
      <c r="J959" s="12"/>
      <c r="K959" s="12">
        <f t="shared" si="278"/>
        <v>0</v>
      </c>
      <c r="M959" s="10">
        <v>13</v>
      </c>
      <c r="N959" s="30"/>
      <c r="O959" s="31"/>
      <c r="P959" s="32"/>
      <c r="Q959" s="32"/>
      <c r="R959" s="32"/>
      <c r="S959" s="32">
        <f t="shared" si="279"/>
        <v>0</v>
      </c>
      <c r="T959" s="12"/>
      <c r="U959" s="12"/>
      <c r="V959" s="12"/>
      <c r="W959" s="12">
        <f t="shared" si="280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91"/>
      <c r="D960" s="32"/>
      <c r="E960" s="32"/>
      <c r="F960" s="32"/>
      <c r="G960" s="32">
        <f t="shared" si="277"/>
        <v>0</v>
      </c>
      <c r="H960" s="12"/>
      <c r="I960" s="12"/>
      <c r="J960" s="12"/>
      <c r="K960" s="12">
        <f t="shared" si="278"/>
        <v>0</v>
      </c>
      <c r="M960" s="10">
        <v>14</v>
      </c>
      <c r="N960" s="30"/>
      <c r="O960" s="31"/>
      <c r="P960" s="32"/>
      <c r="Q960" s="32"/>
      <c r="R960" s="32"/>
      <c r="S960" s="32">
        <f t="shared" si="279"/>
        <v>0</v>
      </c>
      <c r="T960" s="12"/>
      <c r="U960" s="12"/>
      <c r="V960" s="12"/>
      <c r="W960" s="12">
        <f t="shared" si="280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91"/>
      <c r="D961" s="32"/>
      <c r="E961" s="32"/>
      <c r="F961" s="32"/>
      <c r="G961" s="32">
        <f t="shared" si="277"/>
        <v>0</v>
      </c>
      <c r="H961" s="12"/>
      <c r="I961" s="12"/>
      <c r="J961" s="12"/>
      <c r="K961" s="12">
        <f t="shared" si="278"/>
        <v>0</v>
      </c>
      <c r="M961" s="10">
        <v>15</v>
      </c>
      <c r="N961" s="30"/>
      <c r="O961" s="31"/>
      <c r="P961" s="32"/>
      <c r="Q961" s="32"/>
      <c r="R961" s="32"/>
      <c r="S961" s="32">
        <f t="shared" si="279"/>
        <v>0</v>
      </c>
      <c r="T961" s="12"/>
      <c r="U961" s="12"/>
      <c r="V961" s="12"/>
      <c r="W961" s="12">
        <f t="shared" si="280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77"/>
        <v>0</v>
      </c>
      <c r="H962" s="12"/>
      <c r="I962" s="12"/>
      <c r="J962" s="12"/>
      <c r="K962" s="12">
        <f t="shared" si="278"/>
        <v>0</v>
      </c>
      <c r="M962" s="10">
        <v>16</v>
      </c>
      <c r="N962" s="30"/>
      <c r="O962" s="31"/>
      <c r="P962" s="32"/>
      <c r="Q962" s="32"/>
      <c r="R962" s="32"/>
      <c r="S962" s="32">
        <f t="shared" si="279"/>
        <v>0</v>
      </c>
      <c r="T962" s="12"/>
      <c r="U962" s="12"/>
      <c r="V962" s="12"/>
      <c r="W962" s="12">
        <f t="shared" si="280"/>
        <v>0</v>
      </c>
      <c r="Y962" s="10">
        <v>16</v>
      </c>
      <c r="Z962" s="30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77"/>
        <v>0</v>
      </c>
      <c r="H963" s="12"/>
      <c r="I963" s="12"/>
      <c r="J963" s="12"/>
      <c r="K963" s="12">
        <f t="shared" si="278"/>
        <v>0</v>
      </c>
      <c r="M963" s="10">
        <v>17</v>
      </c>
      <c r="N963" s="30"/>
      <c r="O963" s="31"/>
      <c r="P963" s="35"/>
      <c r="Q963" s="32"/>
      <c r="R963" s="32"/>
      <c r="S963" s="32">
        <f t="shared" si="279"/>
        <v>0</v>
      </c>
      <c r="T963" s="12"/>
      <c r="U963" s="12"/>
      <c r="V963" s="12"/>
      <c r="W963" s="12">
        <f t="shared" si="280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77"/>
        <v>0</v>
      </c>
      <c r="H964" s="12"/>
      <c r="I964" s="12"/>
      <c r="J964" s="12"/>
      <c r="K964" s="12">
        <f t="shared" si="278"/>
        <v>0</v>
      </c>
      <c r="M964" s="10">
        <v>18</v>
      </c>
      <c r="N964" s="30"/>
      <c r="O964" s="31"/>
      <c r="P964" s="32"/>
      <c r="Q964" s="32"/>
      <c r="R964" s="32"/>
      <c r="S964" s="32">
        <f t="shared" si="279"/>
        <v>0</v>
      </c>
      <c r="T964" s="12"/>
      <c r="U964" s="12"/>
      <c r="V964" s="12"/>
      <c r="W964" s="12">
        <f t="shared" si="280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77"/>
        <v>0</v>
      </c>
      <c r="H965" s="12"/>
      <c r="I965" s="12"/>
      <c r="J965" s="12"/>
      <c r="K965" s="12">
        <f t="shared" si="278"/>
        <v>0</v>
      </c>
      <c r="M965" s="10">
        <v>19</v>
      </c>
      <c r="N965" s="30"/>
      <c r="O965" s="31"/>
      <c r="P965" s="32"/>
      <c r="Q965" s="32"/>
      <c r="R965" s="32"/>
      <c r="S965" s="32">
        <f t="shared" si="279"/>
        <v>0</v>
      </c>
      <c r="T965" s="12"/>
      <c r="U965" s="12"/>
      <c r="V965" s="12"/>
      <c r="W965" s="12">
        <f t="shared" si="280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77"/>
        <v>0</v>
      </c>
      <c r="H966" s="12"/>
      <c r="I966" s="12"/>
      <c r="J966" s="12"/>
      <c r="K966" s="12">
        <f t="shared" si="278"/>
        <v>0</v>
      </c>
      <c r="M966" s="10">
        <v>20</v>
      </c>
      <c r="N966" s="30"/>
      <c r="O966" s="31"/>
      <c r="P966" s="32"/>
      <c r="Q966" s="32"/>
      <c r="R966" s="32"/>
      <c r="S966" s="32">
        <f t="shared" si="279"/>
        <v>0</v>
      </c>
      <c r="T966" s="12"/>
      <c r="U966" s="12"/>
      <c r="V966" s="12"/>
      <c r="W966" s="12">
        <f t="shared" si="280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77"/>
        <v>0</v>
      </c>
      <c r="H967" s="10"/>
      <c r="I967" s="10"/>
      <c r="J967" s="10"/>
      <c r="K967" s="12">
        <f t="shared" si="278"/>
        <v>0</v>
      </c>
      <c r="M967" s="10">
        <v>21</v>
      </c>
      <c r="N967" s="30"/>
      <c r="P967" s="46"/>
      <c r="Q967" s="31"/>
      <c r="R967" s="31"/>
      <c r="S967" s="32">
        <f t="shared" si="279"/>
        <v>0</v>
      </c>
      <c r="T967" s="10"/>
      <c r="U967" s="10"/>
      <c r="V967" s="10"/>
      <c r="W967" s="12">
        <f t="shared" si="280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77"/>
        <v>0</v>
      </c>
      <c r="H968" s="10"/>
      <c r="I968" s="10"/>
      <c r="J968" s="10"/>
      <c r="K968" s="12">
        <f t="shared" si="278"/>
        <v>0</v>
      </c>
      <c r="M968" s="10">
        <v>22</v>
      </c>
      <c r="N968" s="30"/>
      <c r="O968" s="31"/>
      <c r="P968" s="45"/>
      <c r="Q968" s="31"/>
      <c r="R968" s="31"/>
      <c r="S968" s="32">
        <f t="shared" si="279"/>
        <v>0</v>
      </c>
      <c r="T968" s="10"/>
      <c r="U968" s="10"/>
      <c r="V968" s="10"/>
      <c r="W968" s="12">
        <f t="shared" si="280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91"/>
      <c r="D969" s="32"/>
      <c r="E969" s="32"/>
      <c r="F969" s="32"/>
      <c r="G969" s="32">
        <f t="shared" si="277"/>
        <v>0</v>
      </c>
      <c r="H969" s="10"/>
      <c r="I969" s="10"/>
      <c r="J969" s="12"/>
      <c r="K969" s="12">
        <f t="shared" si="278"/>
        <v>0</v>
      </c>
      <c r="M969" s="10">
        <v>23</v>
      </c>
      <c r="N969" s="30"/>
      <c r="O969" s="31"/>
      <c r="P969" s="47"/>
      <c r="S969" s="32">
        <f t="shared" si="279"/>
        <v>0</v>
      </c>
      <c r="T969" s="10"/>
      <c r="U969" s="10"/>
      <c r="V969" s="10"/>
      <c r="W969" s="12">
        <f t="shared" si="280"/>
        <v>0</v>
      </c>
      <c r="Y969" s="10">
        <v>23</v>
      </c>
      <c r="Z969" s="30"/>
      <c r="AA969" s="31"/>
      <c r="AB969" s="47"/>
      <c r="AE969" s="32">
        <f t="shared" si="281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57"/>
      <c r="D970" s="32"/>
      <c r="E970" s="32"/>
      <c r="F970" s="32"/>
      <c r="G970" s="32">
        <f t="shared" si="277"/>
        <v>0</v>
      </c>
      <c r="H970" s="10"/>
      <c r="I970" s="10"/>
      <c r="J970" s="10"/>
      <c r="K970" s="12">
        <f t="shared" si="278"/>
        <v>0</v>
      </c>
      <c r="M970" s="10">
        <v>24</v>
      </c>
      <c r="N970" s="30"/>
      <c r="O970" s="31"/>
      <c r="P970" s="47"/>
      <c r="Q970" s="31"/>
      <c r="R970" s="31"/>
      <c r="S970" s="32">
        <f t="shared" si="279"/>
        <v>0</v>
      </c>
      <c r="T970" s="10"/>
      <c r="U970" s="10"/>
      <c r="V970" s="10"/>
      <c r="W970" s="12">
        <f t="shared" si="280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7"/>
        <v>0</v>
      </c>
      <c r="H971" s="10"/>
      <c r="I971" s="10"/>
      <c r="J971" s="10"/>
      <c r="K971" s="12">
        <f t="shared" si="278"/>
        <v>0</v>
      </c>
      <c r="M971" s="10">
        <v>25</v>
      </c>
      <c r="N971" s="30"/>
      <c r="P971" s="47"/>
      <c r="Q971" s="31"/>
      <c r="R971" s="31"/>
      <c r="S971" s="32">
        <f t="shared" si="279"/>
        <v>0</v>
      </c>
      <c r="T971" s="10"/>
      <c r="U971" s="10"/>
      <c r="V971" s="10"/>
      <c r="W971" s="12">
        <f t="shared" si="280"/>
        <v>0</v>
      </c>
      <c r="Y971" s="10">
        <v>25</v>
      </c>
      <c r="Z971" s="30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11"/>
      <c r="D972" s="32"/>
      <c r="E972" s="32"/>
      <c r="F972" s="32"/>
      <c r="G972" s="32">
        <f t="shared" si="277"/>
        <v>0</v>
      </c>
      <c r="H972" s="10"/>
      <c r="I972" s="10"/>
      <c r="J972" s="10"/>
      <c r="K972" s="12">
        <f t="shared" si="278"/>
        <v>0</v>
      </c>
      <c r="M972" s="10">
        <v>26</v>
      </c>
      <c r="N972" s="30"/>
      <c r="P972" s="47"/>
      <c r="Q972" s="31"/>
      <c r="R972" s="31"/>
      <c r="S972" s="32">
        <f t="shared" si="279"/>
        <v>0</v>
      </c>
      <c r="T972" s="10"/>
      <c r="U972" s="10"/>
      <c r="V972" s="10"/>
      <c r="W972" s="12">
        <f t="shared" si="280"/>
        <v>0</v>
      </c>
      <c r="Y972" s="10">
        <v>26</v>
      </c>
      <c r="Z972" s="30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57"/>
      <c r="D973" s="32"/>
      <c r="E973" s="32"/>
      <c r="F973" s="32"/>
      <c r="G973" s="32">
        <f t="shared" si="277"/>
        <v>0</v>
      </c>
      <c r="H973" s="10"/>
      <c r="I973" s="10"/>
      <c r="J973" s="10"/>
      <c r="K973" s="12">
        <f t="shared" si="278"/>
        <v>0</v>
      </c>
      <c r="M973" s="10">
        <v>27</v>
      </c>
      <c r="N973" s="30"/>
      <c r="O973" s="31"/>
      <c r="P973" s="47"/>
      <c r="Q973" s="31"/>
      <c r="R973" s="31"/>
      <c r="S973" s="32">
        <f t="shared" si="279"/>
        <v>0</v>
      </c>
      <c r="T973" s="10"/>
      <c r="U973" s="10"/>
      <c r="V973" s="10"/>
      <c r="W973" s="12">
        <f t="shared" si="280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7"/>
        <v>0</v>
      </c>
      <c r="H974" s="10"/>
      <c r="I974" s="10"/>
      <c r="J974" s="10"/>
      <c r="K974" s="12">
        <f t="shared" si="278"/>
        <v>0</v>
      </c>
      <c r="M974" s="10">
        <v>28</v>
      </c>
      <c r="N974" s="30"/>
      <c r="O974" s="31"/>
      <c r="P974" s="47"/>
      <c r="Q974" s="31"/>
      <c r="R974" s="31"/>
      <c r="S974" s="32">
        <f t="shared" si="279"/>
        <v>0</v>
      </c>
      <c r="T974" s="10"/>
      <c r="U974" s="10"/>
      <c r="V974" s="10"/>
      <c r="W974" s="12">
        <f t="shared" si="280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7"/>
        <v>0</v>
      </c>
      <c r="H975" s="10"/>
      <c r="I975" s="10"/>
      <c r="J975" s="10"/>
      <c r="K975" s="12">
        <f t="shared" si="278"/>
        <v>0</v>
      </c>
      <c r="M975" s="10">
        <v>29</v>
      </c>
      <c r="N975" s="30"/>
      <c r="P975" s="47"/>
      <c r="Q975" s="31"/>
      <c r="R975" s="31"/>
      <c r="S975" s="32">
        <f t="shared" si="279"/>
        <v>0</v>
      </c>
      <c r="T975" s="10"/>
      <c r="U975" s="10"/>
      <c r="V975" s="10"/>
      <c r="W975" s="12">
        <f t="shared" si="280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7"/>
        <v>0</v>
      </c>
      <c r="H976" s="10"/>
      <c r="I976" s="10"/>
      <c r="J976" s="10"/>
      <c r="K976" s="12">
        <f t="shared" si="278"/>
        <v>0</v>
      </c>
      <c r="M976" s="10">
        <v>30</v>
      </c>
      <c r="N976" s="30"/>
      <c r="P976" s="47"/>
      <c r="Q976" s="31"/>
      <c r="R976" s="31"/>
      <c r="S976" s="32">
        <f t="shared" si="279"/>
        <v>0</v>
      </c>
      <c r="T976" s="10"/>
      <c r="U976" s="10"/>
      <c r="V976" s="10"/>
      <c r="W976" s="12">
        <f t="shared" si="280"/>
        <v>0</v>
      </c>
      <c r="Y976" s="10">
        <v>30</v>
      </c>
      <c r="Z976" s="30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57"/>
      <c r="D977" s="32"/>
      <c r="E977" s="32"/>
      <c r="F977" s="32"/>
      <c r="G977" s="32">
        <f t="shared" si="277"/>
        <v>0</v>
      </c>
      <c r="H977" s="10"/>
      <c r="I977" s="10"/>
      <c r="J977" s="10"/>
      <c r="K977" s="12">
        <f t="shared" si="278"/>
        <v>0</v>
      </c>
      <c r="M977" s="10">
        <v>31</v>
      </c>
      <c r="N977" s="30"/>
      <c r="O977" s="31"/>
      <c r="P977" s="47"/>
      <c r="Q977" s="31"/>
      <c r="R977" s="31"/>
      <c r="S977" s="32">
        <f t="shared" si="279"/>
        <v>0</v>
      </c>
      <c r="T977" s="10"/>
      <c r="U977" s="10"/>
      <c r="V977" s="10"/>
      <c r="W977" s="12">
        <f t="shared" si="280"/>
        <v>0</v>
      </c>
      <c r="Y977" s="10">
        <v>31</v>
      </c>
      <c r="Z977" s="30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31"/>
      <c r="D978" s="32"/>
      <c r="E978" s="32"/>
      <c r="F978" s="32"/>
      <c r="G978" s="32">
        <f t="shared" si="277"/>
        <v>0</v>
      </c>
      <c r="H978" s="10"/>
      <c r="I978" s="10"/>
      <c r="J978" s="10"/>
      <c r="K978" s="12">
        <f t="shared" si="278"/>
        <v>0</v>
      </c>
      <c r="M978" s="10">
        <v>32</v>
      </c>
      <c r="N978" s="30"/>
      <c r="P978" s="47"/>
      <c r="Q978" s="31"/>
      <c r="R978" s="31"/>
      <c r="S978" s="32">
        <f t="shared" si="279"/>
        <v>0</v>
      </c>
      <c r="T978" s="10"/>
      <c r="U978" s="10"/>
      <c r="V978" s="10"/>
      <c r="W978" s="12">
        <f t="shared" si="280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57"/>
      <c r="D979" s="32"/>
      <c r="E979" s="32"/>
      <c r="F979" s="32"/>
      <c r="G979" s="32">
        <f t="shared" si="277"/>
        <v>0</v>
      </c>
      <c r="H979" s="10"/>
      <c r="I979" s="10"/>
      <c r="J979" s="10"/>
      <c r="K979" s="12">
        <f t="shared" si="278"/>
        <v>0</v>
      </c>
      <c r="M979" s="10">
        <v>33</v>
      </c>
      <c r="N979" s="30"/>
      <c r="O979" s="31"/>
      <c r="P979" s="47"/>
      <c r="Q979" s="31"/>
      <c r="R979" s="31"/>
      <c r="S979" s="32">
        <f t="shared" si="279"/>
        <v>0</v>
      </c>
      <c r="T979" s="10"/>
      <c r="U979" s="10"/>
      <c r="V979" s="10"/>
      <c r="W979" s="12">
        <f t="shared" si="280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57"/>
      <c r="D980" s="32"/>
      <c r="E980" s="32"/>
      <c r="F980" s="32"/>
      <c r="G980" s="32">
        <f t="shared" si="277"/>
        <v>0</v>
      </c>
      <c r="H980" s="10"/>
      <c r="I980" s="10"/>
      <c r="J980" s="10"/>
      <c r="K980" s="12">
        <f t="shared" si="278"/>
        <v>0</v>
      </c>
      <c r="M980" s="10">
        <v>34</v>
      </c>
      <c r="N980" s="30"/>
      <c r="O980" s="31"/>
      <c r="P980" s="47"/>
      <c r="Q980" s="31"/>
      <c r="R980" s="31"/>
      <c r="S980" s="32">
        <f t="shared" ref="S980:S985" si="286">SUM(P980:Q980)</f>
        <v>0</v>
      </c>
      <c r="T980" s="10"/>
      <c r="U980" s="10"/>
      <c r="V980" s="10"/>
      <c r="W980" s="12">
        <f t="shared" si="280"/>
        <v>0</v>
      </c>
      <c r="Y980" s="10">
        <v>34</v>
      </c>
      <c r="Z980" s="30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86"/>
        <v>0</v>
      </c>
      <c r="T981" s="10"/>
      <c r="U981" s="10"/>
      <c r="V981" s="10"/>
      <c r="W981" s="12">
        <f t="shared" si="280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86"/>
        <v>0</v>
      </c>
      <c r="T982" s="10"/>
      <c r="U982" s="10"/>
      <c r="V982" s="10"/>
      <c r="W982" s="12">
        <f t="shared" si="280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86"/>
        <v>0</v>
      </c>
      <c r="T983" s="10"/>
      <c r="U983" s="10"/>
      <c r="V983" s="10"/>
      <c r="W983" s="12">
        <f t="shared" si="280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86"/>
        <v>0</v>
      </c>
      <c r="T984" s="10"/>
      <c r="U984" s="10"/>
      <c r="V984" s="10"/>
      <c r="W984" s="12">
        <f t="shared" si="280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86"/>
        <v>0</v>
      </c>
      <c r="T985" s="10"/>
      <c r="U985" s="10"/>
      <c r="V985" s="10"/>
      <c r="W985" s="12">
        <f t="shared" si="280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80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10"/>
      <c r="N987" s="30"/>
      <c r="O987" s="31"/>
      <c r="P987" s="47"/>
      <c r="Q987" s="31"/>
      <c r="R987" s="31"/>
      <c r="S987" s="32">
        <f t="shared" ref="S987" si="290">SUM(P987:Q987)</f>
        <v>0</v>
      </c>
      <c r="T987" s="10"/>
      <c r="U987" s="10"/>
      <c r="V987" s="10"/>
      <c r="W987" s="12">
        <f t="shared" si="280"/>
        <v>0</v>
      </c>
      <c r="Y987" s="10"/>
      <c r="Z987" s="30"/>
      <c r="AA987" s="31"/>
      <c r="AB987" s="47"/>
      <c r="AC987" s="31"/>
      <c r="AD987" s="31"/>
      <c r="AE987" s="32">
        <f t="shared" ref="AE987" si="291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80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453006.5</v>
      </c>
      <c r="E990" s="38">
        <f t="shared" ref="E990:F990" si="292">SUM(E947:E987)</f>
        <v>-1944</v>
      </c>
      <c r="F990" s="38">
        <f t="shared" si="292"/>
        <v>0</v>
      </c>
      <c r="G990" s="38">
        <f>SUM(G947:G989)</f>
        <v>451062.5</v>
      </c>
      <c r="H990" s="4"/>
      <c r="I990" s="39">
        <f>SUM(I947:I989)</f>
        <v>37774.5</v>
      </c>
      <c r="J990" s="39">
        <f>SUM(J947:J989)</f>
        <v>0</v>
      </c>
      <c r="K990" s="40">
        <f>SUM(K947:K989)</f>
        <v>488837</v>
      </c>
      <c r="N990" s="57"/>
      <c r="O990" s="57"/>
      <c r="P990" s="38">
        <f>SUM(P947:P989)</f>
        <v>297198.5</v>
      </c>
      <c r="Q990" s="38">
        <f>SUM(Q947:Q971)</f>
        <v>-1866</v>
      </c>
      <c r="R990" s="38">
        <f>SUM(R947:R971)</f>
        <v>0</v>
      </c>
      <c r="S990" s="38">
        <f>SUM(S947:S989)</f>
        <v>295332.5</v>
      </c>
      <c r="T990" s="4"/>
      <c r="U990" s="41">
        <f>SUM(U947:U989)</f>
        <v>12753</v>
      </c>
      <c r="V990" s="41">
        <f>SUM(V947:V971)</f>
        <v>-1326</v>
      </c>
      <c r="W990" s="42">
        <f>SUM(W947:W989)</f>
        <v>306759.5</v>
      </c>
      <c r="Z990" s="57"/>
      <c r="AA990" s="57"/>
      <c r="AB990" s="38">
        <f>SUM(AB947:AB989)</f>
        <v>477410</v>
      </c>
      <c r="AC990" s="38">
        <f>SUM(AC947:AC971)</f>
        <v>-2616</v>
      </c>
      <c r="AD990" s="38">
        <f>SUM(AD947:AD971)</f>
        <v>0</v>
      </c>
      <c r="AE990" s="38">
        <f>SUM(AE947:AE989)</f>
        <v>474794</v>
      </c>
      <c r="AF990" s="4"/>
      <c r="AG990" s="41">
        <f>SUM(AG947:AG989)</f>
        <v>23655</v>
      </c>
      <c r="AH990" s="41">
        <f>SUM(AH947:AH971)</f>
        <v>0</v>
      </c>
      <c r="AI990" s="42">
        <f>SUM(AI947:AI989)</f>
        <v>498449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34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87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87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37</v>
      </c>
      <c r="W998" s="24"/>
      <c r="Y998" s="21" t="s">
        <v>87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4" t="s">
        <v>17</v>
      </c>
      <c r="E1000" s="124"/>
      <c r="F1000" s="113"/>
      <c r="G1000" s="27"/>
      <c r="I1000" s="122" t="s">
        <v>18</v>
      </c>
      <c r="J1000" s="123"/>
      <c r="K1000" s="120" t="s">
        <v>19</v>
      </c>
      <c r="N1000" s="25"/>
      <c r="O1000" s="26"/>
      <c r="P1000" s="124" t="s">
        <v>17</v>
      </c>
      <c r="Q1000" s="124"/>
      <c r="R1000" s="113"/>
      <c r="S1000" s="27"/>
      <c r="U1000" s="122" t="s">
        <v>18</v>
      </c>
      <c r="V1000" s="123"/>
      <c r="W1000" s="120" t="s">
        <v>19</v>
      </c>
      <c r="Z1000" s="25"/>
      <c r="AA1000" s="26"/>
      <c r="AB1000" s="124" t="s">
        <v>17</v>
      </c>
      <c r="AC1000" s="124"/>
      <c r="AD1000" s="113"/>
      <c r="AE1000" s="27"/>
      <c r="AG1000" s="122" t="s">
        <v>18</v>
      </c>
      <c r="AH1000" s="123"/>
      <c r="AI1000" s="120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1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1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1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88</v>
      </c>
      <c r="C1002" s="91">
        <v>8000</v>
      </c>
      <c r="D1002" s="32">
        <f>20658+614</f>
        <v>21272</v>
      </c>
      <c r="E1002" s="32"/>
      <c r="F1002" s="32"/>
      <c r="G1002" s="32">
        <f t="shared" ref="G1002:G1035" si="293">SUM(D1002:E1002)</f>
        <v>21272</v>
      </c>
      <c r="H1002" s="12"/>
      <c r="I1002" s="12"/>
      <c r="J1002" s="12"/>
      <c r="K1002" s="12">
        <f t="shared" ref="K1002:K1035" si="294">SUM(G1002:J1002)</f>
        <v>21272</v>
      </c>
      <c r="M1002" s="10">
        <v>1</v>
      </c>
      <c r="N1002" s="30" t="s">
        <v>88</v>
      </c>
      <c r="O1002" s="31">
        <v>8038</v>
      </c>
      <c r="P1002" s="32">
        <f>5008+596+832</f>
        <v>6436</v>
      </c>
      <c r="Q1002" s="32"/>
      <c r="R1002" s="32"/>
      <c r="S1002" s="32">
        <f>SUM(P1002:Q1002)</f>
        <v>6436</v>
      </c>
      <c r="T1002" s="12"/>
      <c r="U1002" s="12">
        <f>120+3*111</f>
        <v>453</v>
      </c>
      <c r="V1002" s="12"/>
      <c r="W1002" s="12">
        <f>SUM(S1002:V1002)</f>
        <v>6889</v>
      </c>
      <c r="Y1002" s="10">
        <v>1</v>
      </c>
      <c r="Z1002" s="30" t="s">
        <v>88</v>
      </c>
      <c r="AA1002" s="31">
        <v>7774</v>
      </c>
      <c r="AB1002" s="32">
        <f>56340+5960+687</f>
        <v>62987</v>
      </c>
      <c r="AC1002" s="32"/>
      <c r="AD1002" s="32"/>
      <c r="AE1002" s="32">
        <f>SUM(AB1002:AC1002)</f>
        <v>62987</v>
      </c>
      <c r="AF1002" s="12"/>
      <c r="AG1002" s="12">
        <f>1110+135</f>
        <v>1245</v>
      </c>
      <c r="AH1002" s="12"/>
      <c r="AI1002" s="12">
        <f>SUM(AE1002:AH1002)</f>
        <v>64232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88</v>
      </c>
      <c r="C1003" s="91">
        <v>8051</v>
      </c>
      <c r="D1003" s="32">
        <f>375600+30700+9130+59600+4160+10050+41600+1664+500+2500</f>
        <v>535504</v>
      </c>
      <c r="E1003" s="32"/>
      <c r="F1003" s="32"/>
      <c r="G1003" s="32">
        <f t="shared" si="293"/>
        <v>535504</v>
      </c>
      <c r="H1003" s="12"/>
      <c r="I1003" s="12"/>
      <c r="J1003" s="12"/>
      <c r="K1003" s="12">
        <f t="shared" si="294"/>
        <v>535504</v>
      </c>
      <c r="M1003" s="10">
        <v>2</v>
      </c>
      <c r="N1003" s="30" t="s">
        <v>88</v>
      </c>
      <c r="O1003" s="31">
        <f>O1002+1</f>
        <v>8039</v>
      </c>
      <c r="P1003" s="32">
        <f>626*3+614+9.5*6</f>
        <v>2549</v>
      </c>
      <c r="Q1003" s="32"/>
      <c r="R1003" s="32"/>
      <c r="S1003" s="32">
        <f t="shared" ref="S1003:S1034" si="295">SUM(P1003:Q1003)</f>
        <v>2549</v>
      </c>
      <c r="T1003" s="12"/>
      <c r="U1003" s="12"/>
      <c r="V1003" s="12">
        <f>-333+-336</f>
        <v>-669</v>
      </c>
      <c r="W1003" s="12">
        <f t="shared" ref="W1003:W1043" si="296">SUM(S1003:V1003)</f>
        <v>1880</v>
      </c>
      <c r="Y1003" s="10">
        <v>2</v>
      </c>
      <c r="Z1003" s="30" t="s">
        <v>88</v>
      </c>
      <c r="AA1003" s="31">
        <f>AA1002+1</f>
        <v>7775</v>
      </c>
      <c r="AB1003" s="32">
        <f>65730+596*22+2496+687</f>
        <v>82025</v>
      </c>
      <c r="AC1003" s="32">
        <v>-780</v>
      </c>
      <c r="AD1003" s="32"/>
      <c r="AE1003" s="32">
        <f t="shared" ref="AE1003:AE1040" si="297">SUM(AB1003:AC1003)</f>
        <v>81245</v>
      </c>
      <c r="AF1003" s="12"/>
      <c r="AG1003" s="12"/>
      <c r="AH1003" s="12">
        <v>-390</v>
      </c>
      <c r="AI1003" s="12">
        <f t="shared" ref="AI1003:AI1034" si="298">SUM(AE1003:AH1003)</f>
        <v>80855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88</v>
      </c>
      <c r="C1004" s="91">
        <f t="shared" ref="C1004:C1006" si="299">C1003+1</f>
        <v>8052</v>
      </c>
      <c r="D1004" s="33">
        <f>1447+1582+1300</f>
        <v>4329</v>
      </c>
      <c r="E1004" s="33"/>
      <c r="F1004" s="33"/>
      <c r="G1004" s="33">
        <f t="shared" si="293"/>
        <v>4329</v>
      </c>
      <c r="H1004" s="34"/>
      <c r="I1004" s="34">
        <f>83250+10080</f>
        <v>93330</v>
      </c>
      <c r="J1004" s="34">
        <f>-120+-2664+-111+-5880+-18564+-2016</f>
        <v>-29355</v>
      </c>
      <c r="K1004" s="34">
        <f t="shared" si="294"/>
        <v>68304</v>
      </c>
      <c r="M1004" s="10">
        <v>3</v>
      </c>
      <c r="N1004" s="30" t="s">
        <v>88</v>
      </c>
      <c r="O1004" s="31">
        <f t="shared" ref="O1004:O1006" si="300">O1003+1</f>
        <v>8040</v>
      </c>
      <c r="P1004" s="32">
        <f>125200+29800+4260+5824+2290</f>
        <v>167374</v>
      </c>
      <c r="Q1004" s="32">
        <v>-1572</v>
      </c>
      <c r="R1004" s="32"/>
      <c r="S1004" s="32">
        <f t="shared" si="295"/>
        <v>165802</v>
      </c>
      <c r="T1004" s="12"/>
      <c r="U1004" s="12">
        <f>240+702</f>
        <v>942</v>
      </c>
      <c r="V1004" s="12">
        <f>-168+-168</f>
        <v>-336</v>
      </c>
      <c r="W1004" s="12">
        <f t="shared" si="296"/>
        <v>166408</v>
      </c>
      <c r="Y1004" s="10">
        <v>3</v>
      </c>
      <c r="Z1004" s="30" t="s">
        <v>88</v>
      </c>
      <c r="AA1004" s="31">
        <f t="shared" ref="AA1004" si="301">AA1003+1</f>
        <v>7776</v>
      </c>
      <c r="AB1004" s="33">
        <f>626*100+687</f>
        <v>63287</v>
      </c>
      <c r="AC1004" s="33">
        <v>-600</v>
      </c>
      <c r="AD1004" s="32"/>
      <c r="AE1004" s="32">
        <f t="shared" si="297"/>
        <v>62687</v>
      </c>
      <c r="AF1004" s="12"/>
      <c r="AG1004" s="12"/>
      <c r="AH1004" s="12"/>
      <c r="AI1004" s="12">
        <f t="shared" si="298"/>
        <v>62687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88</v>
      </c>
      <c r="C1005" s="91">
        <f t="shared" si="299"/>
        <v>8053</v>
      </c>
      <c r="D1005" s="32">
        <f>1667+1175+1175</f>
        <v>4017</v>
      </c>
      <c r="E1005" s="32"/>
      <c r="F1005" s="32"/>
      <c r="G1005" s="32">
        <f t="shared" si="293"/>
        <v>4017</v>
      </c>
      <c r="H1005" s="12"/>
      <c r="I1005" s="12"/>
      <c r="J1005" s="12"/>
      <c r="K1005" s="12">
        <f t="shared" si="294"/>
        <v>4017</v>
      </c>
      <c r="M1005" s="10">
        <v>4</v>
      </c>
      <c r="N1005" s="30" t="s">
        <v>88</v>
      </c>
      <c r="O1005" s="31">
        <f t="shared" si="300"/>
        <v>8041</v>
      </c>
      <c r="P1005" s="32">
        <f>20658+229</f>
        <v>20887</v>
      </c>
      <c r="Q1005" s="32"/>
      <c r="R1005" s="32"/>
      <c r="S1005" s="32">
        <f t="shared" si="295"/>
        <v>20887</v>
      </c>
      <c r="T1005" s="12"/>
      <c r="U1005" s="12">
        <v>162</v>
      </c>
      <c r="V1005" s="12"/>
      <c r="W1005" s="12">
        <f t="shared" si="296"/>
        <v>21049</v>
      </c>
      <c r="Y1005" s="10">
        <v>4</v>
      </c>
      <c r="Z1005" s="30"/>
      <c r="AA1005" s="11" t="s">
        <v>27</v>
      </c>
      <c r="AB1005" s="32"/>
      <c r="AC1005" s="32"/>
      <c r="AD1005" s="32"/>
      <c r="AE1005" s="32">
        <f t="shared" si="297"/>
        <v>0</v>
      </c>
      <c r="AF1005" s="12"/>
      <c r="AH1005" s="12"/>
      <c r="AI1005" s="12">
        <f t="shared" si="298"/>
        <v>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88</v>
      </c>
      <c r="C1006" s="91">
        <f t="shared" si="299"/>
        <v>8054</v>
      </c>
      <c r="D1006" s="32">
        <f>832</f>
        <v>832</v>
      </c>
      <c r="E1006" s="32"/>
      <c r="F1006" s="32"/>
      <c r="G1006" s="32">
        <f t="shared" si="293"/>
        <v>832</v>
      </c>
      <c r="H1006" s="12"/>
      <c r="I1006" s="12"/>
      <c r="J1006" s="12"/>
      <c r="K1006" s="12">
        <f t="shared" si="294"/>
        <v>832</v>
      </c>
      <c r="M1006" s="10">
        <v>5</v>
      </c>
      <c r="N1006" s="30" t="s">
        <v>88</v>
      </c>
      <c r="O1006" s="31">
        <f t="shared" si="300"/>
        <v>8042</v>
      </c>
      <c r="P1006" s="32">
        <f>62600+4298+6740+1826+1704+2010+1664+650+1175</f>
        <v>82667</v>
      </c>
      <c r="Q1006" s="32"/>
      <c r="R1006" s="32"/>
      <c r="S1006" s="32">
        <f t="shared" si="295"/>
        <v>82667</v>
      </c>
      <c r="T1006" s="12"/>
      <c r="U1006" s="12">
        <f>888+444+108+270+72</f>
        <v>1782</v>
      </c>
      <c r="V1006" s="12"/>
      <c r="W1006" s="12">
        <f t="shared" si="296"/>
        <v>84449</v>
      </c>
      <c r="Y1006" s="10">
        <v>5</v>
      </c>
      <c r="Z1006" s="30"/>
      <c r="AA1006" s="31"/>
      <c r="AB1006" s="32"/>
      <c r="AC1006" s="32"/>
      <c r="AD1006" s="32"/>
      <c r="AE1006" s="32">
        <f t="shared" si="297"/>
        <v>0</v>
      </c>
      <c r="AF1006" s="12"/>
      <c r="AG1006" s="12"/>
      <c r="AH1006" s="12"/>
      <c r="AI1006" s="12">
        <f t="shared" si="298"/>
        <v>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11" t="s">
        <v>27</v>
      </c>
      <c r="D1007" s="32"/>
      <c r="E1007" s="32"/>
      <c r="F1007" s="32"/>
      <c r="G1007" s="32">
        <f t="shared" si="293"/>
        <v>0</v>
      </c>
      <c r="H1007" s="12"/>
      <c r="I1007" s="12"/>
      <c r="J1007" s="12"/>
      <c r="K1007" s="12">
        <f t="shared" si="294"/>
        <v>0</v>
      </c>
      <c r="M1007" s="10">
        <v>6</v>
      </c>
      <c r="N1007" s="30" t="s">
        <v>88</v>
      </c>
      <c r="O1007" s="31">
        <v>8044</v>
      </c>
      <c r="P1007" s="32">
        <f>626*70+614*4+674*3+596*25+852</f>
        <v>64050</v>
      </c>
      <c r="Q1007" s="32"/>
      <c r="R1007" s="32"/>
      <c r="S1007" s="32">
        <f t="shared" si="295"/>
        <v>64050</v>
      </c>
      <c r="T1007" s="12"/>
      <c r="U1007" s="12">
        <v>405</v>
      </c>
      <c r="V1007" s="10"/>
      <c r="W1007" s="12">
        <f t="shared" si="296"/>
        <v>64455</v>
      </c>
      <c r="Y1007" s="10">
        <v>6</v>
      </c>
      <c r="Z1007" s="30"/>
      <c r="AA1007" s="31"/>
      <c r="AB1007" s="32"/>
      <c r="AC1007" s="32"/>
      <c r="AD1007" s="32"/>
      <c r="AE1007" s="32">
        <f t="shared" si="297"/>
        <v>0</v>
      </c>
      <c r="AF1007" s="12"/>
      <c r="AG1007" s="12"/>
      <c r="AH1007" s="10"/>
      <c r="AI1007" s="12">
        <f t="shared" si="29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91"/>
      <c r="D1008" s="32"/>
      <c r="E1008" s="32"/>
      <c r="F1008" s="32"/>
      <c r="G1008" s="32">
        <f t="shared" si="293"/>
        <v>0</v>
      </c>
      <c r="H1008" s="12"/>
      <c r="I1008" s="12"/>
      <c r="J1008" s="12"/>
      <c r="K1008" s="12">
        <f t="shared" si="294"/>
        <v>0</v>
      </c>
      <c r="M1008" s="10">
        <v>7</v>
      </c>
      <c r="N1008" s="30" t="s">
        <v>88</v>
      </c>
      <c r="O1008" s="31">
        <v>8045</v>
      </c>
      <c r="P1008" s="32">
        <f>6260+95</f>
        <v>6355</v>
      </c>
      <c r="Q1008" s="32"/>
      <c r="R1008" s="32"/>
      <c r="S1008" s="32">
        <f t="shared" si="295"/>
        <v>6355</v>
      </c>
      <c r="T1008" s="12"/>
      <c r="U1008" s="12">
        <v>130.5</v>
      </c>
      <c r="V1008" s="12"/>
      <c r="W1008" s="12">
        <f t="shared" si="296"/>
        <v>6485.5</v>
      </c>
      <c r="Y1008" s="10">
        <v>7</v>
      </c>
      <c r="Z1008" s="30"/>
      <c r="AA1008" s="31"/>
      <c r="AB1008" s="32"/>
      <c r="AC1008" s="32"/>
      <c r="AD1008" s="32"/>
      <c r="AE1008" s="32">
        <f t="shared" si="297"/>
        <v>0</v>
      </c>
      <c r="AF1008" s="12"/>
      <c r="AG1008" s="58"/>
      <c r="AH1008" s="12"/>
      <c r="AI1008" s="12">
        <f t="shared" si="29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91"/>
      <c r="D1009" s="32"/>
      <c r="E1009" s="32"/>
      <c r="F1009" s="32"/>
      <c r="G1009" s="32">
        <f t="shared" si="293"/>
        <v>0</v>
      </c>
      <c r="H1009" s="12"/>
      <c r="I1009" s="12"/>
      <c r="J1009" s="12"/>
      <c r="K1009" s="12">
        <f t="shared" si="294"/>
        <v>0</v>
      </c>
      <c r="M1009" s="10">
        <v>8</v>
      </c>
      <c r="N1009" s="30"/>
      <c r="O1009" s="11" t="s">
        <v>27</v>
      </c>
      <c r="P1009" s="32"/>
      <c r="Q1009" s="32"/>
      <c r="R1009" s="32"/>
      <c r="S1009" s="32">
        <f t="shared" si="295"/>
        <v>0</v>
      </c>
      <c r="T1009" s="12"/>
      <c r="U1009" s="12"/>
      <c r="V1009" s="12"/>
      <c r="W1009" s="12">
        <f t="shared" si="296"/>
        <v>0</v>
      </c>
      <c r="Y1009" s="10">
        <v>8</v>
      </c>
      <c r="Z1009" s="30"/>
      <c r="AA1009" s="31"/>
      <c r="AB1009" s="32"/>
      <c r="AC1009" s="32"/>
      <c r="AE1009" s="32">
        <f t="shared" si="297"/>
        <v>0</v>
      </c>
      <c r="AF1009" s="12"/>
      <c r="AG1009" s="12"/>
      <c r="AH1009" s="12"/>
      <c r="AI1009" s="12">
        <f t="shared" si="29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91"/>
      <c r="D1010" s="32"/>
      <c r="E1010" s="32"/>
      <c r="F1010" s="32"/>
      <c r="G1010" s="32">
        <f t="shared" si="293"/>
        <v>0</v>
      </c>
      <c r="H1010" s="12"/>
      <c r="I1010" s="12"/>
      <c r="J1010" s="12"/>
      <c r="K1010" s="12">
        <f t="shared" si="294"/>
        <v>0</v>
      </c>
      <c r="M1010" s="10">
        <v>9</v>
      </c>
      <c r="N1010" s="30"/>
      <c r="P1010" s="32"/>
      <c r="Q1010" s="32"/>
      <c r="R1010" s="32"/>
      <c r="S1010" s="32">
        <f t="shared" si="295"/>
        <v>0</v>
      </c>
      <c r="T1010" s="12"/>
      <c r="U1010" s="12"/>
      <c r="V1010" s="12"/>
      <c r="W1010" s="12">
        <f t="shared" si="296"/>
        <v>0</v>
      </c>
      <c r="Y1010" s="10">
        <v>9</v>
      </c>
      <c r="Z1010" s="30"/>
      <c r="AA1010" s="31"/>
      <c r="AC1010" s="32"/>
      <c r="AD1010" s="32"/>
      <c r="AE1010" s="32">
        <f t="shared" si="297"/>
        <v>0</v>
      </c>
      <c r="AF1010" s="12"/>
      <c r="AH1010" s="12"/>
      <c r="AI1010" s="12">
        <f t="shared" si="29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91"/>
      <c r="D1011" s="32"/>
      <c r="E1011" s="32"/>
      <c r="F1011" s="32"/>
      <c r="G1011" s="32">
        <f t="shared" si="293"/>
        <v>0</v>
      </c>
      <c r="H1011" s="12"/>
      <c r="I1011" s="12"/>
      <c r="J1011" s="12"/>
      <c r="K1011" s="12">
        <f t="shared" si="294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5"/>
        <v>0</v>
      </c>
      <c r="T1011" s="12"/>
      <c r="U1011" s="12"/>
      <c r="V1011" s="12"/>
      <c r="W1011" s="12">
        <f t="shared" si="296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7"/>
        <v>0</v>
      </c>
      <c r="AF1011" s="12"/>
      <c r="AG1011" s="12"/>
      <c r="AH1011" s="12"/>
      <c r="AI1011" s="12">
        <f t="shared" si="29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91"/>
      <c r="D1012" s="32"/>
      <c r="E1012" s="32"/>
      <c r="F1012" s="32"/>
      <c r="G1012" s="32">
        <f t="shared" si="293"/>
        <v>0</v>
      </c>
      <c r="H1012" s="12"/>
      <c r="I1012" s="12"/>
      <c r="J1012" s="12"/>
      <c r="K1012" s="12">
        <f t="shared" si="294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5"/>
        <v>0</v>
      </c>
      <c r="T1012" s="12"/>
      <c r="U1012" s="12"/>
      <c r="V1012" s="12"/>
      <c r="W1012" s="12">
        <f t="shared" si="296"/>
        <v>0</v>
      </c>
      <c r="Y1012" s="10">
        <v>11</v>
      </c>
      <c r="Z1012" s="30"/>
      <c r="AB1012" s="32"/>
      <c r="AC1012" s="32"/>
      <c r="AD1012" s="32"/>
      <c r="AE1012" s="32">
        <f t="shared" si="297"/>
        <v>0</v>
      </c>
      <c r="AF1012" s="12"/>
      <c r="AG1012" s="12"/>
      <c r="AH1012" s="12"/>
      <c r="AI1012" s="12">
        <f t="shared" si="29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93"/>
        <v>0</v>
      </c>
      <c r="H1013" s="12"/>
      <c r="I1013" s="12"/>
      <c r="J1013" s="10"/>
      <c r="K1013" s="12">
        <f t="shared" si="294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5"/>
        <v>0</v>
      </c>
      <c r="T1013" s="12"/>
      <c r="U1013" s="12"/>
      <c r="V1013" s="12"/>
      <c r="W1013" s="12">
        <f t="shared" si="296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97"/>
        <v>0</v>
      </c>
      <c r="AF1013" s="12"/>
      <c r="AG1013" s="12"/>
      <c r="AH1013" s="12"/>
      <c r="AI1013" s="12">
        <f t="shared" si="29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91"/>
      <c r="D1014" s="32"/>
      <c r="E1014" s="32"/>
      <c r="F1014" s="32"/>
      <c r="G1014" s="32">
        <f t="shared" si="293"/>
        <v>0</v>
      </c>
      <c r="H1014" s="12"/>
      <c r="I1014" s="12"/>
      <c r="J1014" s="12"/>
      <c r="K1014" s="12">
        <f t="shared" si="294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5"/>
        <v>0</v>
      </c>
      <c r="T1014" s="12"/>
      <c r="U1014" s="12"/>
      <c r="V1014" s="12"/>
      <c r="W1014" s="12">
        <f t="shared" si="296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7"/>
        <v>0</v>
      </c>
      <c r="AF1014" s="12"/>
      <c r="AG1014" s="12"/>
      <c r="AH1014" s="12"/>
      <c r="AI1014" s="12">
        <f t="shared" si="29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91"/>
      <c r="D1015" s="32"/>
      <c r="E1015" s="32"/>
      <c r="F1015" s="32"/>
      <c r="G1015" s="32">
        <f t="shared" si="293"/>
        <v>0</v>
      </c>
      <c r="H1015" s="12"/>
      <c r="I1015" s="12"/>
      <c r="J1015" s="12"/>
      <c r="K1015" s="12">
        <f t="shared" si="294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5"/>
        <v>0</v>
      </c>
      <c r="T1015" s="12"/>
      <c r="U1015" s="12"/>
      <c r="V1015" s="12"/>
      <c r="W1015" s="12">
        <f t="shared" si="296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7"/>
        <v>0</v>
      </c>
      <c r="AF1015" s="12"/>
      <c r="AG1015" s="12"/>
      <c r="AH1015" s="12"/>
      <c r="AI1015" s="12">
        <f t="shared" si="29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91"/>
      <c r="D1016" s="32"/>
      <c r="E1016" s="32"/>
      <c r="F1016" s="32"/>
      <c r="G1016" s="32">
        <f t="shared" si="293"/>
        <v>0</v>
      </c>
      <c r="H1016" s="12"/>
      <c r="I1016" s="12"/>
      <c r="J1016" s="12"/>
      <c r="K1016" s="12">
        <f t="shared" si="294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5"/>
        <v>0</v>
      </c>
      <c r="T1016" s="12"/>
      <c r="U1016" s="12"/>
      <c r="V1016" s="12"/>
      <c r="W1016" s="12">
        <f t="shared" si="296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7"/>
        <v>0</v>
      </c>
      <c r="AF1016" s="12"/>
      <c r="AG1016" s="12"/>
      <c r="AH1016" s="12"/>
      <c r="AI1016" s="12">
        <f t="shared" si="29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1"/>
      <c r="D1017" s="32"/>
      <c r="E1017" s="32"/>
      <c r="F1017" s="32"/>
      <c r="G1017" s="32">
        <f t="shared" si="293"/>
        <v>0</v>
      </c>
      <c r="H1017" s="12"/>
      <c r="I1017" s="12"/>
      <c r="J1017" s="12"/>
      <c r="K1017" s="12">
        <f t="shared" si="294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95"/>
        <v>0</v>
      </c>
      <c r="T1017" s="12"/>
      <c r="U1017" s="12"/>
      <c r="V1017" s="12"/>
      <c r="W1017" s="12">
        <f t="shared" si="296"/>
        <v>0</v>
      </c>
      <c r="Y1017" s="10">
        <v>16</v>
      </c>
      <c r="Z1017" s="30"/>
      <c r="AB1017" s="32"/>
      <c r="AC1017" s="32"/>
      <c r="AD1017" s="32"/>
      <c r="AE1017" s="32">
        <f t="shared" si="297"/>
        <v>0</v>
      </c>
      <c r="AF1017" s="12"/>
      <c r="AG1017" s="12"/>
      <c r="AH1017" s="12"/>
      <c r="AI1017" s="12">
        <f t="shared" si="29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1"/>
      <c r="D1018" s="32"/>
      <c r="E1018" s="32"/>
      <c r="F1018" s="32"/>
      <c r="G1018" s="32">
        <f t="shared" si="293"/>
        <v>0</v>
      </c>
      <c r="H1018" s="12"/>
      <c r="I1018" s="12"/>
      <c r="J1018" s="12"/>
      <c r="K1018" s="12">
        <f t="shared" si="294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5"/>
        <v>0</v>
      </c>
      <c r="T1018" s="12"/>
      <c r="U1018" s="12"/>
      <c r="V1018" s="12"/>
      <c r="W1018" s="12">
        <f t="shared" si="296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7"/>
        <v>0</v>
      </c>
      <c r="AF1018" s="12"/>
      <c r="AG1018" s="12"/>
      <c r="AH1018" s="12"/>
      <c r="AI1018" s="12">
        <f t="shared" si="29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1"/>
      <c r="D1019" s="32"/>
      <c r="E1019" s="32"/>
      <c r="F1019" s="32"/>
      <c r="G1019" s="32">
        <f t="shared" si="293"/>
        <v>0</v>
      </c>
      <c r="H1019" s="12"/>
      <c r="I1019" s="12"/>
      <c r="J1019" s="12"/>
      <c r="K1019" s="12">
        <f t="shared" si="294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95"/>
        <v>0</v>
      </c>
      <c r="T1019" s="12"/>
      <c r="U1019" s="12"/>
      <c r="V1019" s="12"/>
      <c r="W1019" s="12">
        <f t="shared" si="296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7"/>
        <v>0</v>
      </c>
      <c r="AF1019" s="12"/>
      <c r="AG1019" s="12"/>
      <c r="AH1019" s="12"/>
      <c r="AI1019" s="12">
        <f t="shared" si="29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1"/>
      <c r="D1020" s="32"/>
      <c r="E1020" s="32"/>
      <c r="F1020" s="32"/>
      <c r="G1020" s="32">
        <f t="shared" si="293"/>
        <v>0</v>
      </c>
      <c r="H1020" s="12"/>
      <c r="I1020" s="12"/>
      <c r="J1020" s="12"/>
      <c r="K1020" s="12">
        <f t="shared" si="294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5"/>
        <v>0</v>
      </c>
      <c r="T1020" s="12"/>
      <c r="U1020" s="12"/>
      <c r="V1020" s="12"/>
      <c r="W1020" s="12">
        <f t="shared" si="296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7"/>
        <v>0</v>
      </c>
      <c r="AF1020" s="12"/>
      <c r="AG1020" s="12"/>
      <c r="AH1020" s="12"/>
      <c r="AI1020" s="12">
        <f t="shared" si="29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1"/>
      <c r="D1021" s="32"/>
      <c r="E1021" s="32"/>
      <c r="F1021" s="32"/>
      <c r="G1021" s="32">
        <f t="shared" si="293"/>
        <v>0</v>
      </c>
      <c r="H1021" s="12"/>
      <c r="I1021" s="12"/>
      <c r="J1021" s="12"/>
      <c r="K1021" s="12">
        <f t="shared" si="294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5"/>
        <v>0</v>
      </c>
      <c r="T1021" s="12"/>
      <c r="U1021" s="12"/>
      <c r="V1021" s="12"/>
      <c r="W1021" s="12">
        <f t="shared" si="296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97"/>
        <v>0</v>
      </c>
      <c r="AF1021" s="12"/>
      <c r="AG1021" s="12"/>
      <c r="AH1021" s="12"/>
      <c r="AI1021" s="12">
        <f t="shared" si="29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57"/>
      <c r="D1022" s="32"/>
      <c r="E1022" s="32"/>
      <c r="F1022" s="32"/>
      <c r="G1022" s="32">
        <f t="shared" si="293"/>
        <v>0</v>
      </c>
      <c r="H1022" s="10"/>
      <c r="I1022" s="10"/>
      <c r="J1022" s="10"/>
      <c r="K1022" s="12">
        <f t="shared" si="294"/>
        <v>0</v>
      </c>
      <c r="M1022" s="10">
        <v>21</v>
      </c>
      <c r="N1022" s="30"/>
      <c r="P1022" s="46"/>
      <c r="Q1022" s="31"/>
      <c r="R1022" s="31"/>
      <c r="S1022" s="32">
        <f t="shared" si="295"/>
        <v>0</v>
      </c>
      <c r="T1022" s="10"/>
      <c r="U1022" s="10"/>
      <c r="V1022" s="10"/>
      <c r="W1022" s="12">
        <f t="shared" si="296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7"/>
        <v>0</v>
      </c>
      <c r="AF1022" s="10"/>
      <c r="AG1022" s="10"/>
      <c r="AH1022" s="10"/>
      <c r="AI1022" s="12">
        <f t="shared" si="29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1"/>
      <c r="D1023" s="32"/>
      <c r="E1023" s="32"/>
      <c r="F1023" s="32"/>
      <c r="G1023" s="32">
        <f t="shared" si="293"/>
        <v>0</v>
      </c>
      <c r="H1023" s="10"/>
      <c r="I1023" s="10"/>
      <c r="J1023" s="10"/>
      <c r="K1023" s="12">
        <f t="shared" si="294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5"/>
        <v>0</v>
      </c>
      <c r="T1023" s="10"/>
      <c r="U1023" s="10"/>
      <c r="V1023" s="10"/>
      <c r="W1023" s="12">
        <f t="shared" si="296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7"/>
        <v>0</v>
      </c>
      <c r="AF1023" s="10"/>
      <c r="AG1023" s="10"/>
      <c r="AH1023" s="10"/>
      <c r="AI1023" s="12">
        <f t="shared" si="29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91"/>
      <c r="D1024" s="32"/>
      <c r="E1024" s="32"/>
      <c r="F1024" s="32"/>
      <c r="G1024" s="32">
        <f t="shared" si="293"/>
        <v>0</v>
      </c>
      <c r="H1024" s="10"/>
      <c r="I1024" s="10"/>
      <c r="J1024" s="12"/>
      <c r="K1024" s="12">
        <f t="shared" si="294"/>
        <v>0</v>
      </c>
      <c r="M1024" s="10">
        <v>23</v>
      </c>
      <c r="N1024" s="30"/>
      <c r="O1024" s="31"/>
      <c r="P1024" s="47"/>
      <c r="S1024" s="32">
        <f t="shared" si="295"/>
        <v>0</v>
      </c>
      <c r="T1024" s="10"/>
      <c r="U1024" s="10"/>
      <c r="V1024" s="10"/>
      <c r="W1024" s="12">
        <f t="shared" si="296"/>
        <v>0</v>
      </c>
      <c r="Y1024" s="10">
        <v>23</v>
      </c>
      <c r="Z1024" s="30"/>
      <c r="AA1024" s="31"/>
      <c r="AB1024" s="47"/>
      <c r="AE1024" s="32">
        <f t="shared" si="297"/>
        <v>0</v>
      </c>
      <c r="AF1024" s="10"/>
      <c r="AG1024" s="10"/>
      <c r="AH1024" s="10"/>
      <c r="AI1024" s="12">
        <f t="shared" si="29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57"/>
      <c r="D1025" s="32"/>
      <c r="E1025" s="32"/>
      <c r="F1025" s="32"/>
      <c r="G1025" s="32">
        <f t="shared" si="293"/>
        <v>0</v>
      </c>
      <c r="H1025" s="10"/>
      <c r="I1025" s="10"/>
      <c r="J1025" s="10"/>
      <c r="K1025" s="12">
        <f t="shared" si="294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5"/>
        <v>0</v>
      </c>
      <c r="T1025" s="10"/>
      <c r="U1025" s="10"/>
      <c r="V1025" s="10"/>
      <c r="W1025" s="12">
        <f t="shared" si="296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7"/>
        <v>0</v>
      </c>
      <c r="AF1025" s="10"/>
      <c r="AG1025" s="10"/>
      <c r="AH1025" s="10"/>
      <c r="AI1025" s="12">
        <f t="shared" si="29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3"/>
        <v>0</v>
      </c>
      <c r="H1026" s="10"/>
      <c r="I1026" s="10"/>
      <c r="J1026" s="10"/>
      <c r="K1026" s="12">
        <f t="shared" si="294"/>
        <v>0</v>
      </c>
      <c r="M1026" s="10">
        <v>25</v>
      </c>
      <c r="N1026" s="30"/>
      <c r="P1026" s="47"/>
      <c r="Q1026" s="31"/>
      <c r="R1026" s="31"/>
      <c r="S1026" s="32">
        <f t="shared" si="295"/>
        <v>0</v>
      </c>
      <c r="T1026" s="10"/>
      <c r="U1026" s="10"/>
      <c r="V1026" s="10"/>
      <c r="W1026" s="12">
        <f t="shared" si="296"/>
        <v>0</v>
      </c>
      <c r="Y1026" s="10">
        <v>25</v>
      </c>
      <c r="Z1026" s="30"/>
      <c r="AB1026" s="47"/>
      <c r="AC1026" s="31"/>
      <c r="AD1026" s="31"/>
      <c r="AE1026" s="32">
        <f t="shared" si="297"/>
        <v>0</v>
      </c>
      <c r="AF1026" s="10"/>
      <c r="AG1026" s="10"/>
      <c r="AH1026" s="10"/>
      <c r="AI1026" s="12">
        <f t="shared" si="29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11"/>
      <c r="D1027" s="32"/>
      <c r="E1027" s="32"/>
      <c r="F1027" s="32"/>
      <c r="G1027" s="32">
        <f t="shared" si="293"/>
        <v>0</v>
      </c>
      <c r="H1027" s="10"/>
      <c r="I1027" s="10"/>
      <c r="J1027" s="10"/>
      <c r="K1027" s="12">
        <f t="shared" si="294"/>
        <v>0</v>
      </c>
      <c r="M1027" s="10">
        <v>26</v>
      </c>
      <c r="N1027" s="30"/>
      <c r="P1027" s="47"/>
      <c r="Q1027" s="31"/>
      <c r="R1027" s="31"/>
      <c r="S1027" s="32">
        <f t="shared" si="295"/>
        <v>0</v>
      </c>
      <c r="T1027" s="10"/>
      <c r="U1027" s="10"/>
      <c r="V1027" s="10"/>
      <c r="W1027" s="12">
        <f t="shared" si="296"/>
        <v>0</v>
      </c>
      <c r="Y1027" s="10">
        <v>26</v>
      </c>
      <c r="Z1027" s="30"/>
      <c r="AB1027" s="47"/>
      <c r="AC1027" s="31"/>
      <c r="AD1027" s="31"/>
      <c r="AE1027" s="32">
        <f t="shared" si="297"/>
        <v>0</v>
      </c>
      <c r="AF1027" s="10"/>
      <c r="AG1027" s="10"/>
      <c r="AH1027" s="10"/>
      <c r="AI1027" s="12">
        <f t="shared" si="29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57"/>
      <c r="D1028" s="32"/>
      <c r="E1028" s="32"/>
      <c r="F1028" s="32"/>
      <c r="G1028" s="32">
        <f t="shared" si="293"/>
        <v>0</v>
      </c>
      <c r="H1028" s="10"/>
      <c r="I1028" s="10"/>
      <c r="J1028" s="10"/>
      <c r="K1028" s="12">
        <f t="shared" si="294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5"/>
        <v>0</v>
      </c>
      <c r="T1028" s="10"/>
      <c r="U1028" s="10"/>
      <c r="V1028" s="10"/>
      <c r="W1028" s="12">
        <f t="shared" si="296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7"/>
        <v>0</v>
      </c>
      <c r="AF1028" s="10"/>
      <c r="AG1028" s="10"/>
      <c r="AH1028" s="10"/>
      <c r="AI1028" s="12">
        <f t="shared" si="29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3"/>
        <v>0</v>
      </c>
      <c r="H1029" s="10"/>
      <c r="I1029" s="10"/>
      <c r="J1029" s="10"/>
      <c r="K1029" s="12">
        <f t="shared" si="294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5"/>
        <v>0</v>
      </c>
      <c r="T1029" s="10"/>
      <c r="U1029" s="10"/>
      <c r="V1029" s="10"/>
      <c r="W1029" s="12">
        <f t="shared" si="296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7"/>
        <v>0</v>
      </c>
      <c r="AF1029" s="10"/>
      <c r="AG1029" s="10"/>
      <c r="AH1029" s="10"/>
      <c r="AI1029" s="12">
        <f t="shared" si="29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3"/>
        <v>0</v>
      </c>
      <c r="H1030" s="10"/>
      <c r="I1030" s="10"/>
      <c r="J1030" s="10"/>
      <c r="K1030" s="12">
        <f t="shared" si="294"/>
        <v>0</v>
      </c>
      <c r="M1030" s="10">
        <v>29</v>
      </c>
      <c r="N1030" s="30"/>
      <c r="P1030" s="47"/>
      <c r="Q1030" s="31"/>
      <c r="R1030" s="31"/>
      <c r="S1030" s="32">
        <f t="shared" si="295"/>
        <v>0</v>
      </c>
      <c r="T1030" s="10"/>
      <c r="U1030" s="10"/>
      <c r="V1030" s="10"/>
      <c r="W1030" s="12">
        <f t="shared" si="296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7"/>
        <v>0</v>
      </c>
      <c r="AF1030" s="10"/>
      <c r="AG1030" s="10"/>
      <c r="AH1030" s="10"/>
      <c r="AI1030" s="12">
        <f t="shared" si="29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93"/>
        <v>0</v>
      </c>
      <c r="H1031" s="10"/>
      <c r="I1031" s="10"/>
      <c r="J1031" s="10"/>
      <c r="K1031" s="12">
        <f t="shared" si="294"/>
        <v>0</v>
      </c>
      <c r="M1031" s="10">
        <v>30</v>
      </c>
      <c r="N1031" s="30"/>
      <c r="P1031" s="47"/>
      <c r="Q1031" s="31"/>
      <c r="R1031" s="31"/>
      <c r="S1031" s="32">
        <f t="shared" si="295"/>
        <v>0</v>
      </c>
      <c r="T1031" s="10"/>
      <c r="U1031" s="10"/>
      <c r="V1031" s="10"/>
      <c r="W1031" s="12">
        <f t="shared" si="296"/>
        <v>0</v>
      </c>
      <c r="Y1031" s="10">
        <v>30</v>
      </c>
      <c r="Z1031" s="30"/>
      <c r="AB1031" s="47"/>
      <c r="AC1031" s="31"/>
      <c r="AD1031" s="31"/>
      <c r="AE1031" s="32">
        <f t="shared" si="297"/>
        <v>0</v>
      </c>
      <c r="AF1031" s="10"/>
      <c r="AG1031" s="10"/>
      <c r="AH1031" s="10"/>
      <c r="AI1031" s="12">
        <f t="shared" si="29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57"/>
      <c r="D1032" s="32"/>
      <c r="E1032" s="32"/>
      <c r="F1032" s="32"/>
      <c r="G1032" s="32">
        <f t="shared" si="293"/>
        <v>0</v>
      </c>
      <c r="H1032" s="10"/>
      <c r="I1032" s="10"/>
      <c r="J1032" s="10"/>
      <c r="K1032" s="12">
        <f t="shared" si="294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5"/>
        <v>0</v>
      </c>
      <c r="T1032" s="10"/>
      <c r="U1032" s="10"/>
      <c r="V1032" s="10"/>
      <c r="W1032" s="12">
        <f t="shared" si="296"/>
        <v>0</v>
      </c>
      <c r="Y1032" s="10">
        <v>31</v>
      </c>
      <c r="Z1032" s="30"/>
      <c r="AB1032" s="47"/>
      <c r="AC1032" s="31"/>
      <c r="AD1032" s="31"/>
      <c r="AE1032" s="32">
        <f t="shared" si="297"/>
        <v>0</v>
      </c>
      <c r="AF1032" s="10"/>
      <c r="AG1032" s="10"/>
      <c r="AH1032" s="10"/>
      <c r="AI1032" s="12">
        <f t="shared" si="29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31"/>
      <c r="D1033" s="32"/>
      <c r="E1033" s="32"/>
      <c r="F1033" s="32"/>
      <c r="G1033" s="32">
        <f t="shared" si="293"/>
        <v>0</v>
      </c>
      <c r="H1033" s="10"/>
      <c r="I1033" s="10"/>
      <c r="J1033" s="10"/>
      <c r="K1033" s="12">
        <f t="shared" si="294"/>
        <v>0</v>
      </c>
      <c r="M1033" s="10">
        <v>32</v>
      </c>
      <c r="N1033" s="30"/>
      <c r="P1033" s="47"/>
      <c r="Q1033" s="31"/>
      <c r="R1033" s="31"/>
      <c r="S1033" s="32">
        <f t="shared" si="295"/>
        <v>0</v>
      </c>
      <c r="T1033" s="10"/>
      <c r="U1033" s="10"/>
      <c r="V1033" s="10"/>
      <c r="W1033" s="12">
        <f t="shared" si="296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7"/>
        <v>0</v>
      </c>
      <c r="AF1033" s="10"/>
      <c r="AG1033" s="10"/>
      <c r="AH1033" s="10"/>
      <c r="AI1033" s="12">
        <f t="shared" si="29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57"/>
      <c r="D1034" s="32"/>
      <c r="E1034" s="32"/>
      <c r="F1034" s="32"/>
      <c r="G1034" s="32">
        <f t="shared" si="293"/>
        <v>0</v>
      </c>
      <c r="H1034" s="10"/>
      <c r="I1034" s="10"/>
      <c r="J1034" s="10"/>
      <c r="K1034" s="12">
        <f t="shared" si="294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5"/>
        <v>0</v>
      </c>
      <c r="T1034" s="10"/>
      <c r="U1034" s="10"/>
      <c r="V1034" s="10"/>
      <c r="W1034" s="12">
        <f t="shared" si="296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7"/>
        <v>0</v>
      </c>
      <c r="AF1034" s="10"/>
      <c r="AG1034" s="10"/>
      <c r="AH1034" s="10"/>
      <c r="AI1034" s="12">
        <f t="shared" si="29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57"/>
      <c r="D1035" s="32"/>
      <c r="E1035" s="32"/>
      <c r="F1035" s="32"/>
      <c r="G1035" s="32">
        <f t="shared" si="293"/>
        <v>0</v>
      </c>
      <c r="H1035" s="10"/>
      <c r="I1035" s="10"/>
      <c r="J1035" s="10"/>
      <c r="K1035" s="12">
        <f t="shared" si="294"/>
        <v>0</v>
      </c>
      <c r="M1035" s="10">
        <v>34</v>
      </c>
      <c r="N1035" s="30"/>
      <c r="O1035" s="31"/>
      <c r="P1035" s="47"/>
      <c r="Q1035" s="31"/>
      <c r="R1035" s="31"/>
      <c r="S1035" s="32">
        <f t="shared" ref="S1035:S1040" si="302">SUM(P1035:Q1035)</f>
        <v>0</v>
      </c>
      <c r="T1035" s="10"/>
      <c r="U1035" s="10"/>
      <c r="V1035" s="10"/>
      <c r="W1035" s="12">
        <f t="shared" si="296"/>
        <v>0</v>
      </c>
      <c r="Y1035" s="10">
        <v>34</v>
      </c>
      <c r="Z1035" s="30"/>
      <c r="AB1035" s="47"/>
      <c r="AC1035" s="31"/>
      <c r="AD1035" s="31"/>
      <c r="AE1035" s="32">
        <f t="shared" si="297"/>
        <v>0</v>
      </c>
      <c r="AF1035" s="10"/>
      <c r="AG1035" s="10"/>
      <c r="AH1035" s="10"/>
      <c r="AI1035" s="12">
        <f t="shared" ref="AI1035:AI1043" si="303">SUM(AE1035:AH1035)</f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302"/>
        <v>0</v>
      </c>
      <c r="T1036" s="10"/>
      <c r="U1036" s="10"/>
      <c r="V1036" s="10"/>
      <c r="W1036" s="12">
        <f t="shared" si="296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7"/>
        <v>0</v>
      </c>
      <c r="AF1036" s="10"/>
      <c r="AG1036" s="10"/>
      <c r="AH1036" s="10"/>
      <c r="AI1036" s="12">
        <f t="shared" si="30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302"/>
        <v>0</v>
      </c>
      <c r="T1037" s="10"/>
      <c r="U1037" s="10"/>
      <c r="V1037" s="10"/>
      <c r="W1037" s="12">
        <f t="shared" si="296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7"/>
        <v>0</v>
      </c>
      <c r="AF1037" s="10"/>
      <c r="AG1037" s="10"/>
      <c r="AH1037" s="10"/>
      <c r="AI1037" s="12">
        <f t="shared" si="30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302"/>
        <v>0</v>
      </c>
      <c r="T1038" s="10"/>
      <c r="U1038" s="10"/>
      <c r="V1038" s="10"/>
      <c r="W1038" s="12">
        <f t="shared" si="296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7"/>
        <v>0</v>
      </c>
      <c r="AF1038" s="10"/>
      <c r="AG1038" s="10"/>
      <c r="AH1038" s="10"/>
      <c r="AI1038" s="12">
        <f t="shared" si="30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302"/>
        <v>0</v>
      </c>
      <c r="T1039" s="10"/>
      <c r="U1039" s="10"/>
      <c r="V1039" s="10"/>
      <c r="W1039" s="12">
        <f t="shared" si="296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7"/>
        <v>0</v>
      </c>
      <c r="AF1039" s="10"/>
      <c r="AG1039" s="10"/>
      <c r="AH1039" s="10"/>
      <c r="AI1039" s="12">
        <f t="shared" si="30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302"/>
        <v>0</v>
      </c>
      <c r="T1040" s="10"/>
      <c r="U1040" s="10"/>
      <c r="V1040" s="10"/>
      <c r="W1040" s="12">
        <f t="shared" si="296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7"/>
        <v>0</v>
      </c>
      <c r="AF1040" s="10"/>
      <c r="AG1040" s="10"/>
      <c r="AH1040" s="10"/>
      <c r="AI1040" s="12">
        <f t="shared" si="30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6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30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4">SUM(D1042:E1042)</f>
        <v>0</v>
      </c>
      <c r="H1042" s="10"/>
      <c r="I1042" s="10"/>
      <c r="J1042" s="10"/>
      <c r="K1042" s="12">
        <f t="shared" ref="K1042" si="305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6">SUM(P1042:Q1042)</f>
        <v>0</v>
      </c>
      <c r="T1042" s="10"/>
      <c r="U1042" s="10"/>
      <c r="V1042" s="10"/>
      <c r="W1042" s="12">
        <f t="shared" si="296"/>
        <v>0</v>
      </c>
      <c r="Y1042" s="10"/>
      <c r="Z1042" s="30"/>
      <c r="AA1042" s="31"/>
      <c r="AB1042" s="47"/>
      <c r="AC1042" s="31"/>
      <c r="AD1042" s="31"/>
      <c r="AE1042" s="32">
        <f t="shared" ref="AE1042" si="307">SUM(AB1042:AC1042)</f>
        <v>0</v>
      </c>
      <c r="AF1042" s="10"/>
      <c r="AG1042" s="10"/>
      <c r="AH1042" s="10"/>
      <c r="AI1042" s="12">
        <f t="shared" si="30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6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30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565954</v>
      </c>
      <c r="E1045" s="38">
        <f t="shared" ref="E1045:F1045" si="308">SUM(E1002:E1042)</f>
        <v>0</v>
      </c>
      <c r="F1045" s="38">
        <f t="shared" si="308"/>
        <v>0</v>
      </c>
      <c r="G1045" s="38">
        <f>SUM(G1002:G1044)</f>
        <v>565954</v>
      </c>
      <c r="H1045" s="4"/>
      <c r="I1045" s="39">
        <f>SUM(I1002:I1044)</f>
        <v>93330</v>
      </c>
      <c r="J1045" s="39">
        <f>SUM(J1002:J1044)</f>
        <v>-29355</v>
      </c>
      <c r="K1045" s="40">
        <f>SUM(K1002:K1044)</f>
        <v>629929</v>
      </c>
      <c r="N1045" s="57"/>
      <c r="O1045" s="57"/>
      <c r="P1045" s="38">
        <f>SUM(P1002:P1044)</f>
        <v>350318</v>
      </c>
      <c r="Q1045" s="38">
        <f>SUM(Q1002:Q1026)</f>
        <v>-1572</v>
      </c>
      <c r="R1045" s="38">
        <f>SUM(R1002:R1026)</f>
        <v>0</v>
      </c>
      <c r="S1045" s="38">
        <f>SUM(S1002:S1044)</f>
        <v>348746</v>
      </c>
      <c r="T1045" s="4"/>
      <c r="U1045" s="41">
        <f>SUM(U1002:U1044)</f>
        <v>3874.5</v>
      </c>
      <c r="V1045" s="41">
        <f>SUM(V1002:V1026)</f>
        <v>-1005</v>
      </c>
      <c r="W1045" s="42">
        <f>SUM(W1002:W1044)</f>
        <v>351615.5</v>
      </c>
      <c r="Z1045" s="57"/>
      <c r="AA1045" s="57"/>
      <c r="AB1045" s="38">
        <f>SUM(AB1002:AB1044)</f>
        <v>208299</v>
      </c>
      <c r="AC1045" s="38">
        <f>SUM(AC1002:AC1026)</f>
        <v>-1380</v>
      </c>
      <c r="AD1045" s="38">
        <f>SUM(AD1002:AD1026)</f>
        <v>0</v>
      </c>
      <c r="AE1045" s="38">
        <f>SUM(AE1002:AE1044)</f>
        <v>206919</v>
      </c>
      <c r="AF1045" s="4"/>
      <c r="AG1045" s="41">
        <f>SUM(AG1002:AG1044)</f>
        <v>1245</v>
      </c>
      <c r="AH1045" s="41">
        <f>SUM(AH1002:AH1026)</f>
        <v>-390</v>
      </c>
      <c r="AI1045" s="42">
        <f>SUM(AI1002:AI1044)</f>
        <v>207774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9"/>
      <c r="E1055" s="119"/>
      <c r="F1055" s="93"/>
      <c r="G1055" s="93"/>
      <c r="H1055" s="62"/>
      <c r="I1055" s="119"/>
      <c r="J1055" s="119"/>
      <c r="K1055" s="118"/>
      <c r="L1055" s="62"/>
      <c r="M1055" s="62"/>
      <c r="N1055" s="65"/>
      <c r="O1055" s="93"/>
      <c r="P1055" s="119"/>
      <c r="Q1055" s="119"/>
      <c r="R1055" s="93"/>
      <c r="S1055" s="93"/>
      <c r="T1055" s="62"/>
      <c r="U1055" s="119"/>
      <c r="V1055" s="119"/>
      <c r="W1055" s="118"/>
      <c r="X1055" s="62"/>
      <c r="Y1055" s="62"/>
      <c r="Z1055" s="65"/>
      <c r="AA1055" s="93"/>
      <c r="AB1055" s="119"/>
      <c r="AC1055" s="119"/>
      <c r="AD1055" s="93"/>
      <c r="AE1055" s="93"/>
      <c r="AF1055" s="62"/>
      <c r="AG1055" s="119"/>
      <c r="AH1055" s="119"/>
      <c r="AI1055" s="11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18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18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1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9"/>
      <c r="E1110" s="119"/>
      <c r="F1110" s="89"/>
      <c r="G1110" s="89"/>
      <c r="H1110" s="62"/>
      <c r="I1110" s="119"/>
      <c r="J1110" s="119"/>
      <c r="K1110" s="118"/>
      <c r="L1110" s="62"/>
      <c r="M1110" s="62"/>
      <c r="N1110" s="65"/>
      <c r="O1110" s="89"/>
      <c r="P1110" s="119"/>
      <c r="Q1110" s="119"/>
      <c r="R1110" s="89"/>
      <c r="S1110" s="89"/>
      <c r="T1110" s="62"/>
      <c r="U1110" s="119"/>
      <c r="V1110" s="119"/>
      <c r="W1110" s="118"/>
      <c r="X1110" s="62"/>
      <c r="Y1110" s="62"/>
      <c r="Z1110" s="65"/>
      <c r="AA1110" s="89"/>
      <c r="AB1110" s="119"/>
      <c r="AC1110" s="119"/>
      <c r="AD1110" s="89"/>
      <c r="AE1110" s="89"/>
      <c r="AF1110" s="62"/>
      <c r="AG1110" s="119"/>
      <c r="AH1110" s="119"/>
      <c r="AI1110" s="11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8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8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9"/>
      <c r="E1165" s="119"/>
      <c r="F1165" s="89"/>
      <c r="G1165" s="89"/>
      <c r="H1165" s="62"/>
      <c r="I1165" s="119"/>
      <c r="J1165" s="119"/>
      <c r="K1165" s="118"/>
      <c r="L1165" s="62"/>
      <c r="M1165" s="62"/>
      <c r="N1165" s="65"/>
      <c r="O1165" s="89"/>
      <c r="P1165" s="119"/>
      <c r="Q1165" s="119"/>
      <c r="R1165" s="89"/>
      <c r="S1165" s="89"/>
      <c r="T1165" s="62"/>
      <c r="U1165" s="119"/>
      <c r="V1165" s="119"/>
      <c r="W1165" s="118"/>
      <c r="X1165" s="62"/>
      <c r="Y1165" s="62"/>
      <c r="Z1165" s="65"/>
      <c r="AA1165" s="89"/>
      <c r="AB1165" s="119"/>
      <c r="AC1165" s="119"/>
      <c r="AD1165" s="89"/>
      <c r="AE1165" s="89"/>
      <c r="AF1165" s="62"/>
      <c r="AG1165" s="119"/>
      <c r="AH1165" s="119"/>
      <c r="AI1165" s="11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8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8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9"/>
      <c r="E1221" s="119"/>
      <c r="F1221" s="87"/>
      <c r="G1221" s="87"/>
      <c r="H1221" s="62"/>
      <c r="I1221" s="119"/>
      <c r="J1221" s="119"/>
      <c r="K1221" s="118"/>
      <c r="L1221" s="62"/>
      <c r="M1221" s="62"/>
      <c r="N1221" s="65"/>
      <c r="O1221" s="87"/>
      <c r="P1221" s="119"/>
      <c r="Q1221" s="119"/>
      <c r="R1221" s="87"/>
      <c r="S1221" s="87"/>
      <c r="T1221" s="62"/>
      <c r="U1221" s="119"/>
      <c r="V1221" s="119"/>
      <c r="W1221" s="118"/>
      <c r="X1221" s="62"/>
      <c r="Y1221" s="62"/>
      <c r="Z1221" s="65"/>
      <c r="AA1221" s="87"/>
      <c r="AB1221" s="119"/>
      <c r="AC1221" s="119"/>
      <c r="AD1221" s="87"/>
      <c r="AE1221" s="87"/>
      <c r="AF1221" s="62"/>
      <c r="AG1221" s="119"/>
      <c r="AH1221" s="119"/>
      <c r="AI1221" s="11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9"/>
      <c r="E1283" s="119"/>
      <c r="F1283" s="84"/>
      <c r="G1283" s="84"/>
      <c r="H1283" s="62"/>
      <c r="I1283" s="119"/>
      <c r="J1283" s="119"/>
      <c r="K1283" s="118"/>
      <c r="L1283" s="62"/>
      <c r="M1283" s="62"/>
      <c r="N1283" s="65"/>
      <c r="O1283" s="84"/>
      <c r="P1283" s="119"/>
      <c r="Q1283" s="119"/>
      <c r="R1283" s="84"/>
      <c r="S1283" s="84"/>
      <c r="T1283" s="62"/>
      <c r="U1283" s="119"/>
      <c r="V1283" s="119"/>
      <c r="W1283" s="118"/>
      <c r="X1283" s="62"/>
      <c r="Y1283" s="62"/>
      <c r="Z1283" s="65"/>
      <c r="AA1283" s="84"/>
      <c r="AB1283" s="119"/>
      <c r="AC1283" s="119"/>
      <c r="AD1283" s="84"/>
      <c r="AE1283" s="84"/>
      <c r="AF1283" s="62"/>
      <c r="AG1283" s="119"/>
      <c r="AH1283" s="119"/>
      <c r="AI1283" s="11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2025-12-23T02:51:50Z</dcterms:modified>
</cp:coreProperties>
</file>