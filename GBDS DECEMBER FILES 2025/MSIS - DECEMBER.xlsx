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5C4EF1A3-649F-4755-8A8D-619732BA022E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343" i="2" l="1"/>
  <c r="AG342" i="2"/>
  <c r="AH342" i="2"/>
  <c r="AG385" i="2"/>
  <c r="AC342" i="2"/>
  <c r="AC385" i="2" s="1"/>
  <c r="AB342" i="2"/>
  <c r="AB385" i="2" s="1"/>
  <c r="AA343" i="2"/>
  <c r="AE343" i="2"/>
  <c r="AI343" i="2" s="1"/>
  <c r="AE344" i="2"/>
  <c r="AH385" i="2"/>
  <c r="AI344" i="2"/>
  <c r="AE345" i="2"/>
  <c r="AI345" i="2" s="1"/>
  <c r="AE346" i="2"/>
  <c r="AI346" i="2"/>
  <c r="AE347" i="2"/>
  <c r="AI347" i="2"/>
  <c r="AE348" i="2"/>
  <c r="AI348" i="2" s="1"/>
  <c r="AE349" i="2"/>
  <c r="AI349" i="2" s="1"/>
  <c r="AE350" i="2"/>
  <c r="AI350" i="2"/>
  <c r="AE351" i="2"/>
  <c r="AI351" i="2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/>
  <c r="AE380" i="2"/>
  <c r="AI380" i="2" s="1"/>
  <c r="AI381" i="2"/>
  <c r="AE382" i="2"/>
  <c r="AI382" i="2"/>
  <c r="AI383" i="2"/>
  <c r="AD385" i="2"/>
  <c r="P357" i="2"/>
  <c r="P356" i="2"/>
  <c r="S356" i="2" s="1"/>
  <c r="W356" i="2" s="1"/>
  <c r="P355" i="2"/>
  <c r="P354" i="2"/>
  <c r="S354" i="2" s="1"/>
  <c r="W354" i="2" s="1"/>
  <c r="P353" i="2"/>
  <c r="P352" i="2"/>
  <c r="P351" i="2"/>
  <c r="S351" i="2" s="1"/>
  <c r="W351" i="2" s="1"/>
  <c r="P350" i="2"/>
  <c r="S350" i="2" s="1"/>
  <c r="W350" i="2" s="1"/>
  <c r="U349" i="2"/>
  <c r="P349" i="2"/>
  <c r="S349" i="2" s="1"/>
  <c r="P348" i="2"/>
  <c r="U347" i="2"/>
  <c r="U385" i="2" s="1"/>
  <c r="P347" i="2"/>
  <c r="P346" i="2"/>
  <c r="S346" i="2" s="1"/>
  <c r="W346" i="2" s="1"/>
  <c r="P345" i="2"/>
  <c r="P344" i="2"/>
  <c r="P343" i="2"/>
  <c r="P342" i="2"/>
  <c r="S342" i="2" s="1"/>
  <c r="O343" i="2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S343" i="2"/>
  <c r="W343" i="2" s="1"/>
  <c r="S344" i="2"/>
  <c r="W344" i="2" s="1"/>
  <c r="S345" i="2"/>
  <c r="W345" i="2" s="1"/>
  <c r="S347" i="2"/>
  <c r="W347" i="2" s="1"/>
  <c r="S348" i="2"/>
  <c r="W348" i="2" s="1"/>
  <c r="S352" i="2"/>
  <c r="W352" i="2" s="1"/>
  <c r="S353" i="2"/>
  <c r="W353" i="2" s="1"/>
  <c r="S355" i="2"/>
  <c r="W355" i="2"/>
  <c r="S357" i="2"/>
  <c r="W357" i="2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D358" i="2"/>
  <c r="D357" i="2"/>
  <c r="C357" i="2"/>
  <c r="C358" i="2"/>
  <c r="D356" i="2"/>
  <c r="G356" i="2" s="1"/>
  <c r="K356" i="2" s="1"/>
  <c r="D355" i="2"/>
  <c r="G355" i="2" s="1"/>
  <c r="K355" i="2" s="1"/>
  <c r="D354" i="2"/>
  <c r="D353" i="2"/>
  <c r="D352" i="2"/>
  <c r="D351" i="2"/>
  <c r="D350" i="2"/>
  <c r="C352" i="2"/>
  <c r="C353" i="2"/>
  <c r="C354" i="2"/>
  <c r="C355" i="2"/>
  <c r="C356" i="2"/>
  <c r="D349" i="2"/>
  <c r="G349" i="2" s="1"/>
  <c r="K349" i="2" s="1"/>
  <c r="D348" i="2"/>
  <c r="D347" i="2"/>
  <c r="G347" i="2" s="1"/>
  <c r="K347" i="2" s="1"/>
  <c r="D346" i="2"/>
  <c r="G346" i="2" s="1"/>
  <c r="K346" i="2" s="1"/>
  <c r="D345" i="2"/>
  <c r="G345" i="2" s="1"/>
  <c r="K345" i="2" s="1"/>
  <c r="D344" i="2"/>
  <c r="D343" i="2"/>
  <c r="D342" i="2"/>
  <c r="G342" i="2"/>
  <c r="K342" i="2" s="1"/>
  <c r="C343" i="2"/>
  <c r="C344" i="2" s="1"/>
  <c r="C345" i="2" s="1"/>
  <c r="C346" i="2" s="1"/>
  <c r="C347" i="2" s="1"/>
  <c r="C349" i="2" s="1"/>
  <c r="C350" i="2" s="1"/>
  <c r="C351" i="2" s="1"/>
  <c r="G343" i="2"/>
  <c r="K343" i="2"/>
  <c r="G348" i="2"/>
  <c r="K348" i="2" s="1"/>
  <c r="G350" i="2"/>
  <c r="K350" i="2" s="1"/>
  <c r="G351" i="2"/>
  <c r="K351" i="2"/>
  <c r="G352" i="2"/>
  <c r="G353" i="2"/>
  <c r="K353" i="2" s="1"/>
  <c r="G354" i="2"/>
  <c r="K354" i="2"/>
  <c r="G357" i="2"/>
  <c r="K357" i="2"/>
  <c r="G358" i="2"/>
  <c r="K358" i="2" s="1"/>
  <c r="G359" i="2"/>
  <c r="K359" i="2" s="1"/>
  <c r="G360" i="2"/>
  <c r="K360" i="2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 s="1"/>
  <c r="G368" i="2"/>
  <c r="K368" i="2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/>
  <c r="E385" i="2"/>
  <c r="F385" i="2"/>
  <c r="I385" i="2"/>
  <c r="J385" i="2"/>
  <c r="AE342" i="2" l="1"/>
  <c r="AI342" i="2" s="1"/>
  <c r="AI385" i="2" s="1"/>
  <c r="W349" i="2"/>
  <c r="P385" i="2"/>
  <c r="W342" i="2"/>
  <c r="W385" i="2" s="1"/>
  <c r="S385" i="2"/>
  <c r="D385" i="2"/>
  <c r="G344" i="2"/>
  <c r="K344" i="2" s="1"/>
  <c r="G385" i="2"/>
  <c r="K352" i="2"/>
  <c r="K385" i="2"/>
  <c r="AB290" i="2"/>
  <c r="AE290" i="2" s="1"/>
  <c r="AI290" i="2" s="1"/>
  <c r="AC289" i="2"/>
  <c r="AB289" i="2"/>
  <c r="AE289" i="2"/>
  <c r="AI289" i="2" s="1"/>
  <c r="AH289" i="2"/>
  <c r="AB288" i="2"/>
  <c r="AE288" i="2" s="1"/>
  <c r="AI288" i="2" s="1"/>
  <c r="AB287" i="2"/>
  <c r="AE287" i="2"/>
  <c r="AA288" i="2"/>
  <c r="AA289" i="2"/>
  <c r="AA290" i="2" s="1"/>
  <c r="AE291" i="2"/>
  <c r="AI291" i="2" s="1"/>
  <c r="AE292" i="2"/>
  <c r="AI292" i="2"/>
  <c r="AE293" i="2"/>
  <c r="AI293" i="2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/>
  <c r="AE301" i="2"/>
  <c r="AI301" i="2"/>
  <c r="AE302" i="2"/>
  <c r="AI302" i="2" s="1"/>
  <c r="AE303" i="2"/>
  <c r="AI303" i="2" s="1"/>
  <c r="AE304" i="2"/>
  <c r="AI304" i="2"/>
  <c r="AE305" i="2"/>
  <c r="AI305" i="2" s="1"/>
  <c r="AE306" i="2"/>
  <c r="AI306" i="2" s="1"/>
  <c r="AE307" i="2"/>
  <c r="AI307" i="2"/>
  <c r="AE308" i="2"/>
  <c r="AI308" i="2" s="1"/>
  <c r="AE309" i="2"/>
  <c r="AI309" i="2" s="1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 s="1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 s="1"/>
  <c r="AI326" i="2"/>
  <c r="AE327" i="2"/>
  <c r="AI327" i="2"/>
  <c r="AI328" i="2"/>
  <c r="AC330" i="2"/>
  <c r="AD330" i="2"/>
  <c r="AG330" i="2"/>
  <c r="AH330" i="2"/>
  <c r="P309" i="2"/>
  <c r="P308" i="2"/>
  <c r="P307" i="2"/>
  <c r="S307" i="2" s="1"/>
  <c r="W307" i="2" s="1"/>
  <c r="P306" i="2"/>
  <c r="V305" i="2"/>
  <c r="V330" i="2" s="1"/>
  <c r="P305" i="2"/>
  <c r="P304" i="2"/>
  <c r="S304" i="2" s="1"/>
  <c r="W304" i="2" s="1"/>
  <c r="P303" i="2"/>
  <c r="S303" i="2" s="1"/>
  <c r="W303" i="2" s="1"/>
  <c r="P302" i="2"/>
  <c r="S302" i="2" s="1"/>
  <c r="W302" i="2" s="1"/>
  <c r="P301" i="2"/>
  <c r="P300" i="2"/>
  <c r="S300" i="2" s="1"/>
  <c r="W300" i="2" s="1"/>
  <c r="P299" i="2"/>
  <c r="S299" i="2" s="1"/>
  <c r="W299" i="2" s="1"/>
  <c r="P298" i="2"/>
  <c r="P297" i="2"/>
  <c r="P296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P287" i="2"/>
  <c r="S287" i="2"/>
  <c r="O288" i="2"/>
  <c r="O289" i="2" s="1"/>
  <c r="O290" i="2" s="1"/>
  <c r="O291" i="2" s="1"/>
  <c r="O292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S288" i="2"/>
  <c r="W288" i="2" s="1"/>
  <c r="S289" i="2"/>
  <c r="W289" i="2" s="1"/>
  <c r="S290" i="2"/>
  <c r="W290" i="2"/>
  <c r="S294" i="2"/>
  <c r="W294" i="2" s="1"/>
  <c r="S296" i="2"/>
  <c r="W296" i="2" s="1"/>
  <c r="S297" i="2"/>
  <c r="W297" i="2" s="1"/>
  <c r="S298" i="2"/>
  <c r="W298" i="2" s="1"/>
  <c r="S301" i="2"/>
  <c r="W301" i="2" s="1"/>
  <c r="S305" i="2"/>
  <c r="W305" i="2" s="1"/>
  <c r="S306" i="2"/>
  <c r="W306" i="2"/>
  <c r="S308" i="2"/>
  <c r="W308" i="2" s="1"/>
  <c r="S309" i="2"/>
  <c r="W309" i="2" s="1"/>
  <c r="S310" i="2"/>
  <c r="W310" i="2" s="1"/>
  <c r="S311" i="2"/>
  <c r="W311" i="2"/>
  <c r="S312" i="2"/>
  <c r="W312" i="2"/>
  <c r="S313" i="2"/>
  <c r="W313" i="2"/>
  <c r="S314" i="2"/>
  <c r="W314" i="2"/>
  <c r="S315" i="2"/>
  <c r="W315" i="2" s="1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U330" i="2"/>
  <c r="D297" i="2"/>
  <c r="G297" i="2" s="1"/>
  <c r="K297" i="2" s="1"/>
  <c r="D296" i="2"/>
  <c r="D295" i="2"/>
  <c r="D294" i="2"/>
  <c r="D293" i="2"/>
  <c r="G293" i="2" s="1"/>
  <c r="K293" i="2" s="1"/>
  <c r="D292" i="2"/>
  <c r="D291" i="2"/>
  <c r="D290" i="2"/>
  <c r="D289" i="2"/>
  <c r="G289" i="2" s="1"/>
  <c r="K289" i="2" s="1"/>
  <c r="D288" i="2"/>
  <c r="D287" i="2"/>
  <c r="G287" i="2" s="1"/>
  <c r="K287" i="2" s="1"/>
  <c r="C293" i="2"/>
  <c r="C294" i="2" s="1"/>
  <c r="C295" i="2" s="1"/>
  <c r="C296" i="2" s="1"/>
  <c r="J330" i="2"/>
  <c r="C288" i="2"/>
  <c r="C289" i="2" s="1"/>
  <c r="C290" i="2" s="1"/>
  <c r="C291" i="2" s="1"/>
  <c r="C292" i="2" s="1"/>
  <c r="G288" i="2"/>
  <c r="K288" i="2" s="1"/>
  <c r="G290" i="2"/>
  <c r="K290" i="2" s="1"/>
  <c r="G291" i="2"/>
  <c r="K291" i="2" s="1"/>
  <c r="G292" i="2"/>
  <c r="K292" i="2" s="1"/>
  <c r="G294" i="2"/>
  <c r="K294" i="2" s="1"/>
  <c r="G295" i="2"/>
  <c r="K295" i="2"/>
  <c r="G296" i="2"/>
  <c r="K296" i="2"/>
  <c r="G298" i="2"/>
  <c r="K298" i="2"/>
  <c r="G299" i="2"/>
  <c r="K299" i="2" s="1"/>
  <c r="G300" i="2"/>
  <c r="K300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 s="1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 s="1"/>
  <c r="G317" i="2"/>
  <c r="K317" i="2" s="1"/>
  <c r="G318" i="2"/>
  <c r="K318" i="2"/>
  <c r="G319" i="2"/>
  <c r="K319" i="2"/>
  <c r="G320" i="2"/>
  <c r="K320" i="2"/>
  <c r="G327" i="2"/>
  <c r="K327" i="2"/>
  <c r="E330" i="2"/>
  <c r="F330" i="2"/>
  <c r="I330" i="2"/>
  <c r="AE385" i="2" l="1"/>
  <c r="AI287" i="2"/>
  <c r="AI330" i="2" s="1"/>
  <c r="AE330" i="2"/>
  <c r="AB330" i="2"/>
  <c r="P330" i="2"/>
  <c r="S292" i="2"/>
  <c r="W292" i="2" s="1"/>
  <c r="W287" i="2"/>
  <c r="W330" i="2" s="1"/>
  <c r="S330" i="2"/>
  <c r="D330" i="2"/>
  <c r="K330" i="2"/>
  <c r="G330" i="2"/>
  <c r="AB251" i="2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D20" i="1"/>
  <c r="D32" i="1"/>
  <c r="D33" i="1"/>
  <c r="J32" i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J21" i="1"/>
  <c r="D21" i="1" s="1"/>
  <c r="J22" i="1"/>
  <c r="D22" i="1" s="1"/>
  <c r="J17" i="1"/>
  <c r="J15" i="1"/>
  <c r="D15" i="1" s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ROCHEN'S EATERY
POB, SALUG</t>
        </r>
      </text>
    </comment>
    <comment ref="C287" authorId="0" shapeId="0" xr:uid="{6468E8C8-D3BD-414D-AE77-078231F4AA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O287" authorId="0" shapeId="0" xr:uid="{16DFBD70-3C4D-4F40-A51F-B61ED21C7D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CATIVA / ROEL
INUMAN, SINDANGAN</t>
        </r>
      </text>
    </comment>
    <comment ref="AA287" authorId="0" shapeId="0" xr:uid="{D3EA4A08-9E51-4333-ACF9-9FC273D85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88" authorId="0" shapeId="0" xr:uid="{40BD23EF-426F-4F55-8BE1-31D73E0E81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NELSON VILLARUBIA
DENOYAN, SIAYAN</t>
        </r>
      </text>
    </comment>
    <comment ref="O288" authorId="0" shapeId="0" xr:uid="{BA010E0C-8974-43D4-A9D8-17A8AA2572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88" authorId="0" shapeId="0" xr:uid="{8D7196D1-DB30-46BA-9C6C-7ABF8666B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89" authorId="0" shapeId="0" xr:uid="{3040EE1E-5F10-425F-9781-F7729344F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289" authorId="0" shapeId="0" xr:uid="{E9915322-EFC0-491D-8A00-E6FED1FEB6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
INUMAN, SINDANGAN</t>
        </r>
      </text>
    </comment>
    <comment ref="AA289" authorId="0" shapeId="0" xr:uid="{8EF15639-0C2F-4184-8902-0656EF7A89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0" authorId="0" shapeId="0" xr:uid="{32029DE4-7DC7-4BFC-AFCD-34E446E36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O290" authorId="0" shapeId="0" xr:uid="{B393440E-7CE9-4E93-9F49-98E298D808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RC BOGANOTAN
INUMAN, SINDANGAN</t>
        </r>
      </text>
    </comment>
    <comment ref="AA290" authorId="0" shapeId="0" xr:uid="{37FC554F-0DF0-40F0-995E-57D562F21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HAVANA
LAMAO, LILOY</t>
        </r>
      </text>
    </comment>
    <comment ref="C291" authorId="0" shapeId="0" xr:uid="{6B221B8B-7BCC-4428-84AC-6EF4E8001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291" authorId="0" shapeId="0" xr:uid="{783579F7-D6BC-43C4-9C7C-142D5BC9E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
INUMAN, SINDANGAN</t>
        </r>
      </text>
    </comment>
    <comment ref="C292" authorId="0" shapeId="0" xr:uid="{879974A6-04C2-4A1D-ABDC-62C7AD96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O292" authorId="0" shapeId="0" xr:uid="{FB72951E-D216-407A-AEA0-64A1F11692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REMOLONA
INUMAN, SINDANGAN</t>
        </r>
      </text>
    </comment>
    <comment ref="C293" authorId="0" shapeId="0" xr:uid="{E44DD261-0C8E-4155-B839-B55A7EC851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293" authorId="0" shapeId="0" xr:uid="{E63D08D7-57AB-48FA-921E-6ECAEE18D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GLENDA TUANDA
INUMAN, SINDANGAN</t>
        </r>
      </text>
    </comment>
    <comment ref="C294" authorId="0" shapeId="0" xr:uid="{D716860E-7CF8-4A50-B8B0-B7DE2F6FA1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SAIYAN</t>
        </r>
      </text>
    </comment>
    <comment ref="O294" authorId="0" shapeId="0" xr:uid="{13337DD2-0268-41E7-AAE5-48E49A1788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C295" authorId="0" shapeId="0" xr:uid="{AE3392C6-3579-43A5-B3BE-445E9C187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295" authorId="0" shapeId="0" xr:uid="{1158D4A6-1535-4892-91E2-D3D9D369C4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TALIP STOPRE
TALINGA, SINDANGAN</t>
        </r>
      </text>
    </comment>
    <comment ref="C296" authorId="0" shapeId="0" xr:uid="{F9B46052-9D07-419E-B37F-948584186D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ENOSENCIA DULAT
POLAYO, SIAYAN</t>
        </r>
      </text>
    </comment>
    <comment ref="O296" authorId="0" shapeId="0" xr:uid="{144D8197-D2B1-4CB7-BE36-3E58CDD0BB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SINDANGAN</t>
        </r>
      </text>
    </comment>
    <comment ref="C297" authorId="0" shapeId="0" xr:uid="{D8767C75-0872-4435-8047-E819B925A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DENOYAN, SIAYAN</t>
        </r>
      </text>
    </comment>
    <comment ref="O297" authorId="0" shapeId="0" xr:uid="{035DB921-F8EE-47CA-ADD6-F51E2BA6D4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RHEDERA VILLA
TALINGA, SINDANGAN</t>
        </r>
      </text>
    </comment>
    <comment ref="O298" authorId="0" shapeId="0" xr:uid="{6D7E762A-2E90-4194-8F4F-C37CB1E03C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299" authorId="0" shapeId="0" xr:uid="{D34C713F-2CF3-4F83-B21F-1A9A5361FC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300" authorId="0" shapeId="0" xr:uid="{C5B89F8D-D75F-44EC-BDEA-1441DD4615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CASSEY STORE
MARAS, SINDANGAN</t>
        </r>
      </text>
    </comment>
    <comment ref="O301" authorId="0" shapeId="0" xr:uid="{515E3959-C53C-4031-BC12-FE53F2889C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BUENAFLOR STORE
MARAS, SINDANGAN</t>
        </r>
      </text>
    </comment>
    <comment ref="O302" authorId="0" shapeId="0" xr:uid="{E4599002-6A54-4878-AB07-C812B2AFA9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O303" authorId="0" shapeId="0" xr:uid="{D6A70D02-BA88-4DB2-A492-4347C29791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O304" authorId="0" shapeId="0" xr:uid="{06511485-AFD3-4953-BA0D-E2AF336F0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MARIE
GOLEO, SINDANGAN</t>
        </r>
      </text>
    </comment>
    <comment ref="O305" authorId="0" shapeId="0" xr:uid="{CB7A99B3-DEE2-466D-874C-14A4F1B30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GAHUMAN, NILFA STORE
GOLEO, SINDANGAN</t>
        </r>
      </text>
    </comment>
    <comment ref="O306" authorId="0" shapeId="0" xr:uid="{4CBBBE5C-2E9F-4A57-9D81-6355BBBEE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O307" authorId="0" shapeId="0" xr:uid="{A3F027A6-BFD7-41AE-8AAB-3A40A0075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 STORE
GOLEO, SINDANGAN</t>
        </r>
      </text>
    </comment>
    <comment ref="O308" authorId="0" shapeId="0" xr:uid="{87910BCC-51DA-407E-9DA9-E7E3EA29EC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ATE GEA
GOLEO, SINDANGAN</t>
        </r>
      </text>
    </comment>
    <comment ref="O309" authorId="0" shapeId="0" xr:uid="{C23C3D49-E70A-4A15-9EA8-D165D33123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342" authorId="0" shapeId="0" xr:uid="{05BD3E49-460E-4A20-ADA6-A7DD27965C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42" authorId="0" shapeId="0" xr:uid="{656E9F89-439A-4AC5-B066-58160BF789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342" authorId="0" shapeId="0" xr:uid="{7BBBE7E1-0259-4037-9D5C-17A15269BD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343" authorId="0" shapeId="0" xr:uid="{0A310308-A8C2-4399-8D19-F8D9DBF851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343" authorId="0" shapeId="0" xr:uid="{884C2C00-3F9C-43BD-B60A-F82D43F10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LOWER INUMAN, SINDANGAN</t>
        </r>
      </text>
    </comment>
    <comment ref="AA343" authorId="0" shapeId="0" xr:uid="{DC79A120-1CE8-41B1-972F-42674F485B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 / CUENCA, ELINA
POB, SALUG</t>
        </r>
      </text>
    </comment>
    <comment ref="C344" authorId="0" shapeId="0" xr:uid="{3FA93FA2-3DE8-47FE-ABA2-877E1A1ACB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ORAIZ
DAPAON, SINDANGAN</t>
        </r>
      </text>
    </comment>
    <comment ref="O344" authorId="0" shapeId="0" xr:uid="{EC8CD616-AD99-4085-A49D-47D2142231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C345" authorId="0" shapeId="0" xr:uid="{819A38B8-D887-4B70-A9BD-DE3F4B2B29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 / MARK ESQUADRO
RM, SINDANGAN</t>
        </r>
      </text>
    </comment>
    <comment ref="O345" authorId="0" shapeId="0" xr:uid="{D8812B04-D7E9-44E9-BFE1-6F995EA1F6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C346" authorId="0" shapeId="0" xr:uid="{9E17AAC6-BA4D-43F9-B095-9B18C59E38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VILLAESPIN
DAPAON, SINDANGAN</t>
        </r>
      </text>
    </comment>
    <comment ref="O346" authorId="0" shapeId="0" xr:uid="{BC8E01A2-CFA5-4B83-9BC0-984766AD2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347" authorId="0" shapeId="0" xr:uid="{D2BD791B-39FD-462B-9B40-5529C96DE1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LENI DAMONSONG / DAMONSONG STORE
RM, SINDANGAN</t>
        </r>
      </text>
    </comment>
    <comment ref="O347" authorId="0" shapeId="0" xr:uid="{6FE44F95-9E8B-4CE2-AC14-D1F94E4AA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 STORE
TALINGA, BACUNGAN</t>
        </r>
      </text>
    </comment>
    <comment ref="C348" authorId="0" shapeId="0" xr:uid="{85CB09D8-F0DC-4075-ABD4-9E24B8E45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348" authorId="0" shapeId="0" xr:uid="{E3730265-7F13-4D7C-86D5-AD7874470A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COSEM STORE
TALINGA, BACUNGAN</t>
        </r>
      </text>
    </comment>
    <comment ref="C349" authorId="0" shapeId="0" xr:uid="{7B08DE70-446F-4F6A-B3B6-FCC366C6A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349" authorId="0" shapeId="0" xr:uid="{95DCBAEF-1F9E-497A-A000-917421DE8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C350" authorId="0" shapeId="0" xr:uid="{AD365E82-3205-4777-BF86-538998BAF8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350" authorId="0" shapeId="0" xr:uid="{FBE8B56A-C495-4A6A-883B-01FB929924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INUMAN, SINDANGAN</t>
        </r>
      </text>
    </comment>
    <comment ref="C351" authorId="0" shapeId="0" xr:uid="{A89570C9-95EC-409D-B55E-01A5E7127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51" authorId="0" shapeId="0" xr:uid="{38A45387-6591-4D46-8B05-9790365E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SHANNES STORE
MARAS, SINDANGAN</t>
        </r>
      </text>
    </comment>
    <comment ref="C352" authorId="0" shapeId="0" xr:uid="{C08C5936-520C-4365-A6AD-B2839B4733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352" authorId="0" shapeId="0" xr:uid="{98137CF6-DB90-436E-B559-ADD0A6A6AC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3" authorId="0" shapeId="0" xr:uid="{48E7F9F9-542E-42AE-8901-283682DF0D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353" authorId="0" shapeId="0" xr:uid="{068B3856-8BA9-4C16-9220-E47557775E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4" authorId="0" shapeId="0" xr:uid="{36717E2E-7354-4321-8B2E-46D07DE238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GERLYN JUANO
DISUD, SINDANGAN</t>
        </r>
      </text>
    </comment>
    <comment ref="O354" authorId="0" shapeId="0" xr:uid="{F8AE155C-6B7A-4779-B6A5-5B58D1C3B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C355" authorId="0" shapeId="0" xr:uid="{34363BC0-D514-4E07-865D-A99A1F670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DISUD, SINDANGAN</t>
        </r>
      </text>
    </comment>
    <comment ref="O355" authorId="0" shapeId="0" xr:uid="{CFDA8D02-C1E3-499C-8349-BBC71D4FC4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356" authorId="0" shapeId="0" xr:uid="{1CB6F213-147F-41A1-AB4F-E899BC489A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O356" authorId="0" shapeId="0" xr:uid="{87C9945A-F9B2-428C-8F71-5CA656D5F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357" authorId="0" shapeId="0" xr:uid="{5921DA66-7C0B-45D7-8693-A6621C7F6F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357" authorId="0" shapeId="0" xr:uid="{60E1F1A2-1C11-4FF4-891A-7D1BA7954B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358" authorId="0" shapeId="0" xr:uid="{AA7C2E7D-E063-499D-8103-B50E94F7B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</commentList>
</comments>
</file>

<file path=xl/sharedStrings.xml><?xml version="1.0" encoding="utf-8"?>
<sst xmlns="http://schemas.openxmlformats.org/spreadsheetml/2006/main" count="458" uniqueCount="58">
  <si>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</si>
  <si>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</si>
  <si>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</si>
  <si>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</si>
  <si>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</si>
  <si>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</si>
  <si>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</si>
  <si>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</si>
  <si>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</si>
  <si>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</si>
  <si>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</si>
  <si>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</si>
  <si>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</si>
  <si>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</si>
  <si>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</si>
  <si>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</si>
  <si>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</si>
  <si>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</si>
  <si>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</si>
  <si>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</si>
  <si>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</si>
  <si>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</si>
  <si>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</si>
  <si>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</si>
  <si>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</si>
  <si>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</si>
  <si>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</si>
  <si>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</si>
  <si>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</si>
  <si>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</si>
  <si>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</si>
  <si>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</si>
  <si>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</si>
  <si>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</si>
  <si>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</si>
  <si>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</si>
  <si>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</si>
  <si>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</si>
  <si>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</si>
  <si>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</si>
  <si>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</si>
  <si>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</si>
  <si>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</si>
  <si>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</si>
  <si>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</si>
  <si>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</si>
  <si>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</si>
  <si>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</si>
  <si>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</si>
  <si>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</si>
  <si>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</si>
  <si>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</si>
  <si>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</si>
  <si>
    <t>SATURDAY</t>
  </si>
  <si>
    <t>DECEMBER 06, 2025</t>
  </si>
  <si>
    <t>7683-7694/7645-7650,7701-7717/7493-7496</t>
  </si>
  <si>
    <t>DECEMBER 08, 2025</t>
  </si>
  <si>
    <t>7695-7700,7801-7811/7718-7733/7497-7498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</si>
</sst>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H17" sqref="H1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1" t="s">
        <v>38</v>
      </c>
      <c r="B6" s="10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46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 t="s">
        <v>55</v>
      </c>
      <c r="D15" s="16">
        <f t="shared" si="0"/>
        <v>709387</v>
      </c>
      <c r="F15" s="14">
        <v>289815</v>
      </c>
      <c r="G15" s="14">
        <v>157107</v>
      </c>
      <c r="H15" s="14">
        <v>262465</v>
      </c>
      <c r="I15" s="14"/>
      <c r="J15" s="17">
        <f t="shared" si="1"/>
        <v>709387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57</v>
      </c>
      <c r="D17" s="16">
        <f t="shared" si="0"/>
        <v>577659</v>
      </c>
      <c r="F17" s="14">
        <v>109009</v>
      </c>
      <c r="G17" s="14">
        <v>173131</v>
      </c>
      <c r="H17" s="14">
        <v>295519</v>
      </c>
      <c r="I17" s="14"/>
      <c r="J17" s="17">
        <f t="shared" si="1"/>
        <v>577659</v>
      </c>
    </row>
    <row r="18" spans="1:10" x14ac:dyDescent="0.25">
      <c r="A18" s="10">
        <f t="shared" si="2"/>
        <v>9</v>
      </c>
      <c r="B18" s="43" t="s">
        <v>8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56" t="s">
        <v>9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11" t="s">
        <v>30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ref="D24:D28" si="3">J24</f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3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3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ref="D29:D36" si="4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2" t="s">
        <v>10</v>
      </c>
      <c r="B42" s="103"/>
      <c r="C42" s="104"/>
      <c r="D42" s="48">
        <f>SUM(D2:D41)</f>
        <v>4189653.5</v>
      </c>
      <c r="J42" s="49">
        <f>SUM(J10:J41)</f>
        <v>4189653.5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357" zoomScale="115" zoomScaleNormal="115" workbookViewId="0">
      <selection activeCell="A386" sqref="A38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9" t="s">
        <v>17</v>
      </c>
      <c r="E10" s="109"/>
      <c r="F10" s="77"/>
      <c r="G10" s="27"/>
      <c r="I10" s="107" t="s">
        <v>18</v>
      </c>
      <c r="J10" s="108"/>
      <c r="K10" s="110" t="s">
        <v>19</v>
      </c>
      <c r="N10" s="25"/>
      <c r="O10" s="26"/>
      <c r="P10" s="109" t="s">
        <v>17</v>
      </c>
      <c r="Q10" s="109"/>
      <c r="R10" s="77"/>
      <c r="S10" s="27"/>
      <c r="U10" s="107" t="s">
        <v>18</v>
      </c>
      <c r="V10" s="108"/>
      <c r="W10" s="110" t="s">
        <v>19</v>
      </c>
      <c r="Z10" s="25"/>
      <c r="AA10" s="26"/>
      <c r="AB10" s="109" t="s">
        <v>17</v>
      </c>
      <c r="AC10" s="109"/>
      <c r="AD10" s="77"/>
      <c r="AE10" s="27"/>
      <c r="AG10" s="107" t="s">
        <v>18</v>
      </c>
      <c r="AH10" s="108"/>
      <c r="AI10" s="110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1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1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1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37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09" t="s">
        <v>17</v>
      </c>
      <c r="E65" s="109"/>
      <c r="F65" s="95"/>
      <c r="G65" s="27"/>
      <c r="I65" s="107" t="s">
        <v>18</v>
      </c>
      <c r="J65" s="108"/>
      <c r="K65" s="110" t="s">
        <v>19</v>
      </c>
      <c r="N65" s="25"/>
      <c r="O65" s="26"/>
      <c r="P65" s="109" t="s">
        <v>17</v>
      </c>
      <c r="Q65" s="109"/>
      <c r="R65" s="95"/>
      <c r="S65" s="27"/>
      <c r="U65" s="107" t="s">
        <v>18</v>
      </c>
      <c r="V65" s="108"/>
      <c r="W65" s="110" t="s">
        <v>19</v>
      </c>
      <c r="Z65" s="25"/>
      <c r="AA65" s="26"/>
      <c r="AB65" s="109" t="s">
        <v>17</v>
      </c>
      <c r="AC65" s="109"/>
      <c r="AD65" s="95"/>
      <c r="AE65" s="27"/>
      <c r="AG65" s="107" t="s">
        <v>18</v>
      </c>
      <c r="AH65" s="108"/>
      <c r="AI65" s="110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1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1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1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91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06"/>
      <c r="AO67" s="106"/>
      <c r="AP67" s="87"/>
      <c r="AQ67" s="62"/>
      <c r="AR67" s="106"/>
      <c r="AS67" s="106"/>
      <c r="AT67" s="10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91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91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91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91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91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91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91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91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91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91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91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91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91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91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91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91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91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37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9" t="s">
        <v>17</v>
      </c>
      <c r="E120" s="109"/>
      <c r="F120" s="96"/>
      <c r="G120" s="27"/>
      <c r="I120" s="107" t="s">
        <v>18</v>
      </c>
      <c r="J120" s="108"/>
      <c r="K120" s="110" t="s">
        <v>19</v>
      </c>
      <c r="N120" s="25"/>
      <c r="O120" s="26"/>
      <c r="P120" s="109" t="s">
        <v>17</v>
      </c>
      <c r="Q120" s="109"/>
      <c r="R120" s="96"/>
      <c r="S120" s="27"/>
      <c r="U120" s="107" t="s">
        <v>18</v>
      </c>
      <c r="V120" s="108"/>
      <c r="W120" s="110" t="s">
        <v>19</v>
      </c>
      <c r="Z120" s="25"/>
      <c r="AA120" s="26"/>
      <c r="AB120" s="109" t="s">
        <v>17</v>
      </c>
      <c r="AC120" s="109"/>
      <c r="AD120" s="96"/>
      <c r="AE120" s="27"/>
      <c r="AG120" s="107" t="s">
        <v>18</v>
      </c>
      <c r="AH120" s="108"/>
      <c r="AI120" s="110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1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1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1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91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91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91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91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91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91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91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91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91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91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91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91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91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91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91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91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91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37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06"/>
      <c r="E175" s="106"/>
      <c r="F175" s="93"/>
      <c r="G175" s="93"/>
      <c r="H175" s="62"/>
      <c r="I175" s="106"/>
      <c r="J175" s="106"/>
      <c r="K175" s="105"/>
      <c r="N175" s="25"/>
      <c r="O175" s="26"/>
      <c r="P175" s="109" t="s">
        <v>17</v>
      </c>
      <c r="Q175" s="109"/>
      <c r="R175" s="97"/>
      <c r="S175" s="27"/>
      <c r="U175" s="107" t="s">
        <v>18</v>
      </c>
      <c r="V175" s="108"/>
      <c r="W175" s="110" t="s">
        <v>19</v>
      </c>
      <c r="Z175" s="25"/>
      <c r="AA175" s="26"/>
      <c r="AB175" s="109" t="s">
        <v>17</v>
      </c>
      <c r="AC175" s="109"/>
      <c r="AD175" s="97"/>
      <c r="AE175" s="27"/>
      <c r="AG175" s="107" t="s">
        <v>18</v>
      </c>
      <c r="AH175" s="108"/>
      <c r="AI175" s="110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105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1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1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06"/>
      <c r="AO181" s="106"/>
      <c r="AP181" s="87"/>
      <c r="AQ181" s="62"/>
      <c r="AR181" s="106"/>
      <c r="AS181" s="106"/>
      <c r="AT181" s="105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5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37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9" t="s">
        <v>17</v>
      </c>
      <c r="E230" s="109"/>
      <c r="F230" s="98"/>
      <c r="G230" s="27"/>
      <c r="I230" s="107" t="s">
        <v>18</v>
      </c>
      <c r="J230" s="108"/>
      <c r="K230" s="110" t="s">
        <v>19</v>
      </c>
      <c r="N230" s="25"/>
      <c r="O230" s="26"/>
      <c r="P230" s="109" t="s">
        <v>17</v>
      </c>
      <c r="Q230" s="109"/>
      <c r="R230" s="98"/>
      <c r="S230" s="27"/>
      <c r="U230" s="107" t="s">
        <v>18</v>
      </c>
      <c r="V230" s="108"/>
      <c r="W230" s="110" t="s">
        <v>19</v>
      </c>
      <c r="Z230" s="25"/>
      <c r="AA230" s="26"/>
      <c r="AB230" s="109" t="s">
        <v>17</v>
      </c>
      <c r="AC230" s="109"/>
      <c r="AD230" s="98"/>
      <c r="AE230" s="27"/>
      <c r="AG230" s="107" t="s">
        <v>18</v>
      </c>
      <c r="AH230" s="108"/>
      <c r="AI230" s="110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1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1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1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91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91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64" si="72">SUM(P233:Q233)</f>
        <v>7626</v>
      </c>
      <c r="T233" s="12"/>
      <c r="U233" s="12"/>
      <c r="V233" s="12"/>
      <c r="W233" s="12">
        <f t="shared" ref="W233:W264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5" si="74">SUM(AB233:AC233)</f>
        <v>1906.5</v>
      </c>
      <c r="AF233" s="12"/>
      <c r="AG233" s="12">
        <v>18</v>
      </c>
      <c r="AH233" s="12"/>
      <c r="AI233" s="12">
        <f t="shared" ref="AI233:AI264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91">
        <f t="shared" ref="C234:C23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M234" s="10">
        <v>3</v>
      </c>
      <c r="N234" s="30">
        <v>45789</v>
      </c>
      <c r="O234" s="31">
        <f t="shared" ref="O234:O251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91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91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0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91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91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91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91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0">SUM(P265:Q265)</f>
        <v>0</v>
      </c>
      <c r="T265" s="10"/>
      <c r="U265" s="10"/>
      <c r="V265" s="10"/>
      <c r="W265" s="12">
        <f t="shared" ref="W265:W273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37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9" t="s">
        <v>17</v>
      </c>
      <c r="E285" s="109"/>
      <c r="F285" s="99"/>
      <c r="G285" s="27"/>
      <c r="I285" s="107" t="s">
        <v>18</v>
      </c>
      <c r="J285" s="108"/>
      <c r="K285" s="110" t="s">
        <v>19</v>
      </c>
      <c r="N285" s="25"/>
      <c r="O285" s="26"/>
      <c r="P285" s="109" t="s">
        <v>17</v>
      </c>
      <c r="Q285" s="109"/>
      <c r="R285" s="99"/>
      <c r="S285" s="27"/>
      <c r="U285" s="107" t="s">
        <v>18</v>
      </c>
      <c r="V285" s="108"/>
      <c r="W285" s="110" t="s">
        <v>19</v>
      </c>
      <c r="Z285" s="25"/>
      <c r="AA285" s="26"/>
      <c r="AB285" s="109" t="s">
        <v>17</v>
      </c>
      <c r="AC285" s="109"/>
      <c r="AD285" s="99"/>
      <c r="AE285" s="27"/>
      <c r="AG285" s="107" t="s">
        <v>18</v>
      </c>
      <c r="AH285" s="108"/>
      <c r="AI285" s="110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1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1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1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45820</v>
      </c>
      <c r="C287" s="91">
        <v>7683</v>
      </c>
      <c r="D287" s="32">
        <f>3756+57</f>
        <v>3813</v>
      </c>
      <c r="E287" s="32"/>
      <c r="F287" s="32"/>
      <c r="G287" s="32">
        <f t="shared" ref="G287:G320" si="88">SUM(D287:E287)</f>
        <v>3813</v>
      </c>
      <c r="H287" s="12"/>
      <c r="I287" s="12"/>
      <c r="J287" s="12"/>
      <c r="K287" s="12">
        <f t="shared" ref="K287:K320" si="89">SUM(G287:J287)</f>
        <v>3813</v>
      </c>
      <c r="M287" s="10">
        <v>1</v>
      </c>
      <c r="N287" s="30">
        <v>45820</v>
      </c>
      <c r="O287" s="31">
        <v>7645</v>
      </c>
      <c r="P287" s="32">
        <f>5008+336+1192+9.5</f>
        <v>6545.5</v>
      </c>
      <c r="Q287" s="32"/>
      <c r="R287" s="32"/>
      <c r="S287" s="32">
        <f>SUM(P287:Q287)</f>
        <v>6545.5</v>
      </c>
      <c r="T287" s="12"/>
      <c r="U287" s="12">
        <v>444</v>
      </c>
      <c r="V287" s="12"/>
      <c r="W287" s="12">
        <f>SUM(S287:V287)</f>
        <v>6989.5</v>
      </c>
      <c r="Y287" s="10">
        <v>1</v>
      </c>
      <c r="Z287" s="30">
        <v>45820</v>
      </c>
      <c r="AA287" s="31">
        <v>7493</v>
      </c>
      <c r="AB287" s="32">
        <f>62600+1704+916</f>
        <v>65220</v>
      </c>
      <c r="AC287" s="32">
        <v>-612</v>
      </c>
      <c r="AD287" s="32"/>
      <c r="AE287" s="32">
        <f>SUM(AB287:AC287)</f>
        <v>64608</v>
      </c>
      <c r="AF287" s="12"/>
      <c r="AG287" s="12">
        <v>31.5</v>
      </c>
      <c r="AH287" s="12"/>
      <c r="AI287" s="12">
        <f>SUM(AE287:AH287)</f>
        <v>64639.5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45820</v>
      </c>
      <c r="C288" s="91">
        <f>C287+1</f>
        <v>7684</v>
      </c>
      <c r="D288" s="32">
        <f>2504+596+47.5</f>
        <v>3147.5</v>
      </c>
      <c r="E288" s="32"/>
      <c r="F288" s="32"/>
      <c r="G288" s="32">
        <f t="shared" si="88"/>
        <v>3147.5</v>
      </c>
      <c r="H288" s="12"/>
      <c r="I288" s="12"/>
      <c r="J288" s="12"/>
      <c r="K288" s="12">
        <f t="shared" si="89"/>
        <v>3147.5</v>
      </c>
      <c r="M288" s="10">
        <v>2</v>
      </c>
      <c r="N288" s="30">
        <v>45820</v>
      </c>
      <c r="O288" s="31">
        <f>O287+1</f>
        <v>7646</v>
      </c>
      <c r="P288" s="32">
        <f>6260+9.5*10</f>
        <v>6355</v>
      </c>
      <c r="Q288" s="32"/>
      <c r="R288" s="32"/>
      <c r="S288" s="32">
        <f t="shared" ref="S288:S319" si="90">SUM(P288:Q288)</f>
        <v>6355</v>
      </c>
      <c r="T288" s="12"/>
      <c r="U288" s="12"/>
      <c r="V288" s="12"/>
      <c r="W288" s="12">
        <f t="shared" ref="W288:W319" si="91">SUM(S288:V288)</f>
        <v>6355</v>
      </c>
      <c r="Y288" s="10">
        <v>2</v>
      </c>
      <c r="Z288" s="30">
        <v>45820</v>
      </c>
      <c r="AA288" s="31">
        <f>AA287+1</f>
        <v>7494</v>
      </c>
      <c r="AB288" s="32">
        <f>62600+1842+5960+1664+1348</f>
        <v>73414</v>
      </c>
      <c r="AC288" s="32">
        <v>-702</v>
      </c>
      <c r="AD288" s="32"/>
      <c r="AE288" s="32">
        <f t="shared" ref="AE288:AE290" si="92">SUM(AB288:AC288)</f>
        <v>72712</v>
      </c>
      <c r="AF288" s="12"/>
      <c r="AG288" s="12"/>
      <c r="AH288" s="12"/>
      <c r="AI288" s="12">
        <f t="shared" ref="AI288:AI319" si="93">SUM(AE288:AH288)</f>
        <v>72712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45820</v>
      </c>
      <c r="C289" s="91">
        <f t="shared" ref="C289:C296" si="94">C288+1</f>
        <v>7685</v>
      </c>
      <c r="D289" s="33">
        <f>56966+8940+458</f>
        <v>66364</v>
      </c>
      <c r="E289" s="33"/>
      <c r="F289" s="33"/>
      <c r="G289" s="33">
        <f t="shared" si="88"/>
        <v>66364</v>
      </c>
      <c r="H289" s="34"/>
      <c r="I289" s="34"/>
      <c r="J289" s="34"/>
      <c r="K289" s="34">
        <f t="shared" si="89"/>
        <v>66364</v>
      </c>
      <c r="M289" s="10">
        <v>3</v>
      </c>
      <c r="N289" s="30">
        <v>45820</v>
      </c>
      <c r="O289" s="31">
        <f t="shared" ref="O289:O309" si="95">O288+1</f>
        <v>7647</v>
      </c>
      <c r="P289" s="32">
        <f>3756+336+1192</f>
        <v>5284</v>
      </c>
      <c r="Q289" s="32"/>
      <c r="R289" s="32"/>
      <c r="S289" s="32">
        <f t="shared" si="90"/>
        <v>5284</v>
      </c>
      <c r="T289" s="12"/>
      <c r="U289" s="12"/>
      <c r="V289" s="12"/>
      <c r="W289" s="12">
        <f t="shared" si="91"/>
        <v>5284</v>
      </c>
      <c r="Y289" s="10">
        <v>3</v>
      </c>
      <c r="Z289" s="30">
        <v>45820</v>
      </c>
      <c r="AA289" s="31">
        <f t="shared" ref="AA289:AA290" si="96">AA288+1</f>
        <v>7495</v>
      </c>
      <c r="AB289" s="33">
        <f>626*125+1145</f>
        <v>79395</v>
      </c>
      <c r="AC289" s="33">
        <f>-125*6</f>
        <v>-750</v>
      </c>
      <c r="AD289" s="32"/>
      <c r="AE289" s="32">
        <f t="shared" si="92"/>
        <v>78645</v>
      </c>
      <c r="AF289" s="12"/>
      <c r="AG289" s="12"/>
      <c r="AH289" s="12">
        <f>-444+-46</f>
        <v>-490</v>
      </c>
      <c r="AI289" s="12">
        <f t="shared" si="93"/>
        <v>78155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45820</v>
      </c>
      <c r="C290" s="91">
        <f t="shared" si="94"/>
        <v>7686</v>
      </c>
      <c r="D290" s="32">
        <f>1878+28.5</f>
        <v>1906.5</v>
      </c>
      <c r="E290" s="32"/>
      <c r="F290" s="32"/>
      <c r="G290" s="32">
        <f t="shared" si="88"/>
        <v>1906.5</v>
      </c>
      <c r="H290" s="12"/>
      <c r="I290" s="12"/>
      <c r="J290" s="12"/>
      <c r="K290" s="12">
        <f t="shared" si="89"/>
        <v>1906.5</v>
      </c>
      <c r="M290" s="10">
        <v>4</v>
      </c>
      <c r="N290" s="30">
        <v>45820</v>
      </c>
      <c r="O290" s="31">
        <f t="shared" si="95"/>
        <v>7648</v>
      </c>
      <c r="P290" s="32">
        <f>6260+95</f>
        <v>6355</v>
      </c>
      <c r="Q290" s="32"/>
      <c r="R290" s="32"/>
      <c r="S290" s="32">
        <f t="shared" si="90"/>
        <v>6355</v>
      </c>
      <c r="T290" s="12"/>
      <c r="U290" s="12"/>
      <c r="V290" s="12"/>
      <c r="W290" s="12">
        <f t="shared" si="91"/>
        <v>6355</v>
      </c>
      <c r="Y290" s="10">
        <v>4</v>
      </c>
      <c r="Z290" s="30">
        <v>45820</v>
      </c>
      <c r="AA290" s="31">
        <f t="shared" si="96"/>
        <v>7496</v>
      </c>
      <c r="AB290" s="32">
        <f>37560+8940</f>
        <v>46500</v>
      </c>
      <c r="AC290" s="32"/>
      <c r="AD290" s="32"/>
      <c r="AE290" s="32">
        <f t="shared" si="92"/>
        <v>46500</v>
      </c>
      <c r="AF290" s="12"/>
      <c r="AH290" s="12"/>
      <c r="AI290" s="12">
        <f t="shared" si="93"/>
        <v>46500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45820</v>
      </c>
      <c r="C291" s="91">
        <f t="shared" si="94"/>
        <v>7687</v>
      </c>
      <c r="D291" s="32">
        <f>43820+6556</f>
        <v>50376</v>
      </c>
      <c r="E291" s="32"/>
      <c r="F291" s="32"/>
      <c r="G291" s="32">
        <f t="shared" si="88"/>
        <v>50376</v>
      </c>
      <c r="H291" s="12"/>
      <c r="I291" s="12"/>
      <c r="J291" s="12"/>
      <c r="K291" s="12">
        <f t="shared" si="89"/>
        <v>50376</v>
      </c>
      <c r="M291" s="10">
        <v>5</v>
      </c>
      <c r="N291" s="30">
        <v>45820</v>
      </c>
      <c r="O291" s="31">
        <f t="shared" si="95"/>
        <v>7649</v>
      </c>
      <c r="P291" s="32">
        <f>5008+76</f>
        <v>5084</v>
      </c>
      <c r="Q291" s="32"/>
      <c r="R291" s="32"/>
      <c r="S291" s="32">
        <f t="shared" si="90"/>
        <v>5084</v>
      </c>
      <c r="T291" s="12"/>
      <c r="U291" s="12"/>
      <c r="V291" s="12"/>
      <c r="W291" s="12">
        <f t="shared" si="91"/>
        <v>5084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25" si="97">SUM(AB291:AC291)</f>
        <v>0</v>
      </c>
      <c r="AF291" s="12"/>
      <c r="AG291" s="12"/>
      <c r="AH291" s="12"/>
      <c r="AI291" s="12">
        <f t="shared" si="93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45820</v>
      </c>
      <c r="C292" s="91">
        <f t="shared" si="94"/>
        <v>7688</v>
      </c>
      <c r="D292" s="32">
        <f>2504+596+47.5</f>
        <v>3147.5</v>
      </c>
      <c r="E292" s="32"/>
      <c r="F292" s="32"/>
      <c r="G292" s="32">
        <f t="shared" si="88"/>
        <v>3147.5</v>
      </c>
      <c r="H292" s="12"/>
      <c r="I292" s="12"/>
      <c r="J292" s="12"/>
      <c r="K292" s="12">
        <f t="shared" si="89"/>
        <v>3147.5</v>
      </c>
      <c r="M292" s="10">
        <v>6</v>
      </c>
      <c r="N292" s="30">
        <v>45820</v>
      </c>
      <c r="O292" s="31">
        <f t="shared" si="95"/>
        <v>7650</v>
      </c>
      <c r="P292" s="32">
        <f>6260+1192+114</f>
        <v>7566</v>
      </c>
      <c r="Q292" s="32"/>
      <c r="R292" s="32"/>
      <c r="S292" s="32">
        <f t="shared" si="90"/>
        <v>7566</v>
      </c>
      <c r="T292" s="12"/>
      <c r="U292" s="12"/>
      <c r="V292" s="10"/>
      <c r="W292" s="12">
        <f t="shared" si="91"/>
        <v>7566</v>
      </c>
      <c r="Y292" s="10">
        <v>6</v>
      </c>
      <c r="Z292" s="30"/>
      <c r="AA292" s="31"/>
      <c r="AB292" s="32"/>
      <c r="AC292" s="32"/>
      <c r="AD292" s="32"/>
      <c r="AE292" s="32">
        <f t="shared" si="97"/>
        <v>0</v>
      </c>
      <c r="AF292" s="12"/>
      <c r="AG292" s="12"/>
      <c r="AH292" s="10"/>
      <c r="AI292" s="12">
        <f t="shared" si="93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45820</v>
      </c>
      <c r="C293" s="91">
        <f t="shared" si="94"/>
        <v>7689</v>
      </c>
      <c r="D293" s="32">
        <f>1878+28.5</f>
        <v>1906.5</v>
      </c>
      <c r="E293" s="32"/>
      <c r="F293" s="32"/>
      <c r="G293" s="32">
        <f t="shared" si="88"/>
        <v>1906.5</v>
      </c>
      <c r="H293" s="12"/>
      <c r="I293" s="12"/>
      <c r="J293" s="12"/>
      <c r="K293" s="12">
        <f t="shared" si="89"/>
        <v>1906.5</v>
      </c>
      <c r="M293" s="10">
        <v>7</v>
      </c>
      <c r="N293" s="30">
        <v>45820</v>
      </c>
      <c r="O293" s="31">
        <v>7701</v>
      </c>
      <c r="P293" s="32">
        <f>6260+95</f>
        <v>6355</v>
      </c>
      <c r="Q293" s="32"/>
      <c r="R293" s="32"/>
      <c r="S293" s="32">
        <f t="shared" si="90"/>
        <v>6355</v>
      </c>
      <c r="T293" s="12"/>
      <c r="U293" s="12"/>
      <c r="V293" s="12"/>
      <c r="W293" s="12">
        <f t="shared" si="91"/>
        <v>6355</v>
      </c>
      <c r="Y293" s="10">
        <v>7</v>
      </c>
      <c r="Z293" s="30"/>
      <c r="AA293" s="31"/>
      <c r="AB293" s="32"/>
      <c r="AC293" s="32"/>
      <c r="AD293" s="32"/>
      <c r="AE293" s="32">
        <f t="shared" si="97"/>
        <v>0</v>
      </c>
      <c r="AF293" s="12"/>
      <c r="AG293" s="58"/>
      <c r="AH293" s="12"/>
      <c r="AI293" s="12">
        <f t="shared" si="93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45820</v>
      </c>
      <c r="C294" s="91">
        <f t="shared" si="94"/>
        <v>7690</v>
      </c>
      <c r="D294" s="32">
        <f>107672+9536+1145</f>
        <v>118353</v>
      </c>
      <c r="E294" s="32"/>
      <c r="F294" s="32"/>
      <c r="G294" s="32">
        <f t="shared" si="88"/>
        <v>118353</v>
      </c>
      <c r="H294" s="12"/>
      <c r="I294" s="12"/>
      <c r="J294" s="12"/>
      <c r="K294" s="12">
        <f t="shared" si="89"/>
        <v>118353</v>
      </c>
      <c r="M294" s="10">
        <v>8</v>
      </c>
      <c r="N294" s="30">
        <v>45820</v>
      </c>
      <c r="O294" s="31">
        <f t="shared" si="95"/>
        <v>7702</v>
      </c>
      <c r="P294" s="32">
        <f>9390+1192+161.5</f>
        <v>10743.5</v>
      </c>
      <c r="Q294" s="32"/>
      <c r="R294" s="32"/>
      <c r="S294" s="32">
        <f t="shared" si="90"/>
        <v>10743.5</v>
      </c>
      <c r="T294" s="12"/>
      <c r="U294" s="12"/>
      <c r="V294" s="12"/>
      <c r="W294" s="12">
        <f t="shared" si="91"/>
        <v>10743.5</v>
      </c>
      <c r="Y294" s="10">
        <v>8</v>
      </c>
      <c r="Z294" s="30"/>
      <c r="AA294" s="31"/>
      <c r="AB294" s="32"/>
      <c r="AC294" s="32"/>
      <c r="AE294" s="32">
        <f t="shared" si="97"/>
        <v>0</v>
      </c>
      <c r="AF294" s="12"/>
      <c r="AG294" s="12"/>
      <c r="AH294" s="12"/>
      <c r="AI294" s="12">
        <f t="shared" si="93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45820</v>
      </c>
      <c r="C295" s="91">
        <f t="shared" si="94"/>
        <v>7691</v>
      </c>
      <c r="D295" s="32">
        <f>5008+2022</f>
        <v>7030</v>
      </c>
      <c r="E295" s="32"/>
      <c r="F295" s="32"/>
      <c r="G295" s="32">
        <f t="shared" si="88"/>
        <v>7030</v>
      </c>
      <c r="H295" s="12"/>
      <c r="I295" s="12"/>
      <c r="J295" s="12"/>
      <c r="K295" s="12">
        <f t="shared" si="89"/>
        <v>7030</v>
      </c>
      <c r="M295" s="10">
        <v>9</v>
      </c>
      <c r="N295" s="30">
        <v>45820</v>
      </c>
      <c r="O295" s="31">
        <f t="shared" si="95"/>
        <v>7703</v>
      </c>
      <c r="P295" s="32">
        <f>1252+19</f>
        <v>1271</v>
      </c>
      <c r="Q295" s="32"/>
      <c r="R295" s="32"/>
      <c r="S295" s="32">
        <f t="shared" si="90"/>
        <v>1271</v>
      </c>
      <c r="T295" s="12"/>
      <c r="U295" s="12"/>
      <c r="V295" s="12"/>
      <c r="W295" s="12">
        <f t="shared" si="91"/>
        <v>1271</v>
      </c>
      <c r="Y295" s="10">
        <v>9</v>
      </c>
      <c r="Z295" s="30"/>
      <c r="AA295" s="31"/>
      <c r="AC295" s="32"/>
      <c r="AD295" s="32"/>
      <c r="AE295" s="32">
        <f t="shared" si="97"/>
        <v>0</v>
      </c>
      <c r="AF295" s="12"/>
      <c r="AH295" s="12"/>
      <c r="AI295" s="12">
        <f t="shared" si="93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45820</v>
      </c>
      <c r="C296" s="91">
        <f t="shared" si="94"/>
        <v>7692</v>
      </c>
      <c r="D296" s="32">
        <f>2504+38</f>
        <v>2542</v>
      </c>
      <c r="E296" s="32"/>
      <c r="F296" s="32"/>
      <c r="G296" s="32">
        <f t="shared" si="88"/>
        <v>2542</v>
      </c>
      <c r="H296" s="12"/>
      <c r="I296" s="12"/>
      <c r="J296" s="12"/>
      <c r="K296" s="12">
        <f t="shared" si="89"/>
        <v>2542</v>
      </c>
      <c r="M296" s="10">
        <v>10</v>
      </c>
      <c r="N296" s="30">
        <v>45820</v>
      </c>
      <c r="O296" s="31">
        <f t="shared" si="95"/>
        <v>7704</v>
      </c>
      <c r="P296" s="32">
        <f>1252+19</f>
        <v>1271</v>
      </c>
      <c r="Q296" s="32"/>
      <c r="R296" s="32"/>
      <c r="S296" s="32">
        <f t="shared" si="90"/>
        <v>1271</v>
      </c>
      <c r="T296" s="12"/>
      <c r="U296" s="12"/>
      <c r="V296" s="12"/>
      <c r="W296" s="12">
        <f t="shared" si="91"/>
        <v>1271</v>
      </c>
      <c r="Y296" s="10">
        <v>10</v>
      </c>
      <c r="Z296" s="30"/>
      <c r="AA296" s="31"/>
      <c r="AB296" s="32"/>
      <c r="AC296" s="32"/>
      <c r="AD296" s="32"/>
      <c r="AE296" s="32">
        <f t="shared" si="97"/>
        <v>0</v>
      </c>
      <c r="AF296" s="12"/>
      <c r="AG296" s="12"/>
      <c r="AH296" s="12"/>
      <c r="AI296" s="12">
        <f t="shared" si="93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45820</v>
      </c>
      <c r="C297" s="91">
        <v>7694</v>
      </c>
      <c r="D297" s="32">
        <f>25040+5960+229</f>
        <v>31229</v>
      </c>
      <c r="E297" s="32"/>
      <c r="F297" s="32"/>
      <c r="G297" s="32">
        <f t="shared" si="88"/>
        <v>31229</v>
      </c>
      <c r="H297" s="12"/>
      <c r="I297" s="12"/>
      <c r="J297" s="12">
        <v>-31080</v>
      </c>
      <c r="K297" s="12">
        <f t="shared" si="89"/>
        <v>149</v>
      </c>
      <c r="M297" s="10">
        <v>11</v>
      </c>
      <c r="N297" s="30">
        <v>45820</v>
      </c>
      <c r="O297" s="31">
        <f t="shared" si="95"/>
        <v>7705</v>
      </c>
      <c r="P297" s="32">
        <f>3130+47.5</f>
        <v>3177.5</v>
      </c>
      <c r="Q297" s="32"/>
      <c r="R297" s="32"/>
      <c r="S297" s="32">
        <f t="shared" si="90"/>
        <v>3177.5</v>
      </c>
      <c r="T297" s="12"/>
      <c r="U297" s="12">
        <v>18</v>
      </c>
      <c r="V297" s="12"/>
      <c r="W297" s="12">
        <f t="shared" si="91"/>
        <v>3195.5</v>
      </c>
      <c r="Y297" s="10">
        <v>11</v>
      </c>
      <c r="Z297" s="30"/>
      <c r="AA297" s="31"/>
      <c r="AB297" s="32"/>
      <c r="AC297" s="32"/>
      <c r="AD297" s="32"/>
      <c r="AE297" s="32">
        <f t="shared" si="97"/>
        <v>0</v>
      </c>
      <c r="AF297" s="12"/>
      <c r="AG297" s="12"/>
      <c r="AH297" s="12"/>
      <c r="AI297" s="12">
        <f t="shared" si="93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11" t="s">
        <v>27</v>
      </c>
      <c r="D298" s="32"/>
      <c r="E298" s="32"/>
      <c r="F298" s="32"/>
      <c r="G298" s="32">
        <f t="shared" si="88"/>
        <v>0</v>
      </c>
      <c r="H298" s="12"/>
      <c r="I298" s="12"/>
      <c r="J298" s="10"/>
      <c r="K298" s="12">
        <f t="shared" si="89"/>
        <v>0</v>
      </c>
      <c r="M298" s="10">
        <v>12</v>
      </c>
      <c r="N298" s="30">
        <v>45820</v>
      </c>
      <c r="O298" s="31">
        <f t="shared" si="95"/>
        <v>7706</v>
      </c>
      <c r="P298" s="32">
        <f>2504+112</f>
        <v>2616</v>
      </c>
      <c r="Q298" s="32"/>
      <c r="R298" s="32"/>
      <c r="S298" s="32">
        <f t="shared" si="90"/>
        <v>2616</v>
      </c>
      <c r="T298" s="12"/>
      <c r="U298" s="12"/>
      <c r="V298" s="12"/>
      <c r="W298" s="12">
        <f t="shared" si="91"/>
        <v>2616</v>
      </c>
      <c r="Y298" s="10">
        <v>12</v>
      </c>
      <c r="Z298" s="30"/>
      <c r="AA298" s="31"/>
      <c r="AB298" s="32"/>
      <c r="AC298" s="32"/>
      <c r="AD298" s="32"/>
      <c r="AE298" s="32">
        <f t="shared" si="97"/>
        <v>0</v>
      </c>
      <c r="AF298" s="12"/>
      <c r="AG298" s="12"/>
      <c r="AH298" s="12"/>
      <c r="AI298" s="12">
        <f t="shared" si="93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8"/>
        <v>0</v>
      </c>
      <c r="H299" s="12"/>
      <c r="I299" s="12"/>
      <c r="J299" s="12"/>
      <c r="K299" s="12">
        <f t="shared" si="89"/>
        <v>0</v>
      </c>
      <c r="M299" s="10">
        <v>13</v>
      </c>
      <c r="N299" s="30">
        <v>45820</v>
      </c>
      <c r="O299" s="31">
        <f t="shared" si="95"/>
        <v>7707</v>
      </c>
      <c r="P299" s="32">
        <f>1252+614+19</f>
        <v>1885</v>
      </c>
      <c r="Q299" s="32"/>
      <c r="R299" s="32"/>
      <c r="S299" s="32">
        <f t="shared" si="90"/>
        <v>1885</v>
      </c>
      <c r="T299" s="12"/>
      <c r="U299" s="12"/>
      <c r="V299" s="12"/>
      <c r="W299" s="12">
        <f t="shared" si="91"/>
        <v>1885</v>
      </c>
      <c r="Y299" s="10">
        <v>13</v>
      </c>
      <c r="Z299" s="30"/>
      <c r="AA299" s="31"/>
      <c r="AB299" s="32"/>
      <c r="AC299" s="32"/>
      <c r="AD299" s="32"/>
      <c r="AE299" s="32">
        <f t="shared" si="97"/>
        <v>0</v>
      </c>
      <c r="AF299" s="12"/>
      <c r="AG299" s="12"/>
      <c r="AH299" s="12"/>
      <c r="AI299" s="12">
        <f t="shared" si="93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8"/>
        <v>0</v>
      </c>
      <c r="H300" s="12"/>
      <c r="I300" s="12"/>
      <c r="J300" s="12"/>
      <c r="K300" s="12">
        <f t="shared" si="89"/>
        <v>0</v>
      </c>
      <c r="M300" s="10">
        <v>14</v>
      </c>
      <c r="N300" s="30">
        <v>45820</v>
      </c>
      <c r="O300" s="31">
        <f t="shared" si="95"/>
        <v>7708</v>
      </c>
      <c r="P300" s="32">
        <f>1878+614+596*2+47.5</f>
        <v>3731.5</v>
      </c>
      <c r="Q300" s="32"/>
      <c r="R300" s="32"/>
      <c r="S300" s="32">
        <f t="shared" si="90"/>
        <v>3731.5</v>
      </c>
      <c r="T300" s="12"/>
      <c r="U300" s="12"/>
      <c r="V300" s="12"/>
      <c r="W300" s="12">
        <f t="shared" si="91"/>
        <v>3731.5</v>
      </c>
      <c r="Y300" s="10">
        <v>14</v>
      </c>
      <c r="Z300" s="30"/>
      <c r="AA300" s="31"/>
      <c r="AB300" s="32"/>
      <c r="AC300" s="32"/>
      <c r="AD300" s="32"/>
      <c r="AE300" s="32">
        <f t="shared" si="97"/>
        <v>0</v>
      </c>
      <c r="AF300" s="12"/>
      <c r="AG300" s="12"/>
      <c r="AH300" s="12"/>
      <c r="AI300" s="12">
        <f t="shared" si="93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8"/>
        <v>0</v>
      </c>
      <c r="H301" s="12"/>
      <c r="I301" s="12"/>
      <c r="J301" s="12"/>
      <c r="K301" s="12">
        <f t="shared" si="89"/>
        <v>0</v>
      </c>
      <c r="M301" s="10">
        <v>15</v>
      </c>
      <c r="N301" s="30">
        <v>45820</v>
      </c>
      <c r="O301" s="31">
        <f t="shared" si="95"/>
        <v>7709</v>
      </c>
      <c r="P301" s="32">
        <f>1252+596+28.5</f>
        <v>1876.5</v>
      </c>
      <c r="Q301" s="32"/>
      <c r="R301" s="32"/>
      <c r="S301" s="32">
        <f t="shared" si="90"/>
        <v>1876.5</v>
      </c>
      <c r="T301" s="12"/>
      <c r="U301" s="12"/>
      <c r="V301" s="12"/>
      <c r="W301" s="12">
        <f t="shared" si="91"/>
        <v>1876.5</v>
      </c>
      <c r="Y301" s="10">
        <v>15</v>
      </c>
      <c r="Z301" s="30"/>
      <c r="AA301" s="31"/>
      <c r="AB301" s="32"/>
      <c r="AC301" s="32"/>
      <c r="AD301" s="32"/>
      <c r="AE301" s="32">
        <f t="shared" si="97"/>
        <v>0</v>
      </c>
      <c r="AF301" s="12"/>
      <c r="AG301" s="12"/>
      <c r="AH301" s="12"/>
      <c r="AI301" s="12">
        <f t="shared" si="93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88"/>
        <v>0</v>
      </c>
      <c r="H302" s="12"/>
      <c r="I302" s="12"/>
      <c r="J302" s="12"/>
      <c r="K302" s="12">
        <f t="shared" si="89"/>
        <v>0</v>
      </c>
      <c r="M302" s="10">
        <v>16</v>
      </c>
      <c r="N302" s="30">
        <v>45820</v>
      </c>
      <c r="O302" s="31">
        <f t="shared" si="95"/>
        <v>7710</v>
      </c>
      <c r="P302" s="32">
        <f>50080+4298+913+596*20+852+832+458</f>
        <v>69353</v>
      </c>
      <c r="Q302" s="32"/>
      <c r="R302" s="32"/>
      <c r="S302" s="32">
        <f t="shared" si="90"/>
        <v>69353</v>
      </c>
      <c r="T302" s="12"/>
      <c r="U302" s="12"/>
      <c r="V302" s="12"/>
      <c r="W302" s="12">
        <f t="shared" si="91"/>
        <v>69353</v>
      </c>
      <c r="Y302" s="10">
        <v>16</v>
      </c>
      <c r="Z302" s="30"/>
      <c r="AA302" s="31"/>
      <c r="AB302" s="32"/>
      <c r="AC302" s="32"/>
      <c r="AD302" s="32"/>
      <c r="AE302" s="32">
        <f t="shared" si="97"/>
        <v>0</v>
      </c>
      <c r="AF302" s="12"/>
      <c r="AG302" s="12"/>
      <c r="AH302" s="12"/>
      <c r="AI302" s="12">
        <f t="shared" si="93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11"/>
      <c r="D303" s="32"/>
      <c r="E303" s="32"/>
      <c r="F303" s="32"/>
      <c r="G303" s="32">
        <f t="shared" si="88"/>
        <v>0</v>
      </c>
      <c r="H303" s="12"/>
      <c r="I303" s="12"/>
      <c r="J303" s="12"/>
      <c r="K303" s="12">
        <f t="shared" si="89"/>
        <v>0</v>
      </c>
      <c r="M303" s="10">
        <v>17</v>
      </c>
      <c r="N303" s="30">
        <v>45820</v>
      </c>
      <c r="O303" s="31">
        <f t="shared" si="95"/>
        <v>7711</v>
      </c>
      <c r="P303" s="35">
        <f>3756+57</f>
        <v>3813</v>
      </c>
      <c r="Q303" s="32"/>
      <c r="R303" s="32"/>
      <c r="S303" s="32">
        <f t="shared" si="90"/>
        <v>3813</v>
      </c>
      <c r="T303" s="12"/>
      <c r="U303" s="12"/>
      <c r="V303" s="12"/>
      <c r="W303" s="12">
        <f t="shared" si="91"/>
        <v>3813</v>
      </c>
      <c r="Y303" s="10">
        <v>17</v>
      </c>
      <c r="Z303" s="30"/>
      <c r="AA303" s="31"/>
      <c r="AB303" s="35"/>
      <c r="AC303" s="32"/>
      <c r="AD303" s="32"/>
      <c r="AE303" s="32">
        <f t="shared" si="97"/>
        <v>0</v>
      </c>
      <c r="AF303" s="12"/>
      <c r="AG303" s="12"/>
      <c r="AH303" s="12"/>
      <c r="AI303" s="12">
        <f t="shared" si="93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88"/>
        <v>0</v>
      </c>
      <c r="H304" s="12"/>
      <c r="I304" s="12"/>
      <c r="J304" s="12"/>
      <c r="K304" s="12">
        <f t="shared" si="89"/>
        <v>0</v>
      </c>
      <c r="M304" s="10">
        <v>18</v>
      </c>
      <c r="N304" s="30">
        <v>45820</v>
      </c>
      <c r="O304" s="31">
        <f t="shared" si="95"/>
        <v>7712</v>
      </c>
      <c r="P304" s="32">
        <f>2504+38</f>
        <v>2542</v>
      </c>
      <c r="Q304" s="32"/>
      <c r="R304" s="32"/>
      <c r="S304" s="32">
        <f t="shared" si="90"/>
        <v>2542</v>
      </c>
      <c r="T304" s="12"/>
      <c r="U304" s="12"/>
      <c r="V304" s="12"/>
      <c r="W304" s="12">
        <f t="shared" si="91"/>
        <v>2542</v>
      </c>
      <c r="Y304" s="10">
        <v>18</v>
      </c>
      <c r="Z304" s="30"/>
      <c r="AA304" s="31"/>
      <c r="AB304" s="32"/>
      <c r="AC304" s="32"/>
      <c r="AD304" s="32"/>
      <c r="AE304" s="32">
        <f t="shared" si="97"/>
        <v>0</v>
      </c>
      <c r="AF304" s="12"/>
      <c r="AG304" s="12"/>
      <c r="AH304" s="12"/>
      <c r="AI304" s="12">
        <f t="shared" si="93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8"/>
        <v>0</v>
      </c>
      <c r="H305" s="12"/>
      <c r="I305" s="12"/>
      <c r="J305" s="12"/>
      <c r="K305" s="12">
        <f t="shared" si="89"/>
        <v>0</v>
      </c>
      <c r="M305" s="10">
        <v>19</v>
      </c>
      <c r="N305" s="30">
        <v>45820</v>
      </c>
      <c r="O305" s="31">
        <f t="shared" si="95"/>
        <v>7713</v>
      </c>
      <c r="P305" s="32">
        <f>3756+596</f>
        <v>4352</v>
      </c>
      <c r="Q305" s="32"/>
      <c r="R305" s="32"/>
      <c r="S305" s="32">
        <f t="shared" si="90"/>
        <v>4352</v>
      </c>
      <c r="T305" s="12"/>
      <c r="U305" s="12"/>
      <c r="V305" s="12">
        <f>-111+-336</f>
        <v>-447</v>
      </c>
      <c r="W305" s="12">
        <f t="shared" si="91"/>
        <v>3905</v>
      </c>
      <c r="Y305" s="10">
        <v>19</v>
      </c>
      <c r="Z305" s="30"/>
      <c r="AA305" s="31"/>
      <c r="AB305" s="32"/>
      <c r="AC305" s="32"/>
      <c r="AD305" s="32"/>
      <c r="AE305" s="32">
        <f t="shared" si="97"/>
        <v>0</v>
      </c>
      <c r="AF305" s="12"/>
      <c r="AG305" s="12"/>
      <c r="AH305" s="12"/>
      <c r="AI305" s="12">
        <f t="shared" si="93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8"/>
        <v>0</v>
      </c>
      <c r="H306" s="12"/>
      <c r="I306" s="12"/>
      <c r="J306" s="12"/>
      <c r="K306" s="12">
        <f t="shared" si="89"/>
        <v>0</v>
      </c>
      <c r="M306" s="10">
        <v>20</v>
      </c>
      <c r="N306" s="30">
        <v>45820</v>
      </c>
      <c r="O306" s="31">
        <f t="shared" si="95"/>
        <v>7714</v>
      </c>
      <c r="P306" s="32">
        <f>1878+28.5</f>
        <v>1906.5</v>
      </c>
      <c r="Q306" s="32"/>
      <c r="R306" s="32"/>
      <c r="S306" s="32">
        <f t="shared" si="90"/>
        <v>1906.5</v>
      </c>
      <c r="T306" s="12"/>
      <c r="U306" s="12"/>
      <c r="V306" s="12"/>
      <c r="W306" s="12">
        <f t="shared" si="91"/>
        <v>1906.5</v>
      </c>
      <c r="Y306" s="10">
        <v>20</v>
      </c>
      <c r="Z306" s="30"/>
      <c r="AA306" s="31"/>
      <c r="AB306" s="32"/>
      <c r="AC306" s="32"/>
      <c r="AD306" s="32"/>
      <c r="AE306" s="32">
        <f t="shared" si="97"/>
        <v>0</v>
      </c>
      <c r="AF306" s="12"/>
      <c r="AG306" s="12"/>
      <c r="AH306" s="12"/>
      <c r="AI306" s="12">
        <f t="shared" si="93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88"/>
        <v>0</v>
      </c>
      <c r="H307" s="10"/>
      <c r="I307" s="10"/>
      <c r="J307" s="10"/>
      <c r="K307" s="12">
        <f t="shared" si="89"/>
        <v>0</v>
      </c>
      <c r="M307" s="10">
        <v>21</v>
      </c>
      <c r="N307" s="30">
        <v>45820</v>
      </c>
      <c r="O307" s="31">
        <f t="shared" si="95"/>
        <v>7715</v>
      </c>
      <c r="P307" s="46">
        <f>1878+1192+47.5</f>
        <v>3117.5</v>
      </c>
      <c r="Q307" s="31"/>
      <c r="R307" s="31"/>
      <c r="S307" s="32">
        <f t="shared" si="90"/>
        <v>3117.5</v>
      </c>
      <c r="T307" s="10"/>
      <c r="U307" s="10"/>
      <c r="V307" s="10"/>
      <c r="W307" s="12">
        <f t="shared" si="91"/>
        <v>3117.5</v>
      </c>
      <c r="Y307" s="10">
        <v>21</v>
      </c>
      <c r="Z307" s="30"/>
      <c r="AB307" s="46"/>
      <c r="AC307" s="31"/>
      <c r="AD307" s="31"/>
      <c r="AE307" s="32">
        <f t="shared" si="97"/>
        <v>0</v>
      </c>
      <c r="AF307" s="10"/>
      <c r="AG307" s="10"/>
      <c r="AH307" s="10"/>
      <c r="AI307" s="12">
        <f t="shared" si="93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8"/>
        <v>0</v>
      </c>
      <c r="H308" s="10"/>
      <c r="I308" s="10"/>
      <c r="J308" s="10"/>
      <c r="K308" s="12">
        <f t="shared" si="89"/>
        <v>0</v>
      </c>
      <c r="M308" s="10">
        <v>22</v>
      </c>
      <c r="N308" s="30">
        <v>45820</v>
      </c>
      <c r="O308" s="31">
        <f t="shared" si="95"/>
        <v>7716</v>
      </c>
      <c r="P308" s="45">
        <f>626+9.5</f>
        <v>635.5</v>
      </c>
      <c r="Q308" s="31"/>
      <c r="R308" s="31"/>
      <c r="S308" s="32">
        <f t="shared" si="90"/>
        <v>635.5</v>
      </c>
      <c r="T308" s="10"/>
      <c r="U308" s="10"/>
      <c r="V308" s="10"/>
      <c r="W308" s="12">
        <f t="shared" si="91"/>
        <v>635.5</v>
      </c>
      <c r="Y308" s="10">
        <v>22</v>
      </c>
      <c r="Z308" s="30"/>
      <c r="AB308" s="45"/>
      <c r="AC308" s="31"/>
      <c r="AD308" s="31"/>
      <c r="AE308" s="32">
        <f t="shared" si="97"/>
        <v>0</v>
      </c>
      <c r="AF308" s="10"/>
      <c r="AG308" s="10"/>
      <c r="AH308" s="10"/>
      <c r="AI308" s="12">
        <f t="shared" si="93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57"/>
      <c r="D309" s="32"/>
      <c r="E309" s="32"/>
      <c r="F309" s="32"/>
      <c r="G309" s="32">
        <f t="shared" si="88"/>
        <v>0</v>
      </c>
      <c r="H309" s="10"/>
      <c r="I309" s="10"/>
      <c r="J309" s="12"/>
      <c r="K309" s="12">
        <f t="shared" si="89"/>
        <v>0</v>
      </c>
      <c r="M309" s="10">
        <v>23</v>
      </c>
      <c r="N309" s="30">
        <v>45820</v>
      </c>
      <c r="O309" s="31">
        <f t="shared" si="95"/>
        <v>7717</v>
      </c>
      <c r="P309" s="47">
        <f>1252+19</f>
        <v>1271</v>
      </c>
      <c r="S309" s="32">
        <f t="shared" si="90"/>
        <v>1271</v>
      </c>
      <c r="T309" s="10"/>
      <c r="U309" s="10"/>
      <c r="V309" s="10"/>
      <c r="W309" s="12">
        <f t="shared" si="91"/>
        <v>1271</v>
      </c>
      <c r="Y309" s="10">
        <v>23</v>
      </c>
      <c r="Z309" s="30"/>
      <c r="AA309" s="31"/>
      <c r="AB309" s="47"/>
      <c r="AE309" s="32">
        <f t="shared" si="97"/>
        <v>0</v>
      </c>
      <c r="AF309" s="10"/>
      <c r="AG309" s="10"/>
      <c r="AH309" s="10"/>
      <c r="AI309" s="12">
        <f t="shared" si="93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31"/>
      <c r="D310" s="32"/>
      <c r="E310" s="32"/>
      <c r="F310" s="32"/>
      <c r="G310" s="32">
        <f t="shared" si="88"/>
        <v>0</v>
      </c>
      <c r="H310" s="10"/>
      <c r="I310" s="10"/>
      <c r="J310" s="10"/>
      <c r="K310" s="12">
        <f t="shared" si="89"/>
        <v>0</v>
      </c>
      <c r="M310" s="10">
        <v>24</v>
      </c>
      <c r="N310" s="30"/>
      <c r="O310" s="11" t="s">
        <v>27</v>
      </c>
      <c r="P310" s="47"/>
      <c r="Q310" s="31"/>
      <c r="R310" s="31"/>
      <c r="S310" s="32">
        <f t="shared" si="90"/>
        <v>0</v>
      </c>
      <c r="T310" s="10"/>
      <c r="U310" s="10"/>
      <c r="V310" s="10"/>
      <c r="W310" s="12">
        <f t="shared" si="91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7"/>
        <v>0</v>
      </c>
      <c r="AF310" s="10"/>
      <c r="AG310" s="10"/>
      <c r="AH310" s="10"/>
      <c r="AI310" s="12">
        <f t="shared" si="93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31"/>
      <c r="D311" s="32"/>
      <c r="E311" s="32"/>
      <c r="F311" s="32"/>
      <c r="G311" s="32">
        <f t="shared" si="88"/>
        <v>0</v>
      </c>
      <c r="H311" s="10"/>
      <c r="I311" s="10"/>
      <c r="J311" s="10"/>
      <c r="K311" s="12">
        <f t="shared" si="89"/>
        <v>0</v>
      </c>
      <c r="M311" s="10">
        <v>25</v>
      </c>
      <c r="N311" s="30"/>
      <c r="O311" s="31"/>
      <c r="P311" s="47"/>
      <c r="Q311" s="31"/>
      <c r="R311" s="31"/>
      <c r="S311" s="32">
        <f t="shared" si="90"/>
        <v>0</v>
      </c>
      <c r="T311" s="10"/>
      <c r="U311" s="10"/>
      <c r="V311" s="10"/>
      <c r="W311" s="12">
        <f t="shared" si="91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7"/>
        <v>0</v>
      </c>
      <c r="AF311" s="10"/>
      <c r="AG311" s="10"/>
      <c r="AH311" s="10"/>
      <c r="AI311" s="12">
        <f t="shared" si="93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11"/>
      <c r="D312" s="32"/>
      <c r="E312" s="32"/>
      <c r="F312" s="32"/>
      <c r="G312" s="32">
        <f t="shared" si="88"/>
        <v>0</v>
      </c>
      <c r="H312" s="10"/>
      <c r="I312" s="10"/>
      <c r="J312" s="10"/>
      <c r="K312" s="12">
        <f t="shared" si="89"/>
        <v>0</v>
      </c>
      <c r="M312" s="10">
        <v>26</v>
      </c>
      <c r="N312" s="30"/>
      <c r="P312" s="47"/>
      <c r="Q312" s="31"/>
      <c r="R312" s="31"/>
      <c r="S312" s="32">
        <f t="shared" si="90"/>
        <v>0</v>
      </c>
      <c r="T312" s="10"/>
      <c r="U312" s="10"/>
      <c r="V312" s="10"/>
      <c r="W312" s="12">
        <f t="shared" si="91"/>
        <v>0</v>
      </c>
      <c r="Y312" s="10">
        <v>26</v>
      </c>
      <c r="Z312" s="30"/>
      <c r="AB312" s="47"/>
      <c r="AC312" s="31"/>
      <c r="AD312" s="31"/>
      <c r="AE312" s="32">
        <f t="shared" si="97"/>
        <v>0</v>
      </c>
      <c r="AF312" s="10"/>
      <c r="AG312" s="10"/>
      <c r="AH312" s="10"/>
      <c r="AI312" s="12">
        <f t="shared" si="93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57"/>
      <c r="D313" s="32"/>
      <c r="E313" s="32"/>
      <c r="F313" s="32"/>
      <c r="G313" s="32">
        <f t="shared" si="88"/>
        <v>0</v>
      </c>
      <c r="H313" s="10"/>
      <c r="I313" s="10"/>
      <c r="J313" s="10"/>
      <c r="K313" s="12">
        <f t="shared" si="89"/>
        <v>0</v>
      </c>
      <c r="M313" s="10">
        <v>27</v>
      </c>
      <c r="N313" s="30"/>
      <c r="O313" s="31"/>
      <c r="P313" s="47"/>
      <c r="Q313" s="31"/>
      <c r="R313" s="31"/>
      <c r="S313" s="32">
        <f t="shared" si="90"/>
        <v>0</v>
      </c>
      <c r="T313" s="10"/>
      <c r="U313" s="10"/>
      <c r="V313" s="10"/>
      <c r="W313" s="12">
        <f t="shared" si="91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7"/>
        <v>0</v>
      </c>
      <c r="AF313" s="10"/>
      <c r="AG313" s="10"/>
      <c r="AH313" s="10"/>
      <c r="AI313" s="12">
        <f t="shared" si="93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31"/>
      <c r="D314" s="32"/>
      <c r="E314" s="32"/>
      <c r="F314" s="32"/>
      <c r="G314" s="32">
        <f t="shared" si="88"/>
        <v>0</v>
      </c>
      <c r="H314" s="10"/>
      <c r="I314" s="10"/>
      <c r="J314" s="10"/>
      <c r="K314" s="12">
        <f t="shared" si="89"/>
        <v>0</v>
      </c>
      <c r="M314" s="10">
        <v>28</v>
      </c>
      <c r="N314" s="30"/>
      <c r="O314" s="31"/>
      <c r="P314" s="47"/>
      <c r="Q314" s="31"/>
      <c r="R314" s="31"/>
      <c r="S314" s="32">
        <f t="shared" si="90"/>
        <v>0</v>
      </c>
      <c r="T314" s="10"/>
      <c r="U314" s="10"/>
      <c r="V314" s="10"/>
      <c r="W314" s="12">
        <f t="shared" si="91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7"/>
        <v>0</v>
      </c>
      <c r="AF314" s="10"/>
      <c r="AG314" s="10"/>
      <c r="AH314" s="10"/>
      <c r="AI314" s="12">
        <f t="shared" si="93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31"/>
      <c r="D315" s="32"/>
      <c r="E315" s="32"/>
      <c r="F315" s="32"/>
      <c r="G315" s="32">
        <f t="shared" si="88"/>
        <v>0</v>
      </c>
      <c r="H315" s="10"/>
      <c r="I315" s="10"/>
      <c r="J315" s="10"/>
      <c r="K315" s="12">
        <f t="shared" si="89"/>
        <v>0</v>
      </c>
      <c r="M315" s="10">
        <v>29</v>
      </c>
      <c r="N315" s="30"/>
      <c r="P315" s="47"/>
      <c r="Q315" s="31"/>
      <c r="R315" s="31"/>
      <c r="S315" s="32">
        <f t="shared" si="90"/>
        <v>0</v>
      </c>
      <c r="T315" s="10"/>
      <c r="U315" s="10"/>
      <c r="V315" s="10"/>
      <c r="W315" s="12">
        <f t="shared" si="91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7"/>
        <v>0</v>
      </c>
      <c r="AF315" s="10"/>
      <c r="AG315" s="10"/>
      <c r="AH315" s="10"/>
      <c r="AI315" s="12">
        <f t="shared" si="93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57"/>
      <c r="D316" s="32"/>
      <c r="E316" s="32"/>
      <c r="F316" s="32"/>
      <c r="G316" s="32">
        <f t="shared" si="88"/>
        <v>0</v>
      </c>
      <c r="H316" s="10"/>
      <c r="I316" s="10"/>
      <c r="J316" s="10"/>
      <c r="K316" s="12">
        <f t="shared" si="89"/>
        <v>0</v>
      </c>
      <c r="M316" s="10">
        <v>30</v>
      </c>
      <c r="N316" s="30"/>
      <c r="P316" s="47"/>
      <c r="Q316" s="31"/>
      <c r="R316" s="31"/>
      <c r="S316" s="32">
        <f t="shared" si="90"/>
        <v>0</v>
      </c>
      <c r="T316" s="10"/>
      <c r="U316" s="10"/>
      <c r="V316" s="10"/>
      <c r="W316" s="12">
        <f t="shared" si="91"/>
        <v>0</v>
      </c>
      <c r="Y316" s="10">
        <v>30</v>
      </c>
      <c r="Z316" s="30"/>
      <c r="AB316" s="47"/>
      <c r="AC316" s="31"/>
      <c r="AD316" s="31"/>
      <c r="AE316" s="32">
        <f t="shared" si="97"/>
        <v>0</v>
      </c>
      <c r="AF316" s="10"/>
      <c r="AG316" s="10"/>
      <c r="AH316" s="10"/>
      <c r="AI316" s="12">
        <f t="shared" si="93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57"/>
      <c r="D317" s="32"/>
      <c r="E317" s="32"/>
      <c r="F317" s="32"/>
      <c r="G317" s="32">
        <f t="shared" si="88"/>
        <v>0</v>
      </c>
      <c r="H317" s="10"/>
      <c r="I317" s="10"/>
      <c r="J317" s="10"/>
      <c r="K317" s="12">
        <f t="shared" si="89"/>
        <v>0</v>
      </c>
      <c r="M317" s="10">
        <v>31</v>
      </c>
      <c r="N317" s="30"/>
      <c r="O317" s="31"/>
      <c r="P317" s="47"/>
      <c r="Q317" s="31"/>
      <c r="R317" s="31"/>
      <c r="S317" s="32">
        <f t="shared" si="90"/>
        <v>0</v>
      </c>
      <c r="T317" s="10"/>
      <c r="U317" s="10"/>
      <c r="V317" s="10"/>
      <c r="W317" s="12">
        <f t="shared" si="91"/>
        <v>0</v>
      </c>
      <c r="Y317" s="10">
        <v>31</v>
      </c>
      <c r="Z317" s="30"/>
      <c r="AB317" s="47"/>
      <c r="AC317" s="31"/>
      <c r="AD317" s="31"/>
      <c r="AE317" s="32">
        <f t="shared" si="97"/>
        <v>0</v>
      </c>
      <c r="AF317" s="10"/>
      <c r="AG317" s="10"/>
      <c r="AH317" s="10"/>
      <c r="AI317" s="12">
        <f t="shared" si="93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31"/>
      <c r="D318" s="32"/>
      <c r="E318" s="32"/>
      <c r="F318" s="32"/>
      <c r="G318" s="32">
        <f t="shared" si="88"/>
        <v>0</v>
      </c>
      <c r="H318" s="10"/>
      <c r="I318" s="10"/>
      <c r="J318" s="10"/>
      <c r="K318" s="12">
        <f t="shared" si="89"/>
        <v>0</v>
      </c>
      <c r="M318" s="10">
        <v>32</v>
      </c>
      <c r="N318" s="30"/>
      <c r="P318" s="47"/>
      <c r="Q318" s="31"/>
      <c r="R318" s="31"/>
      <c r="S318" s="32">
        <f t="shared" si="90"/>
        <v>0</v>
      </c>
      <c r="T318" s="10"/>
      <c r="U318" s="10"/>
      <c r="V318" s="10"/>
      <c r="W318" s="12">
        <f t="shared" si="91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7"/>
        <v>0</v>
      </c>
      <c r="AF318" s="10"/>
      <c r="AG318" s="10"/>
      <c r="AH318" s="10"/>
      <c r="AI318" s="12">
        <f t="shared" si="93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57"/>
      <c r="D319" s="32"/>
      <c r="E319" s="32"/>
      <c r="F319" s="32"/>
      <c r="G319" s="32">
        <f t="shared" si="88"/>
        <v>0</v>
      </c>
      <c r="H319" s="10"/>
      <c r="I319" s="10"/>
      <c r="J319" s="10"/>
      <c r="K319" s="12">
        <f t="shared" si="89"/>
        <v>0</v>
      </c>
      <c r="M319" s="10">
        <v>33</v>
      </c>
      <c r="N319" s="30"/>
      <c r="O319" s="31"/>
      <c r="P319" s="47"/>
      <c r="Q319" s="31"/>
      <c r="R319" s="31"/>
      <c r="S319" s="32">
        <f t="shared" si="90"/>
        <v>0</v>
      </c>
      <c r="T319" s="10"/>
      <c r="U319" s="10"/>
      <c r="V319" s="10"/>
      <c r="W319" s="12">
        <f t="shared" si="91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7"/>
        <v>0</v>
      </c>
      <c r="AF319" s="10"/>
      <c r="AG319" s="10"/>
      <c r="AH319" s="10"/>
      <c r="AI319" s="12">
        <f t="shared" si="93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57"/>
      <c r="D320" s="32"/>
      <c r="E320" s="32"/>
      <c r="F320" s="32"/>
      <c r="G320" s="32">
        <f t="shared" si="88"/>
        <v>0</v>
      </c>
      <c r="H320" s="10"/>
      <c r="I320" s="10"/>
      <c r="J320" s="10"/>
      <c r="K320" s="12">
        <f t="shared" si="89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8">SUM(P320:Q320)</f>
        <v>0</v>
      </c>
      <c r="T320" s="10"/>
      <c r="U320" s="10"/>
      <c r="V320" s="10"/>
      <c r="W320" s="12">
        <f t="shared" ref="W320:W328" si="99">SUM(S320:V320)</f>
        <v>0</v>
      </c>
      <c r="Y320" s="10">
        <v>34</v>
      </c>
      <c r="Z320" s="30"/>
      <c r="AB320" s="47"/>
      <c r="AC320" s="31"/>
      <c r="AD320" s="31"/>
      <c r="AE320" s="32">
        <f t="shared" si="97"/>
        <v>0</v>
      </c>
      <c r="AF320" s="10"/>
      <c r="AG320" s="10"/>
      <c r="AH320" s="10"/>
      <c r="AI320" s="12">
        <f t="shared" ref="AI320:AI328" si="100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8"/>
        <v>0</v>
      </c>
      <c r="T321" s="10"/>
      <c r="U321" s="10"/>
      <c r="V321" s="10"/>
      <c r="W321" s="12">
        <f t="shared" si="9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7"/>
        <v>0</v>
      </c>
      <c r="AF321" s="10"/>
      <c r="AG321" s="10"/>
      <c r="AH321" s="10"/>
      <c r="AI321" s="12">
        <f t="shared" si="100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8"/>
        <v>0</v>
      </c>
      <c r="T322" s="10"/>
      <c r="U322" s="10"/>
      <c r="V322" s="10"/>
      <c r="W322" s="12">
        <f t="shared" si="9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7"/>
        <v>0</v>
      </c>
      <c r="AF322" s="10"/>
      <c r="AG322" s="10"/>
      <c r="AH322" s="10"/>
      <c r="AI322" s="12">
        <f t="shared" si="100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8"/>
        <v>0</v>
      </c>
      <c r="T323" s="10"/>
      <c r="U323" s="10"/>
      <c r="V323" s="10"/>
      <c r="W323" s="12">
        <f t="shared" si="9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7"/>
        <v>0</v>
      </c>
      <c r="AF323" s="10"/>
      <c r="AG323" s="10"/>
      <c r="AH323" s="10"/>
      <c r="AI323" s="12">
        <f t="shared" si="100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8"/>
        <v>0</v>
      </c>
      <c r="T324" s="10"/>
      <c r="U324" s="10"/>
      <c r="V324" s="10"/>
      <c r="W324" s="12">
        <f t="shared" si="9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7"/>
        <v>0</v>
      </c>
      <c r="AF324" s="10"/>
      <c r="AG324" s="10"/>
      <c r="AH324" s="10"/>
      <c r="AI324" s="12">
        <f t="shared" si="100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8"/>
        <v>0</v>
      </c>
      <c r="T325" s="10"/>
      <c r="U325" s="10"/>
      <c r="V325" s="10"/>
      <c r="W325" s="12">
        <f t="shared" si="9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7"/>
        <v>0</v>
      </c>
      <c r="AF325" s="10"/>
      <c r="AG325" s="10"/>
      <c r="AH325" s="10"/>
      <c r="AI325" s="12">
        <f t="shared" si="100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0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1">SUM(D327:E327)</f>
        <v>0</v>
      </c>
      <c r="H327" s="10"/>
      <c r="I327" s="10"/>
      <c r="J327" s="10"/>
      <c r="K327" s="12">
        <f t="shared" ref="K327" si="102">SUM(G327:J327)</f>
        <v>0</v>
      </c>
      <c r="M327" s="10"/>
      <c r="N327" s="30"/>
      <c r="O327" s="31"/>
      <c r="P327" s="47"/>
      <c r="Q327" s="31"/>
      <c r="R327" s="31"/>
      <c r="S327" s="32">
        <f t="shared" ref="S327" si="103">SUM(P327:Q327)</f>
        <v>0</v>
      </c>
      <c r="T327" s="10"/>
      <c r="U327" s="10"/>
      <c r="V327" s="10"/>
      <c r="W327" s="12">
        <f t="shared" si="99"/>
        <v>0</v>
      </c>
      <c r="Y327" s="10"/>
      <c r="Z327" s="30"/>
      <c r="AA327" s="31"/>
      <c r="AB327" s="47"/>
      <c r="AC327" s="31"/>
      <c r="AD327" s="31"/>
      <c r="AE327" s="32">
        <f t="shared" ref="AE327" si="104">SUM(AB327:AC327)</f>
        <v>0</v>
      </c>
      <c r="AF327" s="10"/>
      <c r="AG327" s="10"/>
      <c r="AH327" s="10"/>
      <c r="AI327" s="12">
        <f t="shared" si="100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0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289815</v>
      </c>
      <c r="E330" s="38">
        <f t="shared" ref="E330:F330" si="105">SUM(E287:E327)</f>
        <v>0</v>
      </c>
      <c r="F330" s="38">
        <f t="shared" si="105"/>
        <v>0</v>
      </c>
      <c r="G330" s="38">
        <f>SUM(G287:G329)</f>
        <v>289815</v>
      </c>
      <c r="H330" s="4"/>
      <c r="I330" s="39">
        <f>SUM(I287:I329)</f>
        <v>0</v>
      </c>
      <c r="J330" s="39">
        <f>SUM(J287:J329)</f>
        <v>-31080</v>
      </c>
      <c r="K330" s="40">
        <f>SUM(K287:K329)</f>
        <v>258735</v>
      </c>
      <c r="N330" s="57"/>
      <c r="O330" s="57"/>
      <c r="P330" s="38">
        <f>SUM(P287:P329)</f>
        <v>157107</v>
      </c>
      <c r="Q330" s="38">
        <f>SUM(Q287:Q311)</f>
        <v>0</v>
      </c>
      <c r="R330" s="38">
        <f>SUM(R287:R311)</f>
        <v>0</v>
      </c>
      <c r="S330" s="38">
        <f>SUM(S287:S329)</f>
        <v>157107</v>
      </c>
      <c r="T330" s="4"/>
      <c r="U330" s="41">
        <f>SUM(U287:U329)</f>
        <v>462</v>
      </c>
      <c r="V330" s="41">
        <f>SUM(V287:V311)</f>
        <v>-447</v>
      </c>
      <c r="W330" s="42">
        <f>SUM(W287:W329)</f>
        <v>157122</v>
      </c>
      <c r="Z330" s="57"/>
      <c r="AA330" s="57"/>
      <c r="AB330" s="38">
        <f>SUM(AB287:AB329)</f>
        <v>264529</v>
      </c>
      <c r="AC330" s="38">
        <f>SUM(AC287:AC311)</f>
        <v>-2064</v>
      </c>
      <c r="AD330" s="38">
        <f>SUM(AD287:AD311)</f>
        <v>0</v>
      </c>
      <c r="AE330" s="38">
        <f>SUM(AE287:AE329)</f>
        <v>262465</v>
      </c>
      <c r="AF330" s="4"/>
      <c r="AG330" s="41">
        <f>SUM(AG287:AG329)</f>
        <v>31.5</v>
      </c>
      <c r="AH330" s="41">
        <f>SUM(AH287:AH311)</f>
        <v>-490</v>
      </c>
      <c r="AI330" s="42">
        <f>SUM(AI287:AI329)</f>
        <v>262006.5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37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9" t="s">
        <v>17</v>
      </c>
      <c r="E340" s="109"/>
      <c r="F340" s="100"/>
      <c r="G340" s="27"/>
      <c r="I340" s="107" t="s">
        <v>18</v>
      </c>
      <c r="J340" s="108"/>
      <c r="K340" s="110" t="s">
        <v>19</v>
      </c>
      <c r="N340" s="25"/>
      <c r="O340" s="26"/>
      <c r="P340" s="109" t="s">
        <v>17</v>
      </c>
      <c r="Q340" s="109"/>
      <c r="R340" s="100"/>
      <c r="S340" s="27"/>
      <c r="U340" s="107" t="s">
        <v>18</v>
      </c>
      <c r="V340" s="108"/>
      <c r="W340" s="110" t="s">
        <v>19</v>
      </c>
      <c r="Z340" s="25"/>
      <c r="AA340" s="26"/>
      <c r="AB340" s="109" t="s">
        <v>17</v>
      </c>
      <c r="AC340" s="109"/>
      <c r="AD340" s="100"/>
      <c r="AE340" s="27"/>
      <c r="AG340" s="107" t="s">
        <v>18</v>
      </c>
      <c r="AH340" s="108"/>
      <c r="AI340" s="110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1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1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1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45881</v>
      </c>
      <c r="C342" s="91">
        <v>7695</v>
      </c>
      <c r="D342" s="32">
        <f>1252+614+19</f>
        <v>1885</v>
      </c>
      <c r="E342" s="32"/>
      <c r="F342" s="32"/>
      <c r="G342" s="32">
        <f t="shared" ref="G342:G386" si="106">SUM(D342:E342)</f>
        <v>1885</v>
      </c>
      <c r="H342" s="12"/>
      <c r="I342" s="12">
        <v>2.5</v>
      </c>
      <c r="J342" s="12"/>
      <c r="K342" s="12">
        <f t="shared" ref="K342:K386" si="107">SUM(G342:J342)</f>
        <v>1887.5</v>
      </c>
      <c r="M342" s="10">
        <v>1</v>
      </c>
      <c r="N342" s="30">
        <v>45881</v>
      </c>
      <c r="O342" s="31">
        <v>7718</v>
      </c>
      <c r="P342" s="32">
        <f>5634+9.5*9</f>
        <v>5719.5</v>
      </c>
      <c r="Q342" s="32"/>
      <c r="R342" s="32"/>
      <c r="S342" s="32">
        <f>SUM(P342:Q342)</f>
        <v>5719.5</v>
      </c>
      <c r="T342" s="12"/>
      <c r="U342" s="12">
        <v>10.5</v>
      </c>
      <c r="V342" s="12"/>
      <c r="W342" s="12">
        <f>SUM(S342:V342)</f>
        <v>5730</v>
      </c>
      <c r="Y342" s="10">
        <v>1</v>
      </c>
      <c r="Z342" s="30">
        <v>45881</v>
      </c>
      <c r="AA342" s="31">
        <v>7497</v>
      </c>
      <c r="AB342" s="32">
        <f>626*324+614*10+674*10+596*108+852*5+832*5</f>
        <v>288492</v>
      </c>
      <c r="AC342" s="32">
        <f>-452*6</f>
        <v>-2712</v>
      </c>
      <c r="AD342" s="32"/>
      <c r="AE342" s="32">
        <f>SUM(AB342:AC342)</f>
        <v>285780</v>
      </c>
      <c r="AF342" s="12"/>
      <c r="AG342" s="12">
        <f>120*2+170*111</f>
        <v>19110</v>
      </c>
      <c r="AH342" s="12">
        <f>-780+-84+-336</f>
        <v>-1200</v>
      </c>
      <c r="AI342" s="12">
        <f>SUM(AE342:AH342)</f>
        <v>303690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45881</v>
      </c>
      <c r="C343" s="91">
        <f>C342+1</f>
        <v>7696</v>
      </c>
      <c r="D343" s="32">
        <f>21910+1228+2980</f>
        <v>26118</v>
      </c>
      <c r="E343" s="32"/>
      <c r="F343" s="32"/>
      <c r="G343" s="32">
        <f t="shared" si="106"/>
        <v>26118</v>
      </c>
      <c r="H343" s="12"/>
      <c r="I343" s="12">
        <v>54</v>
      </c>
      <c r="J343" s="12"/>
      <c r="K343" s="12">
        <f t="shared" si="107"/>
        <v>26172</v>
      </c>
      <c r="M343" s="10">
        <v>2</v>
      </c>
      <c r="N343" s="30">
        <v>45881</v>
      </c>
      <c r="O343" s="31">
        <f>O342+1</f>
        <v>7719</v>
      </c>
      <c r="P343" s="32">
        <f>1878+28.5</f>
        <v>1906.5</v>
      </c>
      <c r="Q343" s="32"/>
      <c r="R343" s="32"/>
      <c r="S343" s="32">
        <f t="shared" ref="S343:S386" si="108">SUM(P343:Q343)</f>
        <v>1906.5</v>
      </c>
      <c r="T343" s="12"/>
      <c r="U343" s="12"/>
      <c r="V343" s="12">
        <v>-777</v>
      </c>
      <c r="W343" s="12">
        <f t="shared" ref="W343:W386" si="109">SUM(S343:V343)</f>
        <v>1129.5</v>
      </c>
      <c r="Y343" s="10">
        <v>2</v>
      </c>
      <c r="Z343" s="30">
        <v>45881</v>
      </c>
      <c r="AA343" s="31">
        <f>AA342+1</f>
        <v>7498</v>
      </c>
      <c r="AB343" s="32">
        <f>6260+229+3250</f>
        <v>9739</v>
      </c>
      <c r="AC343" s="32"/>
      <c r="AD343" s="32"/>
      <c r="AE343" s="32">
        <f t="shared" ref="AE343:AE347" si="110">SUM(AB343:AC343)</f>
        <v>9739</v>
      </c>
      <c r="AF343" s="12"/>
      <c r="AG343" s="12"/>
      <c r="AH343" s="12"/>
      <c r="AI343" s="12">
        <f t="shared" ref="AI343:AI386" si="111">SUM(AE343:AH343)</f>
        <v>9739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45881</v>
      </c>
      <c r="C344" s="91">
        <f t="shared" ref="C344:C359" si="112">C343+1</f>
        <v>7697</v>
      </c>
      <c r="D344" s="33">
        <f>2504+614+38</f>
        <v>3156</v>
      </c>
      <c r="E344" s="33"/>
      <c r="F344" s="33"/>
      <c r="G344" s="33">
        <f t="shared" si="106"/>
        <v>3156</v>
      </c>
      <c r="H344" s="34"/>
      <c r="I344" s="34"/>
      <c r="J344" s="34"/>
      <c r="K344" s="34">
        <f t="shared" si="107"/>
        <v>3156</v>
      </c>
      <c r="M344" s="10">
        <v>3</v>
      </c>
      <c r="N344" s="30">
        <v>45881</v>
      </c>
      <c r="O344" s="31">
        <f t="shared" ref="O344:O364" si="113">O343+1</f>
        <v>7720</v>
      </c>
      <c r="P344" s="32">
        <f>62600+458</f>
        <v>63058</v>
      </c>
      <c r="Q344" s="32">
        <v>-600</v>
      </c>
      <c r="R344" s="32"/>
      <c r="S344" s="32">
        <f t="shared" si="108"/>
        <v>62458</v>
      </c>
      <c r="T344" s="12"/>
      <c r="U344" s="12"/>
      <c r="V344" s="12"/>
      <c r="W344" s="12">
        <f t="shared" si="109"/>
        <v>62458</v>
      </c>
      <c r="Y344" s="10">
        <v>3</v>
      </c>
      <c r="Z344" s="30"/>
      <c r="AA344" s="11" t="s">
        <v>27</v>
      </c>
      <c r="AB344" s="33"/>
      <c r="AC344" s="33"/>
      <c r="AD344" s="32"/>
      <c r="AE344" s="32">
        <f t="shared" si="110"/>
        <v>0</v>
      </c>
      <c r="AF344" s="12"/>
      <c r="AG344" s="12"/>
      <c r="AH344" s="12"/>
      <c r="AI344" s="12">
        <f t="shared" si="111"/>
        <v>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45881</v>
      </c>
      <c r="C345" s="91">
        <f t="shared" si="112"/>
        <v>7698</v>
      </c>
      <c r="D345" s="32">
        <f>5634+1228+596+95</f>
        <v>7553</v>
      </c>
      <c r="E345" s="32"/>
      <c r="F345" s="32"/>
      <c r="G345" s="32">
        <f t="shared" si="106"/>
        <v>7553</v>
      </c>
      <c r="H345" s="12"/>
      <c r="I345" s="12">
        <v>20</v>
      </c>
      <c r="J345" s="12"/>
      <c r="K345" s="12">
        <f t="shared" si="107"/>
        <v>7573</v>
      </c>
      <c r="M345" s="10">
        <v>4</v>
      </c>
      <c r="N345" s="30">
        <v>45881</v>
      </c>
      <c r="O345" s="31">
        <f t="shared" si="113"/>
        <v>7721</v>
      </c>
      <c r="P345" s="32">
        <f>15024</f>
        <v>15024</v>
      </c>
      <c r="Q345" s="32"/>
      <c r="R345" s="32"/>
      <c r="S345" s="32">
        <f t="shared" si="108"/>
        <v>15024</v>
      </c>
      <c r="T345" s="12"/>
      <c r="U345" s="12"/>
      <c r="V345" s="12"/>
      <c r="W345" s="12">
        <f t="shared" si="109"/>
        <v>15024</v>
      </c>
      <c r="Y345" s="10">
        <v>4</v>
      </c>
      <c r="Z345" s="30"/>
      <c r="AA345" s="31"/>
      <c r="AB345" s="32"/>
      <c r="AC345" s="32"/>
      <c r="AD345" s="32"/>
      <c r="AE345" s="32">
        <f t="shared" si="110"/>
        <v>0</v>
      </c>
      <c r="AF345" s="12"/>
      <c r="AH345" s="12"/>
      <c r="AI345" s="12">
        <f t="shared" si="111"/>
        <v>0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45881</v>
      </c>
      <c r="C346" s="91">
        <f t="shared" si="112"/>
        <v>7699</v>
      </c>
      <c r="D346" s="32">
        <f>5634+1842+4172+152</f>
        <v>11800</v>
      </c>
      <c r="E346" s="32"/>
      <c r="F346" s="32"/>
      <c r="G346" s="32">
        <f t="shared" si="106"/>
        <v>11800</v>
      </c>
      <c r="H346" s="12"/>
      <c r="I346" s="12"/>
      <c r="J346" s="12"/>
      <c r="K346" s="12">
        <f t="shared" si="107"/>
        <v>11800</v>
      </c>
      <c r="M346" s="10">
        <v>5</v>
      </c>
      <c r="N346" s="30">
        <v>45881</v>
      </c>
      <c r="O346" s="31">
        <f t="shared" si="113"/>
        <v>7722</v>
      </c>
      <c r="P346" s="32">
        <f>15650+674</f>
        <v>16324</v>
      </c>
      <c r="Q346" s="32"/>
      <c r="R346" s="32"/>
      <c r="S346" s="32">
        <f t="shared" si="108"/>
        <v>16324</v>
      </c>
      <c r="T346" s="12"/>
      <c r="U346" s="12"/>
      <c r="V346" s="12"/>
      <c r="W346" s="12">
        <f t="shared" si="109"/>
        <v>16324</v>
      </c>
      <c r="Y346" s="10">
        <v>5</v>
      </c>
      <c r="Z346" s="30"/>
      <c r="AA346" s="31"/>
      <c r="AB346" s="32"/>
      <c r="AC346" s="32"/>
      <c r="AD346" s="32"/>
      <c r="AE346" s="32">
        <f t="shared" ref="AE346:AE386" si="114">SUM(AB346:AC346)</f>
        <v>0</v>
      </c>
      <c r="AF346" s="12"/>
      <c r="AG346" s="12"/>
      <c r="AH346" s="12"/>
      <c r="AI346" s="12">
        <f t="shared" si="111"/>
        <v>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45881</v>
      </c>
      <c r="C347" s="91">
        <f t="shared" si="112"/>
        <v>7700</v>
      </c>
      <c r="D347" s="32">
        <f>1878+596+38</f>
        <v>2512</v>
      </c>
      <c r="E347" s="32"/>
      <c r="F347" s="32"/>
      <c r="G347" s="32">
        <f t="shared" si="106"/>
        <v>2512</v>
      </c>
      <c r="H347" s="12"/>
      <c r="I347" s="12">
        <v>13</v>
      </c>
      <c r="J347" s="12"/>
      <c r="K347" s="12">
        <f t="shared" si="107"/>
        <v>2525</v>
      </c>
      <c r="M347" s="10">
        <v>6</v>
      </c>
      <c r="N347" s="30">
        <v>45881</v>
      </c>
      <c r="O347" s="31">
        <f t="shared" si="113"/>
        <v>7723</v>
      </c>
      <c r="P347" s="32">
        <f>7512+1228+448+1192</f>
        <v>10380</v>
      </c>
      <c r="Q347" s="32"/>
      <c r="R347" s="32"/>
      <c r="S347" s="32">
        <f t="shared" si="108"/>
        <v>10380</v>
      </c>
      <c r="T347" s="12"/>
      <c r="U347" s="12">
        <f>72+27</f>
        <v>99</v>
      </c>
      <c r="V347" s="10"/>
      <c r="W347" s="12">
        <f t="shared" si="109"/>
        <v>10479</v>
      </c>
      <c r="Y347" s="10">
        <v>6</v>
      </c>
      <c r="Z347" s="30"/>
      <c r="AA347" s="31"/>
      <c r="AB347" s="32"/>
      <c r="AC347" s="32"/>
      <c r="AD347" s="32"/>
      <c r="AE347" s="32">
        <f t="shared" si="114"/>
        <v>0</v>
      </c>
      <c r="AF347" s="12"/>
      <c r="AG347" s="12"/>
      <c r="AH347" s="10"/>
      <c r="AI347" s="12">
        <f t="shared" si="111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45881</v>
      </c>
      <c r="C348" s="91">
        <v>7801</v>
      </c>
      <c r="D348" s="32">
        <f>1878+1192+47</f>
        <v>3117</v>
      </c>
      <c r="E348" s="32"/>
      <c r="F348" s="32"/>
      <c r="G348" s="32">
        <f t="shared" si="106"/>
        <v>3117</v>
      </c>
      <c r="H348" s="12"/>
      <c r="I348" s="12"/>
      <c r="J348" s="12"/>
      <c r="K348" s="12">
        <f t="shared" si="107"/>
        <v>3117</v>
      </c>
      <c r="M348" s="10">
        <v>7</v>
      </c>
      <c r="N348" s="30">
        <v>45881</v>
      </c>
      <c r="O348" s="31">
        <f t="shared" si="113"/>
        <v>7724</v>
      </c>
      <c r="P348" s="32">
        <f>626+614+9.5</f>
        <v>1249.5</v>
      </c>
      <c r="Q348" s="32"/>
      <c r="R348" s="32"/>
      <c r="S348" s="32">
        <f t="shared" si="108"/>
        <v>1249.5</v>
      </c>
      <c r="T348" s="12"/>
      <c r="U348" s="12"/>
      <c r="V348" s="12"/>
      <c r="W348" s="12">
        <f t="shared" si="109"/>
        <v>1249.5</v>
      </c>
      <c r="Y348" s="10">
        <v>7</v>
      </c>
      <c r="Z348" s="30"/>
      <c r="AA348" s="31"/>
      <c r="AB348" s="32"/>
      <c r="AC348" s="32"/>
      <c r="AD348" s="32"/>
      <c r="AE348" s="32">
        <f t="shared" si="114"/>
        <v>0</v>
      </c>
      <c r="AF348" s="12"/>
      <c r="AG348" s="58"/>
      <c r="AH348" s="12"/>
      <c r="AI348" s="12">
        <f t="shared" si="111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45881</v>
      </c>
      <c r="C349" s="91">
        <f t="shared" si="112"/>
        <v>7802</v>
      </c>
      <c r="D349" s="32">
        <f>3756+614+596+66</f>
        <v>5032</v>
      </c>
      <c r="E349" s="32"/>
      <c r="F349" s="32"/>
      <c r="G349" s="32">
        <f t="shared" si="106"/>
        <v>5032</v>
      </c>
      <c r="H349" s="12"/>
      <c r="I349" s="12">
        <v>27</v>
      </c>
      <c r="J349" s="12"/>
      <c r="K349" s="12">
        <f t="shared" si="107"/>
        <v>5059</v>
      </c>
      <c r="M349" s="10">
        <v>8</v>
      </c>
      <c r="N349" s="30">
        <v>45881</v>
      </c>
      <c r="O349" s="31">
        <f t="shared" si="113"/>
        <v>7725</v>
      </c>
      <c r="P349" s="32">
        <f>10016+614+2980+2496+9.5*10</f>
        <v>16201</v>
      </c>
      <c r="Q349" s="32"/>
      <c r="R349" s="32"/>
      <c r="S349" s="32">
        <f t="shared" si="108"/>
        <v>16201</v>
      </c>
      <c r="T349" s="12"/>
      <c r="U349" s="12">
        <f>555+72+24.75</f>
        <v>651.75</v>
      </c>
      <c r="V349" s="12"/>
      <c r="W349" s="12">
        <f t="shared" si="109"/>
        <v>16852.75</v>
      </c>
      <c r="Y349" s="10">
        <v>8</v>
      </c>
      <c r="Z349" s="30"/>
      <c r="AA349" s="31"/>
      <c r="AB349" s="32"/>
      <c r="AC349" s="32"/>
      <c r="AE349" s="32">
        <f t="shared" si="114"/>
        <v>0</v>
      </c>
      <c r="AF349" s="12"/>
      <c r="AG349" s="12"/>
      <c r="AH349" s="12"/>
      <c r="AI349" s="12">
        <f t="shared" si="111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45881</v>
      </c>
      <c r="C350" s="91">
        <f t="shared" si="112"/>
        <v>7803</v>
      </c>
      <c r="D350" s="32">
        <f>6260+95</f>
        <v>6355</v>
      </c>
      <c r="E350" s="32"/>
      <c r="F350" s="32"/>
      <c r="G350" s="32">
        <f t="shared" si="106"/>
        <v>6355</v>
      </c>
      <c r="H350" s="12"/>
      <c r="I350" s="12"/>
      <c r="J350" s="12"/>
      <c r="K350" s="12">
        <f t="shared" si="107"/>
        <v>6355</v>
      </c>
      <c r="M350" s="10">
        <v>9</v>
      </c>
      <c r="N350" s="30">
        <v>45881</v>
      </c>
      <c r="O350" s="31">
        <f t="shared" si="113"/>
        <v>7726</v>
      </c>
      <c r="P350" s="32">
        <f>9390</f>
        <v>9390</v>
      </c>
      <c r="Q350" s="32"/>
      <c r="R350" s="32"/>
      <c r="S350" s="32">
        <f t="shared" si="108"/>
        <v>9390</v>
      </c>
      <c r="T350" s="12"/>
      <c r="U350" s="12"/>
      <c r="V350" s="12"/>
      <c r="W350" s="12">
        <f t="shared" si="109"/>
        <v>9390</v>
      </c>
      <c r="Y350" s="10">
        <v>9</v>
      </c>
      <c r="Z350" s="30"/>
      <c r="AA350" s="31"/>
      <c r="AC350" s="32"/>
      <c r="AD350" s="32"/>
      <c r="AE350" s="32">
        <f t="shared" si="114"/>
        <v>0</v>
      </c>
      <c r="AF350" s="12"/>
      <c r="AH350" s="12"/>
      <c r="AI350" s="12">
        <f t="shared" si="111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45881</v>
      </c>
      <c r="C351" s="91">
        <f t="shared" si="112"/>
        <v>7804</v>
      </c>
      <c r="D351" s="32">
        <f>3130+596+57</f>
        <v>3783</v>
      </c>
      <c r="E351" s="32"/>
      <c r="F351" s="32"/>
      <c r="G351" s="32">
        <f t="shared" si="106"/>
        <v>3783</v>
      </c>
      <c r="H351" s="12"/>
      <c r="I351" s="12">
        <v>37</v>
      </c>
      <c r="J351" s="12"/>
      <c r="K351" s="12">
        <f t="shared" si="107"/>
        <v>3820</v>
      </c>
      <c r="M351" s="10">
        <v>10</v>
      </c>
      <c r="N351" s="30">
        <v>45881</v>
      </c>
      <c r="O351" s="31">
        <f t="shared" si="113"/>
        <v>7727</v>
      </c>
      <c r="P351" s="32">
        <f>1878+2384+66.5</f>
        <v>4328.5</v>
      </c>
      <c r="Q351" s="32"/>
      <c r="R351" s="32"/>
      <c r="S351" s="32">
        <f t="shared" si="108"/>
        <v>4328.5</v>
      </c>
      <c r="T351" s="12"/>
      <c r="U351" s="12"/>
      <c r="V351" s="12"/>
      <c r="W351" s="12">
        <f t="shared" si="109"/>
        <v>4328.5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1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45881</v>
      </c>
      <c r="C352" s="91">
        <f t="shared" si="112"/>
        <v>7805</v>
      </c>
      <c r="D352" s="32">
        <f>3756+57</f>
        <v>3813</v>
      </c>
      <c r="E352" s="32"/>
      <c r="F352" s="32"/>
      <c r="G352" s="32">
        <f t="shared" si="106"/>
        <v>3813</v>
      </c>
      <c r="H352" s="12"/>
      <c r="I352" s="12"/>
      <c r="J352" s="12"/>
      <c r="K352" s="12">
        <f t="shared" si="107"/>
        <v>3813</v>
      </c>
      <c r="M352" s="10">
        <v>11</v>
      </c>
      <c r="N352" s="30">
        <v>45881</v>
      </c>
      <c r="O352" s="31">
        <f t="shared" si="113"/>
        <v>7728</v>
      </c>
      <c r="P352" s="32">
        <f>3130+614+1192+9.5*7</f>
        <v>5002.5</v>
      </c>
      <c r="Q352" s="32"/>
      <c r="R352" s="32"/>
      <c r="S352" s="32">
        <f t="shared" si="108"/>
        <v>5002.5</v>
      </c>
      <c r="T352" s="12"/>
      <c r="U352" s="12">
        <v>27</v>
      </c>
      <c r="V352" s="12"/>
      <c r="W352" s="12">
        <f t="shared" si="109"/>
        <v>5029.5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1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45881</v>
      </c>
      <c r="C353" s="91">
        <f t="shared" si="112"/>
        <v>7806</v>
      </c>
      <c r="D353" s="32">
        <f>2504+596+47</f>
        <v>3147</v>
      </c>
      <c r="E353" s="32"/>
      <c r="F353" s="32"/>
      <c r="G353" s="32">
        <f t="shared" si="106"/>
        <v>3147</v>
      </c>
      <c r="H353" s="12"/>
      <c r="I353" s="12"/>
      <c r="J353" s="10"/>
      <c r="K353" s="12">
        <f t="shared" si="107"/>
        <v>3147</v>
      </c>
      <c r="M353" s="10">
        <v>12</v>
      </c>
      <c r="N353" s="30">
        <v>45881</v>
      </c>
      <c r="O353" s="31">
        <f t="shared" si="113"/>
        <v>7729</v>
      </c>
      <c r="P353" s="32">
        <f>852</f>
        <v>852</v>
      </c>
      <c r="Q353" s="32"/>
      <c r="R353" s="32"/>
      <c r="S353" s="32">
        <f t="shared" si="108"/>
        <v>852</v>
      </c>
      <c r="T353" s="12"/>
      <c r="U353" s="12"/>
      <c r="V353" s="12"/>
      <c r="W353" s="12">
        <f t="shared" si="109"/>
        <v>852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1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45881</v>
      </c>
      <c r="C354" s="91">
        <f t="shared" si="112"/>
        <v>7807</v>
      </c>
      <c r="D354" s="32">
        <f>3130+47</f>
        <v>3177</v>
      </c>
      <c r="E354" s="32"/>
      <c r="F354" s="32"/>
      <c r="G354" s="32">
        <f t="shared" si="106"/>
        <v>3177</v>
      </c>
      <c r="H354" s="12"/>
      <c r="I354" s="12"/>
      <c r="J354" s="12"/>
      <c r="K354" s="12">
        <f t="shared" si="107"/>
        <v>3177</v>
      </c>
      <c r="M354" s="10">
        <v>13</v>
      </c>
      <c r="N354" s="30">
        <v>45881</v>
      </c>
      <c r="O354" s="31">
        <f t="shared" si="113"/>
        <v>7730</v>
      </c>
      <c r="P354" s="32">
        <f>596</f>
        <v>596</v>
      </c>
      <c r="Q354" s="32"/>
      <c r="R354" s="32"/>
      <c r="S354" s="32">
        <f t="shared" si="108"/>
        <v>596</v>
      </c>
      <c r="T354" s="12"/>
      <c r="U354" s="12"/>
      <c r="V354" s="12"/>
      <c r="W354" s="12">
        <f t="shared" si="109"/>
        <v>596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1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45881</v>
      </c>
      <c r="C355" s="91">
        <f t="shared" si="112"/>
        <v>7808</v>
      </c>
      <c r="D355" s="32">
        <f>3130+1788+76</f>
        <v>4994</v>
      </c>
      <c r="E355" s="32"/>
      <c r="F355" s="32"/>
      <c r="G355" s="32">
        <f t="shared" si="106"/>
        <v>4994</v>
      </c>
      <c r="H355" s="12"/>
      <c r="I355" s="12"/>
      <c r="J355" s="12"/>
      <c r="K355" s="12">
        <f t="shared" si="107"/>
        <v>4994</v>
      </c>
      <c r="M355" s="10">
        <v>14</v>
      </c>
      <c r="N355" s="30">
        <v>45881</v>
      </c>
      <c r="O355" s="31">
        <f t="shared" si="113"/>
        <v>7731</v>
      </c>
      <c r="P355" s="32">
        <f>1228</f>
        <v>1228</v>
      </c>
      <c r="Q355" s="32"/>
      <c r="R355" s="32"/>
      <c r="S355" s="32">
        <f t="shared" si="108"/>
        <v>1228</v>
      </c>
      <c r="T355" s="12"/>
      <c r="U355" s="12"/>
      <c r="V355" s="12"/>
      <c r="W355" s="12">
        <f t="shared" si="109"/>
        <v>1228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1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45881</v>
      </c>
      <c r="C356" s="91">
        <f t="shared" si="112"/>
        <v>7809</v>
      </c>
      <c r="D356" s="32">
        <f>3756+1348+57</f>
        <v>5161</v>
      </c>
      <c r="E356" s="32"/>
      <c r="F356" s="32"/>
      <c r="G356" s="32">
        <f t="shared" si="106"/>
        <v>5161</v>
      </c>
      <c r="H356" s="12"/>
      <c r="I356" s="12">
        <v>222</v>
      </c>
      <c r="J356" s="12"/>
      <c r="K356" s="12">
        <f t="shared" si="107"/>
        <v>5383</v>
      </c>
      <c r="M356" s="10">
        <v>15</v>
      </c>
      <c r="N356" s="30">
        <v>45881</v>
      </c>
      <c r="O356" s="31">
        <f t="shared" si="113"/>
        <v>7732</v>
      </c>
      <c r="P356" s="32">
        <f>626+66.5</f>
        <v>692.5</v>
      </c>
      <c r="Q356" s="32"/>
      <c r="R356" s="32"/>
      <c r="S356" s="32">
        <f t="shared" si="108"/>
        <v>692.5</v>
      </c>
      <c r="T356" s="12"/>
      <c r="U356" s="12"/>
      <c r="V356" s="12"/>
      <c r="W356" s="12">
        <f t="shared" si="109"/>
        <v>692.5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1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45881</v>
      </c>
      <c r="C357" s="91">
        <f t="shared" si="112"/>
        <v>7810</v>
      </c>
      <c r="D357" s="32">
        <f>12520+2980</f>
        <v>15500</v>
      </c>
      <c r="E357" s="32"/>
      <c r="F357" s="32"/>
      <c r="G357" s="32">
        <f t="shared" si="106"/>
        <v>15500</v>
      </c>
      <c r="H357" s="12"/>
      <c r="I357" s="12"/>
      <c r="J357" s="12"/>
      <c r="K357" s="12">
        <f t="shared" si="107"/>
        <v>15500</v>
      </c>
      <c r="M357" s="10">
        <v>16</v>
      </c>
      <c r="N357" s="30">
        <v>45881</v>
      </c>
      <c r="O357" s="31">
        <f t="shared" si="113"/>
        <v>7733</v>
      </c>
      <c r="P357" s="32">
        <f>12520+3070+5960+229</f>
        <v>21779</v>
      </c>
      <c r="Q357" s="32"/>
      <c r="R357" s="32"/>
      <c r="S357" s="32">
        <f t="shared" si="108"/>
        <v>21779</v>
      </c>
      <c r="T357" s="12"/>
      <c r="U357" s="12"/>
      <c r="V357" s="12"/>
      <c r="W357" s="12">
        <f t="shared" si="109"/>
        <v>21779</v>
      </c>
      <c r="Y357" s="10">
        <v>16</v>
      </c>
      <c r="Z357" s="30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1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45881</v>
      </c>
      <c r="C358" s="91">
        <f t="shared" si="112"/>
        <v>7811</v>
      </c>
      <c r="D358" s="32">
        <f>1878+28</f>
        <v>1906</v>
      </c>
      <c r="E358" s="32"/>
      <c r="F358" s="32"/>
      <c r="G358" s="32">
        <f t="shared" si="106"/>
        <v>1906</v>
      </c>
      <c r="H358" s="12"/>
      <c r="I358" s="12"/>
      <c r="J358" s="12"/>
      <c r="K358" s="12">
        <f t="shared" si="107"/>
        <v>1906</v>
      </c>
      <c r="M358" s="10">
        <v>17</v>
      </c>
      <c r="N358" s="30"/>
      <c r="O358" s="11" t="s">
        <v>27</v>
      </c>
      <c r="P358" s="35"/>
      <c r="Q358" s="32"/>
      <c r="R358" s="32"/>
      <c r="S358" s="32">
        <f t="shared" si="108"/>
        <v>0</v>
      </c>
      <c r="T358" s="12"/>
      <c r="U358" s="12"/>
      <c r="V358" s="12"/>
      <c r="W358" s="12">
        <f t="shared" si="109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1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11" t="s">
        <v>27</v>
      </c>
      <c r="D359" s="32"/>
      <c r="E359" s="32"/>
      <c r="F359" s="32"/>
      <c r="G359" s="32">
        <f t="shared" si="106"/>
        <v>0</v>
      </c>
      <c r="H359" s="12"/>
      <c r="I359" s="12"/>
      <c r="J359" s="12"/>
      <c r="K359" s="12">
        <f t="shared" si="107"/>
        <v>0</v>
      </c>
      <c r="M359" s="10">
        <v>18</v>
      </c>
      <c r="N359" s="30"/>
      <c r="O359" s="31"/>
      <c r="P359" s="32"/>
      <c r="Q359" s="32"/>
      <c r="R359" s="32"/>
      <c r="S359" s="32">
        <f t="shared" si="108"/>
        <v>0</v>
      </c>
      <c r="T359" s="12"/>
      <c r="U359" s="12"/>
      <c r="V359" s="12"/>
      <c r="W359" s="12">
        <f t="shared" si="109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1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D360" s="32"/>
      <c r="E360" s="32"/>
      <c r="F360" s="32"/>
      <c r="G360" s="32">
        <f t="shared" si="106"/>
        <v>0</v>
      </c>
      <c r="H360" s="12"/>
      <c r="I360" s="12"/>
      <c r="J360" s="12"/>
      <c r="K360" s="12">
        <f t="shared" si="107"/>
        <v>0</v>
      </c>
      <c r="M360" s="10">
        <v>19</v>
      </c>
      <c r="N360" s="30"/>
      <c r="O360" s="31"/>
      <c r="P360" s="32"/>
      <c r="Q360" s="32"/>
      <c r="R360" s="32"/>
      <c r="S360" s="32">
        <f t="shared" si="108"/>
        <v>0</v>
      </c>
      <c r="T360" s="12"/>
      <c r="U360" s="12"/>
      <c r="V360" s="12"/>
      <c r="W360" s="12">
        <f t="shared" si="109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1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6"/>
        <v>0</v>
      </c>
      <c r="H361" s="12"/>
      <c r="I361" s="12"/>
      <c r="J361" s="12"/>
      <c r="K361" s="12">
        <f t="shared" si="107"/>
        <v>0</v>
      </c>
      <c r="M361" s="10">
        <v>20</v>
      </c>
      <c r="N361" s="30"/>
      <c r="O361" s="31"/>
      <c r="P361" s="32"/>
      <c r="Q361" s="32"/>
      <c r="R361" s="32"/>
      <c r="S361" s="32">
        <f t="shared" si="108"/>
        <v>0</v>
      </c>
      <c r="T361" s="12"/>
      <c r="U361" s="12"/>
      <c r="V361" s="12"/>
      <c r="W361" s="12">
        <f t="shared" si="109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1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6"/>
        <v>0</v>
      </c>
      <c r="H362" s="10"/>
      <c r="I362" s="10"/>
      <c r="J362" s="10"/>
      <c r="K362" s="12">
        <f t="shared" si="107"/>
        <v>0</v>
      </c>
      <c r="M362" s="10">
        <v>21</v>
      </c>
      <c r="N362" s="30"/>
      <c r="O362" s="31"/>
      <c r="P362" s="46"/>
      <c r="Q362" s="31"/>
      <c r="R362" s="31"/>
      <c r="S362" s="32">
        <f t="shared" si="108"/>
        <v>0</v>
      </c>
      <c r="T362" s="10"/>
      <c r="U362" s="10"/>
      <c r="V362" s="10"/>
      <c r="W362" s="12">
        <f t="shared" si="109"/>
        <v>0</v>
      </c>
      <c r="Y362" s="10">
        <v>21</v>
      </c>
      <c r="Z362" s="30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1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6"/>
        <v>0</v>
      </c>
      <c r="H363" s="10"/>
      <c r="I363" s="10"/>
      <c r="J363" s="10"/>
      <c r="K363" s="12">
        <f t="shared" si="107"/>
        <v>0</v>
      </c>
      <c r="M363" s="10">
        <v>22</v>
      </c>
      <c r="N363" s="30"/>
      <c r="O363" s="31"/>
      <c r="P363" s="45"/>
      <c r="Q363" s="31"/>
      <c r="R363" s="31"/>
      <c r="S363" s="32">
        <f t="shared" si="108"/>
        <v>0</v>
      </c>
      <c r="T363" s="10"/>
      <c r="U363" s="10"/>
      <c r="V363" s="10"/>
      <c r="W363" s="12">
        <f t="shared" si="109"/>
        <v>0</v>
      </c>
      <c r="Y363" s="10">
        <v>22</v>
      </c>
      <c r="Z363" s="30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1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57"/>
      <c r="D364" s="32"/>
      <c r="E364" s="32"/>
      <c r="F364" s="32"/>
      <c r="G364" s="32">
        <f t="shared" si="106"/>
        <v>0</v>
      </c>
      <c r="H364" s="10"/>
      <c r="I364" s="10"/>
      <c r="J364" s="12"/>
      <c r="K364" s="12">
        <f t="shared" si="107"/>
        <v>0</v>
      </c>
      <c r="M364" s="10">
        <v>23</v>
      </c>
      <c r="N364" s="30"/>
      <c r="O364" s="31"/>
      <c r="P364" s="47"/>
      <c r="S364" s="32">
        <f t="shared" si="108"/>
        <v>0</v>
      </c>
      <c r="T364" s="10"/>
      <c r="U364" s="10"/>
      <c r="V364" s="10"/>
      <c r="W364" s="12">
        <f t="shared" si="109"/>
        <v>0</v>
      </c>
      <c r="Y364" s="10">
        <v>23</v>
      </c>
      <c r="Z364" s="30"/>
      <c r="AA364" s="31"/>
      <c r="AB364" s="47"/>
      <c r="AE364" s="32">
        <f t="shared" si="114"/>
        <v>0</v>
      </c>
      <c r="AF364" s="10"/>
      <c r="AG364" s="10"/>
      <c r="AH364" s="10"/>
      <c r="AI364" s="12">
        <f t="shared" si="111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106"/>
        <v>0</v>
      </c>
      <c r="H365" s="10"/>
      <c r="I365" s="10"/>
      <c r="J365" s="10"/>
      <c r="K365" s="12">
        <f t="shared" si="107"/>
        <v>0</v>
      </c>
      <c r="M365" s="10">
        <v>24</v>
      </c>
      <c r="N365" s="30"/>
      <c r="P365" s="47"/>
      <c r="Q365" s="31"/>
      <c r="R365" s="31"/>
      <c r="S365" s="32">
        <f t="shared" si="108"/>
        <v>0</v>
      </c>
      <c r="T365" s="10"/>
      <c r="U365" s="10"/>
      <c r="V365" s="10"/>
      <c r="W365" s="12">
        <f t="shared" si="109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1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106"/>
        <v>0</v>
      </c>
      <c r="H366" s="10"/>
      <c r="I366" s="10"/>
      <c r="J366" s="10"/>
      <c r="K366" s="12">
        <f t="shared" si="107"/>
        <v>0</v>
      </c>
      <c r="M366" s="10">
        <v>25</v>
      </c>
      <c r="N366" s="30"/>
      <c r="O366" s="31"/>
      <c r="P366" s="47"/>
      <c r="Q366" s="31"/>
      <c r="R366" s="31"/>
      <c r="S366" s="32">
        <f t="shared" si="108"/>
        <v>0</v>
      </c>
      <c r="T366" s="10"/>
      <c r="U366" s="10"/>
      <c r="V366" s="10"/>
      <c r="W366" s="12">
        <f t="shared" si="109"/>
        <v>0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1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11"/>
      <c r="D367" s="32"/>
      <c r="E367" s="32"/>
      <c r="F367" s="32"/>
      <c r="G367" s="32">
        <f t="shared" si="106"/>
        <v>0</v>
      </c>
      <c r="H367" s="10"/>
      <c r="I367" s="10"/>
      <c r="J367" s="10"/>
      <c r="K367" s="12">
        <f t="shared" si="107"/>
        <v>0</v>
      </c>
      <c r="M367" s="10">
        <v>26</v>
      </c>
      <c r="N367" s="30"/>
      <c r="P367" s="47"/>
      <c r="Q367" s="31"/>
      <c r="R367" s="31"/>
      <c r="S367" s="32">
        <f t="shared" si="108"/>
        <v>0</v>
      </c>
      <c r="T367" s="10"/>
      <c r="U367" s="10"/>
      <c r="V367" s="10"/>
      <c r="W367" s="12">
        <f t="shared" si="109"/>
        <v>0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1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57"/>
      <c r="D368" s="32"/>
      <c r="E368" s="32"/>
      <c r="F368" s="32"/>
      <c r="G368" s="32">
        <f t="shared" si="106"/>
        <v>0</v>
      </c>
      <c r="H368" s="10"/>
      <c r="I368" s="10"/>
      <c r="J368" s="10"/>
      <c r="K368" s="12">
        <f t="shared" si="107"/>
        <v>0</v>
      </c>
      <c r="M368" s="10">
        <v>27</v>
      </c>
      <c r="N368" s="30"/>
      <c r="O368" s="31"/>
      <c r="P368" s="47"/>
      <c r="Q368" s="31"/>
      <c r="R368" s="31"/>
      <c r="S368" s="32">
        <f t="shared" si="108"/>
        <v>0</v>
      </c>
      <c r="T368" s="10"/>
      <c r="U368" s="10"/>
      <c r="V368" s="10"/>
      <c r="W368" s="12">
        <f t="shared" si="109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1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106"/>
        <v>0</v>
      </c>
      <c r="H369" s="10"/>
      <c r="I369" s="10"/>
      <c r="J369" s="10"/>
      <c r="K369" s="12">
        <f t="shared" si="107"/>
        <v>0</v>
      </c>
      <c r="M369" s="10">
        <v>28</v>
      </c>
      <c r="N369" s="30"/>
      <c r="O369" s="31"/>
      <c r="P369" s="47"/>
      <c r="Q369" s="31"/>
      <c r="R369" s="31"/>
      <c r="S369" s="32">
        <f t="shared" si="108"/>
        <v>0</v>
      </c>
      <c r="T369" s="10"/>
      <c r="U369" s="10"/>
      <c r="V369" s="10"/>
      <c r="W369" s="12">
        <f t="shared" si="109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1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106"/>
        <v>0</v>
      </c>
      <c r="H370" s="10"/>
      <c r="I370" s="10"/>
      <c r="J370" s="10"/>
      <c r="K370" s="12">
        <f t="shared" si="107"/>
        <v>0</v>
      </c>
      <c r="M370" s="10">
        <v>29</v>
      </c>
      <c r="N370" s="30"/>
      <c r="P370" s="47"/>
      <c r="Q370" s="31"/>
      <c r="R370" s="31"/>
      <c r="S370" s="32">
        <f t="shared" si="108"/>
        <v>0</v>
      </c>
      <c r="T370" s="10"/>
      <c r="U370" s="10"/>
      <c r="V370" s="10"/>
      <c r="W370" s="12">
        <f t="shared" si="109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1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57"/>
      <c r="D371" s="32"/>
      <c r="E371" s="32"/>
      <c r="F371" s="32"/>
      <c r="G371" s="32">
        <f t="shared" si="106"/>
        <v>0</v>
      </c>
      <c r="H371" s="10"/>
      <c r="I371" s="10"/>
      <c r="J371" s="10"/>
      <c r="K371" s="12">
        <f t="shared" si="107"/>
        <v>0</v>
      </c>
      <c r="M371" s="10">
        <v>30</v>
      </c>
      <c r="N371" s="30"/>
      <c r="P371" s="47"/>
      <c r="Q371" s="31"/>
      <c r="R371" s="31"/>
      <c r="S371" s="32">
        <f t="shared" si="108"/>
        <v>0</v>
      </c>
      <c r="T371" s="10"/>
      <c r="U371" s="10"/>
      <c r="V371" s="10"/>
      <c r="W371" s="12">
        <f t="shared" si="109"/>
        <v>0</v>
      </c>
      <c r="Y371" s="10">
        <v>30</v>
      </c>
      <c r="Z371" s="30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1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106"/>
        <v>0</v>
      </c>
      <c r="H372" s="10"/>
      <c r="I372" s="10"/>
      <c r="J372" s="10"/>
      <c r="K372" s="12">
        <f t="shared" si="107"/>
        <v>0</v>
      </c>
      <c r="M372" s="10">
        <v>31</v>
      </c>
      <c r="N372" s="30"/>
      <c r="O372" s="31"/>
      <c r="P372" s="47"/>
      <c r="Q372" s="31"/>
      <c r="R372" s="31"/>
      <c r="S372" s="32">
        <f t="shared" si="108"/>
        <v>0</v>
      </c>
      <c r="T372" s="10"/>
      <c r="U372" s="10"/>
      <c r="V372" s="10"/>
      <c r="W372" s="12">
        <f t="shared" si="109"/>
        <v>0</v>
      </c>
      <c r="Y372" s="10">
        <v>31</v>
      </c>
      <c r="Z372" s="30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1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106"/>
        <v>0</v>
      </c>
      <c r="H373" s="10"/>
      <c r="I373" s="10"/>
      <c r="J373" s="10"/>
      <c r="K373" s="12">
        <f t="shared" si="107"/>
        <v>0</v>
      </c>
      <c r="M373" s="10">
        <v>32</v>
      </c>
      <c r="N373" s="30"/>
      <c r="P373" s="47"/>
      <c r="Q373" s="31"/>
      <c r="R373" s="31"/>
      <c r="S373" s="32">
        <f t="shared" si="108"/>
        <v>0</v>
      </c>
      <c r="T373" s="10"/>
      <c r="U373" s="10"/>
      <c r="V373" s="10"/>
      <c r="W373" s="12">
        <f t="shared" si="109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1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106"/>
        <v>0</v>
      </c>
      <c r="H374" s="10"/>
      <c r="I374" s="10"/>
      <c r="J374" s="10"/>
      <c r="K374" s="12">
        <f t="shared" si="107"/>
        <v>0</v>
      </c>
      <c r="M374" s="10">
        <v>33</v>
      </c>
      <c r="N374" s="30"/>
      <c r="O374" s="31"/>
      <c r="P374" s="47"/>
      <c r="Q374" s="31"/>
      <c r="R374" s="31"/>
      <c r="S374" s="32">
        <f t="shared" si="108"/>
        <v>0</v>
      </c>
      <c r="T374" s="10"/>
      <c r="U374" s="10"/>
      <c r="V374" s="10"/>
      <c r="W374" s="12">
        <f t="shared" si="109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1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106"/>
        <v>0</v>
      </c>
      <c r="H375" s="10"/>
      <c r="I375" s="10"/>
      <c r="J375" s="10"/>
      <c r="K375" s="12">
        <f t="shared" si="107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5" si="115">SUM(P375:Q375)</f>
        <v>0</v>
      </c>
      <c r="T375" s="10"/>
      <c r="U375" s="10"/>
      <c r="V375" s="10"/>
      <c r="W375" s="12">
        <f t="shared" ref="W375:W386" si="116">SUM(S375:V375)</f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6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16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16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16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16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16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6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6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6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109009</v>
      </c>
      <c r="E385" s="38">
        <f t="shared" ref="E385:G385" si="122">SUM(E342:E382)</f>
        <v>0</v>
      </c>
      <c r="F385" s="38">
        <f t="shared" si="122"/>
        <v>0</v>
      </c>
      <c r="G385" s="38">
        <f>SUM(G342:G384)</f>
        <v>109009</v>
      </c>
      <c r="H385" s="4"/>
      <c r="I385" s="39">
        <f>SUM(I342:I384)</f>
        <v>375.5</v>
      </c>
      <c r="J385" s="39">
        <f>SUM(J342:J384)</f>
        <v>0</v>
      </c>
      <c r="K385" s="40">
        <f>SUM(K342:K384)</f>
        <v>109384.5</v>
      </c>
      <c r="N385" s="57"/>
      <c r="O385" s="57"/>
      <c r="P385" s="38">
        <f>SUM(P342:P384)</f>
        <v>173731</v>
      </c>
      <c r="Q385" s="38">
        <f>SUM(Q342:Q366)</f>
        <v>-600</v>
      </c>
      <c r="R385" s="38">
        <f>SUM(R342:R366)</f>
        <v>0</v>
      </c>
      <c r="S385" s="38">
        <f>SUM(S342:S384)</f>
        <v>173131</v>
      </c>
      <c r="T385" s="4"/>
      <c r="U385" s="41">
        <f>SUM(U342:U384)</f>
        <v>788.25</v>
      </c>
      <c r="V385" s="41">
        <f>SUM(V342:V366)</f>
        <v>-777</v>
      </c>
      <c r="W385" s="42">
        <f>SUM(W342:W384)</f>
        <v>173142.25</v>
      </c>
      <c r="Z385" s="57"/>
      <c r="AA385" s="57"/>
      <c r="AB385" s="38">
        <f>SUM(AB342:AB384)</f>
        <v>298231</v>
      </c>
      <c r="AC385" s="38">
        <f>SUM(AC342:AC366)</f>
        <v>-2712</v>
      </c>
      <c r="AD385" s="38">
        <f>SUM(AD342:AD366)</f>
        <v>0</v>
      </c>
      <c r="AE385" s="38">
        <f>SUM(AE342:AE384)</f>
        <v>295519</v>
      </c>
      <c r="AF385" s="4"/>
      <c r="AG385" s="41">
        <f>SUM(AG342:AG384)</f>
        <v>19110</v>
      </c>
      <c r="AH385" s="41">
        <f>SUM(AH342:AH366)</f>
        <v>-1200</v>
      </c>
      <c r="AI385" s="42">
        <f>SUM(AI342:AI384)</f>
        <v>313429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3"/>
      <c r="C387" s="93"/>
      <c r="D387" s="93"/>
      <c r="E387" s="93"/>
      <c r="F387" s="93"/>
      <c r="G387" s="93"/>
      <c r="H387" s="62"/>
      <c r="I387" s="62"/>
      <c r="J387" s="62"/>
      <c r="K387" s="62"/>
      <c r="L387" s="62"/>
      <c r="M387" s="62"/>
      <c r="N387" s="93"/>
      <c r="O387" s="93"/>
      <c r="P387" s="93"/>
      <c r="Q387" s="93"/>
      <c r="R387" s="93"/>
      <c r="S387" s="93"/>
      <c r="T387" s="62"/>
      <c r="U387" s="62"/>
      <c r="V387" s="62"/>
      <c r="W387" s="62"/>
      <c r="X387" s="62"/>
      <c r="Y387" s="62"/>
      <c r="Z387" s="93"/>
      <c r="AA387" s="93"/>
      <c r="AB387" s="93"/>
      <c r="AC387" s="93"/>
      <c r="AD387" s="93"/>
      <c r="AE387" s="93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3"/>
      <c r="C388" s="93"/>
      <c r="D388" s="93"/>
      <c r="E388" s="93"/>
      <c r="F388" s="93"/>
      <c r="G388" s="93"/>
      <c r="H388" s="62"/>
      <c r="I388" s="62"/>
      <c r="J388" s="62"/>
      <c r="K388" s="62"/>
      <c r="L388" s="62"/>
      <c r="M388" s="62"/>
      <c r="N388" s="93"/>
      <c r="O388" s="93"/>
      <c r="P388" s="93"/>
      <c r="Q388" s="93"/>
      <c r="R388" s="93"/>
      <c r="S388" s="93"/>
      <c r="T388" s="62"/>
      <c r="U388" s="62"/>
      <c r="V388" s="62"/>
      <c r="W388" s="62"/>
      <c r="X388" s="62"/>
      <c r="Y388" s="62"/>
      <c r="Z388" s="93"/>
      <c r="AA388" s="93"/>
      <c r="AB388" s="93"/>
      <c r="AC388" s="93"/>
      <c r="AD388" s="93"/>
      <c r="AE388" s="93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3"/>
      <c r="C389" s="93"/>
      <c r="D389" s="93"/>
      <c r="E389" s="93"/>
      <c r="F389" s="93"/>
      <c r="G389" s="93"/>
      <c r="H389" s="62"/>
      <c r="I389" s="62"/>
      <c r="J389" s="62"/>
      <c r="K389" s="62"/>
      <c r="L389" s="62"/>
      <c r="M389" s="62"/>
      <c r="N389" s="93"/>
      <c r="O389" s="93"/>
      <c r="P389" s="93"/>
      <c r="Q389" s="93"/>
      <c r="R389" s="93"/>
      <c r="S389" s="93"/>
      <c r="T389" s="62"/>
      <c r="U389" s="62"/>
      <c r="V389" s="62"/>
      <c r="W389" s="62"/>
      <c r="X389" s="62"/>
      <c r="Y389" s="62"/>
      <c r="Z389" s="93"/>
      <c r="AA389" s="93"/>
      <c r="AB389" s="93"/>
      <c r="AC389" s="93"/>
      <c r="AD389" s="93"/>
      <c r="AE389" s="93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3"/>
      <c r="C390" s="93"/>
      <c r="D390" s="93"/>
      <c r="E390" s="93"/>
      <c r="F390" s="93"/>
      <c r="G390" s="93"/>
      <c r="H390" s="62"/>
      <c r="I390" s="62"/>
      <c r="J390" s="62"/>
      <c r="K390" s="62"/>
      <c r="L390" s="62"/>
      <c r="M390" s="63"/>
      <c r="N390" s="93"/>
      <c r="O390" s="93"/>
      <c r="P390" s="93"/>
      <c r="Q390" s="93"/>
      <c r="R390" s="93"/>
      <c r="S390" s="93"/>
      <c r="T390" s="62"/>
      <c r="U390" s="62"/>
      <c r="V390" s="62"/>
      <c r="W390" s="62"/>
      <c r="X390" s="62"/>
      <c r="Y390" s="63"/>
      <c r="Z390" s="93"/>
      <c r="AA390" s="93"/>
      <c r="AB390" s="93"/>
      <c r="AC390" s="93"/>
      <c r="AD390" s="93"/>
      <c r="AE390" s="93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3"/>
      <c r="C391" s="93"/>
      <c r="D391" s="93"/>
      <c r="E391" s="93"/>
      <c r="F391" s="93"/>
      <c r="G391" s="93"/>
      <c r="H391" s="62"/>
      <c r="I391" s="62"/>
      <c r="J391" s="62"/>
      <c r="K391" s="62"/>
      <c r="L391" s="62"/>
      <c r="M391" s="62"/>
      <c r="N391" s="93"/>
      <c r="O391" s="93"/>
      <c r="P391" s="93"/>
      <c r="Q391" s="93"/>
      <c r="R391" s="93"/>
      <c r="S391" s="93"/>
      <c r="T391" s="62"/>
      <c r="U391" s="62"/>
      <c r="V391" s="62"/>
      <c r="W391" s="62"/>
      <c r="X391" s="62"/>
      <c r="Y391" s="62"/>
      <c r="Z391" s="93"/>
      <c r="AA391" s="93"/>
      <c r="AB391" s="93"/>
      <c r="AC391" s="93"/>
      <c r="AD391" s="93"/>
      <c r="AE391" s="93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3"/>
      <c r="C392" s="93"/>
      <c r="D392" s="93"/>
      <c r="E392" s="93"/>
      <c r="F392" s="93"/>
      <c r="G392" s="93"/>
      <c r="H392" s="62"/>
      <c r="I392" s="93"/>
      <c r="J392" s="74"/>
      <c r="K392" s="62"/>
      <c r="L392" s="62"/>
      <c r="M392" s="62"/>
      <c r="N392" s="93"/>
      <c r="O392" s="93"/>
      <c r="P392" s="93"/>
      <c r="Q392" s="93"/>
      <c r="R392" s="93"/>
      <c r="S392" s="93"/>
      <c r="T392" s="62"/>
      <c r="U392" s="93"/>
      <c r="V392" s="74"/>
      <c r="W392" s="62"/>
      <c r="X392" s="62"/>
      <c r="Y392" s="62"/>
      <c r="Z392" s="93"/>
      <c r="AA392" s="93"/>
      <c r="AB392" s="93"/>
      <c r="AC392" s="93"/>
      <c r="AD392" s="93"/>
      <c r="AE392" s="93"/>
      <c r="AF392" s="62"/>
      <c r="AG392" s="93"/>
      <c r="AH392" s="74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3"/>
      <c r="C393" s="93"/>
      <c r="D393" s="93"/>
      <c r="E393" s="93"/>
      <c r="F393" s="93"/>
      <c r="G393" s="93"/>
      <c r="H393" s="62"/>
      <c r="I393" s="65"/>
      <c r="J393" s="65"/>
      <c r="K393" s="62"/>
      <c r="L393" s="62"/>
      <c r="M393" s="64"/>
      <c r="N393" s="93"/>
      <c r="O393" s="93"/>
      <c r="P393" s="93"/>
      <c r="Q393" s="93"/>
      <c r="R393" s="93"/>
      <c r="S393" s="93"/>
      <c r="T393" s="62"/>
      <c r="U393" s="65"/>
      <c r="V393" s="65"/>
      <c r="W393" s="62"/>
      <c r="X393" s="62"/>
      <c r="Y393" s="64"/>
      <c r="Z393" s="93"/>
      <c r="AA393" s="93"/>
      <c r="AB393" s="93"/>
      <c r="AC393" s="93"/>
      <c r="AD393" s="93"/>
      <c r="AE393" s="93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3"/>
      <c r="C394" s="93"/>
      <c r="D394" s="93"/>
      <c r="E394" s="93"/>
      <c r="F394" s="93"/>
      <c r="G394" s="93"/>
      <c r="H394" s="62"/>
      <c r="I394" s="62"/>
      <c r="J394" s="62"/>
      <c r="K394" s="62"/>
      <c r="L394" s="62"/>
      <c r="M394" s="62"/>
      <c r="N394" s="93"/>
      <c r="O394" s="93"/>
      <c r="P394" s="93"/>
      <c r="Q394" s="93"/>
      <c r="R394" s="93"/>
      <c r="S394" s="93"/>
      <c r="T394" s="62"/>
      <c r="U394" s="62"/>
      <c r="V394" s="62"/>
      <c r="W394" s="62"/>
      <c r="X394" s="62"/>
      <c r="Y394" s="62"/>
      <c r="Z394" s="93"/>
      <c r="AA394" s="93"/>
      <c r="AB394" s="93"/>
      <c r="AC394" s="93"/>
      <c r="AD394" s="93"/>
      <c r="AE394" s="93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3"/>
      <c r="D395" s="106"/>
      <c r="E395" s="106"/>
      <c r="F395" s="93"/>
      <c r="G395" s="93"/>
      <c r="H395" s="62"/>
      <c r="I395" s="106"/>
      <c r="J395" s="106"/>
      <c r="K395" s="105"/>
      <c r="L395" s="62"/>
      <c r="M395" s="62"/>
      <c r="N395" s="65"/>
      <c r="O395" s="93"/>
      <c r="P395" s="106"/>
      <c r="Q395" s="106"/>
      <c r="R395" s="93"/>
      <c r="S395" s="93"/>
      <c r="T395" s="62"/>
      <c r="U395" s="106"/>
      <c r="V395" s="106"/>
      <c r="W395" s="105"/>
      <c r="X395" s="62"/>
      <c r="Y395" s="62"/>
      <c r="Z395" s="65"/>
      <c r="AA395" s="93"/>
      <c r="AB395" s="106"/>
      <c r="AC395" s="106"/>
      <c r="AD395" s="93"/>
      <c r="AE395" s="93"/>
      <c r="AF395" s="62"/>
      <c r="AG395" s="106"/>
      <c r="AH395" s="106"/>
      <c r="AI395" s="105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3"/>
      <c r="C396" s="93"/>
      <c r="D396" s="81"/>
      <c r="E396" s="82"/>
      <c r="F396" s="83"/>
      <c r="G396" s="83"/>
      <c r="H396" s="62"/>
      <c r="I396" s="92"/>
      <c r="J396" s="92"/>
      <c r="K396" s="105"/>
      <c r="L396" s="62"/>
      <c r="M396" s="62"/>
      <c r="N396" s="93"/>
      <c r="O396" s="93"/>
      <c r="P396" s="81"/>
      <c r="Q396" s="83"/>
      <c r="R396" s="83"/>
      <c r="S396" s="83"/>
      <c r="T396" s="62"/>
      <c r="U396" s="92"/>
      <c r="V396" s="92"/>
      <c r="W396" s="105"/>
      <c r="X396" s="62"/>
      <c r="Y396" s="62"/>
      <c r="Z396" s="93"/>
      <c r="AA396" s="93"/>
      <c r="AB396" s="81"/>
      <c r="AC396" s="83"/>
      <c r="AD396" s="83"/>
      <c r="AE396" s="83"/>
      <c r="AF396" s="62"/>
      <c r="AG396" s="92"/>
      <c r="AH396" s="92"/>
      <c r="AI396" s="105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9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3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3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9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65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3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9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3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3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9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3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3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9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3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3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9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3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65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9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3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3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9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3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3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9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3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3"/>
      <c r="AB405" s="60"/>
      <c r="AC405" s="60"/>
      <c r="AD405" s="60"/>
      <c r="AE405" s="60"/>
      <c r="AF405" s="61"/>
      <c r="AG405" s="61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9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3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3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9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3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9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3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3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9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3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3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9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3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3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9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3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3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9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3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93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9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3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3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3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3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9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3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3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9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3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3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3"/>
      <c r="P417" s="67"/>
      <c r="Q417" s="93"/>
      <c r="R417" s="93"/>
      <c r="S417" s="60"/>
      <c r="T417" s="62"/>
      <c r="U417" s="62"/>
      <c r="V417" s="62"/>
      <c r="W417" s="61"/>
      <c r="X417" s="62"/>
      <c r="Y417" s="62"/>
      <c r="Z417" s="66"/>
      <c r="AA417" s="93"/>
      <c r="AB417" s="67"/>
      <c r="AC417" s="93"/>
      <c r="AD417" s="93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9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3"/>
      <c r="P418" s="68"/>
      <c r="Q418" s="93"/>
      <c r="R418" s="93"/>
      <c r="S418" s="60"/>
      <c r="T418" s="62"/>
      <c r="U418" s="62"/>
      <c r="V418" s="62"/>
      <c r="W418" s="61"/>
      <c r="X418" s="62"/>
      <c r="Y418" s="62"/>
      <c r="Z418" s="66"/>
      <c r="AA418" s="93"/>
      <c r="AB418" s="68"/>
      <c r="AC418" s="93"/>
      <c r="AD418" s="93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65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3"/>
      <c r="P419" s="69"/>
      <c r="Q419" s="93"/>
      <c r="R419" s="62"/>
      <c r="S419" s="60"/>
      <c r="T419" s="62"/>
      <c r="U419" s="62"/>
      <c r="V419" s="62"/>
      <c r="W419" s="61"/>
      <c r="X419" s="62"/>
      <c r="Y419" s="62"/>
      <c r="Z419" s="66"/>
      <c r="AA419" s="93"/>
      <c r="AB419" s="69"/>
      <c r="AC419" s="93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9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3"/>
      <c r="P420" s="69"/>
      <c r="Q420" s="93"/>
      <c r="R420" s="93"/>
      <c r="S420" s="60"/>
      <c r="T420" s="62"/>
      <c r="U420" s="62"/>
      <c r="V420" s="62"/>
      <c r="W420" s="61"/>
      <c r="X420" s="62"/>
      <c r="Y420" s="62"/>
      <c r="Z420" s="66"/>
      <c r="AA420" s="93"/>
      <c r="AB420" s="69"/>
      <c r="AC420" s="93"/>
      <c r="AD420" s="93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9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3"/>
      <c r="P421" s="69"/>
      <c r="Q421" s="93"/>
      <c r="R421" s="93"/>
      <c r="S421" s="60"/>
      <c r="T421" s="62"/>
      <c r="U421" s="62"/>
      <c r="V421" s="62"/>
      <c r="W421" s="61"/>
      <c r="X421" s="62"/>
      <c r="Y421" s="62"/>
      <c r="Z421" s="66"/>
      <c r="AA421" s="65"/>
      <c r="AB421" s="69"/>
      <c r="AC421" s="93"/>
      <c r="AD421" s="93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9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3"/>
      <c r="P422" s="69"/>
      <c r="Q422" s="93"/>
      <c r="R422" s="93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3"/>
      <c r="AD422" s="93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9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3"/>
      <c r="P423" s="69"/>
      <c r="Q423" s="93"/>
      <c r="R423" s="93"/>
      <c r="S423" s="60"/>
      <c r="T423" s="62"/>
      <c r="U423" s="62"/>
      <c r="V423" s="62"/>
      <c r="W423" s="61"/>
      <c r="X423" s="62"/>
      <c r="Y423" s="62"/>
      <c r="Z423" s="66"/>
      <c r="AA423" s="93"/>
      <c r="AB423" s="69"/>
      <c r="AC423" s="93"/>
      <c r="AD423" s="93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9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3"/>
      <c r="P424" s="69"/>
      <c r="Q424" s="93"/>
      <c r="R424" s="93"/>
      <c r="S424" s="60"/>
      <c r="T424" s="62"/>
      <c r="U424" s="62"/>
      <c r="V424" s="62"/>
      <c r="W424" s="61"/>
      <c r="X424" s="62"/>
      <c r="Y424" s="62"/>
      <c r="Z424" s="66"/>
      <c r="AA424" s="93"/>
      <c r="AB424" s="69"/>
      <c r="AC424" s="93"/>
      <c r="AD424" s="93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9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3"/>
      <c r="P425" s="69"/>
      <c r="Q425" s="93"/>
      <c r="R425" s="93"/>
      <c r="S425" s="60"/>
      <c r="T425" s="62"/>
      <c r="U425" s="62"/>
      <c r="V425" s="62"/>
      <c r="W425" s="61"/>
      <c r="X425" s="62"/>
      <c r="Y425" s="62"/>
      <c r="Z425" s="66"/>
      <c r="AA425" s="93"/>
      <c r="AB425" s="69"/>
      <c r="AC425" s="93"/>
      <c r="AD425" s="93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93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3"/>
      <c r="P426" s="69"/>
      <c r="Q426" s="93"/>
      <c r="R426" s="93"/>
      <c r="S426" s="60"/>
      <c r="T426" s="62"/>
      <c r="U426" s="62"/>
      <c r="V426" s="62"/>
      <c r="W426" s="61"/>
      <c r="X426" s="62"/>
      <c r="Y426" s="62"/>
      <c r="Z426" s="66"/>
      <c r="AA426" s="93"/>
      <c r="AB426" s="69"/>
      <c r="AC426" s="93"/>
      <c r="AD426" s="93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9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3"/>
      <c r="P427" s="69"/>
      <c r="Q427" s="93"/>
      <c r="R427" s="93"/>
      <c r="S427" s="60"/>
      <c r="T427" s="62"/>
      <c r="U427" s="62"/>
      <c r="V427" s="62"/>
      <c r="W427" s="61"/>
      <c r="X427" s="62"/>
      <c r="Y427" s="62"/>
      <c r="Z427" s="66"/>
      <c r="AA427" s="93"/>
      <c r="AB427" s="69"/>
      <c r="AC427" s="93"/>
      <c r="AD427" s="93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9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3"/>
      <c r="P428" s="69"/>
      <c r="Q428" s="93"/>
      <c r="R428" s="93"/>
      <c r="S428" s="60"/>
      <c r="T428" s="62"/>
      <c r="U428" s="62"/>
      <c r="V428" s="62"/>
      <c r="W428" s="61"/>
      <c r="X428" s="62"/>
      <c r="Y428" s="62"/>
      <c r="Z428" s="66"/>
      <c r="AA428" s="93"/>
      <c r="AB428" s="69"/>
      <c r="AC428" s="93"/>
      <c r="AD428" s="93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9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3"/>
      <c r="P429" s="69"/>
      <c r="Q429" s="93"/>
      <c r="R429" s="93"/>
      <c r="S429" s="60"/>
      <c r="T429" s="62"/>
      <c r="U429" s="62"/>
      <c r="V429" s="62"/>
      <c r="W429" s="61"/>
      <c r="X429" s="62"/>
      <c r="Y429" s="62"/>
      <c r="Z429" s="66"/>
      <c r="AA429" s="93"/>
      <c r="AB429" s="69"/>
      <c r="AC429" s="93"/>
      <c r="AD429" s="93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9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62"/>
      <c r="P430" s="69"/>
      <c r="Q430" s="93"/>
      <c r="R430" s="93"/>
      <c r="S430" s="60"/>
      <c r="T430" s="62"/>
      <c r="U430" s="62"/>
      <c r="V430" s="62"/>
      <c r="W430" s="61"/>
      <c r="X430" s="62"/>
      <c r="Y430" s="62"/>
      <c r="Z430" s="66"/>
      <c r="AA430" s="62"/>
      <c r="AB430" s="69"/>
      <c r="AC430" s="93"/>
      <c r="AD430" s="93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93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3"/>
      <c r="P431" s="69"/>
      <c r="Q431" s="93"/>
      <c r="R431" s="93"/>
      <c r="S431" s="60"/>
      <c r="T431" s="62"/>
      <c r="U431" s="62"/>
      <c r="V431" s="62"/>
      <c r="W431" s="61"/>
      <c r="X431" s="62"/>
      <c r="Y431" s="62"/>
      <c r="Z431" s="66"/>
      <c r="AA431" s="93"/>
      <c r="AB431" s="69"/>
      <c r="AC431" s="93"/>
      <c r="AD431" s="93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93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3"/>
      <c r="P432" s="69"/>
      <c r="Q432" s="93"/>
      <c r="R432" s="93"/>
      <c r="S432" s="60"/>
      <c r="T432" s="62"/>
      <c r="U432" s="62"/>
      <c r="V432" s="62"/>
      <c r="W432" s="61"/>
      <c r="X432" s="62"/>
      <c r="Y432" s="62"/>
      <c r="Z432" s="66"/>
      <c r="AA432" s="93"/>
      <c r="AB432" s="69"/>
      <c r="AC432" s="93"/>
      <c r="AD432" s="93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3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3"/>
      <c r="R433" s="93"/>
      <c r="S433" s="60"/>
      <c r="T433" s="62"/>
      <c r="U433" s="62"/>
      <c r="V433" s="62"/>
      <c r="W433" s="61"/>
      <c r="X433" s="62"/>
      <c r="Y433" s="62"/>
      <c r="Z433" s="66"/>
      <c r="AA433" s="93"/>
      <c r="AB433" s="69"/>
      <c r="AC433" s="93"/>
      <c r="AD433" s="93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3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3"/>
      <c r="P434" s="69"/>
      <c r="Q434" s="93"/>
      <c r="R434" s="93"/>
      <c r="S434" s="60"/>
      <c r="T434" s="62"/>
      <c r="U434" s="62"/>
      <c r="V434" s="62"/>
      <c r="W434" s="61"/>
      <c r="X434" s="62"/>
      <c r="Y434" s="62"/>
      <c r="Z434" s="66"/>
      <c r="AA434" s="93"/>
      <c r="AB434" s="69"/>
      <c r="AC434" s="93"/>
      <c r="AD434" s="93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3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3"/>
      <c r="P435" s="69"/>
      <c r="Q435" s="93"/>
      <c r="R435" s="93"/>
      <c r="S435" s="60"/>
      <c r="T435" s="62"/>
      <c r="U435" s="62"/>
      <c r="V435" s="62"/>
      <c r="W435" s="61"/>
      <c r="X435" s="62"/>
      <c r="Y435" s="62"/>
      <c r="Z435" s="66"/>
      <c r="AA435" s="93"/>
      <c r="AB435" s="69"/>
      <c r="AC435" s="93"/>
      <c r="AD435" s="93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3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3"/>
      <c r="R436" s="93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3"/>
      <c r="AD436" s="93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3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3"/>
      <c r="P437" s="69"/>
      <c r="Q437" s="93"/>
      <c r="R437" s="93"/>
      <c r="S437" s="60"/>
      <c r="T437" s="62"/>
      <c r="U437" s="62"/>
      <c r="V437" s="62"/>
      <c r="W437" s="61"/>
      <c r="X437" s="62"/>
      <c r="Y437" s="62"/>
      <c r="Z437" s="66"/>
      <c r="AA437" s="93"/>
      <c r="AB437" s="69"/>
      <c r="AC437" s="93"/>
      <c r="AD437" s="93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3"/>
      <c r="O438" s="93"/>
      <c r="P438" s="93"/>
      <c r="Q438" s="93"/>
      <c r="R438" s="93"/>
      <c r="S438" s="93"/>
      <c r="T438" s="62"/>
      <c r="U438" s="62"/>
      <c r="V438" s="62"/>
      <c r="W438" s="61"/>
      <c r="X438" s="62"/>
      <c r="Y438" s="62"/>
      <c r="Z438" s="93"/>
      <c r="AA438" s="93"/>
      <c r="AB438" s="93"/>
      <c r="AC438" s="93"/>
      <c r="AD438" s="93"/>
      <c r="AE438" s="93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3"/>
      <c r="C439" s="93"/>
      <c r="D439" s="93"/>
      <c r="E439" s="93"/>
      <c r="F439" s="93"/>
      <c r="G439" s="93"/>
      <c r="H439" s="62"/>
      <c r="I439" s="62"/>
      <c r="J439" s="62"/>
      <c r="K439" s="62"/>
      <c r="L439" s="62"/>
      <c r="M439" s="62"/>
      <c r="N439" s="93"/>
      <c r="O439" s="93"/>
      <c r="P439" s="93"/>
      <c r="Q439" s="93"/>
      <c r="R439" s="93"/>
      <c r="S439" s="93"/>
      <c r="T439" s="62"/>
      <c r="U439" s="62"/>
      <c r="V439" s="62"/>
      <c r="W439" s="62"/>
      <c r="X439" s="62"/>
      <c r="Y439" s="62"/>
      <c r="Z439" s="93"/>
      <c r="AA439" s="93"/>
      <c r="AB439" s="93"/>
      <c r="AC439" s="93"/>
      <c r="AD439" s="93"/>
      <c r="AE439" s="93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3"/>
      <c r="C440" s="93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3"/>
      <c r="O440" s="93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3"/>
      <c r="AA440" s="93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L442" s="62"/>
      <c r="M442" s="62"/>
      <c r="N442" s="93"/>
      <c r="O442" s="93"/>
      <c r="P442" s="93"/>
      <c r="Q442" s="93"/>
      <c r="R442" s="93"/>
      <c r="S442" s="93"/>
      <c r="T442" s="62"/>
      <c r="U442" s="62"/>
      <c r="V442" s="62"/>
      <c r="W442" s="62"/>
      <c r="X442" s="62"/>
      <c r="Y442" s="62"/>
      <c r="Z442" s="93"/>
      <c r="AA442" s="93"/>
      <c r="AB442" s="93"/>
      <c r="AC442" s="93"/>
      <c r="AD442" s="93"/>
      <c r="AE442" s="93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L443" s="62"/>
      <c r="M443" s="62"/>
      <c r="N443" s="93"/>
      <c r="O443" s="93"/>
      <c r="P443" s="93"/>
      <c r="Q443" s="93"/>
      <c r="R443" s="93"/>
      <c r="S443" s="93"/>
      <c r="T443" s="62"/>
      <c r="U443" s="62"/>
      <c r="V443" s="62"/>
      <c r="W443" s="62"/>
      <c r="X443" s="62"/>
      <c r="Y443" s="62"/>
      <c r="Z443" s="93"/>
      <c r="AA443" s="93"/>
      <c r="AB443" s="93"/>
      <c r="AC443" s="93"/>
      <c r="AD443" s="93"/>
      <c r="AE443" s="93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L444" s="62"/>
      <c r="M444" s="62"/>
      <c r="N444" s="93"/>
      <c r="O444" s="93"/>
      <c r="P444" s="93"/>
      <c r="Q444" s="93"/>
      <c r="R444" s="93"/>
      <c r="S444" s="93"/>
      <c r="T444" s="62"/>
      <c r="U444" s="62"/>
      <c r="V444" s="62"/>
      <c r="W444" s="62"/>
      <c r="X444" s="62"/>
      <c r="Y444" s="62"/>
      <c r="Z444" s="93"/>
      <c r="AA444" s="93"/>
      <c r="AB444" s="93"/>
      <c r="AC444" s="93"/>
      <c r="AD444" s="93"/>
      <c r="AE444" s="93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L445" s="62"/>
      <c r="M445" s="63"/>
      <c r="N445" s="93"/>
      <c r="O445" s="93"/>
      <c r="P445" s="93"/>
      <c r="Q445" s="93"/>
      <c r="R445" s="93"/>
      <c r="S445" s="93"/>
      <c r="T445" s="62"/>
      <c r="U445" s="62"/>
      <c r="V445" s="62"/>
      <c r="W445" s="62"/>
      <c r="X445" s="62"/>
      <c r="Y445" s="63"/>
      <c r="Z445" s="93"/>
      <c r="AA445" s="93"/>
      <c r="AB445" s="93"/>
      <c r="AC445" s="93"/>
      <c r="AD445" s="93"/>
      <c r="AE445" s="93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L446" s="62"/>
      <c r="M446" s="62"/>
      <c r="N446" s="93"/>
      <c r="O446" s="93"/>
      <c r="P446" s="93"/>
      <c r="Q446" s="93"/>
      <c r="R446" s="93"/>
      <c r="S446" s="93"/>
      <c r="T446" s="62"/>
      <c r="U446" s="62"/>
      <c r="V446" s="62"/>
      <c r="W446" s="62"/>
      <c r="X446" s="62"/>
      <c r="Y446" s="62"/>
      <c r="Z446" s="93"/>
      <c r="AA446" s="93"/>
      <c r="AB446" s="93"/>
      <c r="AC446" s="93"/>
      <c r="AD446" s="93"/>
      <c r="AE446" s="93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L447" s="62"/>
      <c r="M447" s="62"/>
      <c r="N447" s="93"/>
      <c r="O447" s="93"/>
      <c r="P447" s="93"/>
      <c r="Q447" s="93"/>
      <c r="R447" s="93"/>
      <c r="S447" s="93"/>
      <c r="T447" s="62"/>
      <c r="U447" s="93"/>
      <c r="V447" s="74"/>
      <c r="W447" s="62"/>
      <c r="X447" s="62"/>
      <c r="Y447" s="62"/>
      <c r="Z447" s="93"/>
      <c r="AA447" s="93"/>
      <c r="AB447" s="93"/>
      <c r="AC447" s="93"/>
      <c r="AD447" s="93"/>
      <c r="AE447" s="93"/>
      <c r="AF447" s="62"/>
      <c r="AG447" s="93"/>
      <c r="AH447" s="74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L448" s="62"/>
      <c r="M448" s="64"/>
      <c r="N448" s="93"/>
      <c r="O448" s="93"/>
      <c r="P448" s="93"/>
      <c r="Q448" s="93"/>
      <c r="R448" s="93"/>
      <c r="S448" s="93"/>
      <c r="T448" s="62"/>
      <c r="U448" s="65"/>
      <c r="V448" s="65"/>
      <c r="W448" s="62"/>
      <c r="X448" s="62"/>
      <c r="Y448" s="64"/>
      <c r="Z448" s="93"/>
      <c r="AA448" s="93"/>
      <c r="AB448" s="93"/>
      <c r="AC448" s="93"/>
      <c r="AD448" s="93"/>
      <c r="AE448" s="93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L449" s="62"/>
      <c r="M449" s="62"/>
      <c r="N449" s="93"/>
      <c r="O449" s="93"/>
      <c r="P449" s="93"/>
      <c r="Q449" s="93"/>
      <c r="R449" s="93"/>
      <c r="S449" s="93"/>
      <c r="T449" s="62"/>
      <c r="U449" s="62"/>
      <c r="V449" s="62"/>
      <c r="W449" s="62"/>
      <c r="X449" s="62"/>
      <c r="Y449" s="62"/>
      <c r="Z449" s="93"/>
      <c r="AA449" s="93"/>
      <c r="AB449" s="93"/>
      <c r="AC449" s="93"/>
      <c r="AD449" s="93"/>
      <c r="AE449" s="93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06"/>
      <c r="E450" s="106"/>
      <c r="F450" s="93"/>
      <c r="G450" s="93"/>
      <c r="H450" s="62"/>
      <c r="I450" s="106"/>
      <c r="J450" s="106"/>
      <c r="K450" s="105"/>
      <c r="L450" s="62"/>
      <c r="M450" s="62"/>
      <c r="N450" s="65"/>
      <c r="O450" s="93"/>
      <c r="P450" s="106"/>
      <c r="Q450" s="106"/>
      <c r="R450" s="93"/>
      <c r="S450" s="93"/>
      <c r="T450" s="62"/>
      <c r="U450" s="106"/>
      <c r="V450" s="106"/>
      <c r="W450" s="105"/>
      <c r="X450" s="62"/>
      <c r="Y450" s="62"/>
      <c r="Z450" s="65"/>
      <c r="AA450" s="93"/>
      <c r="AB450" s="106"/>
      <c r="AC450" s="106"/>
      <c r="AD450" s="93"/>
      <c r="AE450" s="93"/>
      <c r="AF450" s="62"/>
      <c r="AG450" s="106"/>
      <c r="AH450" s="106"/>
      <c r="AI450" s="105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105"/>
      <c r="L451" s="62"/>
      <c r="M451" s="62"/>
      <c r="N451" s="93"/>
      <c r="O451" s="93"/>
      <c r="P451" s="81"/>
      <c r="Q451" s="83"/>
      <c r="R451" s="83"/>
      <c r="S451" s="83"/>
      <c r="T451" s="62"/>
      <c r="U451" s="92"/>
      <c r="V451" s="92"/>
      <c r="W451" s="105"/>
      <c r="X451" s="62"/>
      <c r="Y451" s="62"/>
      <c r="Z451" s="93"/>
      <c r="AA451" s="93"/>
      <c r="AB451" s="81"/>
      <c r="AC451" s="83"/>
      <c r="AD451" s="83"/>
      <c r="AE451" s="83"/>
      <c r="AF451" s="62"/>
      <c r="AG451" s="92"/>
      <c r="AH451" s="92"/>
      <c r="AI451" s="105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3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3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3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3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3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3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3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3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3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3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5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93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3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3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3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3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3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3"/>
      <c r="AB460" s="60"/>
      <c r="AC460" s="60"/>
      <c r="AD460" s="60"/>
      <c r="AE460" s="60"/>
      <c r="AF460" s="61"/>
      <c r="AG460" s="61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3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3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3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3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3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3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3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65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3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3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3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3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3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3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3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3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3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3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3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3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3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62"/>
      <c r="P472" s="67"/>
      <c r="Q472" s="93"/>
      <c r="R472" s="93"/>
      <c r="S472" s="60"/>
      <c r="T472" s="62"/>
      <c r="U472" s="62"/>
      <c r="V472" s="62"/>
      <c r="W472" s="61"/>
      <c r="X472" s="62"/>
      <c r="Y472" s="62"/>
      <c r="Z472" s="66"/>
      <c r="AA472" s="93"/>
      <c r="AB472" s="67"/>
      <c r="AC472" s="93"/>
      <c r="AD472" s="93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3"/>
      <c r="P473" s="68"/>
      <c r="Q473" s="93"/>
      <c r="R473" s="93"/>
      <c r="S473" s="60"/>
      <c r="T473" s="62"/>
      <c r="U473" s="62"/>
      <c r="V473" s="62"/>
      <c r="W473" s="61"/>
      <c r="X473" s="62"/>
      <c r="Y473" s="62"/>
      <c r="Z473" s="66"/>
      <c r="AA473" s="93"/>
      <c r="AB473" s="68"/>
      <c r="AC473" s="93"/>
      <c r="AD473" s="93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3"/>
      <c r="P474" s="69"/>
      <c r="Q474" s="93"/>
      <c r="R474" s="62"/>
      <c r="S474" s="60"/>
      <c r="T474" s="62"/>
      <c r="U474" s="62"/>
      <c r="V474" s="62"/>
      <c r="W474" s="61"/>
      <c r="X474" s="62"/>
      <c r="Y474" s="62"/>
      <c r="Z474" s="66"/>
      <c r="AA474" s="93"/>
      <c r="AB474" s="69"/>
      <c r="AC474" s="93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3"/>
      <c r="P475" s="69"/>
      <c r="Q475" s="93"/>
      <c r="R475" s="93"/>
      <c r="S475" s="60"/>
      <c r="T475" s="62"/>
      <c r="U475" s="62"/>
      <c r="V475" s="62"/>
      <c r="W475" s="61"/>
      <c r="X475" s="62"/>
      <c r="Y475" s="62"/>
      <c r="Z475" s="66"/>
      <c r="AA475" s="93"/>
      <c r="AB475" s="69"/>
      <c r="AC475" s="93"/>
      <c r="AD475" s="93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3"/>
      <c r="P476" s="69"/>
      <c r="Q476" s="93"/>
      <c r="R476" s="93"/>
      <c r="S476" s="60"/>
      <c r="T476" s="62"/>
      <c r="U476" s="62"/>
      <c r="V476" s="62"/>
      <c r="W476" s="61"/>
      <c r="X476" s="62"/>
      <c r="Y476" s="62"/>
      <c r="Z476" s="66"/>
      <c r="AA476" s="65"/>
      <c r="AB476" s="69"/>
      <c r="AC476" s="93"/>
      <c r="AD476" s="93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3"/>
      <c r="P477" s="69"/>
      <c r="Q477" s="93"/>
      <c r="R477" s="93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3"/>
      <c r="AD477" s="93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3"/>
      <c r="P478" s="69"/>
      <c r="Q478" s="93"/>
      <c r="R478" s="93"/>
      <c r="S478" s="60"/>
      <c r="T478" s="62"/>
      <c r="U478" s="62"/>
      <c r="V478" s="62"/>
      <c r="W478" s="61"/>
      <c r="X478" s="62"/>
      <c r="Y478" s="62"/>
      <c r="Z478" s="66"/>
      <c r="AA478" s="93"/>
      <c r="AB478" s="69"/>
      <c r="AC478" s="93"/>
      <c r="AD478" s="93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3"/>
      <c r="P479" s="69"/>
      <c r="Q479" s="93"/>
      <c r="R479" s="93"/>
      <c r="S479" s="60"/>
      <c r="T479" s="62"/>
      <c r="U479" s="62"/>
      <c r="V479" s="62"/>
      <c r="W479" s="61"/>
      <c r="X479" s="62"/>
      <c r="Y479" s="62"/>
      <c r="Z479" s="66"/>
      <c r="AA479" s="93"/>
      <c r="AB479" s="69"/>
      <c r="AC479" s="93"/>
      <c r="AD479" s="93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3"/>
      <c r="P480" s="69"/>
      <c r="Q480" s="93"/>
      <c r="R480" s="93"/>
      <c r="S480" s="60"/>
      <c r="T480" s="62"/>
      <c r="U480" s="62"/>
      <c r="V480" s="62"/>
      <c r="W480" s="61"/>
      <c r="X480" s="62"/>
      <c r="Y480" s="62"/>
      <c r="Z480" s="66"/>
      <c r="AA480" s="93"/>
      <c r="AB480" s="69"/>
      <c r="AC480" s="93"/>
      <c r="AD480" s="93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3"/>
      <c r="P481" s="69"/>
      <c r="Q481" s="93"/>
      <c r="R481" s="93"/>
      <c r="S481" s="60"/>
      <c r="T481" s="62"/>
      <c r="U481" s="62"/>
      <c r="V481" s="62"/>
      <c r="W481" s="61"/>
      <c r="X481" s="62"/>
      <c r="Y481" s="62"/>
      <c r="Z481" s="66"/>
      <c r="AA481" s="93"/>
      <c r="AB481" s="69"/>
      <c r="AC481" s="93"/>
      <c r="AD481" s="93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3"/>
      <c r="P482" s="69"/>
      <c r="Q482" s="93"/>
      <c r="R482" s="93"/>
      <c r="S482" s="60"/>
      <c r="T482" s="62"/>
      <c r="U482" s="62"/>
      <c r="V482" s="62"/>
      <c r="W482" s="61"/>
      <c r="X482" s="62"/>
      <c r="Y482" s="62"/>
      <c r="Z482" s="66"/>
      <c r="AA482" s="93"/>
      <c r="AB482" s="69"/>
      <c r="AC482" s="93"/>
      <c r="AD482" s="93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3"/>
      <c r="P483" s="69"/>
      <c r="Q483" s="93"/>
      <c r="R483" s="93"/>
      <c r="S483" s="60"/>
      <c r="T483" s="62"/>
      <c r="U483" s="62"/>
      <c r="V483" s="62"/>
      <c r="W483" s="61"/>
      <c r="X483" s="62"/>
      <c r="Y483" s="62"/>
      <c r="Z483" s="66"/>
      <c r="AA483" s="93"/>
      <c r="AB483" s="69"/>
      <c r="AC483" s="93"/>
      <c r="AD483" s="93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3"/>
      <c r="P484" s="69"/>
      <c r="Q484" s="93"/>
      <c r="R484" s="93"/>
      <c r="S484" s="60"/>
      <c r="T484" s="62"/>
      <c r="U484" s="62"/>
      <c r="V484" s="62"/>
      <c r="W484" s="61"/>
      <c r="X484" s="62"/>
      <c r="Y484" s="62"/>
      <c r="Z484" s="66"/>
      <c r="AA484" s="93"/>
      <c r="AB484" s="69"/>
      <c r="AC484" s="93"/>
      <c r="AD484" s="93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62"/>
      <c r="P485" s="69"/>
      <c r="Q485" s="93"/>
      <c r="R485" s="93"/>
      <c r="S485" s="60"/>
      <c r="T485" s="62"/>
      <c r="U485" s="62"/>
      <c r="V485" s="62"/>
      <c r="W485" s="61"/>
      <c r="X485" s="62"/>
      <c r="Y485" s="62"/>
      <c r="Z485" s="66"/>
      <c r="AA485" s="62"/>
      <c r="AB485" s="69"/>
      <c r="AC485" s="93"/>
      <c r="AD485" s="93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3"/>
      <c r="P486" s="69"/>
      <c r="Q486" s="93"/>
      <c r="R486" s="93"/>
      <c r="S486" s="60"/>
      <c r="T486" s="62"/>
      <c r="U486" s="62"/>
      <c r="V486" s="62"/>
      <c r="W486" s="61"/>
      <c r="X486" s="62"/>
      <c r="Y486" s="62"/>
      <c r="Z486" s="66"/>
      <c r="AA486" s="93"/>
      <c r="AB486" s="69"/>
      <c r="AC486" s="93"/>
      <c r="AD486" s="93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3"/>
      <c r="P487" s="69"/>
      <c r="Q487" s="93"/>
      <c r="R487" s="93"/>
      <c r="S487" s="60"/>
      <c r="T487" s="62"/>
      <c r="U487" s="62"/>
      <c r="V487" s="62"/>
      <c r="W487" s="61"/>
      <c r="X487" s="62"/>
      <c r="Y487" s="62"/>
      <c r="Z487" s="66"/>
      <c r="AA487" s="93"/>
      <c r="AB487" s="69"/>
      <c r="AC487" s="93"/>
      <c r="AD487" s="93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3"/>
      <c r="R488" s="93"/>
      <c r="S488" s="60"/>
      <c r="T488" s="62"/>
      <c r="U488" s="62"/>
      <c r="V488" s="62"/>
      <c r="W488" s="61"/>
      <c r="X488" s="62"/>
      <c r="Y488" s="62"/>
      <c r="Z488" s="66"/>
      <c r="AA488" s="93"/>
      <c r="AB488" s="69"/>
      <c r="AC488" s="93"/>
      <c r="AD488" s="93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3"/>
      <c r="P489" s="69"/>
      <c r="Q489" s="93"/>
      <c r="R489" s="93"/>
      <c r="S489" s="60"/>
      <c r="T489" s="62"/>
      <c r="U489" s="62"/>
      <c r="V489" s="62"/>
      <c r="W489" s="61"/>
      <c r="X489" s="62"/>
      <c r="Y489" s="62"/>
      <c r="Z489" s="66"/>
      <c r="AA489" s="93"/>
      <c r="AB489" s="69"/>
      <c r="AC489" s="93"/>
      <c r="AD489" s="93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3"/>
      <c r="P490" s="69"/>
      <c r="Q490" s="93"/>
      <c r="R490" s="93"/>
      <c r="S490" s="60"/>
      <c r="T490" s="62"/>
      <c r="U490" s="62"/>
      <c r="V490" s="62"/>
      <c r="W490" s="61"/>
      <c r="X490" s="62"/>
      <c r="Y490" s="62"/>
      <c r="Z490" s="66"/>
      <c r="AA490" s="93"/>
      <c r="AB490" s="69"/>
      <c r="AC490" s="93"/>
      <c r="AD490" s="93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3"/>
      <c r="R491" s="93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3"/>
      <c r="AD491" s="93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3"/>
      <c r="P492" s="69"/>
      <c r="Q492" s="93"/>
      <c r="R492" s="93"/>
      <c r="S492" s="60"/>
      <c r="T492" s="62"/>
      <c r="U492" s="62"/>
      <c r="V492" s="62"/>
      <c r="W492" s="61"/>
      <c r="X492" s="62"/>
      <c r="Y492" s="62"/>
      <c r="Z492" s="66"/>
      <c r="AA492" s="93"/>
      <c r="AB492" s="69"/>
      <c r="AC492" s="93"/>
      <c r="AD492" s="93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3"/>
      <c r="O493" s="93"/>
      <c r="P493" s="93"/>
      <c r="Q493" s="93"/>
      <c r="R493" s="93"/>
      <c r="S493" s="93"/>
      <c r="T493" s="62"/>
      <c r="U493" s="62"/>
      <c r="V493" s="62"/>
      <c r="W493" s="61"/>
      <c r="X493" s="62"/>
      <c r="Y493" s="62"/>
      <c r="Z493" s="93"/>
      <c r="AA493" s="93"/>
      <c r="AB493" s="93"/>
      <c r="AC493" s="93"/>
      <c r="AD493" s="93"/>
      <c r="AE493" s="93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L494" s="62"/>
      <c r="M494" s="62"/>
      <c r="N494" s="93"/>
      <c r="O494" s="93"/>
      <c r="P494" s="93"/>
      <c r="Q494" s="93"/>
      <c r="R494" s="93"/>
      <c r="S494" s="93"/>
      <c r="T494" s="62"/>
      <c r="U494" s="62"/>
      <c r="V494" s="62"/>
      <c r="W494" s="62"/>
      <c r="X494" s="62"/>
      <c r="Y494" s="62"/>
      <c r="Z494" s="93"/>
      <c r="AA494" s="93"/>
      <c r="AB494" s="93"/>
      <c r="AC494" s="93"/>
      <c r="AD494" s="93"/>
      <c r="AE494" s="93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3"/>
      <c r="O495" s="93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3"/>
      <c r="AA495" s="93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3"/>
      <c r="C497" s="93"/>
      <c r="D497" s="93"/>
      <c r="E497" s="93"/>
      <c r="F497" s="93"/>
      <c r="G497" s="93"/>
      <c r="H497" s="62"/>
      <c r="I497" s="62"/>
      <c r="J497" s="62"/>
      <c r="K497" s="62"/>
      <c r="L497" s="62"/>
      <c r="M497" s="62"/>
      <c r="N497" s="93"/>
      <c r="O497" s="93"/>
      <c r="P497" s="93"/>
      <c r="Q497" s="93"/>
      <c r="R497" s="93"/>
      <c r="S497" s="93"/>
      <c r="T497" s="62"/>
      <c r="U497" s="62"/>
      <c r="V497" s="62"/>
      <c r="W497" s="62"/>
      <c r="X497" s="62"/>
      <c r="Y497" s="62"/>
      <c r="Z497" s="93"/>
      <c r="AA497" s="93"/>
      <c r="AB497" s="93"/>
      <c r="AC497" s="93"/>
      <c r="AD497" s="93"/>
      <c r="AE497" s="93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3"/>
      <c r="C498" s="93"/>
      <c r="D498" s="93"/>
      <c r="E498" s="93"/>
      <c r="F498" s="93"/>
      <c r="G498" s="93"/>
      <c r="H498" s="62"/>
      <c r="I498" s="62"/>
      <c r="J498" s="62"/>
      <c r="K498" s="62"/>
      <c r="L498" s="62"/>
      <c r="M498" s="62"/>
      <c r="N498" s="93"/>
      <c r="O498" s="93"/>
      <c r="P498" s="93"/>
      <c r="Q498" s="93"/>
      <c r="R498" s="93"/>
      <c r="S498" s="93"/>
      <c r="T498" s="62"/>
      <c r="U498" s="62"/>
      <c r="V498" s="62"/>
      <c r="W498" s="62"/>
      <c r="X498" s="62"/>
      <c r="Y498" s="62"/>
      <c r="Z498" s="93"/>
      <c r="AA498" s="93"/>
      <c r="AB498" s="93"/>
      <c r="AC498" s="93"/>
      <c r="AD498" s="93"/>
      <c r="AE498" s="93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3"/>
      <c r="C499" s="93"/>
      <c r="D499" s="93"/>
      <c r="E499" s="93"/>
      <c r="F499" s="93"/>
      <c r="G499" s="93"/>
      <c r="H499" s="62"/>
      <c r="I499" s="62"/>
      <c r="J499" s="62"/>
      <c r="K499" s="62"/>
      <c r="L499" s="62"/>
      <c r="M499" s="62"/>
      <c r="N499" s="93"/>
      <c r="O499" s="93"/>
      <c r="P499" s="93"/>
      <c r="Q499" s="93"/>
      <c r="R499" s="93"/>
      <c r="S499" s="93"/>
      <c r="T499" s="62"/>
      <c r="U499" s="62"/>
      <c r="V499" s="62"/>
      <c r="W499" s="62"/>
      <c r="X499" s="62"/>
      <c r="Y499" s="62"/>
      <c r="Z499" s="93"/>
      <c r="AA499" s="93"/>
      <c r="AB499" s="93"/>
      <c r="AC499" s="93"/>
      <c r="AD499" s="93"/>
      <c r="AE499" s="93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3"/>
      <c r="C500" s="93"/>
      <c r="D500" s="93"/>
      <c r="E500" s="93"/>
      <c r="F500" s="93"/>
      <c r="G500" s="93"/>
      <c r="H500" s="62"/>
      <c r="I500" s="62"/>
      <c r="J500" s="62"/>
      <c r="K500" s="62"/>
      <c r="L500" s="62"/>
      <c r="M500" s="63"/>
      <c r="N500" s="93"/>
      <c r="O500" s="93"/>
      <c r="P500" s="93"/>
      <c r="Q500" s="93"/>
      <c r="R500" s="93"/>
      <c r="S500" s="93"/>
      <c r="T500" s="62"/>
      <c r="U500" s="62"/>
      <c r="V500" s="62"/>
      <c r="W500" s="62"/>
      <c r="X500" s="62"/>
      <c r="Y500" s="63"/>
      <c r="Z500" s="93"/>
      <c r="AA500" s="93"/>
      <c r="AB500" s="93"/>
      <c r="AC500" s="93"/>
      <c r="AD500" s="93"/>
      <c r="AE500" s="93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3"/>
      <c r="C501" s="93"/>
      <c r="D501" s="93"/>
      <c r="E501" s="93"/>
      <c r="F501" s="93"/>
      <c r="G501" s="93"/>
      <c r="H501" s="62"/>
      <c r="I501" s="62"/>
      <c r="J501" s="62"/>
      <c r="K501" s="62"/>
      <c r="L501" s="62"/>
      <c r="M501" s="62"/>
      <c r="N501" s="93"/>
      <c r="O501" s="93"/>
      <c r="P501" s="93"/>
      <c r="Q501" s="93"/>
      <c r="R501" s="93"/>
      <c r="S501" s="93"/>
      <c r="T501" s="62"/>
      <c r="U501" s="62"/>
      <c r="V501" s="62"/>
      <c r="W501" s="62"/>
      <c r="X501" s="62"/>
      <c r="Y501" s="62"/>
      <c r="Z501" s="93"/>
      <c r="AA501" s="93"/>
      <c r="AB501" s="93"/>
      <c r="AC501" s="93"/>
      <c r="AD501" s="93"/>
      <c r="AE501" s="93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3"/>
      <c r="C502" s="93"/>
      <c r="D502" s="93"/>
      <c r="E502" s="93"/>
      <c r="F502" s="93"/>
      <c r="G502" s="93"/>
      <c r="H502" s="62"/>
      <c r="I502" s="93"/>
      <c r="J502" s="74"/>
      <c r="K502" s="62"/>
      <c r="L502" s="62"/>
      <c r="M502" s="62"/>
      <c r="N502" s="93"/>
      <c r="O502" s="93"/>
      <c r="P502" s="93"/>
      <c r="Q502" s="93"/>
      <c r="R502" s="93"/>
      <c r="S502" s="93"/>
      <c r="T502" s="62"/>
      <c r="U502" s="93"/>
      <c r="V502" s="74"/>
      <c r="W502" s="62"/>
      <c r="X502" s="62"/>
      <c r="Y502" s="62"/>
      <c r="Z502" s="93"/>
      <c r="AA502" s="93"/>
      <c r="AB502" s="93"/>
      <c r="AC502" s="93"/>
      <c r="AD502" s="93"/>
      <c r="AE502" s="93"/>
      <c r="AF502" s="62"/>
      <c r="AG502" s="93"/>
      <c r="AH502" s="74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3"/>
      <c r="C503" s="93"/>
      <c r="D503" s="93"/>
      <c r="E503" s="93"/>
      <c r="F503" s="93"/>
      <c r="G503" s="93"/>
      <c r="H503" s="62"/>
      <c r="I503" s="65"/>
      <c r="J503" s="65"/>
      <c r="K503" s="62"/>
      <c r="L503" s="62"/>
      <c r="M503" s="64"/>
      <c r="N503" s="93"/>
      <c r="O503" s="93"/>
      <c r="P503" s="93"/>
      <c r="Q503" s="93"/>
      <c r="R503" s="93"/>
      <c r="S503" s="93"/>
      <c r="T503" s="62"/>
      <c r="U503" s="65"/>
      <c r="V503" s="65"/>
      <c r="W503" s="62"/>
      <c r="X503" s="62"/>
      <c r="Y503" s="64"/>
      <c r="Z503" s="93"/>
      <c r="AA503" s="93"/>
      <c r="AB503" s="93"/>
      <c r="AC503" s="93"/>
      <c r="AD503" s="93"/>
      <c r="AE503" s="93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3"/>
      <c r="C504" s="93"/>
      <c r="D504" s="93"/>
      <c r="E504" s="93"/>
      <c r="F504" s="93"/>
      <c r="G504" s="93"/>
      <c r="H504" s="62"/>
      <c r="I504" s="62"/>
      <c r="J504" s="62"/>
      <c r="K504" s="62"/>
      <c r="L504" s="62"/>
      <c r="M504" s="62"/>
      <c r="N504" s="93"/>
      <c r="O504" s="93"/>
      <c r="P504" s="93"/>
      <c r="Q504" s="93"/>
      <c r="R504" s="93"/>
      <c r="S504" s="93"/>
      <c r="T504" s="62"/>
      <c r="U504" s="62"/>
      <c r="V504" s="62"/>
      <c r="W504" s="62"/>
      <c r="X504" s="62"/>
      <c r="Y504" s="62"/>
      <c r="Z504" s="93"/>
      <c r="AA504" s="93"/>
      <c r="AB504" s="93"/>
      <c r="AC504" s="93"/>
      <c r="AD504" s="93"/>
      <c r="AE504" s="93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3"/>
      <c r="D505" s="106"/>
      <c r="E505" s="106"/>
      <c r="F505" s="93"/>
      <c r="G505" s="93"/>
      <c r="H505" s="62"/>
      <c r="I505" s="106"/>
      <c r="J505" s="106"/>
      <c r="K505" s="105"/>
      <c r="L505" s="62"/>
      <c r="M505" s="62"/>
      <c r="N505" s="65"/>
      <c r="O505" s="93"/>
      <c r="P505" s="106"/>
      <c r="Q505" s="106"/>
      <c r="R505" s="93"/>
      <c r="S505" s="93"/>
      <c r="T505" s="62"/>
      <c r="U505" s="106"/>
      <c r="V505" s="106"/>
      <c r="W505" s="105"/>
      <c r="X505" s="62"/>
      <c r="Y505" s="62"/>
      <c r="Z505" s="65"/>
      <c r="AA505" s="93"/>
      <c r="AB505" s="106"/>
      <c r="AC505" s="106"/>
      <c r="AD505" s="93"/>
      <c r="AE505" s="93"/>
      <c r="AF505" s="62"/>
      <c r="AG505" s="106"/>
      <c r="AH505" s="106"/>
      <c r="AI505" s="105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3"/>
      <c r="C506" s="93"/>
      <c r="D506" s="81"/>
      <c r="E506" s="82"/>
      <c r="F506" s="83"/>
      <c r="G506" s="83"/>
      <c r="H506" s="62"/>
      <c r="I506" s="92"/>
      <c r="J506" s="92"/>
      <c r="K506" s="105"/>
      <c r="L506" s="62"/>
      <c r="M506" s="62"/>
      <c r="N506" s="93"/>
      <c r="O506" s="93"/>
      <c r="P506" s="81"/>
      <c r="Q506" s="83"/>
      <c r="R506" s="83"/>
      <c r="S506" s="83"/>
      <c r="T506" s="62"/>
      <c r="U506" s="92"/>
      <c r="V506" s="92"/>
      <c r="W506" s="105"/>
      <c r="X506" s="62"/>
      <c r="Y506" s="62"/>
      <c r="Z506" s="93"/>
      <c r="AA506" s="93"/>
      <c r="AB506" s="81"/>
      <c r="AC506" s="83"/>
      <c r="AD506" s="83"/>
      <c r="AE506" s="83"/>
      <c r="AF506" s="62"/>
      <c r="AG506" s="92"/>
      <c r="AH506" s="92"/>
      <c r="AI506" s="105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3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3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3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3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3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3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3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3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3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3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3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3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93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3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65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3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3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3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3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3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3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3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3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3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3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3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3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3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3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3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3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3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3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3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3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3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3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3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3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3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3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3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3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3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3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93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3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3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3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3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3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3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3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3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3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3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3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3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3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3"/>
      <c r="R527" s="93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93"/>
      <c r="AD527" s="93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3"/>
      <c r="P528" s="68"/>
      <c r="Q528" s="93"/>
      <c r="R528" s="93"/>
      <c r="S528" s="60"/>
      <c r="T528" s="62"/>
      <c r="U528" s="62"/>
      <c r="V528" s="62"/>
      <c r="W528" s="61"/>
      <c r="X528" s="62"/>
      <c r="Y528" s="62"/>
      <c r="Z528" s="66"/>
      <c r="AA528" s="93"/>
      <c r="AB528" s="68"/>
      <c r="AC528" s="93"/>
      <c r="AD528" s="93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3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3"/>
      <c r="P529" s="69"/>
      <c r="Q529" s="93"/>
      <c r="R529" s="62"/>
      <c r="S529" s="60"/>
      <c r="T529" s="62"/>
      <c r="U529" s="62"/>
      <c r="V529" s="62"/>
      <c r="W529" s="61"/>
      <c r="X529" s="62"/>
      <c r="Y529" s="62"/>
      <c r="Z529" s="66"/>
      <c r="AA529" s="93"/>
      <c r="AB529" s="69"/>
      <c r="AC529" s="93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3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3"/>
      <c r="P530" s="69"/>
      <c r="Q530" s="93"/>
      <c r="R530" s="93"/>
      <c r="S530" s="60"/>
      <c r="T530" s="62"/>
      <c r="U530" s="62"/>
      <c r="V530" s="62"/>
      <c r="W530" s="61"/>
      <c r="X530" s="62"/>
      <c r="Y530" s="62"/>
      <c r="Z530" s="66"/>
      <c r="AA530" s="93"/>
      <c r="AB530" s="69"/>
      <c r="AC530" s="93"/>
      <c r="AD530" s="93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3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3"/>
      <c r="P531" s="69"/>
      <c r="Q531" s="93"/>
      <c r="R531" s="93"/>
      <c r="S531" s="60"/>
      <c r="T531" s="62"/>
      <c r="U531" s="62"/>
      <c r="V531" s="62"/>
      <c r="W531" s="61"/>
      <c r="X531" s="62"/>
      <c r="Y531" s="62"/>
      <c r="Z531" s="66"/>
      <c r="AA531" s="65"/>
      <c r="AB531" s="69"/>
      <c r="AC531" s="93"/>
      <c r="AD531" s="93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93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3"/>
      <c r="P532" s="69"/>
      <c r="Q532" s="93"/>
      <c r="R532" s="93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3"/>
      <c r="AD532" s="93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3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3"/>
      <c r="P533" s="69"/>
      <c r="Q533" s="93"/>
      <c r="R533" s="93"/>
      <c r="S533" s="60"/>
      <c r="T533" s="62"/>
      <c r="U533" s="62"/>
      <c r="V533" s="62"/>
      <c r="W533" s="61"/>
      <c r="X533" s="62"/>
      <c r="Y533" s="62"/>
      <c r="Z533" s="66"/>
      <c r="AA533" s="93"/>
      <c r="AB533" s="69"/>
      <c r="AC533" s="93"/>
      <c r="AD533" s="93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3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3"/>
      <c r="P534" s="69"/>
      <c r="Q534" s="93"/>
      <c r="R534" s="93"/>
      <c r="S534" s="60"/>
      <c r="T534" s="62"/>
      <c r="U534" s="62"/>
      <c r="V534" s="62"/>
      <c r="W534" s="61"/>
      <c r="X534" s="62"/>
      <c r="Y534" s="62"/>
      <c r="Z534" s="66"/>
      <c r="AA534" s="93"/>
      <c r="AB534" s="69"/>
      <c r="AC534" s="93"/>
      <c r="AD534" s="93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3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3"/>
      <c r="P535" s="69"/>
      <c r="Q535" s="93"/>
      <c r="R535" s="93"/>
      <c r="S535" s="60"/>
      <c r="T535" s="62"/>
      <c r="U535" s="62"/>
      <c r="V535" s="62"/>
      <c r="W535" s="61"/>
      <c r="X535" s="62"/>
      <c r="Y535" s="62"/>
      <c r="Z535" s="66"/>
      <c r="AA535" s="93"/>
      <c r="AB535" s="69"/>
      <c r="AC535" s="93"/>
      <c r="AD535" s="93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3"/>
      <c r="P536" s="69"/>
      <c r="Q536" s="93"/>
      <c r="R536" s="93"/>
      <c r="S536" s="60"/>
      <c r="T536" s="62"/>
      <c r="U536" s="62"/>
      <c r="V536" s="62"/>
      <c r="W536" s="61"/>
      <c r="X536" s="62"/>
      <c r="Y536" s="62"/>
      <c r="Z536" s="66"/>
      <c r="AA536" s="93"/>
      <c r="AB536" s="69"/>
      <c r="AC536" s="93"/>
      <c r="AD536" s="93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3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3"/>
      <c r="P537" s="69"/>
      <c r="Q537" s="93"/>
      <c r="R537" s="93"/>
      <c r="S537" s="60"/>
      <c r="T537" s="62"/>
      <c r="U537" s="62"/>
      <c r="V537" s="62"/>
      <c r="W537" s="61"/>
      <c r="X537" s="62"/>
      <c r="Y537" s="62"/>
      <c r="Z537" s="66"/>
      <c r="AA537" s="93"/>
      <c r="AB537" s="69"/>
      <c r="AC537" s="93"/>
      <c r="AD537" s="93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3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3"/>
      <c r="P538" s="69"/>
      <c r="Q538" s="93"/>
      <c r="R538" s="93"/>
      <c r="S538" s="60"/>
      <c r="T538" s="62"/>
      <c r="U538" s="62"/>
      <c r="V538" s="62"/>
      <c r="W538" s="61"/>
      <c r="X538" s="62"/>
      <c r="Y538" s="62"/>
      <c r="Z538" s="66"/>
      <c r="AA538" s="93"/>
      <c r="AB538" s="69"/>
      <c r="AC538" s="93"/>
      <c r="AD538" s="93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3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3"/>
      <c r="P539" s="69"/>
      <c r="Q539" s="93"/>
      <c r="R539" s="93"/>
      <c r="S539" s="60"/>
      <c r="T539" s="62"/>
      <c r="U539" s="62"/>
      <c r="V539" s="62"/>
      <c r="W539" s="61"/>
      <c r="X539" s="62"/>
      <c r="Y539" s="62"/>
      <c r="Z539" s="66"/>
      <c r="AA539" s="93"/>
      <c r="AB539" s="69"/>
      <c r="AC539" s="93"/>
      <c r="AD539" s="93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3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62"/>
      <c r="P540" s="69"/>
      <c r="Q540" s="93"/>
      <c r="R540" s="93"/>
      <c r="S540" s="60"/>
      <c r="T540" s="62"/>
      <c r="U540" s="62"/>
      <c r="V540" s="62"/>
      <c r="W540" s="61"/>
      <c r="X540" s="62"/>
      <c r="Y540" s="62"/>
      <c r="Z540" s="66"/>
      <c r="AA540" s="62"/>
      <c r="AB540" s="69"/>
      <c r="AC540" s="93"/>
      <c r="AD540" s="93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3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3"/>
      <c r="P541" s="69"/>
      <c r="Q541" s="93"/>
      <c r="R541" s="93"/>
      <c r="S541" s="60"/>
      <c r="T541" s="62"/>
      <c r="U541" s="62"/>
      <c r="V541" s="62"/>
      <c r="W541" s="61"/>
      <c r="X541" s="62"/>
      <c r="Y541" s="62"/>
      <c r="Z541" s="66"/>
      <c r="AA541" s="93"/>
      <c r="AB541" s="69"/>
      <c r="AC541" s="93"/>
      <c r="AD541" s="93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3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3"/>
      <c r="P542" s="69"/>
      <c r="Q542" s="93"/>
      <c r="R542" s="93"/>
      <c r="S542" s="60"/>
      <c r="T542" s="62"/>
      <c r="U542" s="62"/>
      <c r="V542" s="62"/>
      <c r="W542" s="61"/>
      <c r="X542" s="62"/>
      <c r="Y542" s="62"/>
      <c r="Z542" s="66"/>
      <c r="AA542" s="93"/>
      <c r="AB542" s="69"/>
      <c r="AC542" s="93"/>
      <c r="AD542" s="93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3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3"/>
      <c r="R543" s="93"/>
      <c r="S543" s="60"/>
      <c r="T543" s="62"/>
      <c r="U543" s="62"/>
      <c r="V543" s="62"/>
      <c r="W543" s="61"/>
      <c r="X543" s="62"/>
      <c r="Y543" s="62"/>
      <c r="Z543" s="66"/>
      <c r="AA543" s="93"/>
      <c r="AB543" s="69"/>
      <c r="AC543" s="93"/>
      <c r="AD543" s="93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3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3"/>
      <c r="P544" s="69"/>
      <c r="Q544" s="93"/>
      <c r="R544" s="93"/>
      <c r="S544" s="60"/>
      <c r="T544" s="62"/>
      <c r="U544" s="62"/>
      <c r="V544" s="62"/>
      <c r="W544" s="61"/>
      <c r="X544" s="62"/>
      <c r="Y544" s="62"/>
      <c r="Z544" s="66"/>
      <c r="AA544" s="93"/>
      <c r="AB544" s="69"/>
      <c r="AC544" s="93"/>
      <c r="AD544" s="93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3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3"/>
      <c r="P545" s="69"/>
      <c r="Q545" s="93"/>
      <c r="R545" s="93"/>
      <c r="S545" s="60"/>
      <c r="T545" s="62"/>
      <c r="U545" s="62"/>
      <c r="V545" s="62"/>
      <c r="W545" s="61"/>
      <c r="X545" s="62"/>
      <c r="Y545" s="62"/>
      <c r="Z545" s="66"/>
      <c r="AA545" s="93"/>
      <c r="AB545" s="69"/>
      <c r="AC545" s="93"/>
      <c r="AD545" s="93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3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3"/>
      <c r="R546" s="93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3"/>
      <c r="AD546" s="93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3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3"/>
      <c r="P547" s="69"/>
      <c r="Q547" s="93"/>
      <c r="R547" s="93"/>
      <c r="S547" s="60"/>
      <c r="T547" s="62"/>
      <c r="U547" s="62"/>
      <c r="V547" s="62"/>
      <c r="W547" s="61"/>
      <c r="X547" s="62"/>
      <c r="Y547" s="62"/>
      <c r="Z547" s="66"/>
      <c r="AA547" s="93"/>
      <c r="AB547" s="69"/>
      <c r="AC547" s="93"/>
      <c r="AD547" s="93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3"/>
      <c r="O548" s="93"/>
      <c r="P548" s="93"/>
      <c r="Q548" s="93"/>
      <c r="R548" s="93"/>
      <c r="S548" s="93"/>
      <c r="T548" s="62"/>
      <c r="U548" s="62"/>
      <c r="V548" s="62"/>
      <c r="W548" s="61"/>
      <c r="X548" s="62"/>
      <c r="Y548" s="62"/>
      <c r="Z548" s="93"/>
      <c r="AA548" s="93"/>
      <c r="AB548" s="93"/>
      <c r="AC548" s="93"/>
      <c r="AD548" s="93"/>
      <c r="AE548" s="93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3"/>
      <c r="C549" s="93"/>
      <c r="D549" s="93"/>
      <c r="E549" s="93"/>
      <c r="F549" s="93"/>
      <c r="G549" s="93"/>
      <c r="H549" s="62"/>
      <c r="I549" s="62"/>
      <c r="J549" s="62"/>
      <c r="K549" s="62"/>
      <c r="L549" s="62"/>
      <c r="M549" s="62"/>
      <c r="N549" s="93"/>
      <c r="O549" s="93"/>
      <c r="P549" s="93"/>
      <c r="Q549" s="93"/>
      <c r="R549" s="93"/>
      <c r="S549" s="93"/>
      <c r="T549" s="62"/>
      <c r="U549" s="62"/>
      <c r="V549" s="62"/>
      <c r="W549" s="62"/>
      <c r="X549" s="62"/>
      <c r="Y549" s="62"/>
      <c r="Z549" s="93"/>
      <c r="AA549" s="93"/>
      <c r="AB549" s="93"/>
      <c r="AC549" s="93"/>
      <c r="AD549" s="93"/>
      <c r="AE549" s="93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3"/>
      <c r="C550" s="93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3"/>
      <c r="O550" s="93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3"/>
      <c r="AA550" s="93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3"/>
      <c r="C552" s="93"/>
      <c r="D552" s="93"/>
      <c r="E552" s="93"/>
      <c r="F552" s="93"/>
      <c r="G552" s="93"/>
      <c r="H552" s="62"/>
      <c r="I552" s="62"/>
      <c r="J552" s="62"/>
      <c r="K552" s="62"/>
      <c r="L552" s="62"/>
      <c r="M552" s="62"/>
      <c r="N552" s="93"/>
      <c r="O552" s="93"/>
      <c r="P552" s="93"/>
      <c r="Q552" s="93"/>
      <c r="R552" s="93"/>
      <c r="S552" s="93"/>
      <c r="T552" s="62"/>
      <c r="U552" s="62"/>
      <c r="V552" s="62"/>
      <c r="W552" s="62"/>
      <c r="X552" s="62"/>
      <c r="Y552" s="62"/>
      <c r="Z552" s="93"/>
      <c r="AA552" s="93"/>
      <c r="AB552" s="93"/>
      <c r="AC552" s="93"/>
      <c r="AD552" s="93"/>
      <c r="AE552" s="93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3"/>
      <c r="C553" s="93"/>
      <c r="D553" s="93"/>
      <c r="E553" s="93"/>
      <c r="F553" s="93"/>
      <c r="G553" s="93"/>
      <c r="H553" s="62"/>
      <c r="I553" s="62"/>
      <c r="J553" s="62"/>
      <c r="K553" s="62"/>
      <c r="L553" s="62"/>
      <c r="M553" s="62"/>
      <c r="N553" s="93"/>
      <c r="O553" s="93"/>
      <c r="P553" s="93"/>
      <c r="Q553" s="93"/>
      <c r="R553" s="93"/>
      <c r="S553" s="93"/>
      <c r="T553" s="62"/>
      <c r="U553" s="62"/>
      <c r="V553" s="62"/>
      <c r="W553" s="62"/>
      <c r="X553" s="62"/>
      <c r="Y553" s="62"/>
      <c r="Z553" s="93"/>
      <c r="AA553" s="93"/>
      <c r="AB553" s="93"/>
      <c r="AC553" s="93"/>
      <c r="AD553" s="93"/>
      <c r="AE553" s="93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3"/>
      <c r="C554" s="93"/>
      <c r="D554" s="93"/>
      <c r="E554" s="93"/>
      <c r="F554" s="93"/>
      <c r="G554" s="93"/>
      <c r="H554" s="62"/>
      <c r="I554" s="62"/>
      <c r="J554" s="62"/>
      <c r="K554" s="62"/>
      <c r="L554" s="62"/>
      <c r="M554" s="62"/>
      <c r="N554" s="93"/>
      <c r="O554" s="93"/>
      <c r="P554" s="93"/>
      <c r="Q554" s="93"/>
      <c r="R554" s="93"/>
      <c r="S554" s="93"/>
      <c r="T554" s="62"/>
      <c r="U554" s="62"/>
      <c r="V554" s="62"/>
      <c r="W554" s="62"/>
      <c r="X554" s="62"/>
      <c r="Y554" s="62"/>
      <c r="Z554" s="93"/>
      <c r="AA554" s="93"/>
      <c r="AB554" s="93"/>
      <c r="AC554" s="93"/>
      <c r="AD554" s="93"/>
      <c r="AE554" s="93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3"/>
      <c r="C555" s="93"/>
      <c r="D555" s="93"/>
      <c r="E555" s="93"/>
      <c r="F555" s="93"/>
      <c r="G555" s="93"/>
      <c r="H555" s="62"/>
      <c r="I555" s="62"/>
      <c r="J555" s="62"/>
      <c r="K555" s="62"/>
      <c r="L555" s="62"/>
      <c r="M555" s="63"/>
      <c r="N555" s="93"/>
      <c r="O555" s="93"/>
      <c r="P555" s="93"/>
      <c r="Q555" s="93"/>
      <c r="R555" s="93"/>
      <c r="S555" s="93"/>
      <c r="T555" s="62"/>
      <c r="U555" s="62"/>
      <c r="V555" s="62"/>
      <c r="W555" s="62"/>
      <c r="X555" s="62"/>
      <c r="Y555" s="63"/>
      <c r="Z555" s="93"/>
      <c r="AA555" s="93"/>
      <c r="AB555" s="93"/>
      <c r="AC555" s="93"/>
      <c r="AD555" s="93"/>
      <c r="AE555" s="93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3"/>
      <c r="C556" s="93"/>
      <c r="D556" s="93"/>
      <c r="E556" s="93"/>
      <c r="F556" s="93"/>
      <c r="G556" s="93"/>
      <c r="H556" s="62"/>
      <c r="I556" s="62"/>
      <c r="J556" s="62"/>
      <c r="K556" s="62"/>
      <c r="L556" s="62"/>
      <c r="M556" s="62"/>
      <c r="N556" s="93"/>
      <c r="O556" s="93"/>
      <c r="P556" s="93"/>
      <c r="Q556" s="93"/>
      <c r="R556" s="93"/>
      <c r="S556" s="93"/>
      <c r="T556" s="62"/>
      <c r="U556" s="62"/>
      <c r="V556" s="62"/>
      <c r="W556" s="62"/>
      <c r="X556" s="62"/>
      <c r="Y556" s="62"/>
      <c r="Z556" s="93"/>
      <c r="AA556" s="93"/>
      <c r="AB556" s="93"/>
      <c r="AC556" s="93"/>
      <c r="AD556" s="93"/>
      <c r="AE556" s="93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3"/>
      <c r="C557" s="93"/>
      <c r="D557" s="93"/>
      <c r="E557" s="93"/>
      <c r="F557" s="93"/>
      <c r="G557" s="93"/>
      <c r="H557" s="62"/>
      <c r="I557" s="93"/>
      <c r="J557" s="74"/>
      <c r="K557" s="62"/>
      <c r="L557" s="62"/>
      <c r="M557" s="62"/>
      <c r="N557" s="93"/>
      <c r="O557" s="93"/>
      <c r="P557" s="93"/>
      <c r="Q557" s="93"/>
      <c r="R557" s="93"/>
      <c r="S557" s="93"/>
      <c r="T557" s="62"/>
      <c r="U557" s="93"/>
      <c r="V557" s="74"/>
      <c r="W557" s="62"/>
      <c r="X557" s="62"/>
      <c r="Y557" s="62"/>
      <c r="Z557" s="93"/>
      <c r="AA557" s="93"/>
      <c r="AB557" s="93"/>
      <c r="AC557" s="93"/>
      <c r="AD557" s="93"/>
      <c r="AE557" s="93"/>
      <c r="AF557" s="62"/>
      <c r="AG557" s="93"/>
      <c r="AH557" s="7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3"/>
      <c r="C558" s="93"/>
      <c r="D558" s="93"/>
      <c r="E558" s="93"/>
      <c r="F558" s="93"/>
      <c r="G558" s="93"/>
      <c r="H558" s="62"/>
      <c r="I558" s="65"/>
      <c r="J558" s="65"/>
      <c r="K558" s="62"/>
      <c r="L558" s="62"/>
      <c r="M558" s="64"/>
      <c r="N558" s="93"/>
      <c r="O558" s="93"/>
      <c r="P558" s="93"/>
      <c r="Q558" s="93"/>
      <c r="R558" s="93"/>
      <c r="S558" s="93"/>
      <c r="T558" s="62"/>
      <c r="U558" s="65"/>
      <c r="V558" s="65"/>
      <c r="W558" s="62"/>
      <c r="X558" s="62"/>
      <c r="Y558" s="64"/>
      <c r="Z558" s="93"/>
      <c r="AA558" s="93"/>
      <c r="AB558" s="93"/>
      <c r="AC558" s="93"/>
      <c r="AD558" s="93"/>
      <c r="AE558" s="93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3"/>
      <c r="C559" s="93"/>
      <c r="D559" s="93"/>
      <c r="E559" s="93"/>
      <c r="F559" s="93"/>
      <c r="G559" s="93"/>
      <c r="H559" s="62"/>
      <c r="I559" s="62"/>
      <c r="J559" s="62"/>
      <c r="K559" s="62"/>
      <c r="L559" s="62"/>
      <c r="M559" s="62"/>
      <c r="N559" s="93"/>
      <c r="O559" s="93"/>
      <c r="P559" s="93"/>
      <c r="Q559" s="93"/>
      <c r="R559" s="93"/>
      <c r="S559" s="93"/>
      <c r="T559" s="62"/>
      <c r="U559" s="62"/>
      <c r="V559" s="62"/>
      <c r="W559" s="62"/>
      <c r="X559" s="62"/>
      <c r="Y559" s="62"/>
      <c r="Z559" s="93"/>
      <c r="AA559" s="93"/>
      <c r="AB559" s="93"/>
      <c r="AC559" s="93"/>
      <c r="AD559" s="93"/>
      <c r="AE559" s="93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3"/>
      <c r="D560" s="106"/>
      <c r="E560" s="106"/>
      <c r="F560" s="93"/>
      <c r="G560" s="93"/>
      <c r="H560" s="62"/>
      <c r="I560" s="106"/>
      <c r="J560" s="106"/>
      <c r="K560" s="105"/>
      <c r="L560" s="62"/>
      <c r="M560" s="62"/>
      <c r="N560" s="65"/>
      <c r="O560" s="93"/>
      <c r="P560" s="106"/>
      <c r="Q560" s="106"/>
      <c r="R560" s="93"/>
      <c r="S560" s="93"/>
      <c r="T560" s="62"/>
      <c r="U560" s="106"/>
      <c r="V560" s="106"/>
      <c r="W560" s="105"/>
      <c r="X560" s="62"/>
      <c r="Y560" s="62"/>
      <c r="Z560" s="65"/>
      <c r="AA560" s="93"/>
      <c r="AB560" s="106"/>
      <c r="AC560" s="106"/>
      <c r="AD560" s="93"/>
      <c r="AE560" s="93"/>
      <c r="AF560" s="62"/>
      <c r="AG560" s="106"/>
      <c r="AH560" s="106"/>
      <c r="AI560" s="105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3"/>
      <c r="C561" s="93"/>
      <c r="D561" s="81"/>
      <c r="E561" s="82"/>
      <c r="F561" s="83"/>
      <c r="G561" s="83"/>
      <c r="H561" s="62"/>
      <c r="I561" s="92"/>
      <c r="J561" s="92"/>
      <c r="K561" s="105"/>
      <c r="L561" s="62"/>
      <c r="M561" s="62"/>
      <c r="N561" s="93"/>
      <c r="O561" s="93"/>
      <c r="P561" s="81"/>
      <c r="Q561" s="83"/>
      <c r="R561" s="83"/>
      <c r="S561" s="83"/>
      <c r="T561" s="62"/>
      <c r="U561" s="92"/>
      <c r="V561" s="92"/>
      <c r="W561" s="105"/>
      <c r="X561" s="62"/>
      <c r="Y561" s="62"/>
      <c r="Z561" s="93"/>
      <c r="AA561" s="93"/>
      <c r="AB561" s="81"/>
      <c r="AC561" s="83"/>
      <c r="AD561" s="83"/>
      <c r="AE561" s="83"/>
      <c r="AF561" s="62"/>
      <c r="AG561" s="92"/>
      <c r="AH561" s="92"/>
      <c r="AI561" s="105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3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3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3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3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3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3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9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3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65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3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3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3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3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3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3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3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3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3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3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3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3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3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3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3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3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3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3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65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3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3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3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3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3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3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3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3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3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3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3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3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3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3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3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3"/>
      <c r="P582" s="67"/>
      <c r="Q582" s="93"/>
      <c r="R582" s="93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3"/>
      <c r="AD582" s="93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65"/>
      <c r="P583" s="68"/>
      <c r="Q583" s="93"/>
      <c r="R583" s="93"/>
      <c r="S583" s="60"/>
      <c r="T583" s="62"/>
      <c r="U583" s="62"/>
      <c r="V583" s="62"/>
      <c r="W583" s="61"/>
      <c r="X583" s="62"/>
      <c r="Y583" s="62"/>
      <c r="Z583" s="66"/>
      <c r="AA583" s="93"/>
      <c r="AB583" s="68"/>
      <c r="AC583" s="93"/>
      <c r="AD583" s="93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3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3"/>
      <c r="P584" s="69"/>
      <c r="Q584" s="93"/>
      <c r="R584" s="62"/>
      <c r="S584" s="60"/>
      <c r="T584" s="62"/>
      <c r="U584" s="62"/>
      <c r="V584" s="62"/>
      <c r="W584" s="61"/>
      <c r="X584" s="62"/>
      <c r="Y584" s="62"/>
      <c r="Z584" s="66"/>
      <c r="AA584" s="93"/>
      <c r="AB584" s="69"/>
      <c r="AC584" s="93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3"/>
      <c r="P585" s="69"/>
      <c r="Q585" s="93"/>
      <c r="R585" s="93"/>
      <c r="S585" s="60"/>
      <c r="T585" s="62"/>
      <c r="U585" s="62"/>
      <c r="V585" s="62"/>
      <c r="W585" s="61"/>
      <c r="X585" s="62"/>
      <c r="Y585" s="62"/>
      <c r="Z585" s="66"/>
      <c r="AA585" s="93"/>
      <c r="AB585" s="69"/>
      <c r="AC585" s="93"/>
      <c r="AD585" s="93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3"/>
      <c r="P586" s="69"/>
      <c r="Q586" s="93"/>
      <c r="R586" s="93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3"/>
      <c r="AD586" s="93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9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3"/>
      <c r="P587" s="69"/>
      <c r="Q587" s="93"/>
      <c r="R587" s="93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3"/>
      <c r="AD587" s="93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3"/>
      <c r="P588" s="69"/>
      <c r="Q588" s="93"/>
      <c r="R588" s="93"/>
      <c r="S588" s="60"/>
      <c r="T588" s="62"/>
      <c r="U588" s="62"/>
      <c r="V588" s="62"/>
      <c r="W588" s="61"/>
      <c r="X588" s="62"/>
      <c r="Y588" s="62"/>
      <c r="Z588" s="66"/>
      <c r="AA588" s="93"/>
      <c r="AB588" s="69"/>
      <c r="AC588" s="93"/>
      <c r="AD588" s="93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3"/>
      <c r="P589" s="69"/>
      <c r="Q589" s="93"/>
      <c r="R589" s="93"/>
      <c r="S589" s="60"/>
      <c r="T589" s="62"/>
      <c r="U589" s="62"/>
      <c r="V589" s="62"/>
      <c r="W589" s="61"/>
      <c r="X589" s="62"/>
      <c r="Y589" s="62"/>
      <c r="Z589" s="66"/>
      <c r="AA589" s="93"/>
      <c r="AB589" s="69"/>
      <c r="AC589" s="93"/>
      <c r="AD589" s="93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3"/>
      <c r="P590" s="69"/>
      <c r="Q590" s="93"/>
      <c r="R590" s="93"/>
      <c r="S590" s="60"/>
      <c r="T590" s="62"/>
      <c r="U590" s="62"/>
      <c r="V590" s="62"/>
      <c r="W590" s="61"/>
      <c r="X590" s="62"/>
      <c r="Y590" s="62"/>
      <c r="Z590" s="66"/>
      <c r="AA590" s="93"/>
      <c r="AB590" s="69"/>
      <c r="AC590" s="93"/>
      <c r="AD590" s="93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3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3"/>
      <c r="R591" s="93"/>
      <c r="S591" s="60"/>
      <c r="T591" s="62"/>
      <c r="U591" s="62"/>
      <c r="V591" s="62"/>
      <c r="W591" s="61"/>
      <c r="X591" s="62"/>
      <c r="Y591" s="62"/>
      <c r="Z591" s="66"/>
      <c r="AA591" s="93"/>
      <c r="AB591" s="69"/>
      <c r="AC591" s="93"/>
      <c r="AD591" s="93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3"/>
      <c r="P592" s="69"/>
      <c r="Q592" s="93"/>
      <c r="R592" s="93"/>
      <c r="S592" s="60"/>
      <c r="T592" s="62"/>
      <c r="U592" s="62"/>
      <c r="V592" s="62"/>
      <c r="W592" s="61"/>
      <c r="X592" s="62"/>
      <c r="Y592" s="62"/>
      <c r="Z592" s="66"/>
      <c r="AA592" s="93"/>
      <c r="AB592" s="69"/>
      <c r="AC592" s="93"/>
      <c r="AD592" s="93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3"/>
      <c r="P593" s="69"/>
      <c r="Q593" s="93"/>
      <c r="R593" s="93"/>
      <c r="S593" s="60"/>
      <c r="T593" s="62"/>
      <c r="U593" s="62"/>
      <c r="V593" s="62"/>
      <c r="W593" s="61"/>
      <c r="X593" s="62"/>
      <c r="Y593" s="62"/>
      <c r="Z593" s="66"/>
      <c r="AA593" s="93"/>
      <c r="AB593" s="69"/>
      <c r="AC593" s="93"/>
      <c r="AD593" s="93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3"/>
      <c r="P594" s="69"/>
      <c r="Q594" s="93"/>
      <c r="R594" s="93"/>
      <c r="S594" s="60"/>
      <c r="T594" s="62"/>
      <c r="U594" s="62"/>
      <c r="V594" s="62"/>
      <c r="W594" s="61"/>
      <c r="X594" s="62"/>
      <c r="Y594" s="62"/>
      <c r="Z594" s="66"/>
      <c r="AA594" s="93"/>
      <c r="AB594" s="69"/>
      <c r="AC594" s="93"/>
      <c r="AD594" s="93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62"/>
      <c r="P595" s="69"/>
      <c r="Q595" s="93"/>
      <c r="R595" s="93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3"/>
      <c r="AD595" s="93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3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3"/>
      <c r="P596" s="69"/>
      <c r="Q596" s="93"/>
      <c r="R596" s="93"/>
      <c r="S596" s="60"/>
      <c r="T596" s="62"/>
      <c r="U596" s="62"/>
      <c r="V596" s="62"/>
      <c r="W596" s="61"/>
      <c r="X596" s="62"/>
      <c r="Y596" s="62"/>
      <c r="Z596" s="66"/>
      <c r="AA596" s="93"/>
      <c r="AB596" s="69"/>
      <c r="AC596" s="93"/>
      <c r="AD596" s="93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3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3"/>
      <c r="P597" s="69"/>
      <c r="Q597" s="93"/>
      <c r="R597" s="93"/>
      <c r="S597" s="60"/>
      <c r="T597" s="62"/>
      <c r="U597" s="62"/>
      <c r="V597" s="62"/>
      <c r="W597" s="61"/>
      <c r="X597" s="62"/>
      <c r="Y597" s="62"/>
      <c r="Z597" s="66"/>
      <c r="AA597" s="93"/>
      <c r="AB597" s="69"/>
      <c r="AC597" s="93"/>
      <c r="AD597" s="93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3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3"/>
      <c r="R598" s="93"/>
      <c r="S598" s="60"/>
      <c r="T598" s="62"/>
      <c r="U598" s="62"/>
      <c r="V598" s="62"/>
      <c r="W598" s="61"/>
      <c r="X598" s="62"/>
      <c r="Y598" s="62"/>
      <c r="Z598" s="66"/>
      <c r="AA598" s="93"/>
      <c r="AB598" s="69"/>
      <c r="AC598" s="93"/>
      <c r="AD598" s="93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3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3"/>
      <c r="P599" s="69"/>
      <c r="Q599" s="93"/>
      <c r="R599" s="93"/>
      <c r="S599" s="60"/>
      <c r="T599" s="62"/>
      <c r="U599" s="62"/>
      <c r="V599" s="62"/>
      <c r="W599" s="61"/>
      <c r="X599" s="62"/>
      <c r="Y599" s="62"/>
      <c r="Z599" s="66"/>
      <c r="AA599" s="93"/>
      <c r="AB599" s="69"/>
      <c r="AC599" s="93"/>
      <c r="AD599" s="93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3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3"/>
      <c r="P600" s="69"/>
      <c r="Q600" s="93"/>
      <c r="R600" s="93"/>
      <c r="S600" s="60"/>
      <c r="T600" s="62"/>
      <c r="U600" s="62"/>
      <c r="V600" s="62"/>
      <c r="W600" s="61"/>
      <c r="X600" s="62"/>
      <c r="Y600" s="62"/>
      <c r="Z600" s="66"/>
      <c r="AA600" s="93"/>
      <c r="AB600" s="69"/>
      <c r="AC600" s="93"/>
      <c r="AD600" s="93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3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3"/>
      <c r="R601" s="93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3"/>
      <c r="AD601" s="93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3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3"/>
      <c r="P602" s="69"/>
      <c r="Q602" s="93"/>
      <c r="R602" s="93"/>
      <c r="S602" s="60"/>
      <c r="T602" s="62"/>
      <c r="U602" s="62"/>
      <c r="V602" s="62"/>
      <c r="W602" s="61"/>
      <c r="X602" s="62"/>
      <c r="Y602" s="62"/>
      <c r="Z602" s="66"/>
      <c r="AA602" s="93"/>
      <c r="AB602" s="69"/>
      <c r="AC602" s="93"/>
      <c r="AD602" s="93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3"/>
      <c r="O603" s="93"/>
      <c r="P603" s="93"/>
      <c r="Q603" s="93"/>
      <c r="R603" s="93"/>
      <c r="S603" s="93"/>
      <c r="T603" s="62"/>
      <c r="U603" s="62"/>
      <c r="V603" s="62"/>
      <c r="W603" s="61"/>
      <c r="X603" s="62"/>
      <c r="Y603" s="62"/>
      <c r="Z603" s="93"/>
      <c r="AA603" s="93"/>
      <c r="AB603" s="93"/>
      <c r="AC603" s="93"/>
      <c r="AD603" s="93"/>
      <c r="AE603" s="93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3"/>
      <c r="C604" s="93"/>
      <c r="D604" s="93"/>
      <c r="E604" s="93"/>
      <c r="F604" s="93"/>
      <c r="G604" s="93"/>
      <c r="H604" s="62"/>
      <c r="I604" s="62"/>
      <c r="J604" s="62"/>
      <c r="K604" s="62"/>
      <c r="L604" s="62"/>
      <c r="M604" s="62"/>
      <c r="N604" s="93"/>
      <c r="O604" s="93"/>
      <c r="P604" s="93"/>
      <c r="Q604" s="93"/>
      <c r="R604" s="93"/>
      <c r="S604" s="93"/>
      <c r="T604" s="62"/>
      <c r="U604" s="62"/>
      <c r="V604" s="62"/>
      <c r="W604" s="62"/>
      <c r="X604" s="62"/>
      <c r="Y604" s="62"/>
      <c r="Z604" s="93"/>
      <c r="AA604" s="93"/>
      <c r="AB604" s="93"/>
      <c r="AC604" s="93"/>
      <c r="AD604" s="93"/>
      <c r="AE604" s="93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3"/>
      <c r="C605" s="93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3"/>
      <c r="O605" s="93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3"/>
      <c r="AA605" s="93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3"/>
      <c r="C607" s="93"/>
      <c r="D607" s="93"/>
      <c r="E607" s="93"/>
      <c r="F607" s="93"/>
      <c r="G607" s="93"/>
      <c r="H607" s="62"/>
      <c r="I607" s="62"/>
      <c r="J607" s="62"/>
      <c r="K607" s="62"/>
      <c r="L607" s="62"/>
      <c r="M607" s="62"/>
      <c r="N607" s="93"/>
      <c r="O607" s="93"/>
      <c r="P607" s="93"/>
      <c r="Q607" s="93"/>
      <c r="R607" s="93"/>
      <c r="S607" s="93"/>
      <c r="T607" s="62"/>
      <c r="U607" s="62"/>
      <c r="V607" s="62"/>
      <c r="W607" s="62"/>
      <c r="X607" s="62"/>
      <c r="Y607" s="62"/>
      <c r="Z607" s="93"/>
      <c r="AA607" s="93"/>
      <c r="AB607" s="93"/>
      <c r="AC607" s="93"/>
      <c r="AD607" s="93"/>
      <c r="AE607" s="93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3"/>
      <c r="C608" s="93"/>
      <c r="D608" s="93"/>
      <c r="E608" s="93"/>
      <c r="F608" s="93"/>
      <c r="G608" s="93"/>
      <c r="H608" s="62"/>
      <c r="I608" s="62"/>
      <c r="J608" s="62"/>
      <c r="K608" s="62"/>
      <c r="L608" s="62"/>
      <c r="M608" s="62"/>
      <c r="N608" s="93"/>
      <c r="O608" s="93"/>
      <c r="P608" s="93"/>
      <c r="Q608" s="93"/>
      <c r="R608" s="93"/>
      <c r="S608" s="93"/>
      <c r="T608" s="62"/>
      <c r="U608" s="62"/>
      <c r="V608" s="62"/>
      <c r="W608" s="62"/>
      <c r="X608" s="62"/>
      <c r="Y608" s="62"/>
      <c r="Z608" s="93"/>
      <c r="AA608" s="93"/>
      <c r="AB608" s="93"/>
      <c r="AC608" s="93"/>
      <c r="AD608" s="93"/>
      <c r="AE608" s="93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3"/>
      <c r="C609" s="93"/>
      <c r="D609" s="93"/>
      <c r="E609" s="93"/>
      <c r="F609" s="93"/>
      <c r="G609" s="93"/>
      <c r="H609" s="62"/>
      <c r="I609" s="62"/>
      <c r="J609" s="62"/>
      <c r="K609" s="62"/>
      <c r="L609" s="62"/>
      <c r="M609" s="62"/>
      <c r="N609" s="93"/>
      <c r="O609" s="93"/>
      <c r="P609" s="93"/>
      <c r="Q609" s="93"/>
      <c r="R609" s="93"/>
      <c r="S609" s="93"/>
      <c r="T609" s="62"/>
      <c r="U609" s="62"/>
      <c r="V609" s="62"/>
      <c r="W609" s="62"/>
      <c r="X609" s="62"/>
      <c r="Y609" s="62"/>
      <c r="Z609" s="93"/>
      <c r="AA609" s="93"/>
      <c r="AB609" s="93"/>
      <c r="AC609" s="93"/>
      <c r="AD609" s="93"/>
      <c r="AE609" s="93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3"/>
      <c r="C610" s="93"/>
      <c r="D610" s="93"/>
      <c r="E610" s="93"/>
      <c r="F610" s="93"/>
      <c r="G610" s="93"/>
      <c r="H610" s="62"/>
      <c r="I610" s="62"/>
      <c r="J610" s="62"/>
      <c r="K610" s="62"/>
      <c r="L610" s="62"/>
      <c r="M610" s="63"/>
      <c r="N610" s="93"/>
      <c r="O610" s="93"/>
      <c r="P610" s="93"/>
      <c r="Q610" s="93"/>
      <c r="R610" s="93"/>
      <c r="S610" s="93"/>
      <c r="T610" s="62"/>
      <c r="U610" s="62"/>
      <c r="V610" s="62"/>
      <c r="W610" s="62"/>
      <c r="X610" s="62"/>
      <c r="Y610" s="63"/>
      <c r="Z610" s="93"/>
      <c r="AA610" s="93"/>
      <c r="AB610" s="93"/>
      <c r="AC610" s="93"/>
      <c r="AD610" s="93"/>
      <c r="AE610" s="93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3"/>
      <c r="C611" s="93"/>
      <c r="D611" s="93"/>
      <c r="E611" s="93"/>
      <c r="F611" s="93"/>
      <c r="G611" s="93"/>
      <c r="H611" s="62"/>
      <c r="I611" s="62"/>
      <c r="J611" s="62"/>
      <c r="K611" s="62"/>
      <c r="L611" s="62"/>
      <c r="M611" s="62"/>
      <c r="N611" s="93"/>
      <c r="O611" s="93"/>
      <c r="P611" s="93"/>
      <c r="Q611" s="93"/>
      <c r="R611" s="93"/>
      <c r="S611" s="93"/>
      <c r="T611" s="62"/>
      <c r="U611" s="62"/>
      <c r="V611" s="62"/>
      <c r="W611" s="62"/>
      <c r="X611" s="62"/>
      <c r="Y611" s="62"/>
      <c r="Z611" s="93"/>
      <c r="AA611" s="93"/>
      <c r="AB611" s="93"/>
      <c r="AC611" s="93"/>
      <c r="AD611" s="93"/>
      <c r="AE611" s="93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3"/>
      <c r="C612" s="93"/>
      <c r="D612" s="93"/>
      <c r="E612" s="93"/>
      <c r="F612" s="93"/>
      <c r="G612" s="93"/>
      <c r="H612" s="62"/>
      <c r="I612" s="93"/>
      <c r="J612" s="74"/>
      <c r="K612" s="62"/>
      <c r="L612" s="62"/>
      <c r="M612" s="62"/>
      <c r="N612" s="93"/>
      <c r="O612" s="93"/>
      <c r="P612" s="93"/>
      <c r="Q612" s="93"/>
      <c r="R612" s="93"/>
      <c r="S612" s="93"/>
      <c r="T612" s="62"/>
      <c r="U612" s="93"/>
      <c r="V612" s="74"/>
      <c r="W612" s="62"/>
      <c r="X612" s="62"/>
      <c r="Y612" s="62"/>
      <c r="Z612" s="93"/>
      <c r="AA612" s="93"/>
      <c r="AB612" s="93"/>
      <c r="AC612" s="93"/>
      <c r="AD612" s="93"/>
      <c r="AE612" s="93"/>
      <c r="AF612" s="62"/>
      <c r="AG612" s="93"/>
      <c r="AH612" s="7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3"/>
      <c r="C613" s="93"/>
      <c r="D613" s="93"/>
      <c r="E613" s="93"/>
      <c r="F613" s="93"/>
      <c r="G613" s="93"/>
      <c r="H613" s="62"/>
      <c r="I613" s="65"/>
      <c r="J613" s="65"/>
      <c r="K613" s="62"/>
      <c r="L613" s="62"/>
      <c r="M613" s="64"/>
      <c r="N613" s="93"/>
      <c r="O613" s="93"/>
      <c r="P613" s="93"/>
      <c r="Q613" s="93"/>
      <c r="R613" s="93"/>
      <c r="S613" s="93"/>
      <c r="T613" s="62"/>
      <c r="U613" s="65"/>
      <c r="V613" s="65"/>
      <c r="W613" s="62"/>
      <c r="X613" s="62"/>
      <c r="Y613" s="64"/>
      <c r="Z613" s="93"/>
      <c r="AA613" s="93"/>
      <c r="AB613" s="93"/>
      <c r="AC613" s="93"/>
      <c r="AD613" s="93"/>
      <c r="AE613" s="93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3"/>
      <c r="C614" s="93"/>
      <c r="D614" s="93"/>
      <c r="E614" s="93"/>
      <c r="F614" s="93"/>
      <c r="G614" s="93"/>
      <c r="H614" s="62"/>
      <c r="I614" s="62"/>
      <c r="J614" s="62"/>
      <c r="K614" s="62"/>
      <c r="L614" s="62"/>
      <c r="M614" s="62"/>
      <c r="N614" s="93"/>
      <c r="O614" s="93"/>
      <c r="P614" s="93"/>
      <c r="Q614" s="93"/>
      <c r="R614" s="93"/>
      <c r="S614" s="93"/>
      <c r="T614" s="62"/>
      <c r="U614" s="62"/>
      <c r="V614" s="62"/>
      <c r="W614" s="62"/>
      <c r="X614" s="62"/>
      <c r="Y614" s="62"/>
      <c r="Z614" s="93"/>
      <c r="AA614" s="93"/>
      <c r="AB614" s="93"/>
      <c r="AC614" s="93"/>
      <c r="AD614" s="93"/>
      <c r="AE614" s="93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3"/>
      <c r="D615" s="106"/>
      <c r="E615" s="106"/>
      <c r="F615" s="93"/>
      <c r="G615" s="93"/>
      <c r="H615" s="62"/>
      <c r="I615" s="106"/>
      <c r="J615" s="106"/>
      <c r="K615" s="105"/>
      <c r="L615" s="62"/>
      <c r="M615" s="62"/>
      <c r="N615" s="65"/>
      <c r="O615" s="93"/>
      <c r="P615" s="106"/>
      <c r="Q615" s="106"/>
      <c r="R615" s="93"/>
      <c r="S615" s="93"/>
      <c r="T615" s="62"/>
      <c r="U615" s="106"/>
      <c r="V615" s="106"/>
      <c r="W615" s="105"/>
      <c r="X615" s="62"/>
      <c r="Y615" s="62"/>
      <c r="Z615" s="65"/>
      <c r="AA615" s="93"/>
      <c r="AB615" s="106"/>
      <c r="AC615" s="106"/>
      <c r="AD615" s="93"/>
      <c r="AE615" s="93"/>
      <c r="AF615" s="62"/>
      <c r="AG615" s="106"/>
      <c r="AH615" s="106"/>
      <c r="AI615" s="105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3"/>
      <c r="C616" s="93"/>
      <c r="D616" s="81"/>
      <c r="E616" s="82"/>
      <c r="F616" s="83"/>
      <c r="G616" s="83"/>
      <c r="H616" s="62"/>
      <c r="I616" s="92"/>
      <c r="J616" s="92"/>
      <c r="K616" s="105"/>
      <c r="L616" s="62"/>
      <c r="M616" s="62"/>
      <c r="N616" s="93"/>
      <c r="O616" s="93"/>
      <c r="P616" s="81"/>
      <c r="Q616" s="83"/>
      <c r="R616" s="83"/>
      <c r="S616" s="83"/>
      <c r="T616" s="62"/>
      <c r="U616" s="92"/>
      <c r="V616" s="92"/>
      <c r="W616" s="105"/>
      <c r="X616" s="62"/>
      <c r="Y616" s="62"/>
      <c r="Z616" s="93"/>
      <c r="AA616" s="93"/>
      <c r="AB616" s="81"/>
      <c r="AC616" s="83"/>
      <c r="AD616" s="83"/>
      <c r="AE616" s="83"/>
      <c r="AF616" s="62"/>
      <c r="AG616" s="92"/>
      <c r="AH616" s="92"/>
      <c r="AI616" s="105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3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3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3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3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3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3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3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3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3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3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3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3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3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3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3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3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3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3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3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3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3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3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3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3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3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3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3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3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3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3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9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3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3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3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3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3"/>
      <c r="P637" s="67"/>
      <c r="Q637" s="93"/>
      <c r="R637" s="93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3"/>
      <c r="AD637" s="93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3"/>
      <c r="P638" s="68"/>
      <c r="Q638" s="93"/>
      <c r="R638" s="93"/>
      <c r="S638" s="60"/>
      <c r="T638" s="62"/>
      <c r="U638" s="62"/>
      <c r="V638" s="62"/>
      <c r="W638" s="61"/>
      <c r="X638" s="62"/>
      <c r="Y638" s="62"/>
      <c r="Z638" s="66"/>
      <c r="AA638" s="93"/>
      <c r="AB638" s="68"/>
      <c r="AC638" s="93"/>
      <c r="AD638" s="93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3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3"/>
      <c r="AB639" s="69"/>
      <c r="AC639" s="93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65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3"/>
      <c r="P640" s="69"/>
      <c r="Q640" s="93"/>
      <c r="R640" s="93"/>
      <c r="S640" s="60"/>
      <c r="T640" s="62"/>
      <c r="U640" s="62"/>
      <c r="V640" s="62"/>
      <c r="W640" s="61"/>
      <c r="X640" s="62"/>
      <c r="Y640" s="62"/>
      <c r="Z640" s="66"/>
      <c r="AA640" s="93"/>
      <c r="AB640" s="69"/>
      <c r="AC640" s="93"/>
      <c r="AD640" s="93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3"/>
      <c r="P641" s="69"/>
      <c r="Q641" s="93"/>
      <c r="R641" s="93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3"/>
      <c r="AD641" s="93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9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3"/>
      <c r="P642" s="69"/>
      <c r="Q642" s="93"/>
      <c r="R642" s="93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3"/>
      <c r="AD642" s="93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3"/>
      <c r="P643" s="69"/>
      <c r="Q643" s="93"/>
      <c r="R643" s="93"/>
      <c r="S643" s="60"/>
      <c r="T643" s="62"/>
      <c r="U643" s="62"/>
      <c r="V643" s="62"/>
      <c r="W643" s="61"/>
      <c r="X643" s="62"/>
      <c r="Y643" s="62"/>
      <c r="Z643" s="66"/>
      <c r="AA643" s="93"/>
      <c r="AB643" s="69"/>
      <c r="AC643" s="93"/>
      <c r="AD643" s="93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3"/>
      <c r="P644" s="69"/>
      <c r="Q644" s="93"/>
      <c r="R644" s="93"/>
      <c r="S644" s="60"/>
      <c r="T644" s="62"/>
      <c r="U644" s="62"/>
      <c r="V644" s="62"/>
      <c r="W644" s="61"/>
      <c r="X644" s="62"/>
      <c r="Y644" s="62"/>
      <c r="Z644" s="66"/>
      <c r="AA644" s="93"/>
      <c r="AB644" s="69"/>
      <c r="AC644" s="93"/>
      <c r="AD644" s="93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3"/>
      <c r="R645" s="93"/>
      <c r="S645" s="60"/>
      <c r="T645" s="62"/>
      <c r="U645" s="62"/>
      <c r="V645" s="62"/>
      <c r="W645" s="61"/>
      <c r="X645" s="62"/>
      <c r="Y645" s="62"/>
      <c r="Z645" s="66"/>
      <c r="AA645" s="93"/>
      <c r="AB645" s="69"/>
      <c r="AC645" s="93"/>
      <c r="AD645" s="93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3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3"/>
      <c r="R646" s="93"/>
      <c r="S646" s="60"/>
      <c r="T646" s="62"/>
      <c r="U646" s="62"/>
      <c r="V646" s="62"/>
      <c r="W646" s="61"/>
      <c r="X646" s="62"/>
      <c r="Y646" s="62"/>
      <c r="Z646" s="66"/>
      <c r="AA646" s="93"/>
      <c r="AB646" s="69"/>
      <c r="AC646" s="93"/>
      <c r="AD646" s="93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3"/>
      <c r="P647" s="69"/>
      <c r="Q647" s="93"/>
      <c r="R647" s="93"/>
      <c r="S647" s="60"/>
      <c r="T647" s="62"/>
      <c r="U647" s="62"/>
      <c r="V647" s="62"/>
      <c r="W647" s="61"/>
      <c r="X647" s="62"/>
      <c r="Y647" s="62"/>
      <c r="Z647" s="66"/>
      <c r="AA647" s="93"/>
      <c r="AB647" s="69"/>
      <c r="AC647" s="93"/>
      <c r="AD647" s="93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3"/>
      <c r="R648" s="93"/>
      <c r="S648" s="60"/>
      <c r="T648" s="62"/>
      <c r="U648" s="62"/>
      <c r="V648" s="62"/>
      <c r="W648" s="61"/>
      <c r="X648" s="62"/>
      <c r="Y648" s="62"/>
      <c r="Z648" s="66"/>
      <c r="AA648" s="93"/>
      <c r="AB648" s="69"/>
      <c r="AC648" s="93"/>
      <c r="AD648" s="93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3"/>
      <c r="P649" s="69"/>
      <c r="Q649" s="93"/>
      <c r="R649" s="93"/>
      <c r="S649" s="60"/>
      <c r="T649" s="62"/>
      <c r="U649" s="62"/>
      <c r="V649" s="62"/>
      <c r="W649" s="61"/>
      <c r="X649" s="62"/>
      <c r="Y649" s="62"/>
      <c r="Z649" s="66"/>
      <c r="AA649" s="93"/>
      <c r="AB649" s="69"/>
      <c r="AC649" s="93"/>
      <c r="AD649" s="93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3"/>
      <c r="P650" s="69"/>
      <c r="Q650" s="93"/>
      <c r="R650" s="93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3"/>
      <c r="AD650" s="93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3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3"/>
      <c r="P651" s="69"/>
      <c r="Q651" s="93"/>
      <c r="R651" s="93"/>
      <c r="S651" s="60"/>
      <c r="T651" s="62"/>
      <c r="U651" s="62"/>
      <c r="V651" s="62"/>
      <c r="W651" s="61"/>
      <c r="X651" s="62"/>
      <c r="Y651" s="62"/>
      <c r="Z651" s="66"/>
      <c r="AA651" s="93"/>
      <c r="AB651" s="69"/>
      <c r="AC651" s="93"/>
      <c r="AD651" s="93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3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3"/>
      <c r="P652" s="69"/>
      <c r="Q652" s="93"/>
      <c r="R652" s="93"/>
      <c r="S652" s="60"/>
      <c r="T652" s="62"/>
      <c r="U652" s="62"/>
      <c r="V652" s="62"/>
      <c r="W652" s="61"/>
      <c r="X652" s="62"/>
      <c r="Y652" s="62"/>
      <c r="Z652" s="66"/>
      <c r="AA652" s="93"/>
      <c r="AB652" s="69"/>
      <c r="AC652" s="93"/>
      <c r="AD652" s="93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3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3"/>
      <c r="R653" s="93"/>
      <c r="S653" s="60"/>
      <c r="T653" s="62"/>
      <c r="U653" s="62"/>
      <c r="V653" s="62"/>
      <c r="W653" s="61"/>
      <c r="X653" s="62"/>
      <c r="Y653" s="62"/>
      <c r="Z653" s="66"/>
      <c r="AA653" s="93"/>
      <c r="AB653" s="69"/>
      <c r="AC653" s="93"/>
      <c r="AD653" s="93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3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3"/>
      <c r="P654" s="69"/>
      <c r="Q654" s="93"/>
      <c r="R654" s="93"/>
      <c r="S654" s="60"/>
      <c r="T654" s="62"/>
      <c r="U654" s="62"/>
      <c r="V654" s="62"/>
      <c r="W654" s="61"/>
      <c r="X654" s="62"/>
      <c r="Y654" s="62"/>
      <c r="Z654" s="66"/>
      <c r="AA654" s="93"/>
      <c r="AB654" s="69"/>
      <c r="AC654" s="93"/>
      <c r="AD654" s="93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3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3"/>
      <c r="P655" s="69"/>
      <c r="Q655" s="93"/>
      <c r="R655" s="93"/>
      <c r="S655" s="60"/>
      <c r="T655" s="62"/>
      <c r="U655" s="62"/>
      <c r="V655" s="62"/>
      <c r="W655" s="61"/>
      <c r="X655" s="62"/>
      <c r="Y655" s="62"/>
      <c r="Z655" s="66"/>
      <c r="AA655" s="93"/>
      <c r="AB655" s="69"/>
      <c r="AC655" s="93"/>
      <c r="AD655" s="93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3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3"/>
      <c r="R656" s="93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3"/>
      <c r="AD656" s="93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3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3"/>
      <c r="P657" s="69"/>
      <c r="Q657" s="93"/>
      <c r="R657" s="93"/>
      <c r="S657" s="60"/>
      <c r="T657" s="62"/>
      <c r="U657" s="62"/>
      <c r="V657" s="62"/>
      <c r="W657" s="61"/>
      <c r="X657" s="62"/>
      <c r="Y657" s="62"/>
      <c r="Z657" s="66"/>
      <c r="AA657" s="93"/>
      <c r="AB657" s="69"/>
      <c r="AC657" s="93"/>
      <c r="AD657" s="93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3"/>
      <c r="O658" s="93"/>
      <c r="P658" s="93"/>
      <c r="Q658" s="93"/>
      <c r="R658" s="93"/>
      <c r="S658" s="93"/>
      <c r="T658" s="62"/>
      <c r="U658" s="62"/>
      <c r="V658" s="62"/>
      <c r="W658" s="61"/>
      <c r="X658" s="62"/>
      <c r="Y658" s="62"/>
      <c r="Z658" s="93"/>
      <c r="AA658" s="93"/>
      <c r="AB658" s="93"/>
      <c r="AC658" s="93"/>
      <c r="AD658" s="93"/>
      <c r="AE658" s="93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3"/>
      <c r="C659" s="93"/>
      <c r="D659" s="93"/>
      <c r="E659" s="93"/>
      <c r="F659" s="93"/>
      <c r="G659" s="93"/>
      <c r="H659" s="62"/>
      <c r="I659" s="62"/>
      <c r="J659" s="62"/>
      <c r="K659" s="62"/>
      <c r="L659" s="62"/>
      <c r="M659" s="62"/>
      <c r="N659" s="93"/>
      <c r="O659" s="93"/>
      <c r="P659" s="93"/>
      <c r="Q659" s="93"/>
      <c r="R659" s="93"/>
      <c r="S659" s="93"/>
      <c r="T659" s="62"/>
      <c r="U659" s="62"/>
      <c r="V659" s="62"/>
      <c r="W659" s="62"/>
      <c r="X659" s="62"/>
      <c r="Y659" s="62"/>
      <c r="Z659" s="93"/>
      <c r="AA659" s="93"/>
      <c r="AB659" s="93"/>
      <c r="AC659" s="93"/>
      <c r="AD659" s="93"/>
      <c r="AE659" s="93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3"/>
      <c r="C660" s="93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3"/>
      <c r="O660" s="93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3"/>
      <c r="AA660" s="93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3"/>
      <c r="C662" s="93"/>
      <c r="D662" s="93"/>
      <c r="E662" s="93"/>
      <c r="F662" s="93"/>
      <c r="G662" s="93"/>
      <c r="H662" s="62"/>
      <c r="I662" s="62"/>
      <c r="J662" s="62"/>
      <c r="K662" s="62"/>
      <c r="L662" s="62"/>
      <c r="M662" s="62"/>
      <c r="N662" s="93"/>
      <c r="O662" s="93"/>
      <c r="P662" s="93"/>
      <c r="Q662" s="93"/>
      <c r="R662" s="93"/>
      <c r="S662" s="93"/>
      <c r="T662" s="62"/>
      <c r="U662" s="62"/>
      <c r="V662" s="62"/>
      <c r="W662" s="62"/>
      <c r="X662" s="62"/>
      <c r="Y662" s="62"/>
      <c r="Z662" s="93"/>
      <c r="AA662" s="93"/>
      <c r="AB662" s="93"/>
      <c r="AC662" s="93"/>
      <c r="AD662" s="93"/>
      <c r="AE662" s="93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3"/>
      <c r="C663" s="93"/>
      <c r="D663" s="93"/>
      <c r="E663" s="93"/>
      <c r="F663" s="93"/>
      <c r="G663" s="93"/>
      <c r="H663" s="62"/>
      <c r="I663" s="62"/>
      <c r="J663" s="62"/>
      <c r="K663" s="62"/>
      <c r="L663" s="62"/>
      <c r="M663" s="62"/>
      <c r="N663" s="93"/>
      <c r="O663" s="93"/>
      <c r="P663" s="93"/>
      <c r="Q663" s="93"/>
      <c r="R663" s="93"/>
      <c r="S663" s="93"/>
      <c r="T663" s="62"/>
      <c r="U663" s="62"/>
      <c r="V663" s="62"/>
      <c r="W663" s="62"/>
      <c r="X663" s="62"/>
      <c r="Y663" s="62"/>
      <c r="Z663" s="93"/>
      <c r="AA663" s="93"/>
      <c r="AB663" s="93"/>
      <c r="AC663" s="93"/>
      <c r="AD663" s="93"/>
      <c r="AE663" s="93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3"/>
      <c r="C664" s="93"/>
      <c r="D664" s="93"/>
      <c r="E664" s="93"/>
      <c r="F664" s="93"/>
      <c r="G664" s="93"/>
      <c r="H664" s="62"/>
      <c r="I664" s="62"/>
      <c r="J664" s="62"/>
      <c r="K664" s="62"/>
      <c r="L664" s="62"/>
      <c r="M664" s="62"/>
      <c r="N664" s="93"/>
      <c r="O664" s="93"/>
      <c r="P664" s="93"/>
      <c r="Q664" s="93"/>
      <c r="R664" s="93"/>
      <c r="S664" s="93"/>
      <c r="T664" s="62"/>
      <c r="U664" s="62"/>
      <c r="V664" s="62"/>
      <c r="W664" s="62"/>
      <c r="X664" s="62"/>
      <c r="Y664" s="62"/>
      <c r="Z664" s="93"/>
      <c r="AA664" s="93"/>
      <c r="AB664" s="93"/>
      <c r="AC664" s="93"/>
      <c r="AD664" s="93"/>
      <c r="AE664" s="93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3"/>
      <c r="C665" s="93"/>
      <c r="D665" s="93"/>
      <c r="E665" s="93"/>
      <c r="F665" s="93"/>
      <c r="G665" s="93"/>
      <c r="H665" s="62"/>
      <c r="I665" s="62"/>
      <c r="J665" s="62"/>
      <c r="K665" s="62"/>
      <c r="L665" s="62"/>
      <c r="M665" s="63"/>
      <c r="N665" s="93"/>
      <c r="O665" s="93"/>
      <c r="P665" s="93"/>
      <c r="Q665" s="93"/>
      <c r="R665" s="93"/>
      <c r="S665" s="93"/>
      <c r="T665" s="62"/>
      <c r="U665" s="62"/>
      <c r="V665" s="62"/>
      <c r="W665" s="62"/>
      <c r="X665" s="62"/>
      <c r="Y665" s="63"/>
      <c r="Z665" s="93"/>
      <c r="AA665" s="93"/>
      <c r="AB665" s="93"/>
      <c r="AC665" s="93"/>
      <c r="AD665" s="93"/>
      <c r="AE665" s="93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3"/>
      <c r="C666" s="93"/>
      <c r="D666" s="93"/>
      <c r="E666" s="93"/>
      <c r="F666" s="93"/>
      <c r="G666" s="93"/>
      <c r="H666" s="62"/>
      <c r="I666" s="62"/>
      <c r="J666" s="62"/>
      <c r="K666" s="62"/>
      <c r="L666" s="62"/>
      <c r="M666" s="62"/>
      <c r="N666" s="93"/>
      <c r="O666" s="93"/>
      <c r="P666" s="93"/>
      <c r="Q666" s="93"/>
      <c r="R666" s="93"/>
      <c r="S666" s="93"/>
      <c r="T666" s="62"/>
      <c r="U666" s="62"/>
      <c r="V666" s="62"/>
      <c r="W666" s="62"/>
      <c r="X666" s="62"/>
      <c r="Y666" s="62"/>
      <c r="Z666" s="93"/>
      <c r="AA666" s="93"/>
      <c r="AB666" s="93"/>
      <c r="AC666" s="93"/>
      <c r="AD666" s="93"/>
      <c r="AE666" s="93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3"/>
      <c r="C667" s="93"/>
      <c r="D667" s="93"/>
      <c r="E667" s="93"/>
      <c r="F667" s="93"/>
      <c r="G667" s="93"/>
      <c r="H667" s="62"/>
      <c r="I667" s="93"/>
      <c r="J667" s="74"/>
      <c r="K667" s="62"/>
      <c r="L667" s="62"/>
      <c r="M667" s="62"/>
      <c r="N667" s="93"/>
      <c r="O667" s="93"/>
      <c r="P667" s="93"/>
      <c r="Q667" s="93"/>
      <c r="R667" s="93"/>
      <c r="S667" s="93"/>
      <c r="T667" s="62"/>
      <c r="U667" s="93"/>
      <c r="V667" s="74"/>
      <c r="W667" s="62"/>
      <c r="X667" s="62"/>
      <c r="Y667" s="62"/>
      <c r="Z667" s="93"/>
      <c r="AA667" s="93"/>
      <c r="AB667" s="93"/>
      <c r="AC667" s="93"/>
      <c r="AD667" s="93"/>
      <c r="AE667" s="93"/>
      <c r="AF667" s="62"/>
      <c r="AG667" s="93"/>
      <c r="AH667" s="7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3"/>
      <c r="C668" s="93"/>
      <c r="D668" s="93"/>
      <c r="E668" s="93"/>
      <c r="F668" s="93"/>
      <c r="G668" s="93"/>
      <c r="H668" s="62"/>
      <c r="I668" s="65"/>
      <c r="J668" s="65"/>
      <c r="K668" s="62"/>
      <c r="L668" s="62"/>
      <c r="M668" s="64"/>
      <c r="N668" s="93"/>
      <c r="O668" s="93"/>
      <c r="P668" s="93"/>
      <c r="Q668" s="93"/>
      <c r="R668" s="93"/>
      <c r="S668" s="93"/>
      <c r="T668" s="62"/>
      <c r="U668" s="65"/>
      <c r="V668" s="65"/>
      <c r="W668" s="62"/>
      <c r="X668" s="62"/>
      <c r="Y668" s="64"/>
      <c r="Z668" s="93"/>
      <c r="AA668" s="93"/>
      <c r="AB668" s="93"/>
      <c r="AC668" s="93"/>
      <c r="AD668" s="93"/>
      <c r="AE668" s="93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3"/>
      <c r="C669" s="93"/>
      <c r="D669" s="93"/>
      <c r="E669" s="93"/>
      <c r="F669" s="93"/>
      <c r="G669" s="93"/>
      <c r="H669" s="62"/>
      <c r="I669" s="62"/>
      <c r="J669" s="62"/>
      <c r="K669" s="62"/>
      <c r="L669" s="62"/>
      <c r="M669" s="62"/>
      <c r="N669" s="93"/>
      <c r="O669" s="93"/>
      <c r="P669" s="93"/>
      <c r="Q669" s="93"/>
      <c r="R669" s="93"/>
      <c r="S669" s="93"/>
      <c r="T669" s="62"/>
      <c r="U669" s="62"/>
      <c r="V669" s="62"/>
      <c r="W669" s="62"/>
      <c r="X669" s="62"/>
      <c r="Y669" s="62"/>
      <c r="Z669" s="93"/>
      <c r="AA669" s="93"/>
      <c r="AB669" s="93"/>
      <c r="AC669" s="93"/>
      <c r="AD669" s="93"/>
      <c r="AE669" s="93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3"/>
      <c r="D670" s="106"/>
      <c r="E670" s="106"/>
      <c r="F670" s="93"/>
      <c r="G670" s="93"/>
      <c r="H670" s="62"/>
      <c r="I670" s="106"/>
      <c r="J670" s="106"/>
      <c r="K670" s="105"/>
      <c r="L670" s="62"/>
      <c r="M670" s="62"/>
      <c r="N670" s="65"/>
      <c r="O670" s="93"/>
      <c r="P670" s="106"/>
      <c r="Q670" s="106"/>
      <c r="R670" s="93"/>
      <c r="S670" s="93"/>
      <c r="T670" s="62"/>
      <c r="U670" s="106"/>
      <c r="V670" s="106"/>
      <c r="W670" s="105"/>
      <c r="X670" s="62"/>
      <c r="Y670" s="62"/>
      <c r="Z670" s="65"/>
      <c r="AA670" s="93"/>
      <c r="AB670" s="106"/>
      <c r="AC670" s="106"/>
      <c r="AD670" s="93"/>
      <c r="AE670" s="93"/>
      <c r="AF670" s="62"/>
      <c r="AG670" s="106"/>
      <c r="AH670" s="106"/>
      <c r="AI670" s="105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3"/>
      <c r="C671" s="93"/>
      <c r="D671" s="81"/>
      <c r="E671" s="82"/>
      <c r="F671" s="83"/>
      <c r="G671" s="83"/>
      <c r="H671" s="62"/>
      <c r="I671" s="92"/>
      <c r="J671" s="92"/>
      <c r="K671" s="105"/>
      <c r="L671" s="62"/>
      <c r="M671" s="62"/>
      <c r="N671" s="93"/>
      <c r="O671" s="93"/>
      <c r="P671" s="81"/>
      <c r="Q671" s="83"/>
      <c r="R671" s="83"/>
      <c r="S671" s="83"/>
      <c r="T671" s="62"/>
      <c r="U671" s="92"/>
      <c r="V671" s="92"/>
      <c r="W671" s="105"/>
      <c r="X671" s="62"/>
      <c r="Y671" s="62"/>
      <c r="Z671" s="93"/>
      <c r="AA671" s="93"/>
      <c r="AB671" s="81"/>
      <c r="AC671" s="83"/>
      <c r="AD671" s="83"/>
      <c r="AE671" s="83"/>
      <c r="AF671" s="62"/>
      <c r="AG671" s="92"/>
      <c r="AH671" s="92"/>
      <c r="AI671" s="105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3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3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3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3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3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3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9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3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3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3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3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3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3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3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3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3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3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3"/>
      <c r="AB680" s="60"/>
      <c r="AC680" s="60"/>
      <c r="AD680" s="60"/>
      <c r="AE680" s="60"/>
      <c r="AF680" s="61"/>
      <c r="AG680" s="61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3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3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3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3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3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3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3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3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3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3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3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3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65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3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3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3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3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3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3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3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3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3"/>
      <c r="P692" s="67"/>
      <c r="Q692" s="93"/>
      <c r="R692" s="93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93"/>
      <c r="AD692" s="93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65"/>
      <c r="P693" s="68"/>
      <c r="Q693" s="93"/>
      <c r="R693" s="93"/>
      <c r="S693" s="60"/>
      <c r="T693" s="62"/>
      <c r="U693" s="62"/>
      <c r="V693" s="62"/>
      <c r="W693" s="61"/>
      <c r="X693" s="62"/>
      <c r="Y693" s="62"/>
      <c r="Z693" s="66"/>
      <c r="AA693" s="93"/>
      <c r="AB693" s="68"/>
      <c r="AC693" s="93"/>
      <c r="AD693" s="93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3"/>
      <c r="P694" s="69"/>
      <c r="Q694" s="93"/>
      <c r="R694" s="62"/>
      <c r="S694" s="60"/>
      <c r="T694" s="62"/>
      <c r="U694" s="62"/>
      <c r="V694" s="62"/>
      <c r="W694" s="61"/>
      <c r="X694" s="62"/>
      <c r="Y694" s="62"/>
      <c r="Z694" s="66"/>
      <c r="AA694" s="93"/>
      <c r="AB694" s="69"/>
      <c r="AC694" s="93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3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3"/>
      <c r="P695" s="69"/>
      <c r="Q695" s="93"/>
      <c r="R695" s="93"/>
      <c r="S695" s="60"/>
      <c r="T695" s="62"/>
      <c r="U695" s="62"/>
      <c r="V695" s="62"/>
      <c r="W695" s="61"/>
      <c r="X695" s="62"/>
      <c r="Y695" s="62"/>
      <c r="Z695" s="66"/>
      <c r="AA695" s="93"/>
      <c r="AB695" s="69"/>
      <c r="AC695" s="93"/>
      <c r="AD695" s="93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3"/>
      <c r="P696" s="69"/>
      <c r="Q696" s="93"/>
      <c r="R696" s="93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3"/>
      <c r="AD696" s="93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9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3"/>
      <c r="P697" s="69"/>
      <c r="Q697" s="93"/>
      <c r="R697" s="93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3"/>
      <c r="AD697" s="93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3"/>
      <c r="P698" s="69"/>
      <c r="Q698" s="93"/>
      <c r="R698" s="93"/>
      <c r="S698" s="60"/>
      <c r="T698" s="62"/>
      <c r="U698" s="62"/>
      <c r="V698" s="62"/>
      <c r="W698" s="61"/>
      <c r="X698" s="62"/>
      <c r="Y698" s="62"/>
      <c r="Z698" s="66"/>
      <c r="AA698" s="93"/>
      <c r="AB698" s="69"/>
      <c r="AC698" s="93"/>
      <c r="AD698" s="93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3"/>
      <c r="P699" s="69"/>
      <c r="Q699" s="93"/>
      <c r="R699" s="93"/>
      <c r="S699" s="60"/>
      <c r="T699" s="62"/>
      <c r="U699" s="62"/>
      <c r="V699" s="62"/>
      <c r="W699" s="61"/>
      <c r="X699" s="62"/>
      <c r="Y699" s="62"/>
      <c r="Z699" s="66"/>
      <c r="AA699" s="93"/>
      <c r="AB699" s="69"/>
      <c r="AC699" s="93"/>
      <c r="AD699" s="93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3"/>
      <c r="P700" s="69"/>
      <c r="Q700" s="93"/>
      <c r="R700" s="93"/>
      <c r="S700" s="60"/>
      <c r="T700" s="62"/>
      <c r="U700" s="62"/>
      <c r="V700" s="62"/>
      <c r="W700" s="61"/>
      <c r="X700" s="62"/>
      <c r="Y700" s="62"/>
      <c r="Z700" s="66"/>
      <c r="AA700" s="93"/>
      <c r="AB700" s="69"/>
      <c r="AC700" s="93"/>
      <c r="AD700" s="93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3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3"/>
      <c r="R701" s="93"/>
      <c r="S701" s="60"/>
      <c r="T701" s="62"/>
      <c r="U701" s="62"/>
      <c r="V701" s="62"/>
      <c r="W701" s="61"/>
      <c r="X701" s="62"/>
      <c r="Y701" s="62"/>
      <c r="Z701" s="66"/>
      <c r="AA701" s="93"/>
      <c r="AB701" s="69"/>
      <c r="AC701" s="93"/>
      <c r="AD701" s="93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3"/>
      <c r="P702" s="69"/>
      <c r="Q702" s="93"/>
      <c r="R702" s="93"/>
      <c r="S702" s="60"/>
      <c r="T702" s="62"/>
      <c r="U702" s="62"/>
      <c r="V702" s="62"/>
      <c r="W702" s="61"/>
      <c r="X702" s="62"/>
      <c r="Y702" s="62"/>
      <c r="Z702" s="66"/>
      <c r="AA702" s="93"/>
      <c r="AB702" s="69"/>
      <c r="AC702" s="93"/>
      <c r="AD702" s="93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3"/>
      <c r="P703" s="69"/>
      <c r="Q703" s="93"/>
      <c r="R703" s="93"/>
      <c r="S703" s="60"/>
      <c r="T703" s="62"/>
      <c r="U703" s="62"/>
      <c r="V703" s="62"/>
      <c r="W703" s="61"/>
      <c r="X703" s="62"/>
      <c r="Y703" s="62"/>
      <c r="Z703" s="66"/>
      <c r="AA703" s="93"/>
      <c r="AB703" s="69"/>
      <c r="AC703" s="93"/>
      <c r="AD703" s="93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3"/>
      <c r="P704" s="69"/>
      <c r="Q704" s="93"/>
      <c r="R704" s="93"/>
      <c r="S704" s="60"/>
      <c r="T704" s="62"/>
      <c r="U704" s="62"/>
      <c r="V704" s="62"/>
      <c r="W704" s="61"/>
      <c r="X704" s="62"/>
      <c r="Y704" s="62"/>
      <c r="Z704" s="66"/>
      <c r="AA704" s="93"/>
      <c r="AB704" s="69"/>
      <c r="AC704" s="93"/>
      <c r="AD704" s="93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62"/>
      <c r="P705" s="69"/>
      <c r="Q705" s="93"/>
      <c r="R705" s="93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3"/>
      <c r="AD705" s="93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3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3"/>
      <c r="P706" s="69"/>
      <c r="Q706" s="93"/>
      <c r="R706" s="93"/>
      <c r="S706" s="60"/>
      <c r="T706" s="62"/>
      <c r="U706" s="62"/>
      <c r="V706" s="62"/>
      <c r="W706" s="61"/>
      <c r="X706" s="62"/>
      <c r="Y706" s="62"/>
      <c r="Z706" s="66"/>
      <c r="AA706" s="93"/>
      <c r="AB706" s="69"/>
      <c r="AC706" s="93"/>
      <c r="AD706" s="93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3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3"/>
      <c r="P707" s="69"/>
      <c r="Q707" s="93"/>
      <c r="R707" s="93"/>
      <c r="S707" s="60"/>
      <c r="T707" s="62"/>
      <c r="U707" s="62"/>
      <c r="V707" s="62"/>
      <c r="W707" s="61"/>
      <c r="X707" s="62"/>
      <c r="Y707" s="62"/>
      <c r="Z707" s="66"/>
      <c r="AA707" s="93"/>
      <c r="AB707" s="69"/>
      <c r="AC707" s="93"/>
      <c r="AD707" s="93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3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3"/>
      <c r="R708" s="93"/>
      <c r="S708" s="60"/>
      <c r="T708" s="62"/>
      <c r="U708" s="62"/>
      <c r="V708" s="62"/>
      <c r="W708" s="61"/>
      <c r="X708" s="62"/>
      <c r="Y708" s="62"/>
      <c r="Z708" s="66"/>
      <c r="AA708" s="93"/>
      <c r="AB708" s="69"/>
      <c r="AC708" s="93"/>
      <c r="AD708" s="93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3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3"/>
      <c r="P709" s="69"/>
      <c r="Q709" s="93"/>
      <c r="R709" s="93"/>
      <c r="S709" s="60"/>
      <c r="T709" s="62"/>
      <c r="U709" s="62"/>
      <c r="V709" s="62"/>
      <c r="W709" s="61"/>
      <c r="X709" s="62"/>
      <c r="Y709" s="62"/>
      <c r="Z709" s="66"/>
      <c r="AA709" s="93"/>
      <c r="AB709" s="69"/>
      <c r="AC709" s="93"/>
      <c r="AD709" s="93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3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3"/>
      <c r="P710" s="69"/>
      <c r="Q710" s="93"/>
      <c r="R710" s="93"/>
      <c r="S710" s="60"/>
      <c r="T710" s="62"/>
      <c r="U710" s="62"/>
      <c r="V710" s="62"/>
      <c r="W710" s="61"/>
      <c r="X710" s="62"/>
      <c r="Y710" s="62"/>
      <c r="Z710" s="66"/>
      <c r="AA710" s="93"/>
      <c r="AB710" s="69"/>
      <c r="AC710" s="93"/>
      <c r="AD710" s="93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3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3"/>
      <c r="R711" s="93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3"/>
      <c r="AD711" s="93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3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3"/>
      <c r="P712" s="69"/>
      <c r="Q712" s="93"/>
      <c r="R712" s="93"/>
      <c r="S712" s="60"/>
      <c r="T712" s="62"/>
      <c r="U712" s="62"/>
      <c r="V712" s="62"/>
      <c r="W712" s="61"/>
      <c r="X712" s="62"/>
      <c r="Y712" s="62"/>
      <c r="Z712" s="66"/>
      <c r="AA712" s="93"/>
      <c r="AB712" s="69"/>
      <c r="AC712" s="93"/>
      <c r="AD712" s="93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3"/>
      <c r="O713" s="93"/>
      <c r="P713" s="93"/>
      <c r="Q713" s="93"/>
      <c r="R713" s="93"/>
      <c r="S713" s="93"/>
      <c r="T713" s="62"/>
      <c r="U713" s="62"/>
      <c r="V713" s="62"/>
      <c r="W713" s="61"/>
      <c r="X713" s="62"/>
      <c r="Y713" s="62"/>
      <c r="Z713" s="93"/>
      <c r="AA713" s="93"/>
      <c r="AB713" s="93"/>
      <c r="AC713" s="93"/>
      <c r="AD713" s="93"/>
      <c r="AE713" s="93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3"/>
      <c r="C714" s="93"/>
      <c r="D714" s="93"/>
      <c r="E714" s="93"/>
      <c r="F714" s="93"/>
      <c r="G714" s="93"/>
      <c r="H714" s="62"/>
      <c r="I714" s="62"/>
      <c r="J714" s="62"/>
      <c r="K714" s="62"/>
      <c r="L714" s="62"/>
      <c r="M714" s="62"/>
      <c r="N714" s="93"/>
      <c r="O714" s="93"/>
      <c r="P714" s="93"/>
      <c r="Q714" s="93"/>
      <c r="R714" s="93"/>
      <c r="S714" s="93"/>
      <c r="T714" s="62"/>
      <c r="U714" s="62"/>
      <c r="V714" s="62"/>
      <c r="W714" s="62"/>
      <c r="X714" s="62"/>
      <c r="Y714" s="62"/>
      <c r="Z714" s="93"/>
      <c r="AA714" s="93"/>
      <c r="AB714" s="93"/>
      <c r="AC714" s="93"/>
      <c r="AD714" s="93"/>
      <c r="AE714" s="93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3"/>
      <c r="C715" s="93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3"/>
      <c r="O715" s="93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3"/>
      <c r="AA715" s="93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3"/>
      <c r="C717" s="93"/>
      <c r="D717" s="93"/>
      <c r="E717" s="93"/>
      <c r="F717" s="93"/>
      <c r="G717" s="93"/>
      <c r="H717" s="62"/>
      <c r="I717" s="62"/>
      <c r="J717" s="62"/>
      <c r="K717" s="62"/>
      <c r="L717" s="62"/>
      <c r="M717" s="62"/>
      <c r="N717" s="93"/>
      <c r="O717" s="93"/>
      <c r="P717" s="93"/>
      <c r="Q717" s="93"/>
      <c r="R717" s="93"/>
      <c r="S717" s="93"/>
      <c r="T717" s="62"/>
      <c r="U717" s="62"/>
      <c r="V717" s="62"/>
      <c r="W717" s="62"/>
      <c r="X717" s="62"/>
      <c r="Y717" s="62"/>
      <c r="Z717" s="93"/>
      <c r="AA717" s="93"/>
      <c r="AB717" s="93"/>
      <c r="AC717" s="93"/>
      <c r="AD717" s="93"/>
      <c r="AE717" s="93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3"/>
      <c r="C718" s="93"/>
      <c r="D718" s="93"/>
      <c r="E718" s="93"/>
      <c r="F718" s="93"/>
      <c r="G718" s="93"/>
      <c r="H718" s="62"/>
      <c r="I718" s="62"/>
      <c r="J718" s="62"/>
      <c r="K718" s="62"/>
      <c r="L718" s="62"/>
      <c r="M718" s="62"/>
      <c r="N718" s="93"/>
      <c r="O718" s="93"/>
      <c r="P718" s="93"/>
      <c r="Q718" s="93"/>
      <c r="R718" s="93"/>
      <c r="S718" s="93"/>
      <c r="T718" s="62"/>
      <c r="U718" s="62"/>
      <c r="V718" s="62"/>
      <c r="W718" s="62"/>
      <c r="X718" s="62"/>
      <c r="Y718" s="62"/>
      <c r="Z718" s="93"/>
      <c r="AA718" s="93"/>
      <c r="AB718" s="93"/>
      <c r="AC718" s="93"/>
      <c r="AD718" s="93"/>
      <c r="AE718" s="93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3"/>
      <c r="C719" s="93"/>
      <c r="D719" s="93"/>
      <c r="E719" s="93"/>
      <c r="F719" s="93"/>
      <c r="G719" s="93"/>
      <c r="H719" s="62"/>
      <c r="I719" s="62"/>
      <c r="J719" s="62"/>
      <c r="K719" s="62"/>
      <c r="L719" s="62"/>
      <c r="M719" s="62"/>
      <c r="N719" s="93"/>
      <c r="O719" s="93"/>
      <c r="P719" s="93"/>
      <c r="Q719" s="93"/>
      <c r="R719" s="93"/>
      <c r="S719" s="93"/>
      <c r="T719" s="62"/>
      <c r="U719" s="62"/>
      <c r="V719" s="62"/>
      <c r="W719" s="62"/>
      <c r="X719" s="62"/>
      <c r="Y719" s="62"/>
      <c r="Z719" s="93"/>
      <c r="AA719" s="93"/>
      <c r="AB719" s="93"/>
      <c r="AC719" s="93"/>
      <c r="AD719" s="93"/>
      <c r="AE719" s="93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3"/>
      <c r="C720" s="93"/>
      <c r="D720" s="93"/>
      <c r="E720" s="93"/>
      <c r="F720" s="93"/>
      <c r="G720" s="93"/>
      <c r="H720" s="62"/>
      <c r="I720" s="62"/>
      <c r="J720" s="62"/>
      <c r="K720" s="62"/>
      <c r="L720" s="62"/>
      <c r="M720" s="63"/>
      <c r="N720" s="93"/>
      <c r="O720" s="93"/>
      <c r="P720" s="93"/>
      <c r="Q720" s="93"/>
      <c r="R720" s="93"/>
      <c r="S720" s="93"/>
      <c r="T720" s="62"/>
      <c r="U720" s="62"/>
      <c r="V720" s="62"/>
      <c r="W720" s="62"/>
      <c r="X720" s="62"/>
      <c r="Y720" s="63"/>
      <c r="Z720" s="93"/>
      <c r="AA720" s="93"/>
      <c r="AB720" s="93"/>
      <c r="AC720" s="93"/>
      <c r="AD720" s="93"/>
      <c r="AE720" s="93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3"/>
      <c r="C721" s="93"/>
      <c r="D721" s="93"/>
      <c r="E721" s="93"/>
      <c r="F721" s="93"/>
      <c r="G721" s="93"/>
      <c r="H721" s="62"/>
      <c r="I721" s="62"/>
      <c r="J721" s="62"/>
      <c r="K721" s="62"/>
      <c r="L721" s="62"/>
      <c r="M721" s="62"/>
      <c r="N721" s="93"/>
      <c r="O721" s="93"/>
      <c r="P721" s="93"/>
      <c r="Q721" s="93"/>
      <c r="R721" s="93"/>
      <c r="S721" s="93"/>
      <c r="T721" s="62"/>
      <c r="U721" s="62"/>
      <c r="V721" s="62"/>
      <c r="W721" s="62"/>
      <c r="X721" s="62"/>
      <c r="Y721" s="62"/>
      <c r="Z721" s="93"/>
      <c r="AA721" s="93"/>
      <c r="AB721" s="93"/>
      <c r="AC721" s="93"/>
      <c r="AD721" s="93"/>
      <c r="AE721" s="93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3"/>
      <c r="C722" s="93"/>
      <c r="D722" s="93"/>
      <c r="E722" s="93"/>
      <c r="F722" s="93"/>
      <c r="G722" s="93"/>
      <c r="H722" s="62"/>
      <c r="I722" s="93"/>
      <c r="J722" s="74"/>
      <c r="K722" s="62"/>
      <c r="L722" s="62"/>
      <c r="M722" s="62"/>
      <c r="N722" s="93"/>
      <c r="O722" s="93"/>
      <c r="P722" s="93"/>
      <c r="Q722" s="93"/>
      <c r="R722" s="93"/>
      <c r="S722" s="93"/>
      <c r="T722" s="62"/>
      <c r="U722" s="93"/>
      <c r="V722" s="74"/>
      <c r="W722" s="62"/>
      <c r="X722" s="62"/>
      <c r="Y722" s="62"/>
      <c r="Z722" s="93"/>
      <c r="AA722" s="93"/>
      <c r="AB722" s="93"/>
      <c r="AC722" s="93"/>
      <c r="AD722" s="93"/>
      <c r="AE722" s="93"/>
      <c r="AF722" s="62"/>
      <c r="AG722" s="93"/>
      <c r="AH722" s="7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3"/>
      <c r="C723" s="93"/>
      <c r="D723" s="93"/>
      <c r="E723" s="93"/>
      <c r="F723" s="93"/>
      <c r="G723" s="93"/>
      <c r="H723" s="62"/>
      <c r="I723" s="65"/>
      <c r="J723" s="65"/>
      <c r="K723" s="62"/>
      <c r="L723" s="62"/>
      <c r="M723" s="64"/>
      <c r="N723" s="93"/>
      <c r="O723" s="93"/>
      <c r="P723" s="93"/>
      <c r="Q723" s="93"/>
      <c r="R723" s="93"/>
      <c r="S723" s="93"/>
      <c r="T723" s="62"/>
      <c r="U723" s="65"/>
      <c r="V723" s="65"/>
      <c r="W723" s="62"/>
      <c r="X723" s="62"/>
      <c r="Y723" s="64"/>
      <c r="Z723" s="93"/>
      <c r="AA723" s="93"/>
      <c r="AB723" s="93"/>
      <c r="AC723" s="93"/>
      <c r="AD723" s="93"/>
      <c r="AE723" s="93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3"/>
      <c r="C724" s="93"/>
      <c r="D724" s="93"/>
      <c r="E724" s="93"/>
      <c r="F724" s="93"/>
      <c r="G724" s="93"/>
      <c r="H724" s="62"/>
      <c r="I724" s="62"/>
      <c r="J724" s="62"/>
      <c r="K724" s="62"/>
      <c r="L724" s="62"/>
      <c r="M724" s="62"/>
      <c r="N724" s="93"/>
      <c r="O724" s="93"/>
      <c r="P724" s="93"/>
      <c r="Q724" s="93"/>
      <c r="R724" s="93"/>
      <c r="S724" s="93"/>
      <c r="T724" s="62"/>
      <c r="U724" s="62"/>
      <c r="V724" s="62"/>
      <c r="W724" s="62"/>
      <c r="X724" s="62"/>
      <c r="Y724" s="62"/>
      <c r="Z724" s="93"/>
      <c r="AA724" s="93"/>
      <c r="AB724" s="93"/>
      <c r="AC724" s="93"/>
      <c r="AD724" s="93"/>
      <c r="AE724" s="93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3"/>
      <c r="D725" s="106"/>
      <c r="E725" s="106"/>
      <c r="F725" s="93"/>
      <c r="G725" s="93"/>
      <c r="H725" s="62"/>
      <c r="I725" s="106"/>
      <c r="J725" s="106"/>
      <c r="K725" s="105"/>
      <c r="L725" s="62"/>
      <c r="M725" s="62"/>
      <c r="N725" s="65"/>
      <c r="O725" s="93"/>
      <c r="P725" s="106"/>
      <c r="Q725" s="106"/>
      <c r="R725" s="93"/>
      <c r="S725" s="93"/>
      <c r="T725" s="62"/>
      <c r="U725" s="106"/>
      <c r="V725" s="106"/>
      <c r="W725" s="105"/>
      <c r="X725" s="62"/>
      <c r="Y725" s="62"/>
      <c r="Z725" s="65"/>
      <c r="AA725" s="93"/>
      <c r="AB725" s="106"/>
      <c r="AC725" s="106"/>
      <c r="AD725" s="93"/>
      <c r="AE725" s="93"/>
      <c r="AF725" s="62"/>
      <c r="AG725" s="106"/>
      <c r="AH725" s="106"/>
      <c r="AI725" s="105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3"/>
      <c r="C726" s="93"/>
      <c r="D726" s="81"/>
      <c r="E726" s="82"/>
      <c r="F726" s="83"/>
      <c r="G726" s="83"/>
      <c r="H726" s="62"/>
      <c r="I726" s="92"/>
      <c r="J726" s="92"/>
      <c r="K726" s="105"/>
      <c r="L726" s="62"/>
      <c r="M726" s="62"/>
      <c r="N726" s="93"/>
      <c r="O726" s="93"/>
      <c r="P726" s="81"/>
      <c r="Q726" s="83"/>
      <c r="R726" s="83"/>
      <c r="S726" s="83"/>
      <c r="T726" s="62"/>
      <c r="U726" s="92"/>
      <c r="V726" s="92"/>
      <c r="W726" s="105"/>
      <c r="X726" s="62"/>
      <c r="Y726" s="62"/>
      <c r="Z726" s="93"/>
      <c r="AA726" s="93"/>
      <c r="AB726" s="81"/>
      <c r="AC726" s="83"/>
      <c r="AD726" s="83"/>
      <c r="AE726" s="83"/>
      <c r="AF726" s="62"/>
      <c r="AG726" s="92"/>
      <c r="AH726" s="92"/>
      <c r="AI726" s="105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3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3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3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3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3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3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3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3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3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65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3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3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3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3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65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3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3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3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3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3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3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3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3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3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3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3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3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3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3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3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3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3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3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9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3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3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3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3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3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3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3"/>
      <c r="P747" s="67"/>
      <c r="Q747" s="93"/>
      <c r="R747" s="93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93"/>
      <c r="AD747" s="93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62"/>
      <c r="P748" s="68"/>
      <c r="Q748" s="93"/>
      <c r="R748" s="93"/>
      <c r="S748" s="60"/>
      <c r="T748" s="62"/>
      <c r="U748" s="62"/>
      <c r="V748" s="62"/>
      <c r="W748" s="61"/>
      <c r="X748" s="62"/>
      <c r="Y748" s="62"/>
      <c r="Z748" s="66"/>
      <c r="AA748" s="93"/>
      <c r="AB748" s="68"/>
      <c r="AC748" s="93"/>
      <c r="AD748" s="93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3"/>
      <c r="P749" s="69"/>
      <c r="Q749" s="93"/>
      <c r="R749" s="62"/>
      <c r="S749" s="60"/>
      <c r="T749" s="62"/>
      <c r="U749" s="62"/>
      <c r="V749" s="62"/>
      <c r="W749" s="61"/>
      <c r="X749" s="62"/>
      <c r="Y749" s="62"/>
      <c r="Z749" s="66"/>
      <c r="AA749" s="93"/>
      <c r="AB749" s="69"/>
      <c r="AC749" s="93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3"/>
      <c r="P750" s="69"/>
      <c r="Q750" s="93"/>
      <c r="R750" s="93"/>
      <c r="S750" s="60"/>
      <c r="T750" s="62"/>
      <c r="U750" s="62"/>
      <c r="V750" s="62"/>
      <c r="W750" s="61"/>
      <c r="X750" s="62"/>
      <c r="Y750" s="62"/>
      <c r="Z750" s="66"/>
      <c r="AA750" s="93"/>
      <c r="AB750" s="69"/>
      <c r="AC750" s="93"/>
      <c r="AD750" s="93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3"/>
      <c r="P751" s="69"/>
      <c r="Q751" s="93"/>
      <c r="R751" s="93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3"/>
      <c r="AD751" s="93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9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3"/>
      <c r="P752" s="69"/>
      <c r="Q752" s="93"/>
      <c r="R752" s="93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3"/>
      <c r="AD752" s="93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3"/>
      <c r="P753" s="69"/>
      <c r="Q753" s="93"/>
      <c r="R753" s="93"/>
      <c r="S753" s="60"/>
      <c r="T753" s="62"/>
      <c r="U753" s="62"/>
      <c r="V753" s="62"/>
      <c r="W753" s="61"/>
      <c r="X753" s="62"/>
      <c r="Y753" s="62"/>
      <c r="Z753" s="66"/>
      <c r="AA753" s="93"/>
      <c r="AB753" s="69"/>
      <c r="AC753" s="93"/>
      <c r="AD753" s="93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3"/>
      <c r="P754" s="69"/>
      <c r="Q754" s="93"/>
      <c r="R754" s="93"/>
      <c r="S754" s="60"/>
      <c r="T754" s="62"/>
      <c r="U754" s="62"/>
      <c r="V754" s="62"/>
      <c r="W754" s="61"/>
      <c r="X754" s="62"/>
      <c r="Y754" s="62"/>
      <c r="Z754" s="66"/>
      <c r="AA754" s="93"/>
      <c r="AB754" s="69"/>
      <c r="AC754" s="93"/>
      <c r="AD754" s="93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3"/>
      <c r="P755" s="69"/>
      <c r="Q755" s="93"/>
      <c r="R755" s="93"/>
      <c r="S755" s="60"/>
      <c r="T755" s="62"/>
      <c r="U755" s="62"/>
      <c r="V755" s="62"/>
      <c r="W755" s="61"/>
      <c r="X755" s="62"/>
      <c r="Y755" s="62"/>
      <c r="Z755" s="66"/>
      <c r="AA755" s="93"/>
      <c r="AB755" s="69"/>
      <c r="AC755" s="93"/>
      <c r="AD755" s="93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3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3"/>
      <c r="R756" s="93"/>
      <c r="S756" s="60"/>
      <c r="T756" s="62"/>
      <c r="U756" s="62"/>
      <c r="V756" s="62"/>
      <c r="W756" s="61"/>
      <c r="X756" s="62"/>
      <c r="Y756" s="62"/>
      <c r="Z756" s="66"/>
      <c r="AA756" s="93"/>
      <c r="AB756" s="69"/>
      <c r="AC756" s="93"/>
      <c r="AD756" s="93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3"/>
      <c r="P757" s="69"/>
      <c r="Q757" s="93"/>
      <c r="R757" s="93"/>
      <c r="S757" s="60"/>
      <c r="T757" s="62"/>
      <c r="U757" s="62"/>
      <c r="V757" s="62"/>
      <c r="W757" s="61"/>
      <c r="X757" s="62"/>
      <c r="Y757" s="62"/>
      <c r="Z757" s="66"/>
      <c r="AA757" s="93"/>
      <c r="AB757" s="69"/>
      <c r="AC757" s="93"/>
      <c r="AD757" s="93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3"/>
      <c r="P758" s="69"/>
      <c r="Q758" s="93"/>
      <c r="R758" s="93"/>
      <c r="S758" s="60"/>
      <c r="T758" s="62"/>
      <c r="U758" s="62"/>
      <c r="V758" s="62"/>
      <c r="W758" s="61"/>
      <c r="X758" s="62"/>
      <c r="Y758" s="62"/>
      <c r="Z758" s="66"/>
      <c r="AA758" s="93"/>
      <c r="AB758" s="69"/>
      <c r="AC758" s="93"/>
      <c r="AD758" s="93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3"/>
      <c r="P759" s="69"/>
      <c r="Q759" s="93"/>
      <c r="R759" s="93"/>
      <c r="S759" s="60"/>
      <c r="T759" s="62"/>
      <c r="U759" s="62"/>
      <c r="V759" s="62"/>
      <c r="W759" s="61"/>
      <c r="X759" s="62"/>
      <c r="Y759" s="62"/>
      <c r="Z759" s="66"/>
      <c r="AA759" s="93"/>
      <c r="AB759" s="69"/>
      <c r="AC759" s="93"/>
      <c r="AD759" s="93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62"/>
      <c r="P760" s="69"/>
      <c r="Q760" s="93"/>
      <c r="R760" s="93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3"/>
      <c r="AD760" s="93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3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3"/>
      <c r="P761" s="69"/>
      <c r="Q761" s="93"/>
      <c r="R761" s="93"/>
      <c r="S761" s="60"/>
      <c r="T761" s="62"/>
      <c r="U761" s="62"/>
      <c r="V761" s="62"/>
      <c r="W761" s="61"/>
      <c r="X761" s="62"/>
      <c r="Y761" s="62"/>
      <c r="Z761" s="66"/>
      <c r="AA761" s="93"/>
      <c r="AB761" s="69"/>
      <c r="AC761" s="93"/>
      <c r="AD761" s="93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3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3"/>
      <c r="P762" s="69"/>
      <c r="Q762" s="93"/>
      <c r="R762" s="93"/>
      <c r="S762" s="60"/>
      <c r="T762" s="62"/>
      <c r="U762" s="62"/>
      <c r="V762" s="62"/>
      <c r="W762" s="61"/>
      <c r="X762" s="62"/>
      <c r="Y762" s="62"/>
      <c r="Z762" s="66"/>
      <c r="AA762" s="93"/>
      <c r="AB762" s="69"/>
      <c r="AC762" s="93"/>
      <c r="AD762" s="93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3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3"/>
      <c r="R763" s="93"/>
      <c r="S763" s="60"/>
      <c r="T763" s="62"/>
      <c r="U763" s="62"/>
      <c r="V763" s="62"/>
      <c r="W763" s="61"/>
      <c r="X763" s="62"/>
      <c r="Y763" s="62"/>
      <c r="Z763" s="66"/>
      <c r="AA763" s="93"/>
      <c r="AB763" s="69"/>
      <c r="AC763" s="93"/>
      <c r="AD763" s="93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3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3"/>
      <c r="P764" s="69"/>
      <c r="Q764" s="93"/>
      <c r="R764" s="93"/>
      <c r="S764" s="60"/>
      <c r="T764" s="62"/>
      <c r="U764" s="62"/>
      <c r="V764" s="62"/>
      <c r="W764" s="61"/>
      <c r="X764" s="62"/>
      <c r="Y764" s="62"/>
      <c r="Z764" s="66"/>
      <c r="AA764" s="93"/>
      <c r="AB764" s="69"/>
      <c r="AC764" s="93"/>
      <c r="AD764" s="93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3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3"/>
      <c r="P765" s="69"/>
      <c r="Q765" s="93"/>
      <c r="R765" s="93"/>
      <c r="S765" s="60"/>
      <c r="T765" s="62"/>
      <c r="U765" s="62"/>
      <c r="V765" s="62"/>
      <c r="W765" s="61"/>
      <c r="X765" s="62"/>
      <c r="Y765" s="62"/>
      <c r="Z765" s="66"/>
      <c r="AA765" s="93"/>
      <c r="AB765" s="69"/>
      <c r="AC765" s="93"/>
      <c r="AD765" s="93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3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3"/>
      <c r="R766" s="93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3"/>
      <c r="AD766" s="93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3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3"/>
      <c r="P767" s="69"/>
      <c r="Q767" s="93"/>
      <c r="R767" s="93"/>
      <c r="S767" s="60"/>
      <c r="T767" s="62"/>
      <c r="U767" s="62"/>
      <c r="V767" s="62"/>
      <c r="W767" s="61"/>
      <c r="X767" s="62"/>
      <c r="Y767" s="62"/>
      <c r="Z767" s="66"/>
      <c r="AA767" s="93"/>
      <c r="AB767" s="69"/>
      <c r="AC767" s="93"/>
      <c r="AD767" s="93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3"/>
      <c r="O768" s="93"/>
      <c r="P768" s="93"/>
      <c r="Q768" s="93"/>
      <c r="R768" s="93"/>
      <c r="S768" s="93"/>
      <c r="T768" s="62"/>
      <c r="U768" s="62"/>
      <c r="V768" s="62"/>
      <c r="W768" s="61"/>
      <c r="X768" s="62"/>
      <c r="Y768" s="62"/>
      <c r="Z768" s="93"/>
      <c r="AA768" s="93"/>
      <c r="AB768" s="93"/>
      <c r="AC768" s="93"/>
      <c r="AD768" s="93"/>
      <c r="AE768" s="93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3"/>
      <c r="C769" s="93"/>
      <c r="D769" s="93"/>
      <c r="E769" s="93"/>
      <c r="F769" s="93"/>
      <c r="G769" s="93"/>
      <c r="H769" s="62"/>
      <c r="I769" s="62"/>
      <c r="J769" s="62"/>
      <c r="K769" s="62"/>
      <c r="L769" s="62"/>
      <c r="M769" s="62"/>
      <c r="N769" s="93"/>
      <c r="O769" s="93"/>
      <c r="P769" s="93"/>
      <c r="Q769" s="93"/>
      <c r="R769" s="93"/>
      <c r="S769" s="93"/>
      <c r="T769" s="62"/>
      <c r="U769" s="62"/>
      <c r="V769" s="62"/>
      <c r="W769" s="62"/>
      <c r="X769" s="62"/>
      <c r="Y769" s="62"/>
      <c r="Z769" s="93"/>
      <c r="AA769" s="93"/>
      <c r="AB769" s="93"/>
      <c r="AC769" s="93"/>
      <c r="AD769" s="93"/>
      <c r="AE769" s="93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3"/>
      <c r="C770" s="93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3"/>
      <c r="O770" s="93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3"/>
      <c r="AA770" s="93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3"/>
      <c r="C772" s="93"/>
      <c r="D772" s="93"/>
      <c r="E772" s="93"/>
      <c r="F772" s="93"/>
      <c r="G772" s="93"/>
      <c r="H772" s="62"/>
      <c r="I772" s="62"/>
      <c r="J772" s="62"/>
      <c r="K772" s="62"/>
      <c r="L772" s="62"/>
      <c r="M772" s="62"/>
      <c r="N772" s="93"/>
      <c r="O772" s="93"/>
      <c r="P772" s="93"/>
      <c r="Q772" s="93"/>
      <c r="R772" s="93"/>
      <c r="S772" s="93"/>
      <c r="T772" s="62"/>
      <c r="U772" s="62"/>
      <c r="V772" s="62"/>
      <c r="W772" s="62"/>
      <c r="X772" s="62"/>
      <c r="Y772" s="62"/>
      <c r="Z772" s="93"/>
      <c r="AA772" s="93"/>
      <c r="AB772" s="93"/>
      <c r="AC772" s="93"/>
      <c r="AD772" s="93"/>
      <c r="AE772" s="93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3"/>
      <c r="C773" s="93"/>
      <c r="D773" s="93"/>
      <c r="E773" s="93"/>
      <c r="F773" s="93"/>
      <c r="G773" s="93"/>
      <c r="H773" s="62"/>
      <c r="I773" s="62"/>
      <c r="J773" s="62"/>
      <c r="K773" s="62"/>
      <c r="L773" s="62"/>
      <c r="M773" s="62"/>
      <c r="N773" s="93"/>
      <c r="O773" s="93"/>
      <c r="P773" s="93"/>
      <c r="Q773" s="93"/>
      <c r="R773" s="93"/>
      <c r="S773" s="93"/>
      <c r="T773" s="62"/>
      <c r="U773" s="62"/>
      <c r="V773" s="62"/>
      <c r="W773" s="62"/>
      <c r="X773" s="62"/>
      <c r="Y773" s="62"/>
      <c r="Z773" s="93"/>
      <c r="AA773" s="93"/>
      <c r="AB773" s="93"/>
      <c r="AC773" s="93"/>
      <c r="AD773" s="93"/>
      <c r="AE773" s="93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3"/>
      <c r="C774" s="93"/>
      <c r="D774" s="93"/>
      <c r="E774" s="93"/>
      <c r="F774" s="93"/>
      <c r="G774" s="93"/>
      <c r="H774" s="62"/>
      <c r="I774" s="62"/>
      <c r="J774" s="62"/>
      <c r="K774" s="62"/>
      <c r="L774" s="62"/>
      <c r="M774" s="62"/>
      <c r="N774" s="93"/>
      <c r="O774" s="93"/>
      <c r="P774" s="93"/>
      <c r="Q774" s="93"/>
      <c r="R774" s="93"/>
      <c r="S774" s="93"/>
      <c r="T774" s="62"/>
      <c r="U774" s="62"/>
      <c r="V774" s="62"/>
      <c r="W774" s="62"/>
      <c r="X774" s="62"/>
      <c r="Y774" s="62"/>
      <c r="Z774" s="93"/>
      <c r="AA774" s="93"/>
      <c r="AB774" s="93"/>
      <c r="AC774" s="93"/>
      <c r="AD774" s="93"/>
      <c r="AE774" s="93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3"/>
      <c r="C775" s="93"/>
      <c r="D775" s="93"/>
      <c r="E775" s="93"/>
      <c r="F775" s="93"/>
      <c r="G775" s="93"/>
      <c r="H775" s="62"/>
      <c r="I775" s="62"/>
      <c r="J775" s="62"/>
      <c r="K775" s="62"/>
      <c r="L775" s="62"/>
      <c r="M775" s="63"/>
      <c r="N775" s="93"/>
      <c r="O775" s="93"/>
      <c r="P775" s="93"/>
      <c r="Q775" s="93"/>
      <c r="R775" s="93"/>
      <c r="S775" s="93"/>
      <c r="T775" s="62"/>
      <c r="U775" s="62"/>
      <c r="V775" s="62"/>
      <c r="W775" s="62"/>
      <c r="X775" s="62"/>
      <c r="Y775" s="63"/>
      <c r="Z775" s="93"/>
      <c r="AA775" s="93"/>
      <c r="AB775" s="93"/>
      <c r="AC775" s="93"/>
      <c r="AD775" s="93"/>
      <c r="AE775" s="93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3"/>
      <c r="C776" s="93"/>
      <c r="D776" s="93"/>
      <c r="E776" s="93"/>
      <c r="F776" s="93"/>
      <c r="G776" s="93"/>
      <c r="H776" s="62"/>
      <c r="I776" s="62"/>
      <c r="J776" s="62"/>
      <c r="K776" s="62"/>
      <c r="L776" s="62"/>
      <c r="M776" s="62"/>
      <c r="N776" s="93"/>
      <c r="O776" s="93"/>
      <c r="P776" s="93"/>
      <c r="Q776" s="93"/>
      <c r="R776" s="93"/>
      <c r="S776" s="93"/>
      <c r="T776" s="62"/>
      <c r="U776" s="62"/>
      <c r="V776" s="62"/>
      <c r="W776" s="62"/>
      <c r="X776" s="62"/>
      <c r="Y776" s="62"/>
      <c r="Z776" s="93"/>
      <c r="AA776" s="93"/>
      <c r="AB776" s="93"/>
      <c r="AC776" s="93"/>
      <c r="AD776" s="93"/>
      <c r="AE776" s="93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3"/>
      <c r="C777" s="93"/>
      <c r="D777" s="93"/>
      <c r="E777" s="93"/>
      <c r="F777" s="93"/>
      <c r="G777" s="93"/>
      <c r="H777" s="62"/>
      <c r="I777" s="93"/>
      <c r="J777" s="74"/>
      <c r="K777" s="62"/>
      <c r="L777" s="62"/>
      <c r="M777" s="62"/>
      <c r="N777" s="93"/>
      <c r="O777" s="93"/>
      <c r="P777" s="93"/>
      <c r="Q777" s="93"/>
      <c r="R777" s="93"/>
      <c r="S777" s="93"/>
      <c r="T777" s="62"/>
      <c r="U777" s="93"/>
      <c r="V777" s="74"/>
      <c r="W777" s="62"/>
      <c r="X777" s="62"/>
      <c r="Y777" s="62"/>
      <c r="Z777" s="93"/>
      <c r="AA777" s="93"/>
      <c r="AB777" s="93"/>
      <c r="AC777" s="93"/>
      <c r="AD777" s="93"/>
      <c r="AE777" s="93"/>
      <c r="AF777" s="62"/>
      <c r="AG777" s="93"/>
      <c r="AH777" s="7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3"/>
      <c r="C778" s="93"/>
      <c r="D778" s="93"/>
      <c r="E778" s="93"/>
      <c r="F778" s="93"/>
      <c r="G778" s="93"/>
      <c r="H778" s="62"/>
      <c r="I778" s="65"/>
      <c r="J778" s="65"/>
      <c r="K778" s="62"/>
      <c r="L778" s="62"/>
      <c r="M778" s="64"/>
      <c r="N778" s="93"/>
      <c r="O778" s="93"/>
      <c r="P778" s="93"/>
      <c r="Q778" s="93"/>
      <c r="R778" s="93"/>
      <c r="S778" s="93"/>
      <c r="T778" s="62"/>
      <c r="U778" s="65"/>
      <c r="V778" s="65"/>
      <c r="W778" s="62"/>
      <c r="X778" s="62"/>
      <c r="Y778" s="64"/>
      <c r="Z778" s="93"/>
      <c r="AA778" s="93"/>
      <c r="AB778" s="93"/>
      <c r="AC778" s="93"/>
      <c r="AD778" s="93"/>
      <c r="AE778" s="93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3"/>
      <c r="C779" s="93"/>
      <c r="D779" s="93"/>
      <c r="E779" s="93"/>
      <c r="F779" s="93"/>
      <c r="G779" s="93"/>
      <c r="H779" s="62"/>
      <c r="I779" s="62"/>
      <c r="J779" s="62"/>
      <c r="K779" s="62"/>
      <c r="L779" s="62"/>
      <c r="M779" s="62"/>
      <c r="N779" s="93"/>
      <c r="O779" s="93"/>
      <c r="P779" s="93"/>
      <c r="Q779" s="93"/>
      <c r="R779" s="93"/>
      <c r="S779" s="93"/>
      <c r="T779" s="62"/>
      <c r="U779" s="62"/>
      <c r="V779" s="62"/>
      <c r="W779" s="62"/>
      <c r="X779" s="62"/>
      <c r="Y779" s="62"/>
      <c r="Z779" s="93"/>
      <c r="AA779" s="93"/>
      <c r="AB779" s="93"/>
      <c r="AC779" s="93"/>
      <c r="AD779" s="93"/>
      <c r="AE779" s="93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3"/>
      <c r="D780" s="106"/>
      <c r="E780" s="106"/>
      <c r="F780" s="93"/>
      <c r="G780" s="93"/>
      <c r="H780" s="62"/>
      <c r="I780" s="106"/>
      <c r="J780" s="106"/>
      <c r="K780" s="105"/>
      <c r="L780" s="62"/>
      <c r="M780" s="62"/>
      <c r="N780" s="65"/>
      <c r="O780" s="93"/>
      <c r="P780" s="106"/>
      <c r="Q780" s="106"/>
      <c r="R780" s="93"/>
      <c r="S780" s="93"/>
      <c r="T780" s="62"/>
      <c r="U780" s="106"/>
      <c r="V780" s="106"/>
      <c r="W780" s="105"/>
      <c r="X780" s="62"/>
      <c r="Y780" s="62"/>
      <c r="Z780" s="65"/>
      <c r="AA780" s="93"/>
      <c r="AB780" s="106"/>
      <c r="AC780" s="106"/>
      <c r="AD780" s="93"/>
      <c r="AE780" s="93"/>
      <c r="AF780" s="62"/>
      <c r="AG780" s="106"/>
      <c r="AH780" s="106"/>
      <c r="AI780" s="105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3"/>
      <c r="C781" s="93"/>
      <c r="D781" s="81"/>
      <c r="E781" s="82"/>
      <c r="F781" s="83"/>
      <c r="G781" s="83"/>
      <c r="H781" s="62"/>
      <c r="I781" s="92"/>
      <c r="J781" s="92"/>
      <c r="K781" s="105"/>
      <c r="L781" s="62"/>
      <c r="M781" s="62"/>
      <c r="N781" s="93"/>
      <c r="O781" s="93"/>
      <c r="P781" s="81"/>
      <c r="Q781" s="83"/>
      <c r="R781" s="83"/>
      <c r="S781" s="83"/>
      <c r="T781" s="62"/>
      <c r="U781" s="92"/>
      <c r="V781" s="92"/>
      <c r="W781" s="105"/>
      <c r="X781" s="62"/>
      <c r="Y781" s="62"/>
      <c r="Z781" s="93"/>
      <c r="AA781" s="93"/>
      <c r="AB781" s="81"/>
      <c r="AC781" s="83"/>
      <c r="AD781" s="83"/>
      <c r="AE781" s="83"/>
      <c r="AF781" s="62"/>
      <c r="AG781" s="92"/>
      <c r="AH781" s="92"/>
      <c r="AI781" s="105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3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3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3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3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3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3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3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3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3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3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3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65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3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3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62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3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9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3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3"/>
      <c r="AB790" s="60"/>
      <c r="AC790" s="60"/>
      <c r="AD790" s="60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3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3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3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3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3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3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3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3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3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3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3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3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3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3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3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3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3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3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3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3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3"/>
      <c r="P802" s="67"/>
      <c r="Q802" s="93"/>
      <c r="R802" s="93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93"/>
      <c r="AD802" s="93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62"/>
      <c r="P803" s="68"/>
      <c r="Q803" s="93"/>
      <c r="R803" s="93"/>
      <c r="S803" s="60"/>
      <c r="T803" s="62"/>
      <c r="U803" s="62"/>
      <c r="V803" s="62"/>
      <c r="W803" s="61"/>
      <c r="X803" s="62"/>
      <c r="Y803" s="62"/>
      <c r="Z803" s="66"/>
      <c r="AA803" s="93"/>
      <c r="AB803" s="68"/>
      <c r="AC803" s="93"/>
      <c r="AD803" s="93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3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3"/>
      <c r="P804" s="69"/>
      <c r="Q804" s="93"/>
      <c r="R804" s="62"/>
      <c r="S804" s="60"/>
      <c r="T804" s="62"/>
      <c r="U804" s="62"/>
      <c r="V804" s="62"/>
      <c r="W804" s="61"/>
      <c r="X804" s="62"/>
      <c r="Y804" s="62"/>
      <c r="Z804" s="66"/>
      <c r="AA804" s="93"/>
      <c r="AB804" s="69"/>
      <c r="AC804" s="93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3"/>
      <c r="P805" s="69"/>
      <c r="Q805" s="93"/>
      <c r="R805" s="93"/>
      <c r="S805" s="60"/>
      <c r="T805" s="62"/>
      <c r="U805" s="62"/>
      <c r="V805" s="62"/>
      <c r="W805" s="61"/>
      <c r="X805" s="62"/>
      <c r="Y805" s="62"/>
      <c r="Z805" s="66"/>
      <c r="AA805" s="93"/>
      <c r="AB805" s="69"/>
      <c r="AC805" s="93"/>
      <c r="AD805" s="93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3"/>
      <c r="P806" s="69"/>
      <c r="Q806" s="93"/>
      <c r="R806" s="93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3"/>
      <c r="AD806" s="93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3"/>
      <c r="P807" s="69"/>
      <c r="Q807" s="93"/>
      <c r="R807" s="93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3"/>
      <c r="AD807" s="93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3"/>
      <c r="P808" s="69"/>
      <c r="Q808" s="93"/>
      <c r="R808" s="93"/>
      <c r="S808" s="60"/>
      <c r="T808" s="62"/>
      <c r="U808" s="62"/>
      <c r="V808" s="62"/>
      <c r="W808" s="61"/>
      <c r="X808" s="62"/>
      <c r="Y808" s="62"/>
      <c r="Z808" s="66"/>
      <c r="AA808" s="93"/>
      <c r="AB808" s="69"/>
      <c r="AC808" s="93"/>
      <c r="AD808" s="93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3"/>
      <c r="P809" s="69"/>
      <c r="Q809" s="93"/>
      <c r="R809" s="93"/>
      <c r="S809" s="60"/>
      <c r="T809" s="62"/>
      <c r="U809" s="62"/>
      <c r="V809" s="62"/>
      <c r="W809" s="61"/>
      <c r="X809" s="62"/>
      <c r="Y809" s="62"/>
      <c r="Z809" s="66"/>
      <c r="AA809" s="93"/>
      <c r="AB809" s="69"/>
      <c r="AC809" s="93"/>
      <c r="AD809" s="93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3"/>
      <c r="P810" s="69"/>
      <c r="Q810" s="93"/>
      <c r="R810" s="93"/>
      <c r="S810" s="60"/>
      <c r="T810" s="62"/>
      <c r="U810" s="62"/>
      <c r="V810" s="62"/>
      <c r="W810" s="61"/>
      <c r="X810" s="62"/>
      <c r="Y810" s="62"/>
      <c r="Z810" s="66"/>
      <c r="AA810" s="93"/>
      <c r="AB810" s="69"/>
      <c r="AC810" s="93"/>
      <c r="AD810" s="93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3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3"/>
      <c r="R811" s="93"/>
      <c r="S811" s="60"/>
      <c r="T811" s="62"/>
      <c r="U811" s="62"/>
      <c r="V811" s="62"/>
      <c r="W811" s="61"/>
      <c r="X811" s="62"/>
      <c r="Y811" s="62"/>
      <c r="Z811" s="66"/>
      <c r="AA811" s="93"/>
      <c r="AB811" s="69"/>
      <c r="AC811" s="93"/>
      <c r="AD811" s="93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3"/>
      <c r="P812" s="69"/>
      <c r="Q812" s="93"/>
      <c r="R812" s="93"/>
      <c r="S812" s="60"/>
      <c r="T812" s="62"/>
      <c r="U812" s="62"/>
      <c r="V812" s="62"/>
      <c r="W812" s="61"/>
      <c r="X812" s="62"/>
      <c r="Y812" s="62"/>
      <c r="Z812" s="66"/>
      <c r="AA812" s="93"/>
      <c r="AB812" s="69"/>
      <c r="AC812" s="93"/>
      <c r="AD812" s="93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3"/>
      <c r="P813" s="69"/>
      <c r="Q813" s="93"/>
      <c r="R813" s="93"/>
      <c r="S813" s="60"/>
      <c r="T813" s="62"/>
      <c r="U813" s="62"/>
      <c r="V813" s="62"/>
      <c r="W813" s="61"/>
      <c r="X813" s="62"/>
      <c r="Y813" s="62"/>
      <c r="Z813" s="66"/>
      <c r="AA813" s="93"/>
      <c r="AB813" s="69"/>
      <c r="AC813" s="93"/>
      <c r="AD813" s="93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3"/>
      <c r="P814" s="69"/>
      <c r="Q814" s="93"/>
      <c r="R814" s="93"/>
      <c r="S814" s="60"/>
      <c r="T814" s="62"/>
      <c r="U814" s="62"/>
      <c r="V814" s="62"/>
      <c r="W814" s="61"/>
      <c r="X814" s="62"/>
      <c r="Y814" s="62"/>
      <c r="Z814" s="66"/>
      <c r="AA814" s="93"/>
      <c r="AB814" s="69"/>
      <c r="AC814" s="93"/>
      <c r="AD814" s="93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62"/>
      <c r="P815" s="69"/>
      <c r="Q815" s="93"/>
      <c r="R815" s="93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3"/>
      <c r="AD815" s="93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3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3"/>
      <c r="P816" s="69"/>
      <c r="Q816" s="93"/>
      <c r="R816" s="93"/>
      <c r="S816" s="60"/>
      <c r="T816" s="62"/>
      <c r="U816" s="62"/>
      <c r="V816" s="62"/>
      <c r="W816" s="61"/>
      <c r="X816" s="62"/>
      <c r="Y816" s="62"/>
      <c r="Z816" s="66"/>
      <c r="AA816" s="93"/>
      <c r="AB816" s="69"/>
      <c r="AC816" s="93"/>
      <c r="AD816" s="93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3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3"/>
      <c r="P817" s="69"/>
      <c r="Q817" s="93"/>
      <c r="R817" s="93"/>
      <c r="S817" s="60"/>
      <c r="T817" s="62"/>
      <c r="U817" s="62"/>
      <c r="V817" s="62"/>
      <c r="W817" s="61"/>
      <c r="X817" s="62"/>
      <c r="Y817" s="62"/>
      <c r="Z817" s="66"/>
      <c r="AA817" s="93"/>
      <c r="AB817" s="69"/>
      <c r="AC817" s="93"/>
      <c r="AD817" s="93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3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3"/>
      <c r="R818" s="93"/>
      <c r="S818" s="60"/>
      <c r="T818" s="62"/>
      <c r="U818" s="62"/>
      <c r="V818" s="62"/>
      <c r="W818" s="61"/>
      <c r="X818" s="62"/>
      <c r="Y818" s="62"/>
      <c r="Z818" s="66"/>
      <c r="AA818" s="93"/>
      <c r="AB818" s="69"/>
      <c r="AC818" s="93"/>
      <c r="AD818" s="93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3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3"/>
      <c r="P819" s="69"/>
      <c r="Q819" s="93"/>
      <c r="R819" s="93"/>
      <c r="S819" s="60"/>
      <c r="T819" s="62"/>
      <c r="U819" s="62"/>
      <c r="V819" s="62"/>
      <c r="W819" s="61"/>
      <c r="X819" s="62"/>
      <c r="Y819" s="62"/>
      <c r="Z819" s="66"/>
      <c r="AA819" s="93"/>
      <c r="AB819" s="69"/>
      <c r="AC819" s="93"/>
      <c r="AD819" s="93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3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3"/>
      <c r="P820" s="69"/>
      <c r="Q820" s="93"/>
      <c r="R820" s="93"/>
      <c r="S820" s="60"/>
      <c r="T820" s="62"/>
      <c r="U820" s="62"/>
      <c r="V820" s="62"/>
      <c r="W820" s="61"/>
      <c r="X820" s="62"/>
      <c r="Y820" s="62"/>
      <c r="Z820" s="66"/>
      <c r="AA820" s="93"/>
      <c r="AB820" s="69"/>
      <c r="AC820" s="93"/>
      <c r="AD820" s="93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3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3"/>
      <c r="R821" s="93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3"/>
      <c r="AD821" s="93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3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3"/>
      <c r="P822" s="69"/>
      <c r="Q822" s="93"/>
      <c r="R822" s="93"/>
      <c r="S822" s="60"/>
      <c r="T822" s="62"/>
      <c r="U822" s="62"/>
      <c r="V822" s="62"/>
      <c r="W822" s="61"/>
      <c r="X822" s="62"/>
      <c r="Y822" s="62"/>
      <c r="Z822" s="66"/>
      <c r="AA822" s="93"/>
      <c r="AB822" s="69"/>
      <c r="AC822" s="93"/>
      <c r="AD822" s="93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3"/>
      <c r="O823" s="93"/>
      <c r="P823" s="93"/>
      <c r="Q823" s="93"/>
      <c r="R823" s="93"/>
      <c r="S823" s="93"/>
      <c r="T823" s="62"/>
      <c r="U823" s="62"/>
      <c r="V823" s="62"/>
      <c r="W823" s="61"/>
      <c r="X823" s="62"/>
      <c r="Y823" s="62"/>
      <c r="Z823" s="93"/>
      <c r="AA823" s="93"/>
      <c r="AB823" s="93"/>
      <c r="AC823" s="93"/>
      <c r="AD823" s="93"/>
      <c r="AE823" s="93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3"/>
      <c r="C824" s="93"/>
      <c r="D824" s="93"/>
      <c r="E824" s="93"/>
      <c r="F824" s="93"/>
      <c r="G824" s="93"/>
      <c r="H824" s="62"/>
      <c r="I824" s="62"/>
      <c r="J824" s="62"/>
      <c r="K824" s="62"/>
      <c r="L824" s="62"/>
      <c r="M824" s="62"/>
      <c r="N824" s="93"/>
      <c r="O824" s="93"/>
      <c r="P824" s="93"/>
      <c r="Q824" s="93"/>
      <c r="R824" s="93"/>
      <c r="S824" s="93"/>
      <c r="T824" s="62"/>
      <c r="U824" s="62"/>
      <c r="V824" s="62"/>
      <c r="W824" s="62"/>
      <c r="X824" s="62"/>
      <c r="Y824" s="62"/>
      <c r="Z824" s="93"/>
      <c r="AA824" s="93"/>
      <c r="AB824" s="93"/>
      <c r="AC824" s="93"/>
      <c r="AD824" s="93"/>
      <c r="AE824" s="93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3"/>
      <c r="C825" s="93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3"/>
      <c r="O825" s="93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3"/>
      <c r="AA825" s="93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3"/>
      <c r="C827" s="93"/>
      <c r="D827" s="93"/>
      <c r="E827" s="93"/>
      <c r="F827" s="93"/>
      <c r="G827" s="93"/>
      <c r="H827" s="62"/>
      <c r="I827" s="62"/>
      <c r="J827" s="62"/>
      <c r="K827" s="62"/>
      <c r="L827" s="62"/>
      <c r="M827" s="62"/>
      <c r="N827" s="93"/>
      <c r="O827" s="93"/>
      <c r="P827" s="93"/>
      <c r="Q827" s="93"/>
      <c r="R827" s="93"/>
      <c r="S827" s="93"/>
      <c r="T827" s="62"/>
      <c r="U827" s="62"/>
      <c r="V827" s="62"/>
      <c r="W827" s="62"/>
      <c r="X827" s="62"/>
      <c r="Y827" s="62"/>
      <c r="Z827" s="93"/>
      <c r="AA827" s="93"/>
      <c r="AB827" s="93"/>
      <c r="AC827" s="93"/>
      <c r="AD827" s="93"/>
      <c r="AE827" s="93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3"/>
      <c r="C828" s="93"/>
      <c r="D828" s="93"/>
      <c r="E828" s="93"/>
      <c r="F828" s="93"/>
      <c r="G828" s="93"/>
      <c r="H828" s="62"/>
      <c r="I828" s="62"/>
      <c r="J828" s="62"/>
      <c r="K828" s="62"/>
      <c r="L828" s="62"/>
      <c r="M828" s="62"/>
      <c r="N828" s="93"/>
      <c r="O828" s="93"/>
      <c r="P828" s="93"/>
      <c r="Q828" s="93"/>
      <c r="R828" s="93"/>
      <c r="S828" s="93"/>
      <c r="T828" s="62"/>
      <c r="U828" s="62"/>
      <c r="V828" s="62"/>
      <c r="W828" s="62"/>
      <c r="X828" s="62"/>
      <c r="Y828" s="62"/>
      <c r="Z828" s="93"/>
      <c r="AA828" s="93"/>
      <c r="AB828" s="93"/>
      <c r="AC828" s="93"/>
      <c r="AD828" s="93"/>
      <c r="AE828" s="93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3"/>
      <c r="C829" s="93"/>
      <c r="D829" s="93"/>
      <c r="E829" s="93"/>
      <c r="F829" s="93"/>
      <c r="G829" s="93"/>
      <c r="H829" s="62"/>
      <c r="I829" s="62"/>
      <c r="J829" s="62"/>
      <c r="K829" s="62"/>
      <c r="L829" s="62"/>
      <c r="M829" s="62"/>
      <c r="N829" s="93"/>
      <c r="O829" s="93"/>
      <c r="P829" s="93"/>
      <c r="Q829" s="93"/>
      <c r="R829" s="93"/>
      <c r="S829" s="93"/>
      <c r="T829" s="62"/>
      <c r="U829" s="62"/>
      <c r="V829" s="62"/>
      <c r="W829" s="62"/>
      <c r="X829" s="62"/>
      <c r="Y829" s="62"/>
      <c r="Z829" s="93"/>
      <c r="AA829" s="93"/>
      <c r="AB829" s="93"/>
      <c r="AC829" s="93"/>
      <c r="AD829" s="93"/>
      <c r="AE829" s="93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3"/>
      <c r="C830" s="93"/>
      <c r="D830" s="93"/>
      <c r="E830" s="93"/>
      <c r="F830" s="93"/>
      <c r="G830" s="93"/>
      <c r="H830" s="62"/>
      <c r="I830" s="62"/>
      <c r="J830" s="62"/>
      <c r="K830" s="62"/>
      <c r="L830" s="62"/>
      <c r="M830" s="63"/>
      <c r="N830" s="93"/>
      <c r="O830" s="93"/>
      <c r="P830" s="93"/>
      <c r="Q830" s="93"/>
      <c r="R830" s="93"/>
      <c r="S830" s="93"/>
      <c r="T830" s="62"/>
      <c r="U830" s="62"/>
      <c r="V830" s="62"/>
      <c r="W830" s="62"/>
      <c r="X830" s="62"/>
      <c r="Y830" s="63"/>
      <c r="Z830" s="93"/>
      <c r="AA830" s="93"/>
      <c r="AB830" s="93"/>
      <c r="AC830" s="93"/>
      <c r="AD830" s="93"/>
      <c r="AE830" s="93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3"/>
      <c r="C831" s="93"/>
      <c r="D831" s="93"/>
      <c r="E831" s="93"/>
      <c r="F831" s="93"/>
      <c r="G831" s="93"/>
      <c r="H831" s="62"/>
      <c r="I831" s="62"/>
      <c r="J831" s="62"/>
      <c r="K831" s="62"/>
      <c r="L831" s="62"/>
      <c r="M831" s="62"/>
      <c r="N831" s="93"/>
      <c r="O831" s="93"/>
      <c r="P831" s="93"/>
      <c r="Q831" s="93"/>
      <c r="R831" s="93"/>
      <c r="S831" s="93"/>
      <c r="T831" s="62"/>
      <c r="U831" s="62"/>
      <c r="V831" s="62"/>
      <c r="W831" s="62"/>
      <c r="X831" s="62"/>
      <c r="Y831" s="62"/>
      <c r="Z831" s="93"/>
      <c r="AA831" s="93"/>
      <c r="AB831" s="93"/>
      <c r="AC831" s="93"/>
      <c r="AD831" s="93"/>
      <c r="AE831" s="93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3"/>
      <c r="C832" s="93"/>
      <c r="D832" s="93"/>
      <c r="E832" s="93"/>
      <c r="F832" s="93"/>
      <c r="G832" s="93"/>
      <c r="H832" s="62"/>
      <c r="I832" s="93"/>
      <c r="J832" s="74"/>
      <c r="K832" s="62"/>
      <c r="L832" s="62"/>
      <c r="M832" s="62"/>
      <c r="N832" s="93"/>
      <c r="O832" s="93"/>
      <c r="P832" s="93"/>
      <c r="Q832" s="93"/>
      <c r="R832" s="93"/>
      <c r="S832" s="93"/>
      <c r="T832" s="62"/>
      <c r="U832" s="93"/>
      <c r="V832" s="74"/>
      <c r="W832" s="62"/>
      <c r="X832" s="62"/>
      <c r="Y832" s="62"/>
      <c r="Z832" s="93"/>
      <c r="AA832" s="93"/>
      <c r="AB832" s="93"/>
      <c r="AC832" s="93"/>
      <c r="AD832" s="93"/>
      <c r="AE832" s="93"/>
      <c r="AF832" s="62"/>
      <c r="AG832" s="93"/>
      <c r="AH832" s="7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3"/>
      <c r="C833" s="93"/>
      <c r="D833" s="93"/>
      <c r="E833" s="93"/>
      <c r="F833" s="93"/>
      <c r="G833" s="93"/>
      <c r="H833" s="62"/>
      <c r="I833" s="65"/>
      <c r="J833" s="65"/>
      <c r="K833" s="62"/>
      <c r="L833" s="62"/>
      <c r="M833" s="64"/>
      <c r="N833" s="93"/>
      <c r="O833" s="93"/>
      <c r="P833" s="93"/>
      <c r="Q833" s="93"/>
      <c r="R833" s="93"/>
      <c r="S833" s="93"/>
      <c r="T833" s="62"/>
      <c r="U833" s="65"/>
      <c r="V833" s="65"/>
      <c r="W833" s="62"/>
      <c r="X833" s="62"/>
      <c r="Y833" s="64"/>
      <c r="Z833" s="93"/>
      <c r="AA833" s="93"/>
      <c r="AB833" s="93"/>
      <c r="AC833" s="93"/>
      <c r="AD833" s="93"/>
      <c r="AE833" s="93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3"/>
      <c r="C834" s="93"/>
      <c r="D834" s="93"/>
      <c r="E834" s="93"/>
      <c r="F834" s="93"/>
      <c r="G834" s="93"/>
      <c r="H834" s="62"/>
      <c r="I834" s="62"/>
      <c r="J834" s="62"/>
      <c r="K834" s="62"/>
      <c r="L834" s="62"/>
      <c r="M834" s="62"/>
      <c r="N834" s="93"/>
      <c r="O834" s="93"/>
      <c r="P834" s="93"/>
      <c r="Q834" s="93"/>
      <c r="R834" s="93"/>
      <c r="S834" s="93"/>
      <c r="T834" s="62"/>
      <c r="U834" s="62"/>
      <c r="V834" s="62"/>
      <c r="W834" s="62"/>
      <c r="X834" s="62"/>
      <c r="Y834" s="62"/>
      <c r="Z834" s="93"/>
      <c r="AA834" s="93"/>
      <c r="AB834" s="93"/>
      <c r="AC834" s="93"/>
      <c r="AD834" s="93"/>
      <c r="AE834" s="93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3"/>
      <c r="D835" s="106"/>
      <c r="E835" s="106"/>
      <c r="F835" s="93"/>
      <c r="G835" s="93"/>
      <c r="H835" s="62"/>
      <c r="I835" s="106"/>
      <c r="J835" s="106"/>
      <c r="K835" s="105"/>
      <c r="L835" s="62"/>
      <c r="M835" s="62"/>
      <c r="N835" s="65"/>
      <c r="O835" s="93"/>
      <c r="P835" s="106"/>
      <c r="Q835" s="106"/>
      <c r="R835" s="93"/>
      <c r="S835" s="93"/>
      <c r="T835" s="62"/>
      <c r="U835" s="106"/>
      <c r="V835" s="106"/>
      <c r="W835" s="105"/>
      <c r="X835" s="62"/>
      <c r="Y835" s="62"/>
      <c r="Z835" s="65"/>
      <c r="AA835" s="93"/>
      <c r="AB835" s="106"/>
      <c r="AC835" s="106"/>
      <c r="AD835" s="93"/>
      <c r="AE835" s="93"/>
      <c r="AF835" s="62"/>
      <c r="AG835" s="106"/>
      <c r="AH835" s="106"/>
      <c r="AI835" s="105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3"/>
      <c r="C836" s="93"/>
      <c r="D836" s="81"/>
      <c r="E836" s="82"/>
      <c r="F836" s="83"/>
      <c r="G836" s="83"/>
      <c r="H836" s="62"/>
      <c r="I836" s="92"/>
      <c r="J836" s="92"/>
      <c r="K836" s="105"/>
      <c r="L836" s="62"/>
      <c r="M836" s="62"/>
      <c r="N836" s="93"/>
      <c r="O836" s="93"/>
      <c r="P836" s="81"/>
      <c r="Q836" s="83"/>
      <c r="R836" s="83"/>
      <c r="S836" s="83"/>
      <c r="T836" s="62"/>
      <c r="U836" s="92"/>
      <c r="V836" s="92"/>
      <c r="W836" s="105"/>
      <c r="X836" s="62"/>
      <c r="Y836" s="62"/>
      <c r="Z836" s="93"/>
      <c r="AA836" s="93"/>
      <c r="AB836" s="81"/>
      <c r="AC836" s="83"/>
      <c r="AD836" s="83"/>
      <c r="AE836" s="83"/>
      <c r="AF836" s="62"/>
      <c r="AG836" s="92"/>
      <c r="AH836" s="92"/>
      <c r="AI836" s="105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3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3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3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3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9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3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3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3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3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3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3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3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3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3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3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3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3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3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3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3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3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3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3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3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3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3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3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3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3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3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3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3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3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3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3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3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3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3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93"/>
      <c r="R857" s="93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93"/>
      <c r="AD857" s="93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3"/>
      <c r="P858" s="68"/>
      <c r="Q858" s="93"/>
      <c r="R858" s="93"/>
      <c r="S858" s="60"/>
      <c r="T858" s="62"/>
      <c r="U858" s="62"/>
      <c r="V858" s="62"/>
      <c r="W858" s="61"/>
      <c r="X858" s="62"/>
      <c r="Y858" s="62"/>
      <c r="Z858" s="66"/>
      <c r="AA858" s="93"/>
      <c r="AB858" s="68"/>
      <c r="AC858" s="93"/>
      <c r="AD858" s="93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3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3"/>
      <c r="P859" s="69"/>
      <c r="Q859" s="93"/>
      <c r="R859" s="62"/>
      <c r="S859" s="60"/>
      <c r="T859" s="62"/>
      <c r="U859" s="62"/>
      <c r="V859" s="62"/>
      <c r="W859" s="61"/>
      <c r="X859" s="62"/>
      <c r="Y859" s="62"/>
      <c r="Z859" s="66"/>
      <c r="AA859" s="93"/>
      <c r="AB859" s="69"/>
      <c r="AC859" s="93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3"/>
      <c r="P860" s="69"/>
      <c r="Q860" s="93"/>
      <c r="R860" s="93"/>
      <c r="S860" s="60"/>
      <c r="T860" s="62"/>
      <c r="U860" s="62"/>
      <c r="V860" s="62"/>
      <c r="W860" s="61"/>
      <c r="X860" s="62"/>
      <c r="Y860" s="62"/>
      <c r="Z860" s="66"/>
      <c r="AA860" s="93"/>
      <c r="AB860" s="69"/>
      <c r="AC860" s="93"/>
      <c r="AD860" s="93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3"/>
      <c r="P861" s="69"/>
      <c r="Q861" s="93"/>
      <c r="R861" s="93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3"/>
      <c r="AD861" s="93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9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3"/>
      <c r="R862" s="93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3"/>
      <c r="AD862" s="93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3"/>
      <c r="P863" s="69"/>
      <c r="Q863" s="93"/>
      <c r="R863" s="93"/>
      <c r="S863" s="60"/>
      <c r="T863" s="62"/>
      <c r="U863" s="62"/>
      <c r="V863" s="62"/>
      <c r="W863" s="61"/>
      <c r="X863" s="62"/>
      <c r="Y863" s="62"/>
      <c r="Z863" s="66"/>
      <c r="AA863" s="93"/>
      <c r="AB863" s="69"/>
      <c r="AC863" s="93"/>
      <c r="AD863" s="93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3"/>
      <c r="P864" s="69"/>
      <c r="Q864" s="93"/>
      <c r="R864" s="93"/>
      <c r="S864" s="60"/>
      <c r="T864" s="62"/>
      <c r="U864" s="62"/>
      <c r="V864" s="62"/>
      <c r="W864" s="61"/>
      <c r="X864" s="62"/>
      <c r="Y864" s="62"/>
      <c r="Z864" s="66"/>
      <c r="AA864" s="93"/>
      <c r="AB864" s="69"/>
      <c r="AC864" s="93"/>
      <c r="AD864" s="93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3"/>
      <c r="P865" s="69"/>
      <c r="Q865" s="93"/>
      <c r="R865" s="93"/>
      <c r="S865" s="60"/>
      <c r="T865" s="62"/>
      <c r="U865" s="62"/>
      <c r="V865" s="62"/>
      <c r="W865" s="61"/>
      <c r="X865" s="62"/>
      <c r="Y865" s="62"/>
      <c r="Z865" s="66"/>
      <c r="AA865" s="93"/>
      <c r="AB865" s="69"/>
      <c r="AC865" s="93"/>
      <c r="AD865" s="93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3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3"/>
      <c r="R866" s="93"/>
      <c r="S866" s="60"/>
      <c r="T866" s="62"/>
      <c r="U866" s="62"/>
      <c r="V866" s="62"/>
      <c r="W866" s="61"/>
      <c r="X866" s="62"/>
      <c r="Y866" s="62"/>
      <c r="Z866" s="66"/>
      <c r="AA866" s="93"/>
      <c r="AB866" s="69"/>
      <c r="AC866" s="93"/>
      <c r="AD866" s="93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3"/>
      <c r="P867" s="69"/>
      <c r="Q867" s="93"/>
      <c r="R867" s="93"/>
      <c r="S867" s="60"/>
      <c r="T867" s="62"/>
      <c r="U867" s="62"/>
      <c r="V867" s="62"/>
      <c r="W867" s="61"/>
      <c r="X867" s="62"/>
      <c r="Y867" s="62"/>
      <c r="Z867" s="66"/>
      <c r="AA867" s="93"/>
      <c r="AB867" s="69"/>
      <c r="AC867" s="93"/>
      <c r="AD867" s="93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3"/>
      <c r="P868" s="69"/>
      <c r="Q868" s="93"/>
      <c r="R868" s="93"/>
      <c r="S868" s="60"/>
      <c r="T868" s="62"/>
      <c r="U868" s="62"/>
      <c r="V868" s="62"/>
      <c r="W868" s="61"/>
      <c r="X868" s="62"/>
      <c r="Y868" s="62"/>
      <c r="Z868" s="66"/>
      <c r="AA868" s="93"/>
      <c r="AB868" s="69"/>
      <c r="AC868" s="93"/>
      <c r="AD868" s="93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3"/>
      <c r="P869" s="69"/>
      <c r="Q869" s="93"/>
      <c r="R869" s="93"/>
      <c r="S869" s="60"/>
      <c r="T869" s="62"/>
      <c r="U869" s="62"/>
      <c r="V869" s="62"/>
      <c r="W869" s="61"/>
      <c r="X869" s="62"/>
      <c r="Y869" s="62"/>
      <c r="Z869" s="66"/>
      <c r="AA869" s="93"/>
      <c r="AB869" s="69"/>
      <c r="AC869" s="93"/>
      <c r="AD869" s="93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3"/>
      <c r="P870" s="69"/>
      <c r="Q870" s="93"/>
      <c r="R870" s="93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3"/>
      <c r="AD870" s="93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3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3"/>
      <c r="P871" s="69"/>
      <c r="Q871" s="93"/>
      <c r="R871" s="93"/>
      <c r="S871" s="60"/>
      <c r="T871" s="62"/>
      <c r="U871" s="62"/>
      <c r="V871" s="62"/>
      <c r="W871" s="61"/>
      <c r="X871" s="62"/>
      <c r="Y871" s="62"/>
      <c r="Z871" s="66"/>
      <c r="AA871" s="93"/>
      <c r="AB871" s="69"/>
      <c r="AC871" s="93"/>
      <c r="AD871" s="93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3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3"/>
      <c r="P872" s="69"/>
      <c r="Q872" s="93"/>
      <c r="R872" s="93"/>
      <c r="S872" s="60"/>
      <c r="T872" s="62"/>
      <c r="U872" s="62"/>
      <c r="V872" s="62"/>
      <c r="W872" s="61"/>
      <c r="X872" s="62"/>
      <c r="Y872" s="62"/>
      <c r="Z872" s="66"/>
      <c r="AA872" s="93"/>
      <c r="AB872" s="69"/>
      <c r="AC872" s="93"/>
      <c r="AD872" s="93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3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3"/>
      <c r="R873" s="93"/>
      <c r="S873" s="60"/>
      <c r="T873" s="62"/>
      <c r="U873" s="62"/>
      <c r="V873" s="62"/>
      <c r="W873" s="61"/>
      <c r="X873" s="62"/>
      <c r="Y873" s="62"/>
      <c r="Z873" s="66"/>
      <c r="AA873" s="93"/>
      <c r="AB873" s="69"/>
      <c r="AC873" s="93"/>
      <c r="AD873" s="93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3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3"/>
      <c r="P874" s="69"/>
      <c r="Q874" s="93"/>
      <c r="R874" s="93"/>
      <c r="S874" s="60"/>
      <c r="T874" s="62"/>
      <c r="U874" s="62"/>
      <c r="V874" s="62"/>
      <c r="W874" s="61"/>
      <c r="X874" s="62"/>
      <c r="Y874" s="62"/>
      <c r="Z874" s="66"/>
      <c r="AA874" s="93"/>
      <c r="AB874" s="69"/>
      <c r="AC874" s="93"/>
      <c r="AD874" s="93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3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3"/>
      <c r="P875" s="69"/>
      <c r="Q875" s="93"/>
      <c r="R875" s="93"/>
      <c r="S875" s="60"/>
      <c r="T875" s="62"/>
      <c r="U875" s="62"/>
      <c r="V875" s="62"/>
      <c r="W875" s="61"/>
      <c r="X875" s="62"/>
      <c r="Y875" s="62"/>
      <c r="Z875" s="66"/>
      <c r="AA875" s="93"/>
      <c r="AB875" s="69"/>
      <c r="AC875" s="93"/>
      <c r="AD875" s="93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3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3"/>
      <c r="R876" s="93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3"/>
      <c r="AD876" s="93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3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3"/>
      <c r="P877" s="69"/>
      <c r="Q877" s="93"/>
      <c r="R877" s="93"/>
      <c r="S877" s="60"/>
      <c r="T877" s="62"/>
      <c r="U877" s="62"/>
      <c r="V877" s="62"/>
      <c r="W877" s="61"/>
      <c r="X877" s="62"/>
      <c r="Y877" s="62"/>
      <c r="Z877" s="66"/>
      <c r="AA877" s="93"/>
      <c r="AB877" s="69"/>
      <c r="AC877" s="93"/>
      <c r="AD877" s="93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3"/>
      <c r="O878" s="93"/>
      <c r="P878" s="93"/>
      <c r="Q878" s="93"/>
      <c r="R878" s="93"/>
      <c r="S878" s="93"/>
      <c r="T878" s="62"/>
      <c r="U878" s="62"/>
      <c r="V878" s="62"/>
      <c r="W878" s="61"/>
      <c r="X878" s="62"/>
      <c r="Y878" s="62"/>
      <c r="Z878" s="93"/>
      <c r="AA878" s="93"/>
      <c r="AB878" s="93"/>
      <c r="AC878" s="93"/>
      <c r="AD878" s="93"/>
      <c r="AE878" s="93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3"/>
      <c r="C879" s="93"/>
      <c r="D879" s="93"/>
      <c r="E879" s="93"/>
      <c r="F879" s="93"/>
      <c r="G879" s="93"/>
      <c r="H879" s="62"/>
      <c r="I879" s="62"/>
      <c r="J879" s="62"/>
      <c r="K879" s="62"/>
      <c r="L879" s="62"/>
      <c r="M879" s="62"/>
      <c r="N879" s="93"/>
      <c r="O879" s="93"/>
      <c r="P879" s="93"/>
      <c r="Q879" s="93"/>
      <c r="R879" s="93"/>
      <c r="S879" s="93"/>
      <c r="T879" s="62"/>
      <c r="U879" s="62"/>
      <c r="V879" s="62"/>
      <c r="W879" s="62"/>
      <c r="X879" s="62"/>
      <c r="Y879" s="62"/>
      <c r="Z879" s="93"/>
      <c r="AA879" s="93"/>
      <c r="AB879" s="93"/>
      <c r="AC879" s="93"/>
      <c r="AD879" s="93"/>
      <c r="AE879" s="93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3"/>
      <c r="C880" s="93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3"/>
      <c r="O880" s="93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3"/>
      <c r="AA880" s="93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3"/>
      <c r="C882" s="93"/>
      <c r="D882" s="93"/>
      <c r="E882" s="93"/>
      <c r="F882" s="93"/>
      <c r="G882" s="93"/>
      <c r="H882" s="62"/>
      <c r="I882" s="62"/>
      <c r="J882" s="62"/>
      <c r="K882" s="62"/>
      <c r="L882" s="62"/>
      <c r="M882" s="62"/>
      <c r="N882" s="93"/>
      <c r="O882" s="93"/>
      <c r="P882" s="93"/>
      <c r="Q882" s="93"/>
      <c r="R882" s="93"/>
      <c r="S882" s="93"/>
      <c r="T882" s="62"/>
      <c r="U882" s="62"/>
      <c r="V882" s="62"/>
      <c r="W882" s="62"/>
      <c r="X882" s="62"/>
      <c r="Y882" s="62"/>
      <c r="Z882" s="93"/>
      <c r="AA882" s="93"/>
      <c r="AB882" s="93"/>
      <c r="AC882" s="93"/>
      <c r="AD882" s="93"/>
      <c r="AE882" s="93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3"/>
      <c r="C883" s="93"/>
      <c r="D883" s="93"/>
      <c r="E883" s="93"/>
      <c r="F883" s="93"/>
      <c r="G883" s="93"/>
      <c r="H883" s="62"/>
      <c r="I883" s="62"/>
      <c r="J883" s="62"/>
      <c r="K883" s="62"/>
      <c r="L883" s="62"/>
      <c r="M883" s="62"/>
      <c r="N883" s="93"/>
      <c r="O883" s="93"/>
      <c r="P883" s="93"/>
      <c r="Q883" s="93"/>
      <c r="R883" s="93"/>
      <c r="S883" s="93"/>
      <c r="T883" s="62"/>
      <c r="U883" s="62"/>
      <c r="V883" s="62"/>
      <c r="W883" s="62"/>
      <c r="X883" s="62"/>
      <c r="Y883" s="62"/>
      <c r="Z883" s="93"/>
      <c r="AA883" s="93"/>
      <c r="AB883" s="93"/>
      <c r="AC883" s="93"/>
      <c r="AD883" s="93"/>
      <c r="AE883" s="93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3"/>
      <c r="C884" s="93"/>
      <c r="D884" s="93"/>
      <c r="E884" s="93"/>
      <c r="F884" s="93"/>
      <c r="G884" s="93"/>
      <c r="H884" s="62"/>
      <c r="I884" s="62"/>
      <c r="J884" s="62"/>
      <c r="K884" s="62"/>
      <c r="L884" s="62"/>
      <c r="M884" s="62"/>
      <c r="N884" s="93"/>
      <c r="O884" s="93"/>
      <c r="P884" s="93"/>
      <c r="Q884" s="93"/>
      <c r="R884" s="93"/>
      <c r="S884" s="93"/>
      <c r="T884" s="62"/>
      <c r="U884" s="62"/>
      <c r="V884" s="62"/>
      <c r="W884" s="62"/>
      <c r="X884" s="62"/>
      <c r="Y884" s="62"/>
      <c r="Z884" s="93"/>
      <c r="AA884" s="93"/>
      <c r="AB884" s="93"/>
      <c r="AC884" s="93"/>
      <c r="AD884" s="93"/>
      <c r="AE884" s="93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3"/>
      <c r="C885" s="93"/>
      <c r="D885" s="93"/>
      <c r="E885" s="93"/>
      <c r="F885" s="93"/>
      <c r="G885" s="93"/>
      <c r="H885" s="62"/>
      <c r="I885" s="62"/>
      <c r="J885" s="62"/>
      <c r="K885" s="62"/>
      <c r="L885" s="62"/>
      <c r="M885" s="63"/>
      <c r="N885" s="93"/>
      <c r="O885" s="93"/>
      <c r="P885" s="93"/>
      <c r="Q885" s="93"/>
      <c r="R885" s="93"/>
      <c r="S885" s="93"/>
      <c r="T885" s="62"/>
      <c r="U885" s="62"/>
      <c r="V885" s="62"/>
      <c r="W885" s="62"/>
      <c r="X885" s="62"/>
      <c r="Y885" s="63"/>
      <c r="Z885" s="93"/>
      <c r="AA885" s="93"/>
      <c r="AB885" s="93"/>
      <c r="AC885" s="93"/>
      <c r="AD885" s="93"/>
      <c r="AE885" s="93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3"/>
      <c r="C886" s="93"/>
      <c r="D886" s="93"/>
      <c r="E886" s="93"/>
      <c r="F886" s="93"/>
      <c r="G886" s="93"/>
      <c r="H886" s="62"/>
      <c r="I886" s="62"/>
      <c r="J886" s="62"/>
      <c r="K886" s="62"/>
      <c r="L886" s="62"/>
      <c r="M886" s="62"/>
      <c r="N886" s="93"/>
      <c r="O886" s="93"/>
      <c r="P886" s="93"/>
      <c r="Q886" s="93"/>
      <c r="R886" s="93"/>
      <c r="S886" s="93"/>
      <c r="T886" s="62"/>
      <c r="U886" s="62"/>
      <c r="V886" s="62"/>
      <c r="W886" s="62"/>
      <c r="X886" s="62"/>
      <c r="Y886" s="62"/>
      <c r="Z886" s="93"/>
      <c r="AA886" s="93"/>
      <c r="AB886" s="93"/>
      <c r="AC886" s="93"/>
      <c r="AD886" s="93"/>
      <c r="AE886" s="93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3"/>
      <c r="C887" s="93"/>
      <c r="D887" s="93"/>
      <c r="E887" s="93"/>
      <c r="F887" s="93"/>
      <c r="G887" s="93"/>
      <c r="H887" s="62"/>
      <c r="I887" s="93"/>
      <c r="J887" s="74"/>
      <c r="K887" s="62"/>
      <c r="L887" s="62"/>
      <c r="M887" s="62"/>
      <c r="N887" s="93"/>
      <c r="O887" s="93"/>
      <c r="P887" s="93"/>
      <c r="Q887" s="93"/>
      <c r="R887" s="93"/>
      <c r="S887" s="93"/>
      <c r="T887" s="62"/>
      <c r="U887" s="93"/>
      <c r="V887" s="74"/>
      <c r="W887" s="62"/>
      <c r="X887" s="62"/>
      <c r="Y887" s="62"/>
      <c r="Z887" s="93"/>
      <c r="AA887" s="93"/>
      <c r="AB887" s="93"/>
      <c r="AC887" s="93"/>
      <c r="AD887" s="93"/>
      <c r="AE887" s="93"/>
      <c r="AF887" s="62"/>
      <c r="AG887" s="93"/>
      <c r="AH887" s="7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3"/>
      <c r="C888" s="93"/>
      <c r="D888" s="93"/>
      <c r="E888" s="93"/>
      <c r="F888" s="93"/>
      <c r="G888" s="93"/>
      <c r="H888" s="62"/>
      <c r="I888" s="65"/>
      <c r="J888" s="65"/>
      <c r="K888" s="62"/>
      <c r="L888" s="62"/>
      <c r="M888" s="64"/>
      <c r="N888" s="93"/>
      <c r="O888" s="93"/>
      <c r="P888" s="93"/>
      <c r="Q888" s="93"/>
      <c r="R888" s="93"/>
      <c r="S888" s="93"/>
      <c r="T888" s="62"/>
      <c r="U888" s="65"/>
      <c r="V888" s="65"/>
      <c r="W888" s="62"/>
      <c r="X888" s="62"/>
      <c r="Y888" s="64"/>
      <c r="Z888" s="93"/>
      <c r="AA888" s="93"/>
      <c r="AB888" s="93"/>
      <c r="AC888" s="93"/>
      <c r="AD888" s="93"/>
      <c r="AE888" s="93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3"/>
      <c r="C889" s="93"/>
      <c r="D889" s="93"/>
      <c r="E889" s="93"/>
      <c r="F889" s="93"/>
      <c r="G889" s="93"/>
      <c r="H889" s="62"/>
      <c r="I889" s="62"/>
      <c r="J889" s="62"/>
      <c r="K889" s="62"/>
      <c r="L889" s="62"/>
      <c r="M889" s="62"/>
      <c r="N889" s="93"/>
      <c r="O889" s="93"/>
      <c r="P889" s="93"/>
      <c r="Q889" s="93"/>
      <c r="R889" s="93"/>
      <c r="S889" s="93"/>
      <c r="T889" s="62"/>
      <c r="U889" s="62"/>
      <c r="V889" s="62"/>
      <c r="W889" s="62"/>
      <c r="X889" s="62"/>
      <c r="Y889" s="62"/>
      <c r="Z889" s="93"/>
      <c r="AA889" s="93"/>
      <c r="AB889" s="93"/>
      <c r="AC889" s="93"/>
      <c r="AD889" s="93"/>
      <c r="AE889" s="93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3"/>
      <c r="D890" s="106"/>
      <c r="E890" s="106"/>
      <c r="F890" s="93"/>
      <c r="G890" s="93"/>
      <c r="H890" s="62"/>
      <c r="I890" s="106"/>
      <c r="J890" s="106"/>
      <c r="K890" s="105"/>
      <c r="L890" s="62"/>
      <c r="M890" s="62"/>
      <c r="N890" s="65"/>
      <c r="O890" s="93"/>
      <c r="P890" s="106"/>
      <c r="Q890" s="106"/>
      <c r="R890" s="93"/>
      <c r="S890" s="93"/>
      <c r="T890" s="62"/>
      <c r="U890" s="106"/>
      <c r="V890" s="106"/>
      <c r="W890" s="105"/>
      <c r="X890" s="62"/>
      <c r="Y890" s="62"/>
      <c r="Z890" s="65"/>
      <c r="AA890" s="93"/>
      <c r="AB890" s="106"/>
      <c r="AC890" s="106"/>
      <c r="AD890" s="93"/>
      <c r="AE890" s="93"/>
      <c r="AF890" s="62"/>
      <c r="AG890" s="106"/>
      <c r="AH890" s="106"/>
      <c r="AI890" s="10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3"/>
      <c r="C891" s="93"/>
      <c r="D891" s="81"/>
      <c r="E891" s="82"/>
      <c r="F891" s="83"/>
      <c r="G891" s="83"/>
      <c r="H891" s="62"/>
      <c r="I891" s="92"/>
      <c r="J891" s="92"/>
      <c r="K891" s="105"/>
      <c r="L891" s="62"/>
      <c r="M891" s="62"/>
      <c r="N891" s="93"/>
      <c r="O891" s="93"/>
      <c r="P891" s="81"/>
      <c r="Q891" s="83"/>
      <c r="R891" s="83"/>
      <c r="S891" s="83"/>
      <c r="T891" s="62"/>
      <c r="U891" s="92"/>
      <c r="V891" s="92"/>
      <c r="W891" s="105"/>
      <c r="X891" s="62"/>
      <c r="Y891" s="62"/>
      <c r="Z891" s="93"/>
      <c r="AA891" s="93"/>
      <c r="AB891" s="81"/>
      <c r="AC891" s="83"/>
      <c r="AD891" s="83"/>
      <c r="AE891" s="83"/>
      <c r="AF891" s="62"/>
      <c r="AG891" s="92"/>
      <c r="AH891" s="92"/>
      <c r="AI891" s="10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3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3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3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3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3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3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3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3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3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3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3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3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3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9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3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3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3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3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3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3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3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3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3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3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3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3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3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3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3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3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3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93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3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3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3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3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3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3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3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3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3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3"/>
      <c r="P912" s="67"/>
      <c r="Q912" s="93"/>
      <c r="R912" s="93"/>
      <c r="S912" s="60"/>
      <c r="T912" s="62"/>
      <c r="U912" s="62"/>
      <c r="V912" s="62"/>
      <c r="W912" s="61"/>
      <c r="X912" s="62"/>
      <c r="Y912" s="62"/>
      <c r="Z912" s="66"/>
      <c r="AA912" s="93"/>
      <c r="AB912" s="67"/>
      <c r="AC912" s="93"/>
      <c r="AD912" s="93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3"/>
      <c r="P913" s="68"/>
      <c r="Q913" s="93"/>
      <c r="R913" s="93"/>
      <c r="S913" s="60"/>
      <c r="T913" s="62"/>
      <c r="U913" s="62"/>
      <c r="V913" s="62"/>
      <c r="W913" s="61"/>
      <c r="X913" s="62"/>
      <c r="Y913" s="62"/>
      <c r="Z913" s="66"/>
      <c r="AA913" s="93"/>
      <c r="AB913" s="68"/>
      <c r="AC913" s="93"/>
      <c r="AD913" s="93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3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3"/>
      <c r="P914" s="69"/>
      <c r="Q914" s="93"/>
      <c r="R914" s="62"/>
      <c r="S914" s="60"/>
      <c r="T914" s="62"/>
      <c r="U914" s="62"/>
      <c r="V914" s="62"/>
      <c r="W914" s="61"/>
      <c r="X914" s="62"/>
      <c r="Y914" s="62"/>
      <c r="Z914" s="66"/>
      <c r="AA914" s="93"/>
      <c r="AB914" s="69"/>
      <c r="AC914" s="93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3"/>
      <c r="P915" s="69"/>
      <c r="Q915" s="93"/>
      <c r="R915" s="93"/>
      <c r="S915" s="60"/>
      <c r="T915" s="62"/>
      <c r="U915" s="62"/>
      <c r="V915" s="62"/>
      <c r="W915" s="61"/>
      <c r="X915" s="62"/>
      <c r="Y915" s="62"/>
      <c r="Z915" s="66"/>
      <c r="AA915" s="93"/>
      <c r="AB915" s="69"/>
      <c r="AC915" s="93"/>
      <c r="AD915" s="93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3"/>
      <c r="P916" s="69"/>
      <c r="Q916" s="93"/>
      <c r="R916" s="93"/>
      <c r="S916" s="60"/>
      <c r="T916" s="62"/>
      <c r="U916" s="62"/>
      <c r="V916" s="62"/>
      <c r="W916" s="61"/>
      <c r="X916" s="62"/>
      <c r="Y916" s="62"/>
      <c r="Z916" s="66"/>
      <c r="AA916" s="93"/>
      <c r="AB916" s="69"/>
      <c r="AC916" s="93"/>
      <c r="AD916" s="93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9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3"/>
      <c r="P917" s="69"/>
      <c r="Q917" s="93"/>
      <c r="R917" s="93"/>
      <c r="S917" s="60"/>
      <c r="T917" s="62"/>
      <c r="U917" s="62"/>
      <c r="V917" s="62"/>
      <c r="W917" s="61"/>
      <c r="X917" s="62"/>
      <c r="Y917" s="62"/>
      <c r="Z917" s="66"/>
      <c r="AA917" s="93"/>
      <c r="AB917" s="69"/>
      <c r="AC917" s="93"/>
      <c r="AD917" s="93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3"/>
      <c r="P918" s="69"/>
      <c r="Q918" s="93"/>
      <c r="R918" s="93"/>
      <c r="S918" s="60"/>
      <c r="T918" s="62"/>
      <c r="U918" s="62"/>
      <c r="V918" s="62"/>
      <c r="W918" s="61"/>
      <c r="X918" s="62"/>
      <c r="Y918" s="62"/>
      <c r="Z918" s="66"/>
      <c r="AA918" s="93"/>
      <c r="AB918" s="69"/>
      <c r="AC918" s="93"/>
      <c r="AD918" s="93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3"/>
      <c r="P919" s="69"/>
      <c r="Q919" s="93"/>
      <c r="R919" s="93"/>
      <c r="S919" s="60"/>
      <c r="T919" s="62"/>
      <c r="U919" s="62"/>
      <c r="V919" s="62"/>
      <c r="W919" s="61"/>
      <c r="X919" s="62"/>
      <c r="Y919" s="62"/>
      <c r="Z919" s="66"/>
      <c r="AA919" s="93"/>
      <c r="AB919" s="69"/>
      <c r="AC919" s="93"/>
      <c r="AD919" s="93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3"/>
      <c r="P920" s="69"/>
      <c r="Q920" s="93"/>
      <c r="R920" s="93"/>
      <c r="S920" s="60"/>
      <c r="T920" s="62"/>
      <c r="U920" s="62"/>
      <c r="V920" s="62"/>
      <c r="W920" s="61"/>
      <c r="X920" s="62"/>
      <c r="Y920" s="62"/>
      <c r="Z920" s="66"/>
      <c r="AA920" s="93"/>
      <c r="AB920" s="69"/>
      <c r="AC920" s="93"/>
      <c r="AD920" s="93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3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5"/>
      <c r="P921" s="69"/>
      <c r="Q921" s="93"/>
      <c r="R921" s="93"/>
      <c r="S921" s="60"/>
      <c r="T921" s="62"/>
      <c r="U921" s="62"/>
      <c r="V921" s="62"/>
      <c r="W921" s="61"/>
      <c r="X921" s="62"/>
      <c r="Y921" s="62"/>
      <c r="Z921" s="66"/>
      <c r="AA921" s="93"/>
      <c r="AB921" s="69"/>
      <c r="AC921" s="93"/>
      <c r="AD921" s="93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62"/>
      <c r="P922" s="69"/>
      <c r="Q922" s="93"/>
      <c r="R922" s="93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3"/>
      <c r="AD922" s="93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3"/>
      <c r="P923" s="69"/>
      <c r="Q923" s="93"/>
      <c r="R923" s="93"/>
      <c r="S923" s="60"/>
      <c r="T923" s="62"/>
      <c r="U923" s="62"/>
      <c r="V923" s="62"/>
      <c r="W923" s="61"/>
      <c r="X923" s="62"/>
      <c r="Y923" s="62"/>
      <c r="Z923" s="66"/>
      <c r="AA923" s="93"/>
      <c r="AB923" s="69"/>
      <c r="AC923" s="93"/>
      <c r="AD923" s="93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3"/>
      <c r="P924" s="69"/>
      <c r="Q924" s="93"/>
      <c r="R924" s="93"/>
      <c r="S924" s="60"/>
      <c r="T924" s="62"/>
      <c r="U924" s="62"/>
      <c r="V924" s="62"/>
      <c r="W924" s="61"/>
      <c r="X924" s="62"/>
      <c r="Y924" s="62"/>
      <c r="Z924" s="66"/>
      <c r="AA924" s="93"/>
      <c r="AB924" s="69"/>
      <c r="AC924" s="93"/>
      <c r="AD924" s="93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62"/>
      <c r="P925" s="69"/>
      <c r="Q925" s="93"/>
      <c r="R925" s="93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3"/>
      <c r="AD925" s="93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3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3"/>
      <c r="P926" s="69"/>
      <c r="Q926" s="93"/>
      <c r="R926" s="93"/>
      <c r="S926" s="60"/>
      <c r="T926" s="62"/>
      <c r="U926" s="62"/>
      <c r="V926" s="62"/>
      <c r="W926" s="61"/>
      <c r="X926" s="62"/>
      <c r="Y926" s="62"/>
      <c r="Z926" s="66"/>
      <c r="AA926" s="93"/>
      <c r="AB926" s="69"/>
      <c r="AC926" s="93"/>
      <c r="AD926" s="93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3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3"/>
      <c r="P927" s="69"/>
      <c r="Q927" s="93"/>
      <c r="R927" s="93"/>
      <c r="S927" s="60"/>
      <c r="T927" s="62"/>
      <c r="U927" s="62"/>
      <c r="V927" s="62"/>
      <c r="W927" s="61"/>
      <c r="X927" s="62"/>
      <c r="Y927" s="62"/>
      <c r="Z927" s="66"/>
      <c r="AA927" s="93"/>
      <c r="AB927" s="69"/>
      <c r="AC927" s="93"/>
      <c r="AD927" s="93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3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3"/>
      <c r="R928" s="93"/>
      <c r="S928" s="60"/>
      <c r="T928" s="62"/>
      <c r="U928" s="62"/>
      <c r="V928" s="62"/>
      <c r="W928" s="61"/>
      <c r="X928" s="62"/>
      <c r="Y928" s="62"/>
      <c r="Z928" s="66"/>
      <c r="AA928" s="93"/>
      <c r="AB928" s="69"/>
      <c r="AC928" s="93"/>
      <c r="AD928" s="93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3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3"/>
      <c r="P929" s="69"/>
      <c r="Q929" s="93"/>
      <c r="R929" s="93"/>
      <c r="S929" s="60"/>
      <c r="T929" s="62"/>
      <c r="U929" s="62"/>
      <c r="V929" s="62"/>
      <c r="W929" s="61"/>
      <c r="X929" s="62"/>
      <c r="Y929" s="62"/>
      <c r="Z929" s="66"/>
      <c r="AA929" s="93"/>
      <c r="AB929" s="69"/>
      <c r="AC929" s="93"/>
      <c r="AD929" s="93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3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3"/>
      <c r="P930" s="69"/>
      <c r="Q930" s="93"/>
      <c r="R930" s="93"/>
      <c r="S930" s="60"/>
      <c r="T930" s="62"/>
      <c r="U930" s="62"/>
      <c r="V930" s="62"/>
      <c r="W930" s="61"/>
      <c r="X930" s="62"/>
      <c r="Y930" s="62"/>
      <c r="Z930" s="66"/>
      <c r="AA930" s="93"/>
      <c r="AB930" s="69"/>
      <c r="AC930" s="93"/>
      <c r="AD930" s="93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3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3"/>
      <c r="R931" s="93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3"/>
      <c r="AD931" s="93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3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3"/>
      <c r="P932" s="69"/>
      <c r="Q932" s="93"/>
      <c r="R932" s="93"/>
      <c r="S932" s="60"/>
      <c r="T932" s="62"/>
      <c r="U932" s="62"/>
      <c r="V932" s="62"/>
      <c r="W932" s="61"/>
      <c r="X932" s="62"/>
      <c r="Y932" s="62"/>
      <c r="Z932" s="66"/>
      <c r="AA932" s="93"/>
      <c r="AB932" s="69"/>
      <c r="AC932" s="93"/>
      <c r="AD932" s="93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3"/>
      <c r="O933" s="93"/>
      <c r="P933" s="93"/>
      <c r="Q933" s="93"/>
      <c r="R933" s="93"/>
      <c r="S933" s="93"/>
      <c r="T933" s="62"/>
      <c r="U933" s="62"/>
      <c r="V933" s="62"/>
      <c r="W933" s="61"/>
      <c r="X933" s="62"/>
      <c r="Y933" s="62"/>
      <c r="Z933" s="93"/>
      <c r="AA933" s="93"/>
      <c r="AB933" s="93"/>
      <c r="AC933" s="93"/>
      <c r="AD933" s="93"/>
      <c r="AE933" s="93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3"/>
      <c r="C934" s="93"/>
      <c r="D934" s="93"/>
      <c r="E934" s="93"/>
      <c r="F934" s="93"/>
      <c r="G934" s="93"/>
      <c r="H934" s="62"/>
      <c r="I934" s="62"/>
      <c r="J934" s="62"/>
      <c r="K934" s="62"/>
      <c r="L934" s="62"/>
      <c r="M934" s="62"/>
      <c r="N934" s="93"/>
      <c r="O934" s="93"/>
      <c r="P934" s="93"/>
      <c r="Q934" s="93"/>
      <c r="R934" s="93"/>
      <c r="S934" s="93"/>
      <c r="T934" s="62"/>
      <c r="U934" s="62"/>
      <c r="V934" s="62"/>
      <c r="W934" s="62"/>
      <c r="X934" s="62"/>
      <c r="Y934" s="62"/>
      <c r="Z934" s="93"/>
      <c r="AA934" s="93"/>
      <c r="AB934" s="93"/>
      <c r="AC934" s="93"/>
      <c r="AD934" s="93"/>
      <c r="AE934" s="93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3"/>
      <c r="C935" s="93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3"/>
      <c r="O935" s="93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3"/>
      <c r="AA935" s="93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3"/>
      <c r="C937" s="93"/>
      <c r="D937" s="93"/>
      <c r="E937" s="93"/>
      <c r="F937" s="93"/>
      <c r="G937" s="93"/>
      <c r="H937" s="62"/>
      <c r="I937" s="62"/>
      <c r="J937" s="62"/>
      <c r="K937" s="62"/>
      <c r="L937" s="62"/>
      <c r="M937" s="62"/>
      <c r="N937" s="93"/>
      <c r="O937" s="93"/>
      <c r="P937" s="93"/>
      <c r="Q937" s="93"/>
      <c r="R937" s="93"/>
      <c r="S937" s="93"/>
      <c r="T937" s="62"/>
      <c r="U937" s="62"/>
      <c r="V937" s="62"/>
      <c r="W937" s="62"/>
      <c r="X937" s="62"/>
      <c r="Y937" s="62"/>
      <c r="Z937" s="93"/>
      <c r="AA937" s="93"/>
      <c r="AB937" s="93"/>
      <c r="AC937" s="93"/>
      <c r="AD937" s="93"/>
      <c r="AE937" s="93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3"/>
      <c r="C938" s="93"/>
      <c r="D938" s="93"/>
      <c r="E938" s="93"/>
      <c r="F938" s="93"/>
      <c r="G938" s="93"/>
      <c r="H938" s="62"/>
      <c r="I938" s="62"/>
      <c r="J938" s="62"/>
      <c r="K938" s="62"/>
      <c r="L938" s="62"/>
      <c r="M938" s="62"/>
      <c r="N938" s="93"/>
      <c r="O938" s="93"/>
      <c r="P938" s="93"/>
      <c r="Q938" s="93"/>
      <c r="R938" s="93"/>
      <c r="S938" s="93"/>
      <c r="T938" s="62"/>
      <c r="U938" s="62"/>
      <c r="V938" s="62"/>
      <c r="W938" s="62"/>
      <c r="X938" s="62"/>
      <c r="Y938" s="62"/>
      <c r="Z938" s="93"/>
      <c r="AA938" s="93"/>
      <c r="AB938" s="93"/>
      <c r="AC938" s="93"/>
      <c r="AD938" s="93"/>
      <c r="AE938" s="93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3"/>
      <c r="C939" s="93"/>
      <c r="D939" s="93"/>
      <c r="E939" s="93"/>
      <c r="F939" s="93"/>
      <c r="G939" s="93"/>
      <c r="H939" s="62"/>
      <c r="I939" s="62"/>
      <c r="J939" s="62"/>
      <c r="K939" s="62"/>
      <c r="L939" s="62"/>
      <c r="M939" s="62"/>
      <c r="N939" s="93"/>
      <c r="O939" s="93"/>
      <c r="P939" s="93"/>
      <c r="Q939" s="93"/>
      <c r="R939" s="93"/>
      <c r="S939" s="93"/>
      <c r="T939" s="62"/>
      <c r="U939" s="62"/>
      <c r="V939" s="62"/>
      <c r="W939" s="62"/>
      <c r="X939" s="62"/>
      <c r="Y939" s="62"/>
      <c r="Z939" s="93"/>
      <c r="AA939" s="93"/>
      <c r="AB939" s="93"/>
      <c r="AC939" s="93"/>
      <c r="AD939" s="93"/>
      <c r="AE939" s="93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3"/>
      <c r="C940" s="93"/>
      <c r="D940" s="93"/>
      <c r="E940" s="93"/>
      <c r="F940" s="93"/>
      <c r="G940" s="93"/>
      <c r="H940" s="62"/>
      <c r="I940" s="62"/>
      <c r="J940" s="62"/>
      <c r="K940" s="62"/>
      <c r="L940" s="62"/>
      <c r="M940" s="63"/>
      <c r="N940" s="93"/>
      <c r="O940" s="93"/>
      <c r="P940" s="93"/>
      <c r="Q940" s="93"/>
      <c r="R940" s="93"/>
      <c r="S940" s="93"/>
      <c r="T940" s="62"/>
      <c r="U940" s="62"/>
      <c r="V940" s="62"/>
      <c r="W940" s="62"/>
      <c r="X940" s="62"/>
      <c r="Y940" s="63"/>
      <c r="Z940" s="93"/>
      <c r="AA940" s="93"/>
      <c r="AB940" s="93"/>
      <c r="AC940" s="93"/>
      <c r="AD940" s="93"/>
      <c r="AE940" s="93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3"/>
      <c r="C941" s="93"/>
      <c r="D941" s="93"/>
      <c r="E941" s="93"/>
      <c r="F941" s="93"/>
      <c r="G941" s="93"/>
      <c r="H941" s="62"/>
      <c r="I941" s="62"/>
      <c r="J941" s="62"/>
      <c r="K941" s="62"/>
      <c r="L941" s="62"/>
      <c r="M941" s="62"/>
      <c r="N941" s="93"/>
      <c r="O941" s="93"/>
      <c r="P941" s="93"/>
      <c r="Q941" s="93"/>
      <c r="R941" s="93"/>
      <c r="S941" s="93"/>
      <c r="T941" s="62"/>
      <c r="U941" s="62"/>
      <c r="V941" s="62"/>
      <c r="W941" s="62"/>
      <c r="X941" s="62"/>
      <c r="Y941" s="62"/>
      <c r="Z941" s="93"/>
      <c r="AA941" s="93"/>
      <c r="AB941" s="93"/>
      <c r="AC941" s="93"/>
      <c r="AD941" s="93"/>
      <c r="AE941" s="93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3"/>
      <c r="C942" s="93"/>
      <c r="D942" s="93"/>
      <c r="E942" s="93"/>
      <c r="F942" s="93"/>
      <c r="G942" s="93"/>
      <c r="H942" s="62"/>
      <c r="I942" s="93"/>
      <c r="J942" s="74"/>
      <c r="K942" s="62"/>
      <c r="L942" s="62"/>
      <c r="M942" s="62"/>
      <c r="N942" s="93"/>
      <c r="O942" s="93"/>
      <c r="P942" s="93"/>
      <c r="Q942" s="93"/>
      <c r="R942" s="93"/>
      <c r="S942" s="93"/>
      <c r="T942" s="62"/>
      <c r="U942" s="93"/>
      <c r="V942" s="74"/>
      <c r="W942" s="62"/>
      <c r="X942" s="62"/>
      <c r="Y942" s="62"/>
      <c r="Z942" s="93"/>
      <c r="AA942" s="93"/>
      <c r="AB942" s="93"/>
      <c r="AC942" s="93"/>
      <c r="AD942" s="93"/>
      <c r="AE942" s="93"/>
      <c r="AF942" s="62"/>
      <c r="AG942" s="93"/>
      <c r="AH942" s="7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3"/>
      <c r="C943" s="93"/>
      <c r="D943" s="93"/>
      <c r="E943" s="93"/>
      <c r="F943" s="93"/>
      <c r="G943" s="93"/>
      <c r="H943" s="62"/>
      <c r="I943" s="65"/>
      <c r="J943" s="65"/>
      <c r="K943" s="62"/>
      <c r="L943" s="62"/>
      <c r="M943" s="64"/>
      <c r="N943" s="93"/>
      <c r="O943" s="93"/>
      <c r="P943" s="93"/>
      <c r="Q943" s="93"/>
      <c r="R943" s="93"/>
      <c r="S943" s="93"/>
      <c r="T943" s="62"/>
      <c r="U943" s="65"/>
      <c r="V943" s="65"/>
      <c r="W943" s="62"/>
      <c r="X943" s="62"/>
      <c r="Y943" s="64"/>
      <c r="Z943" s="93"/>
      <c r="AA943" s="93"/>
      <c r="AB943" s="93"/>
      <c r="AC943" s="93"/>
      <c r="AD943" s="93"/>
      <c r="AE943" s="93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3"/>
      <c r="C944" s="93"/>
      <c r="D944" s="93"/>
      <c r="E944" s="93"/>
      <c r="F944" s="93"/>
      <c r="G944" s="93"/>
      <c r="H944" s="62"/>
      <c r="I944" s="62"/>
      <c r="J944" s="62"/>
      <c r="K944" s="62"/>
      <c r="L944" s="62"/>
      <c r="M944" s="62"/>
      <c r="N944" s="93"/>
      <c r="O944" s="93"/>
      <c r="P944" s="93"/>
      <c r="Q944" s="93"/>
      <c r="R944" s="93"/>
      <c r="S944" s="93"/>
      <c r="T944" s="62"/>
      <c r="U944" s="62"/>
      <c r="V944" s="62"/>
      <c r="W944" s="62"/>
      <c r="X944" s="62"/>
      <c r="Y944" s="62"/>
      <c r="Z944" s="93"/>
      <c r="AA944" s="93"/>
      <c r="AB944" s="93"/>
      <c r="AC944" s="93"/>
      <c r="AD944" s="93"/>
      <c r="AE944" s="93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3"/>
      <c r="D945" s="106"/>
      <c r="E945" s="106"/>
      <c r="F945" s="93"/>
      <c r="G945" s="93"/>
      <c r="H945" s="62"/>
      <c r="I945" s="106"/>
      <c r="J945" s="106"/>
      <c r="K945" s="105"/>
      <c r="L945" s="62"/>
      <c r="M945" s="62"/>
      <c r="N945" s="65"/>
      <c r="O945" s="93"/>
      <c r="P945" s="106"/>
      <c r="Q945" s="106"/>
      <c r="R945" s="93"/>
      <c r="S945" s="93"/>
      <c r="T945" s="62"/>
      <c r="U945" s="106"/>
      <c r="V945" s="106"/>
      <c r="W945" s="105"/>
      <c r="X945" s="62"/>
      <c r="Y945" s="62"/>
      <c r="Z945" s="65"/>
      <c r="AA945" s="93"/>
      <c r="AB945" s="106"/>
      <c r="AC945" s="106"/>
      <c r="AD945" s="93"/>
      <c r="AE945" s="93"/>
      <c r="AF945" s="62"/>
      <c r="AG945" s="106"/>
      <c r="AH945" s="106"/>
      <c r="AI945" s="105"/>
      <c r="AJ945" s="62"/>
      <c r="AK945" s="62"/>
      <c r="AL945" s="65"/>
      <c r="AM945" s="87"/>
      <c r="AN945" s="106"/>
      <c r="AO945" s="106"/>
      <c r="AP945" s="87"/>
      <c r="AQ945" s="84"/>
      <c r="AR945" s="62"/>
      <c r="AS945" s="106"/>
      <c r="AT945" s="106"/>
      <c r="AU945" s="105"/>
      <c r="AV945" s="62"/>
      <c r="AW945" s="62"/>
      <c r="AX945" s="62"/>
      <c r="AY945" s="62"/>
      <c r="AZ945" s="62"/>
    </row>
    <row r="946" spans="1:52" x14ac:dyDescent="0.25">
      <c r="A946" s="62"/>
      <c r="B946" s="93"/>
      <c r="C946" s="93"/>
      <c r="D946" s="81"/>
      <c r="E946" s="82"/>
      <c r="F946" s="83"/>
      <c r="G946" s="83"/>
      <c r="H946" s="62"/>
      <c r="I946" s="92"/>
      <c r="J946" s="92"/>
      <c r="K946" s="105"/>
      <c r="L946" s="62"/>
      <c r="M946" s="62"/>
      <c r="N946" s="93"/>
      <c r="O946" s="93"/>
      <c r="P946" s="81"/>
      <c r="Q946" s="83"/>
      <c r="R946" s="83"/>
      <c r="S946" s="83"/>
      <c r="T946" s="62"/>
      <c r="U946" s="92"/>
      <c r="V946" s="92"/>
      <c r="W946" s="105"/>
      <c r="X946" s="62"/>
      <c r="Y946" s="62"/>
      <c r="Z946" s="93"/>
      <c r="AA946" s="93"/>
      <c r="AB946" s="81"/>
      <c r="AC946" s="83"/>
      <c r="AD946" s="83"/>
      <c r="AE946" s="83"/>
      <c r="AF946" s="62"/>
      <c r="AG946" s="92"/>
      <c r="AH946" s="92"/>
      <c r="AI946" s="105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3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3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3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3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3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3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3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3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3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65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3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3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3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3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3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3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3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3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3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3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93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9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3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3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3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3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65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62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3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3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3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3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3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93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3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3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3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3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3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3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3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3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3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93"/>
      <c r="P967" s="67"/>
      <c r="Q967" s="93"/>
      <c r="R967" s="93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93"/>
      <c r="AD967" s="93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3"/>
      <c r="P968" s="68"/>
      <c r="Q968" s="93"/>
      <c r="R968" s="93"/>
      <c r="S968" s="60"/>
      <c r="T968" s="62"/>
      <c r="U968" s="62"/>
      <c r="V968" s="62"/>
      <c r="W968" s="61"/>
      <c r="X968" s="62"/>
      <c r="Y968" s="62"/>
      <c r="Z968" s="66"/>
      <c r="AA968" s="93"/>
      <c r="AB968" s="68"/>
      <c r="AC968" s="93"/>
      <c r="AD968" s="93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3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3"/>
      <c r="P969" s="69"/>
      <c r="Q969" s="93"/>
      <c r="R969" s="62"/>
      <c r="S969" s="60"/>
      <c r="T969" s="62"/>
      <c r="U969" s="62"/>
      <c r="V969" s="62"/>
      <c r="W969" s="61"/>
      <c r="X969" s="62"/>
      <c r="Y969" s="62"/>
      <c r="Z969" s="66"/>
      <c r="AA969" s="93"/>
      <c r="AB969" s="69"/>
      <c r="AC969" s="93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3"/>
      <c r="P970" s="69"/>
      <c r="Q970" s="93"/>
      <c r="R970" s="93"/>
      <c r="S970" s="60"/>
      <c r="T970" s="62"/>
      <c r="U970" s="62"/>
      <c r="V970" s="62"/>
      <c r="W970" s="61"/>
      <c r="X970" s="62"/>
      <c r="Y970" s="62"/>
      <c r="Z970" s="66"/>
      <c r="AA970" s="93"/>
      <c r="AB970" s="69"/>
      <c r="AC970" s="93"/>
      <c r="AD970" s="93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93"/>
      <c r="P971" s="69"/>
      <c r="Q971" s="93"/>
      <c r="R971" s="93"/>
      <c r="S971" s="60"/>
      <c r="T971" s="62"/>
      <c r="U971" s="62"/>
      <c r="V971" s="62"/>
      <c r="W971" s="61"/>
      <c r="X971" s="62"/>
      <c r="Y971" s="62"/>
      <c r="Z971" s="66"/>
      <c r="AA971" s="93"/>
      <c r="AB971" s="69"/>
      <c r="AC971" s="93"/>
      <c r="AD971" s="93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9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93"/>
      <c r="P972" s="69"/>
      <c r="Q972" s="93"/>
      <c r="R972" s="93"/>
      <c r="S972" s="60"/>
      <c r="T972" s="62"/>
      <c r="U972" s="62"/>
      <c r="V972" s="62"/>
      <c r="W972" s="61"/>
      <c r="X972" s="62"/>
      <c r="Y972" s="62"/>
      <c r="Z972" s="66"/>
      <c r="AA972" s="93"/>
      <c r="AB972" s="69"/>
      <c r="AC972" s="93"/>
      <c r="AD972" s="93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3"/>
      <c r="P973" s="69"/>
      <c r="Q973" s="93"/>
      <c r="R973" s="93"/>
      <c r="S973" s="60"/>
      <c r="T973" s="62"/>
      <c r="U973" s="62"/>
      <c r="V973" s="62"/>
      <c r="W973" s="61"/>
      <c r="X973" s="62"/>
      <c r="Y973" s="62"/>
      <c r="Z973" s="66"/>
      <c r="AA973" s="93"/>
      <c r="AB973" s="69"/>
      <c r="AC973" s="93"/>
      <c r="AD973" s="93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3"/>
      <c r="P974" s="69"/>
      <c r="Q974" s="93"/>
      <c r="R974" s="93"/>
      <c r="S974" s="60"/>
      <c r="T974" s="62"/>
      <c r="U974" s="62"/>
      <c r="V974" s="62"/>
      <c r="W974" s="61"/>
      <c r="X974" s="62"/>
      <c r="Y974" s="62"/>
      <c r="Z974" s="66"/>
      <c r="AA974" s="93"/>
      <c r="AB974" s="69"/>
      <c r="AC974" s="93"/>
      <c r="AD974" s="93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93"/>
      <c r="P975" s="69"/>
      <c r="Q975" s="93"/>
      <c r="R975" s="93"/>
      <c r="S975" s="60"/>
      <c r="T975" s="62"/>
      <c r="U975" s="62"/>
      <c r="V975" s="62"/>
      <c r="W975" s="61"/>
      <c r="X975" s="62"/>
      <c r="Y975" s="62"/>
      <c r="Z975" s="66"/>
      <c r="AA975" s="93"/>
      <c r="AB975" s="69"/>
      <c r="AC975" s="93"/>
      <c r="AD975" s="93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3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3"/>
      <c r="R976" s="93"/>
      <c r="S976" s="60"/>
      <c r="T976" s="62"/>
      <c r="U976" s="62"/>
      <c r="V976" s="62"/>
      <c r="W976" s="61"/>
      <c r="X976" s="62"/>
      <c r="Y976" s="62"/>
      <c r="Z976" s="66"/>
      <c r="AA976" s="93"/>
      <c r="AB976" s="69"/>
      <c r="AC976" s="93"/>
      <c r="AD976" s="93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62"/>
      <c r="P977" s="69"/>
      <c r="Q977" s="93"/>
      <c r="R977" s="93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3"/>
      <c r="AD977" s="93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93"/>
      <c r="P978" s="69"/>
      <c r="Q978" s="93"/>
      <c r="R978" s="93"/>
      <c r="S978" s="60"/>
      <c r="T978" s="62"/>
      <c r="U978" s="62"/>
      <c r="V978" s="62"/>
      <c r="W978" s="61"/>
      <c r="X978" s="62"/>
      <c r="Y978" s="62"/>
      <c r="Z978" s="66"/>
      <c r="AA978" s="93"/>
      <c r="AB978" s="69"/>
      <c r="AC978" s="93"/>
      <c r="AD978" s="93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3"/>
      <c r="P979" s="69"/>
      <c r="Q979" s="93"/>
      <c r="R979" s="93"/>
      <c r="S979" s="60"/>
      <c r="T979" s="62"/>
      <c r="U979" s="62"/>
      <c r="V979" s="62"/>
      <c r="W979" s="61"/>
      <c r="X979" s="62"/>
      <c r="Y979" s="62"/>
      <c r="Z979" s="66"/>
      <c r="AA979" s="93"/>
      <c r="AB979" s="69"/>
      <c r="AC979" s="93"/>
      <c r="AD979" s="93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62"/>
      <c r="P980" s="69"/>
      <c r="Q980" s="93"/>
      <c r="R980" s="93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3"/>
      <c r="AD980" s="93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3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3"/>
      <c r="P981" s="69"/>
      <c r="Q981" s="93"/>
      <c r="R981" s="93"/>
      <c r="S981" s="60"/>
      <c r="T981" s="62"/>
      <c r="U981" s="62"/>
      <c r="V981" s="62"/>
      <c r="W981" s="61"/>
      <c r="X981" s="62"/>
      <c r="Y981" s="62"/>
      <c r="Z981" s="66"/>
      <c r="AA981" s="93"/>
      <c r="AB981" s="69"/>
      <c r="AC981" s="93"/>
      <c r="AD981" s="93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3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3"/>
      <c r="P982" s="69"/>
      <c r="Q982" s="93"/>
      <c r="R982" s="93"/>
      <c r="S982" s="60"/>
      <c r="T982" s="62"/>
      <c r="U982" s="62"/>
      <c r="V982" s="62"/>
      <c r="W982" s="61"/>
      <c r="X982" s="62"/>
      <c r="Y982" s="62"/>
      <c r="Z982" s="66"/>
      <c r="AA982" s="93"/>
      <c r="AB982" s="69"/>
      <c r="AC982" s="93"/>
      <c r="AD982" s="93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3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3"/>
      <c r="R983" s="93"/>
      <c r="S983" s="60"/>
      <c r="T983" s="62"/>
      <c r="U983" s="62"/>
      <c r="V983" s="62"/>
      <c r="W983" s="61"/>
      <c r="X983" s="62"/>
      <c r="Y983" s="62"/>
      <c r="Z983" s="66"/>
      <c r="AA983" s="93"/>
      <c r="AB983" s="69"/>
      <c r="AC983" s="93"/>
      <c r="AD983" s="93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3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3"/>
      <c r="P984" s="69"/>
      <c r="Q984" s="93"/>
      <c r="R984" s="93"/>
      <c r="S984" s="60"/>
      <c r="T984" s="62"/>
      <c r="U984" s="62"/>
      <c r="V984" s="62"/>
      <c r="W984" s="61"/>
      <c r="X984" s="62"/>
      <c r="Y984" s="62"/>
      <c r="Z984" s="66"/>
      <c r="AA984" s="93"/>
      <c r="AB984" s="69"/>
      <c r="AC984" s="93"/>
      <c r="AD984" s="93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3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3"/>
      <c r="P985" s="69"/>
      <c r="Q985" s="93"/>
      <c r="R985" s="93"/>
      <c r="S985" s="60"/>
      <c r="T985" s="62"/>
      <c r="U985" s="62"/>
      <c r="V985" s="62"/>
      <c r="W985" s="61"/>
      <c r="X985" s="62"/>
      <c r="Y985" s="62"/>
      <c r="Z985" s="66"/>
      <c r="AA985" s="93"/>
      <c r="AB985" s="69"/>
      <c r="AC985" s="93"/>
      <c r="AD985" s="93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3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3"/>
      <c r="R986" s="93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3"/>
      <c r="AD986" s="93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3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3"/>
      <c r="P987" s="69"/>
      <c r="Q987" s="93"/>
      <c r="R987" s="93"/>
      <c r="S987" s="60"/>
      <c r="T987" s="62"/>
      <c r="U987" s="62"/>
      <c r="V987" s="62"/>
      <c r="W987" s="61"/>
      <c r="X987" s="62"/>
      <c r="Y987" s="62"/>
      <c r="Z987" s="66"/>
      <c r="AA987" s="93"/>
      <c r="AB987" s="69"/>
      <c r="AC987" s="93"/>
      <c r="AD987" s="93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3"/>
      <c r="O988" s="93"/>
      <c r="P988" s="93"/>
      <c r="Q988" s="93"/>
      <c r="R988" s="93"/>
      <c r="S988" s="93"/>
      <c r="T988" s="62"/>
      <c r="U988" s="62"/>
      <c r="V988" s="62"/>
      <c r="W988" s="61"/>
      <c r="X988" s="62"/>
      <c r="Y988" s="62"/>
      <c r="Z988" s="93"/>
      <c r="AA988" s="93"/>
      <c r="AB988" s="93"/>
      <c r="AC988" s="93"/>
      <c r="AD988" s="93"/>
      <c r="AE988" s="93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3"/>
      <c r="C989" s="93"/>
      <c r="D989" s="93"/>
      <c r="E989" s="93"/>
      <c r="F989" s="93"/>
      <c r="G989" s="93"/>
      <c r="H989" s="62"/>
      <c r="I989" s="62"/>
      <c r="J989" s="62"/>
      <c r="K989" s="62"/>
      <c r="L989" s="62"/>
      <c r="M989" s="62"/>
      <c r="N989" s="93"/>
      <c r="O989" s="93"/>
      <c r="P989" s="93"/>
      <c r="Q989" s="93"/>
      <c r="R989" s="93"/>
      <c r="S989" s="93"/>
      <c r="T989" s="62"/>
      <c r="U989" s="62"/>
      <c r="V989" s="62"/>
      <c r="W989" s="62"/>
      <c r="X989" s="62"/>
      <c r="Y989" s="62"/>
      <c r="Z989" s="93"/>
      <c r="AA989" s="93"/>
      <c r="AB989" s="93"/>
      <c r="AC989" s="93"/>
      <c r="AD989" s="93"/>
      <c r="AE989" s="93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3"/>
      <c r="C990" s="93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3"/>
      <c r="O990" s="93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3"/>
      <c r="AA990" s="93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3"/>
      <c r="C992" s="93"/>
      <c r="D992" s="93"/>
      <c r="E992" s="93"/>
      <c r="F992" s="93"/>
      <c r="G992" s="93"/>
      <c r="H992" s="62"/>
      <c r="I992" s="62"/>
      <c r="J992" s="62"/>
      <c r="K992" s="62"/>
      <c r="L992" s="62"/>
      <c r="M992" s="62"/>
      <c r="N992" s="93"/>
      <c r="O992" s="93"/>
      <c r="P992" s="93"/>
      <c r="Q992" s="93"/>
      <c r="R992" s="93"/>
      <c r="S992" s="93"/>
      <c r="T992" s="62"/>
      <c r="U992" s="62"/>
      <c r="V992" s="62"/>
      <c r="W992" s="62"/>
      <c r="X992" s="62"/>
      <c r="Y992" s="62"/>
      <c r="Z992" s="93"/>
      <c r="AA992" s="93"/>
      <c r="AB992" s="93"/>
      <c r="AC992" s="93"/>
      <c r="AD992" s="93"/>
      <c r="AE992" s="93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3"/>
      <c r="C993" s="93"/>
      <c r="D993" s="93"/>
      <c r="E993" s="93"/>
      <c r="F993" s="93"/>
      <c r="G993" s="93"/>
      <c r="H993" s="62"/>
      <c r="I993" s="62"/>
      <c r="J993" s="62"/>
      <c r="K993" s="62"/>
      <c r="L993" s="62"/>
      <c r="M993" s="62"/>
      <c r="N993" s="93"/>
      <c r="O993" s="93"/>
      <c r="P993" s="93"/>
      <c r="Q993" s="93"/>
      <c r="R993" s="93"/>
      <c r="S993" s="93"/>
      <c r="T993" s="62"/>
      <c r="U993" s="62"/>
      <c r="V993" s="62"/>
      <c r="W993" s="62"/>
      <c r="X993" s="62"/>
      <c r="Y993" s="62"/>
      <c r="Z993" s="93"/>
      <c r="AA993" s="93"/>
      <c r="AB993" s="93"/>
      <c r="AC993" s="93"/>
      <c r="AD993" s="93"/>
      <c r="AE993" s="93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3"/>
      <c r="C994" s="93"/>
      <c r="D994" s="93"/>
      <c r="E994" s="93"/>
      <c r="F994" s="93"/>
      <c r="G994" s="93"/>
      <c r="H994" s="62"/>
      <c r="I994" s="62"/>
      <c r="J994" s="62"/>
      <c r="K994" s="62"/>
      <c r="L994" s="62"/>
      <c r="M994" s="62"/>
      <c r="N994" s="93"/>
      <c r="O994" s="93"/>
      <c r="P994" s="93"/>
      <c r="Q994" s="93"/>
      <c r="R994" s="93"/>
      <c r="S994" s="93"/>
      <c r="T994" s="62"/>
      <c r="U994" s="62"/>
      <c r="V994" s="62"/>
      <c r="W994" s="62"/>
      <c r="X994" s="62"/>
      <c r="Y994" s="62"/>
      <c r="Z994" s="93"/>
      <c r="AA994" s="93"/>
      <c r="AB994" s="93"/>
      <c r="AC994" s="93"/>
      <c r="AD994" s="93"/>
      <c r="AE994" s="93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3"/>
      <c r="C995" s="93"/>
      <c r="D995" s="93"/>
      <c r="E995" s="93"/>
      <c r="F995" s="93"/>
      <c r="G995" s="93"/>
      <c r="H995" s="62"/>
      <c r="I995" s="62"/>
      <c r="J995" s="62"/>
      <c r="K995" s="62"/>
      <c r="L995" s="62"/>
      <c r="M995" s="63"/>
      <c r="N995" s="93"/>
      <c r="O995" s="93"/>
      <c r="P995" s="93"/>
      <c r="Q995" s="93"/>
      <c r="R995" s="93"/>
      <c r="S995" s="93"/>
      <c r="T995" s="62"/>
      <c r="U995" s="62"/>
      <c r="V995" s="62"/>
      <c r="W995" s="62"/>
      <c r="X995" s="62"/>
      <c r="Y995" s="63"/>
      <c r="Z995" s="93"/>
      <c r="AA995" s="93"/>
      <c r="AB995" s="93"/>
      <c r="AC995" s="93"/>
      <c r="AD995" s="93"/>
      <c r="AE995" s="93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3"/>
      <c r="C996" s="93"/>
      <c r="D996" s="93"/>
      <c r="E996" s="93"/>
      <c r="F996" s="93"/>
      <c r="G996" s="93"/>
      <c r="H996" s="62"/>
      <c r="I996" s="62"/>
      <c r="J996" s="62"/>
      <c r="K996" s="62"/>
      <c r="L996" s="62"/>
      <c r="M996" s="62"/>
      <c r="N996" s="93"/>
      <c r="O996" s="93"/>
      <c r="P996" s="93"/>
      <c r="Q996" s="93"/>
      <c r="R996" s="93"/>
      <c r="S996" s="93"/>
      <c r="T996" s="62"/>
      <c r="U996" s="62"/>
      <c r="V996" s="62"/>
      <c r="W996" s="62"/>
      <c r="X996" s="62"/>
      <c r="Y996" s="62"/>
      <c r="Z996" s="93"/>
      <c r="AA996" s="93"/>
      <c r="AB996" s="93"/>
      <c r="AC996" s="93"/>
      <c r="AD996" s="93"/>
      <c r="AE996" s="93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3"/>
      <c r="C997" s="93"/>
      <c r="D997" s="93"/>
      <c r="E997" s="93"/>
      <c r="F997" s="93"/>
      <c r="G997" s="93"/>
      <c r="H997" s="62"/>
      <c r="I997" s="93"/>
      <c r="J997" s="74"/>
      <c r="K997" s="62"/>
      <c r="L997" s="62"/>
      <c r="M997" s="62"/>
      <c r="N997" s="93"/>
      <c r="O997" s="93"/>
      <c r="P997" s="93"/>
      <c r="Q997" s="93"/>
      <c r="R997" s="93"/>
      <c r="S997" s="93"/>
      <c r="T997" s="62"/>
      <c r="U997" s="93"/>
      <c r="V997" s="74"/>
      <c r="W997" s="62"/>
      <c r="X997" s="62"/>
      <c r="Y997" s="62"/>
      <c r="Z997" s="93"/>
      <c r="AA997" s="93"/>
      <c r="AB997" s="93"/>
      <c r="AC997" s="93"/>
      <c r="AD997" s="93"/>
      <c r="AE997" s="93"/>
      <c r="AF997" s="62"/>
      <c r="AG997" s="93"/>
      <c r="AH997" s="7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3"/>
      <c r="C998" s="93"/>
      <c r="D998" s="93"/>
      <c r="E998" s="93"/>
      <c r="F998" s="93"/>
      <c r="G998" s="93"/>
      <c r="H998" s="62"/>
      <c r="I998" s="65"/>
      <c r="J998" s="65"/>
      <c r="K998" s="62"/>
      <c r="L998" s="62"/>
      <c r="M998" s="64"/>
      <c r="N998" s="93"/>
      <c r="O998" s="93"/>
      <c r="P998" s="93"/>
      <c r="Q998" s="93"/>
      <c r="R998" s="93"/>
      <c r="S998" s="93"/>
      <c r="T998" s="62"/>
      <c r="U998" s="65"/>
      <c r="V998" s="65"/>
      <c r="W998" s="62"/>
      <c r="X998" s="62"/>
      <c r="Y998" s="64"/>
      <c r="Z998" s="93"/>
      <c r="AA998" s="93"/>
      <c r="AB998" s="93"/>
      <c r="AC998" s="93"/>
      <c r="AD998" s="93"/>
      <c r="AE998" s="93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3"/>
      <c r="C999" s="93"/>
      <c r="D999" s="93"/>
      <c r="E999" s="93"/>
      <c r="F999" s="93"/>
      <c r="G999" s="93"/>
      <c r="H999" s="62"/>
      <c r="I999" s="62"/>
      <c r="J999" s="62"/>
      <c r="K999" s="62"/>
      <c r="L999" s="62"/>
      <c r="M999" s="62"/>
      <c r="N999" s="93"/>
      <c r="O999" s="93"/>
      <c r="P999" s="93"/>
      <c r="Q999" s="93"/>
      <c r="R999" s="93"/>
      <c r="S999" s="93"/>
      <c r="T999" s="62"/>
      <c r="U999" s="62"/>
      <c r="V999" s="62"/>
      <c r="W999" s="62"/>
      <c r="X999" s="62"/>
      <c r="Y999" s="62"/>
      <c r="Z999" s="93"/>
      <c r="AA999" s="93"/>
      <c r="AB999" s="93"/>
      <c r="AC999" s="93"/>
      <c r="AD999" s="93"/>
      <c r="AE999" s="93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3"/>
      <c r="D1000" s="106"/>
      <c r="E1000" s="106"/>
      <c r="F1000" s="93"/>
      <c r="G1000" s="93"/>
      <c r="H1000" s="62"/>
      <c r="I1000" s="106"/>
      <c r="J1000" s="106"/>
      <c r="K1000" s="105"/>
      <c r="L1000" s="62"/>
      <c r="M1000" s="62"/>
      <c r="N1000" s="65"/>
      <c r="O1000" s="93"/>
      <c r="P1000" s="106"/>
      <c r="Q1000" s="106"/>
      <c r="R1000" s="93"/>
      <c r="S1000" s="93"/>
      <c r="T1000" s="62"/>
      <c r="U1000" s="106"/>
      <c r="V1000" s="106"/>
      <c r="W1000" s="105"/>
      <c r="X1000" s="62"/>
      <c r="Y1000" s="62"/>
      <c r="Z1000" s="65"/>
      <c r="AA1000" s="93"/>
      <c r="AB1000" s="106"/>
      <c r="AC1000" s="106"/>
      <c r="AD1000" s="93"/>
      <c r="AE1000" s="93"/>
      <c r="AF1000" s="62"/>
      <c r="AG1000" s="106"/>
      <c r="AH1000" s="106"/>
      <c r="AI1000" s="10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3"/>
      <c r="C1001" s="93"/>
      <c r="D1001" s="81"/>
      <c r="E1001" s="82"/>
      <c r="F1001" s="83"/>
      <c r="G1001" s="83"/>
      <c r="H1001" s="62"/>
      <c r="I1001" s="92"/>
      <c r="J1001" s="92"/>
      <c r="K1001" s="105"/>
      <c r="L1001" s="62"/>
      <c r="M1001" s="62"/>
      <c r="N1001" s="93"/>
      <c r="O1001" s="93"/>
      <c r="P1001" s="81"/>
      <c r="Q1001" s="83"/>
      <c r="R1001" s="83"/>
      <c r="S1001" s="83"/>
      <c r="T1001" s="62"/>
      <c r="U1001" s="92"/>
      <c r="V1001" s="92"/>
      <c r="W1001" s="105"/>
      <c r="X1001" s="62"/>
      <c r="Y1001" s="62"/>
      <c r="Z1001" s="93"/>
      <c r="AA1001" s="93"/>
      <c r="AB1001" s="81"/>
      <c r="AC1001" s="83"/>
      <c r="AD1001" s="83"/>
      <c r="AE1001" s="83"/>
      <c r="AF1001" s="62"/>
      <c r="AG1001" s="92"/>
      <c r="AH1001" s="92"/>
      <c r="AI1001" s="10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3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3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4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3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3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4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3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3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4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3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93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4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3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3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94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3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3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4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3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65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4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93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3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4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93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3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4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3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3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4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65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3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3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4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3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3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4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3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3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3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3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4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3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93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4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3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3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4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3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3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4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3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3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4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3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3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3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3"/>
      <c r="R1022" s="93"/>
      <c r="S1022" s="60"/>
      <c r="T1022" s="62"/>
      <c r="U1022" s="62"/>
      <c r="V1022" s="62"/>
      <c r="W1022" s="61"/>
      <c r="X1022" s="62"/>
      <c r="Y1022" s="62"/>
      <c r="Z1022" s="66"/>
      <c r="AA1022" s="62"/>
      <c r="AB1022" s="67"/>
      <c r="AC1022" s="93"/>
      <c r="AD1022" s="93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4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3"/>
      <c r="P1023" s="68"/>
      <c r="Q1023" s="93"/>
      <c r="R1023" s="93"/>
      <c r="S1023" s="60"/>
      <c r="T1023" s="62"/>
      <c r="U1023" s="62"/>
      <c r="V1023" s="62"/>
      <c r="W1023" s="61"/>
      <c r="X1023" s="62"/>
      <c r="Y1023" s="62"/>
      <c r="Z1023" s="66"/>
      <c r="AA1023" s="93"/>
      <c r="AB1023" s="68"/>
      <c r="AC1023" s="93"/>
      <c r="AD1023" s="93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3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3"/>
      <c r="P1024" s="69"/>
      <c r="Q1024" s="93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3"/>
      <c r="AB1024" s="69"/>
      <c r="AC1024" s="93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3"/>
      <c r="P1025" s="69"/>
      <c r="Q1025" s="93"/>
      <c r="R1025" s="93"/>
      <c r="S1025" s="60"/>
      <c r="T1025" s="62"/>
      <c r="U1025" s="62"/>
      <c r="V1025" s="62"/>
      <c r="W1025" s="61"/>
      <c r="X1025" s="62"/>
      <c r="Y1025" s="62"/>
      <c r="Z1025" s="66"/>
      <c r="AA1025" s="93"/>
      <c r="AB1025" s="69"/>
      <c r="AC1025" s="93"/>
      <c r="AD1025" s="93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93"/>
      <c r="P1026" s="69"/>
      <c r="Q1026" s="93"/>
      <c r="R1026" s="93"/>
      <c r="S1026" s="60"/>
      <c r="T1026" s="62"/>
      <c r="U1026" s="62"/>
      <c r="V1026" s="62"/>
      <c r="W1026" s="61"/>
      <c r="X1026" s="62"/>
      <c r="Y1026" s="62"/>
      <c r="Z1026" s="66"/>
      <c r="AA1026" s="93"/>
      <c r="AB1026" s="69"/>
      <c r="AC1026" s="93"/>
      <c r="AD1026" s="93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94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93"/>
      <c r="P1027" s="69"/>
      <c r="Q1027" s="93"/>
      <c r="R1027" s="93"/>
      <c r="S1027" s="60"/>
      <c r="T1027" s="62"/>
      <c r="U1027" s="62"/>
      <c r="V1027" s="62"/>
      <c r="W1027" s="61"/>
      <c r="X1027" s="62"/>
      <c r="Y1027" s="62"/>
      <c r="Z1027" s="66"/>
      <c r="AA1027" s="93"/>
      <c r="AB1027" s="69"/>
      <c r="AC1027" s="93"/>
      <c r="AD1027" s="93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3"/>
      <c r="P1028" s="69"/>
      <c r="Q1028" s="93"/>
      <c r="R1028" s="93"/>
      <c r="S1028" s="60"/>
      <c r="T1028" s="62"/>
      <c r="U1028" s="62"/>
      <c r="V1028" s="62"/>
      <c r="W1028" s="61"/>
      <c r="X1028" s="62"/>
      <c r="Y1028" s="62"/>
      <c r="Z1028" s="66"/>
      <c r="AA1028" s="93"/>
      <c r="AB1028" s="69"/>
      <c r="AC1028" s="93"/>
      <c r="AD1028" s="93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3"/>
      <c r="P1029" s="69"/>
      <c r="Q1029" s="93"/>
      <c r="R1029" s="93"/>
      <c r="S1029" s="60"/>
      <c r="T1029" s="62"/>
      <c r="U1029" s="62"/>
      <c r="V1029" s="62"/>
      <c r="W1029" s="61"/>
      <c r="X1029" s="62"/>
      <c r="Y1029" s="62"/>
      <c r="Z1029" s="66"/>
      <c r="AA1029" s="93"/>
      <c r="AB1029" s="69"/>
      <c r="AC1029" s="93"/>
      <c r="AD1029" s="93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93"/>
      <c r="P1030" s="69"/>
      <c r="Q1030" s="93"/>
      <c r="R1030" s="93"/>
      <c r="S1030" s="60"/>
      <c r="T1030" s="62"/>
      <c r="U1030" s="62"/>
      <c r="V1030" s="62"/>
      <c r="W1030" s="61"/>
      <c r="X1030" s="62"/>
      <c r="Y1030" s="62"/>
      <c r="Z1030" s="66"/>
      <c r="AA1030" s="93"/>
      <c r="AB1030" s="69"/>
      <c r="AC1030" s="93"/>
      <c r="AD1030" s="93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3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3"/>
      <c r="R1031" s="93"/>
      <c r="S1031" s="60"/>
      <c r="T1031" s="62"/>
      <c r="U1031" s="62"/>
      <c r="V1031" s="62"/>
      <c r="W1031" s="61"/>
      <c r="X1031" s="62"/>
      <c r="Y1031" s="62"/>
      <c r="Z1031" s="66"/>
      <c r="AA1031" s="93"/>
      <c r="AB1031" s="69"/>
      <c r="AC1031" s="93"/>
      <c r="AD1031" s="93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93"/>
      <c r="R1032" s="93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3"/>
      <c r="AD1032" s="93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93"/>
      <c r="P1033" s="69"/>
      <c r="Q1033" s="93"/>
      <c r="R1033" s="93"/>
      <c r="S1033" s="60"/>
      <c r="T1033" s="62"/>
      <c r="U1033" s="62"/>
      <c r="V1033" s="62"/>
      <c r="W1033" s="61"/>
      <c r="X1033" s="62"/>
      <c r="Y1033" s="62"/>
      <c r="Z1033" s="66"/>
      <c r="AA1033" s="93"/>
      <c r="AB1033" s="69"/>
      <c r="AC1033" s="93"/>
      <c r="AD1033" s="93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3"/>
      <c r="P1034" s="69"/>
      <c r="Q1034" s="93"/>
      <c r="R1034" s="93"/>
      <c r="S1034" s="60"/>
      <c r="T1034" s="62"/>
      <c r="U1034" s="62"/>
      <c r="V1034" s="62"/>
      <c r="W1034" s="61"/>
      <c r="X1034" s="62"/>
      <c r="Y1034" s="62"/>
      <c r="Z1034" s="66"/>
      <c r="AA1034" s="93"/>
      <c r="AB1034" s="69"/>
      <c r="AC1034" s="93"/>
      <c r="AD1034" s="93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62"/>
      <c r="P1035" s="69"/>
      <c r="Q1035" s="93"/>
      <c r="R1035" s="93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3"/>
      <c r="AD1035" s="93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3"/>
      <c r="P1036" s="69"/>
      <c r="Q1036" s="93"/>
      <c r="R1036" s="93"/>
      <c r="S1036" s="60"/>
      <c r="T1036" s="62"/>
      <c r="U1036" s="62"/>
      <c r="V1036" s="62"/>
      <c r="W1036" s="61"/>
      <c r="X1036" s="62"/>
      <c r="Y1036" s="62"/>
      <c r="Z1036" s="66"/>
      <c r="AA1036" s="93"/>
      <c r="AB1036" s="69"/>
      <c r="AC1036" s="93"/>
      <c r="AD1036" s="93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3"/>
      <c r="P1037" s="69"/>
      <c r="Q1037" s="93"/>
      <c r="R1037" s="93"/>
      <c r="S1037" s="60"/>
      <c r="T1037" s="62"/>
      <c r="U1037" s="62"/>
      <c r="V1037" s="62"/>
      <c r="W1037" s="61"/>
      <c r="X1037" s="62"/>
      <c r="Y1037" s="62"/>
      <c r="Z1037" s="66"/>
      <c r="AA1037" s="93"/>
      <c r="AB1037" s="69"/>
      <c r="AC1037" s="93"/>
      <c r="AD1037" s="93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3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3"/>
      <c r="R1038" s="93"/>
      <c r="S1038" s="60"/>
      <c r="T1038" s="62"/>
      <c r="U1038" s="62"/>
      <c r="V1038" s="62"/>
      <c r="W1038" s="61"/>
      <c r="X1038" s="62"/>
      <c r="Y1038" s="62"/>
      <c r="Z1038" s="66"/>
      <c r="AA1038" s="93"/>
      <c r="AB1038" s="69"/>
      <c r="AC1038" s="93"/>
      <c r="AD1038" s="93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3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3"/>
      <c r="P1039" s="69"/>
      <c r="Q1039" s="93"/>
      <c r="R1039" s="93"/>
      <c r="S1039" s="60"/>
      <c r="T1039" s="62"/>
      <c r="U1039" s="62"/>
      <c r="V1039" s="62"/>
      <c r="W1039" s="61"/>
      <c r="X1039" s="62"/>
      <c r="Y1039" s="62"/>
      <c r="Z1039" s="66"/>
      <c r="AA1039" s="93"/>
      <c r="AB1039" s="69"/>
      <c r="AC1039" s="93"/>
      <c r="AD1039" s="93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3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3"/>
      <c r="P1040" s="69"/>
      <c r="Q1040" s="93"/>
      <c r="R1040" s="93"/>
      <c r="S1040" s="60"/>
      <c r="T1040" s="62"/>
      <c r="U1040" s="62"/>
      <c r="V1040" s="62"/>
      <c r="W1040" s="61"/>
      <c r="X1040" s="62"/>
      <c r="Y1040" s="62"/>
      <c r="Z1040" s="66"/>
      <c r="AA1040" s="93"/>
      <c r="AB1040" s="69"/>
      <c r="AC1040" s="93"/>
      <c r="AD1040" s="93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3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3"/>
      <c r="R1041" s="93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3"/>
      <c r="AD1041" s="93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3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3"/>
      <c r="P1042" s="69"/>
      <c r="Q1042" s="93"/>
      <c r="R1042" s="93"/>
      <c r="S1042" s="60"/>
      <c r="T1042" s="62"/>
      <c r="U1042" s="62"/>
      <c r="V1042" s="62"/>
      <c r="W1042" s="61"/>
      <c r="X1042" s="62"/>
      <c r="Y1042" s="62"/>
      <c r="Z1042" s="66"/>
      <c r="AA1042" s="93"/>
      <c r="AB1042" s="69"/>
      <c r="AC1042" s="93"/>
      <c r="AD1042" s="93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3"/>
      <c r="O1043" s="93"/>
      <c r="P1043" s="93"/>
      <c r="Q1043" s="93"/>
      <c r="R1043" s="93"/>
      <c r="S1043" s="93"/>
      <c r="T1043" s="62"/>
      <c r="U1043" s="62"/>
      <c r="V1043" s="62"/>
      <c r="W1043" s="61"/>
      <c r="X1043" s="62"/>
      <c r="Y1043" s="62"/>
      <c r="Z1043" s="93"/>
      <c r="AA1043" s="93"/>
      <c r="AB1043" s="93"/>
      <c r="AC1043" s="93"/>
      <c r="AD1043" s="93"/>
      <c r="AE1043" s="93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3"/>
      <c r="C1044" s="93"/>
      <c r="D1044" s="93"/>
      <c r="E1044" s="93"/>
      <c r="F1044" s="93"/>
      <c r="G1044" s="93"/>
      <c r="H1044" s="62"/>
      <c r="I1044" s="62"/>
      <c r="J1044" s="62"/>
      <c r="K1044" s="62"/>
      <c r="L1044" s="62"/>
      <c r="M1044" s="62"/>
      <c r="N1044" s="93"/>
      <c r="O1044" s="93"/>
      <c r="P1044" s="93"/>
      <c r="Q1044" s="93"/>
      <c r="R1044" s="93"/>
      <c r="S1044" s="93"/>
      <c r="T1044" s="62"/>
      <c r="U1044" s="62"/>
      <c r="V1044" s="62"/>
      <c r="W1044" s="62"/>
      <c r="X1044" s="62"/>
      <c r="Y1044" s="62"/>
      <c r="Z1044" s="93"/>
      <c r="AA1044" s="93"/>
      <c r="AB1044" s="93"/>
      <c r="AC1044" s="93"/>
      <c r="AD1044" s="93"/>
      <c r="AE1044" s="93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3"/>
      <c r="C1045" s="93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3"/>
      <c r="O1045" s="93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3"/>
      <c r="AA1045" s="93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3"/>
      <c r="C1047" s="93"/>
      <c r="D1047" s="93"/>
      <c r="E1047" s="93"/>
      <c r="F1047" s="93"/>
      <c r="G1047" s="93"/>
      <c r="H1047" s="62"/>
      <c r="I1047" s="62"/>
      <c r="J1047" s="62"/>
      <c r="K1047" s="62"/>
      <c r="L1047" s="62"/>
      <c r="M1047" s="62"/>
      <c r="N1047" s="93"/>
      <c r="O1047" s="93"/>
      <c r="P1047" s="93"/>
      <c r="Q1047" s="93"/>
      <c r="R1047" s="93"/>
      <c r="S1047" s="93"/>
      <c r="T1047" s="62"/>
      <c r="U1047" s="62"/>
      <c r="V1047" s="62"/>
      <c r="W1047" s="62"/>
      <c r="X1047" s="62"/>
      <c r="Y1047" s="62"/>
      <c r="Z1047" s="93"/>
      <c r="AA1047" s="93"/>
      <c r="AB1047" s="93"/>
      <c r="AC1047" s="93"/>
      <c r="AD1047" s="93"/>
      <c r="AE1047" s="93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3"/>
      <c r="C1048" s="93"/>
      <c r="D1048" s="93"/>
      <c r="E1048" s="93"/>
      <c r="F1048" s="93"/>
      <c r="G1048" s="93"/>
      <c r="H1048" s="62"/>
      <c r="I1048" s="62"/>
      <c r="J1048" s="62"/>
      <c r="K1048" s="62"/>
      <c r="L1048" s="62"/>
      <c r="M1048" s="62"/>
      <c r="N1048" s="93"/>
      <c r="O1048" s="93"/>
      <c r="P1048" s="93"/>
      <c r="Q1048" s="93"/>
      <c r="R1048" s="93"/>
      <c r="S1048" s="93"/>
      <c r="T1048" s="62"/>
      <c r="U1048" s="62"/>
      <c r="V1048" s="62"/>
      <c r="W1048" s="62"/>
      <c r="X1048" s="62"/>
      <c r="Y1048" s="62"/>
      <c r="Z1048" s="93"/>
      <c r="AA1048" s="93"/>
      <c r="AB1048" s="93"/>
      <c r="AC1048" s="93"/>
      <c r="AD1048" s="93"/>
      <c r="AE1048" s="93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3"/>
      <c r="C1049" s="93"/>
      <c r="D1049" s="93"/>
      <c r="E1049" s="93"/>
      <c r="F1049" s="93"/>
      <c r="G1049" s="93"/>
      <c r="H1049" s="62"/>
      <c r="I1049" s="62"/>
      <c r="J1049" s="62"/>
      <c r="K1049" s="62"/>
      <c r="L1049" s="62"/>
      <c r="M1049" s="62"/>
      <c r="N1049" s="93"/>
      <c r="O1049" s="93"/>
      <c r="P1049" s="93"/>
      <c r="Q1049" s="93"/>
      <c r="R1049" s="93"/>
      <c r="S1049" s="93"/>
      <c r="T1049" s="62"/>
      <c r="U1049" s="62"/>
      <c r="V1049" s="62"/>
      <c r="W1049" s="62"/>
      <c r="X1049" s="62"/>
      <c r="Y1049" s="62"/>
      <c r="Z1049" s="93"/>
      <c r="AA1049" s="93"/>
      <c r="AB1049" s="93"/>
      <c r="AC1049" s="93"/>
      <c r="AD1049" s="93"/>
      <c r="AE1049" s="93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3"/>
      <c r="C1050" s="93"/>
      <c r="D1050" s="93"/>
      <c r="E1050" s="93"/>
      <c r="F1050" s="93"/>
      <c r="G1050" s="93"/>
      <c r="H1050" s="62"/>
      <c r="I1050" s="62"/>
      <c r="J1050" s="62"/>
      <c r="K1050" s="62"/>
      <c r="L1050" s="62"/>
      <c r="M1050" s="63"/>
      <c r="N1050" s="93"/>
      <c r="O1050" s="93"/>
      <c r="P1050" s="93"/>
      <c r="Q1050" s="93"/>
      <c r="R1050" s="93"/>
      <c r="S1050" s="93"/>
      <c r="T1050" s="62"/>
      <c r="U1050" s="62"/>
      <c r="V1050" s="62"/>
      <c r="W1050" s="62"/>
      <c r="X1050" s="62"/>
      <c r="Y1050" s="63"/>
      <c r="Z1050" s="93"/>
      <c r="AA1050" s="93"/>
      <c r="AB1050" s="93"/>
      <c r="AC1050" s="93"/>
      <c r="AD1050" s="93"/>
      <c r="AE1050" s="93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3"/>
      <c r="C1051" s="93"/>
      <c r="D1051" s="93"/>
      <c r="E1051" s="93"/>
      <c r="F1051" s="93"/>
      <c r="G1051" s="93"/>
      <c r="H1051" s="62"/>
      <c r="I1051" s="62"/>
      <c r="J1051" s="62"/>
      <c r="K1051" s="62"/>
      <c r="L1051" s="62"/>
      <c r="M1051" s="62"/>
      <c r="N1051" s="93"/>
      <c r="O1051" s="93"/>
      <c r="P1051" s="93"/>
      <c r="Q1051" s="93"/>
      <c r="R1051" s="93"/>
      <c r="S1051" s="93"/>
      <c r="T1051" s="62"/>
      <c r="U1051" s="62"/>
      <c r="V1051" s="62"/>
      <c r="W1051" s="62"/>
      <c r="X1051" s="62"/>
      <c r="Y1051" s="62"/>
      <c r="Z1051" s="93"/>
      <c r="AA1051" s="93"/>
      <c r="AB1051" s="93"/>
      <c r="AC1051" s="93"/>
      <c r="AD1051" s="93"/>
      <c r="AE1051" s="93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3"/>
      <c r="C1052" s="93"/>
      <c r="D1052" s="93"/>
      <c r="E1052" s="93"/>
      <c r="F1052" s="93"/>
      <c r="G1052" s="93"/>
      <c r="H1052" s="62"/>
      <c r="I1052" s="93"/>
      <c r="J1052" s="74"/>
      <c r="K1052" s="62"/>
      <c r="L1052" s="62"/>
      <c r="M1052" s="62"/>
      <c r="N1052" s="93"/>
      <c r="O1052" s="93"/>
      <c r="P1052" s="93"/>
      <c r="Q1052" s="93"/>
      <c r="R1052" s="93"/>
      <c r="S1052" s="93"/>
      <c r="T1052" s="62"/>
      <c r="U1052" s="93"/>
      <c r="V1052" s="74"/>
      <c r="W1052" s="62"/>
      <c r="X1052" s="62"/>
      <c r="Y1052" s="62"/>
      <c r="Z1052" s="93"/>
      <c r="AA1052" s="93"/>
      <c r="AB1052" s="93"/>
      <c r="AC1052" s="93"/>
      <c r="AD1052" s="93"/>
      <c r="AE1052" s="93"/>
      <c r="AF1052" s="62"/>
      <c r="AG1052" s="93"/>
      <c r="AH1052" s="7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3"/>
      <c r="C1053" s="93"/>
      <c r="D1053" s="93"/>
      <c r="E1053" s="93"/>
      <c r="F1053" s="93"/>
      <c r="G1053" s="93"/>
      <c r="H1053" s="62"/>
      <c r="I1053" s="65"/>
      <c r="J1053" s="65"/>
      <c r="K1053" s="62"/>
      <c r="L1053" s="62"/>
      <c r="M1053" s="64"/>
      <c r="N1053" s="93"/>
      <c r="O1053" s="93"/>
      <c r="P1053" s="93"/>
      <c r="Q1053" s="93"/>
      <c r="R1053" s="93"/>
      <c r="S1053" s="93"/>
      <c r="T1053" s="62"/>
      <c r="U1053" s="65"/>
      <c r="V1053" s="65"/>
      <c r="W1053" s="62"/>
      <c r="X1053" s="62"/>
      <c r="Y1053" s="64"/>
      <c r="Z1053" s="93"/>
      <c r="AA1053" s="93"/>
      <c r="AB1053" s="93"/>
      <c r="AC1053" s="93"/>
      <c r="AD1053" s="93"/>
      <c r="AE1053" s="93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3"/>
      <c r="C1054" s="93"/>
      <c r="D1054" s="93"/>
      <c r="E1054" s="93"/>
      <c r="F1054" s="93"/>
      <c r="G1054" s="93"/>
      <c r="H1054" s="62"/>
      <c r="I1054" s="62"/>
      <c r="J1054" s="62"/>
      <c r="K1054" s="62"/>
      <c r="L1054" s="62"/>
      <c r="M1054" s="62"/>
      <c r="N1054" s="93"/>
      <c r="O1054" s="93"/>
      <c r="P1054" s="93"/>
      <c r="Q1054" s="93"/>
      <c r="R1054" s="93"/>
      <c r="S1054" s="93"/>
      <c r="T1054" s="62"/>
      <c r="U1054" s="62"/>
      <c r="V1054" s="62"/>
      <c r="W1054" s="62"/>
      <c r="X1054" s="62"/>
      <c r="Y1054" s="62"/>
      <c r="Z1054" s="93"/>
      <c r="AA1054" s="93"/>
      <c r="AB1054" s="93"/>
      <c r="AC1054" s="93"/>
      <c r="AD1054" s="93"/>
      <c r="AE1054" s="93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3"/>
      <c r="D1055" s="106"/>
      <c r="E1055" s="106"/>
      <c r="F1055" s="93"/>
      <c r="G1055" s="93"/>
      <c r="H1055" s="62"/>
      <c r="I1055" s="106"/>
      <c r="J1055" s="106"/>
      <c r="K1055" s="105"/>
      <c r="L1055" s="62"/>
      <c r="M1055" s="62"/>
      <c r="N1055" s="65"/>
      <c r="O1055" s="93"/>
      <c r="P1055" s="106"/>
      <c r="Q1055" s="106"/>
      <c r="R1055" s="93"/>
      <c r="S1055" s="93"/>
      <c r="T1055" s="62"/>
      <c r="U1055" s="106"/>
      <c r="V1055" s="106"/>
      <c r="W1055" s="105"/>
      <c r="X1055" s="62"/>
      <c r="Y1055" s="62"/>
      <c r="Z1055" s="65"/>
      <c r="AA1055" s="93"/>
      <c r="AB1055" s="106"/>
      <c r="AC1055" s="106"/>
      <c r="AD1055" s="93"/>
      <c r="AE1055" s="93"/>
      <c r="AF1055" s="62"/>
      <c r="AG1055" s="106"/>
      <c r="AH1055" s="106"/>
      <c r="AI1055" s="10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3"/>
      <c r="C1056" s="93"/>
      <c r="D1056" s="81"/>
      <c r="E1056" s="82"/>
      <c r="F1056" s="83"/>
      <c r="G1056" s="83"/>
      <c r="H1056" s="62"/>
      <c r="I1056" s="92"/>
      <c r="J1056" s="92"/>
      <c r="K1056" s="105"/>
      <c r="L1056" s="62"/>
      <c r="M1056" s="62"/>
      <c r="N1056" s="93"/>
      <c r="O1056" s="93"/>
      <c r="P1056" s="81"/>
      <c r="Q1056" s="83"/>
      <c r="R1056" s="83"/>
      <c r="S1056" s="83"/>
      <c r="T1056" s="62"/>
      <c r="U1056" s="92"/>
      <c r="V1056" s="92"/>
      <c r="W1056" s="105"/>
      <c r="X1056" s="62"/>
      <c r="Y1056" s="62"/>
      <c r="Z1056" s="93"/>
      <c r="AA1056" s="93"/>
      <c r="AB1056" s="81"/>
      <c r="AC1056" s="83"/>
      <c r="AD1056" s="83"/>
      <c r="AE1056" s="83"/>
      <c r="AF1056" s="62"/>
      <c r="AG1056" s="92"/>
      <c r="AH1056" s="92"/>
      <c r="AI1056" s="10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3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3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4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3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3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4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3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3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4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3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3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4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3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6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94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3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3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4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3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62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4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3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93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4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65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3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4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3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3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4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3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3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3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4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3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3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4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3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3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4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3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3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65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3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3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4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3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3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4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3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3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4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3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3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4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3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3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3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3"/>
      <c r="R1077" s="93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93"/>
      <c r="AD1077" s="93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4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3"/>
      <c r="P1078" s="68"/>
      <c r="Q1078" s="93"/>
      <c r="R1078" s="93"/>
      <c r="S1078" s="60"/>
      <c r="T1078" s="62"/>
      <c r="U1078" s="62"/>
      <c r="V1078" s="62"/>
      <c r="W1078" s="61"/>
      <c r="X1078" s="62"/>
      <c r="Y1078" s="62"/>
      <c r="Z1078" s="66"/>
      <c r="AA1078" s="93"/>
      <c r="AB1078" s="68"/>
      <c r="AC1078" s="93"/>
      <c r="AD1078" s="93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3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3"/>
      <c r="P1079" s="69"/>
      <c r="Q1079" s="93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3"/>
      <c r="AB1079" s="69"/>
      <c r="AC1079" s="93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3"/>
      <c r="P1080" s="69"/>
      <c r="Q1080" s="93"/>
      <c r="R1080" s="93"/>
      <c r="S1080" s="60"/>
      <c r="T1080" s="62"/>
      <c r="U1080" s="62"/>
      <c r="V1080" s="62"/>
      <c r="W1080" s="61"/>
      <c r="X1080" s="62"/>
      <c r="Y1080" s="62"/>
      <c r="Z1080" s="66"/>
      <c r="AA1080" s="93"/>
      <c r="AB1080" s="69"/>
      <c r="AC1080" s="93"/>
      <c r="AD1080" s="93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3"/>
      <c r="P1081" s="69"/>
      <c r="Q1081" s="93"/>
      <c r="R1081" s="93"/>
      <c r="S1081" s="60"/>
      <c r="T1081" s="62"/>
      <c r="U1081" s="62"/>
      <c r="V1081" s="62"/>
      <c r="W1081" s="61"/>
      <c r="X1081" s="62"/>
      <c r="Y1081" s="62"/>
      <c r="Z1081" s="66"/>
      <c r="AA1081" s="93"/>
      <c r="AB1081" s="69"/>
      <c r="AC1081" s="93"/>
      <c r="AD1081" s="93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94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93"/>
      <c r="P1082" s="69"/>
      <c r="Q1082" s="93"/>
      <c r="R1082" s="93"/>
      <c r="S1082" s="60"/>
      <c r="T1082" s="62"/>
      <c r="U1082" s="62"/>
      <c r="V1082" s="62"/>
      <c r="W1082" s="61"/>
      <c r="X1082" s="62"/>
      <c r="Y1082" s="62"/>
      <c r="Z1082" s="66"/>
      <c r="AA1082" s="93"/>
      <c r="AB1082" s="69"/>
      <c r="AC1082" s="93"/>
      <c r="AD1082" s="93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3"/>
      <c r="P1083" s="69"/>
      <c r="Q1083" s="93"/>
      <c r="R1083" s="93"/>
      <c r="S1083" s="60"/>
      <c r="T1083" s="62"/>
      <c r="U1083" s="62"/>
      <c r="V1083" s="62"/>
      <c r="W1083" s="61"/>
      <c r="X1083" s="62"/>
      <c r="Y1083" s="62"/>
      <c r="Z1083" s="66"/>
      <c r="AA1083" s="93"/>
      <c r="AB1083" s="69"/>
      <c r="AC1083" s="93"/>
      <c r="AD1083" s="93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3"/>
      <c r="P1084" s="69"/>
      <c r="Q1084" s="93"/>
      <c r="R1084" s="93"/>
      <c r="S1084" s="60"/>
      <c r="T1084" s="62"/>
      <c r="U1084" s="62"/>
      <c r="V1084" s="62"/>
      <c r="W1084" s="61"/>
      <c r="X1084" s="62"/>
      <c r="Y1084" s="62"/>
      <c r="Z1084" s="66"/>
      <c r="AA1084" s="93"/>
      <c r="AB1084" s="69"/>
      <c r="AC1084" s="93"/>
      <c r="AD1084" s="93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3"/>
      <c r="P1085" s="69"/>
      <c r="Q1085" s="93"/>
      <c r="R1085" s="93"/>
      <c r="S1085" s="60"/>
      <c r="T1085" s="62"/>
      <c r="U1085" s="62"/>
      <c r="V1085" s="62"/>
      <c r="W1085" s="61"/>
      <c r="X1085" s="62"/>
      <c r="Y1085" s="62"/>
      <c r="Z1085" s="66"/>
      <c r="AA1085" s="93"/>
      <c r="AB1085" s="69"/>
      <c r="AC1085" s="93"/>
      <c r="AD1085" s="93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3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3"/>
      <c r="R1086" s="93"/>
      <c r="S1086" s="60"/>
      <c r="T1086" s="62"/>
      <c r="U1086" s="62"/>
      <c r="V1086" s="62"/>
      <c r="W1086" s="61"/>
      <c r="X1086" s="62"/>
      <c r="Y1086" s="62"/>
      <c r="Z1086" s="66"/>
      <c r="AA1086" s="93"/>
      <c r="AB1086" s="69"/>
      <c r="AC1086" s="93"/>
      <c r="AD1086" s="93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93"/>
      <c r="R1087" s="93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3"/>
      <c r="AD1087" s="93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3"/>
      <c r="P1088" s="69"/>
      <c r="Q1088" s="93"/>
      <c r="R1088" s="93"/>
      <c r="S1088" s="60"/>
      <c r="T1088" s="62"/>
      <c r="U1088" s="62"/>
      <c r="V1088" s="62"/>
      <c r="W1088" s="61"/>
      <c r="X1088" s="62"/>
      <c r="Y1088" s="62"/>
      <c r="Z1088" s="66"/>
      <c r="AA1088" s="93"/>
      <c r="AB1088" s="69"/>
      <c r="AC1088" s="93"/>
      <c r="AD1088" s="93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3"/>
      <c r="P1089" s="69"/>
      <c r="Q1089" s="93"/>
      <c r="R1089" s="93"/>
      <c r="S1089" s="60"/>
      <c r="T1089" s="62"/>
      <c r="U1089" s="62"/>
      <c r="V1089" s="62"/>
      <c r="W1089" s="61"/>
      <c r="X1089" s="62"/>
      <c r="Y1089" s="62"/>
      <c r="Z1089" s="66"/>
      <c r="AA1089" s="93"/>
      <c r="AB1089" s="69"/>
      <c r="AC1089" s="93"/>
      <c r="AD1089" s="93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62"/>
      <c r="P1090" s="69"/>
      <c r="Q1090" s="93"/>
      <c r="R1090" s="93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3"/>
      <c r="AD1090" s="93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3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3"/>
      <c r="P1091" s="69"/>
      <c r="Q1091" s="93"/>
      <c r="R1091" s="93"/>
      <c r="S1091" s="60"/>
      <c r="T1091" s="62"/>
      <c r="U1091" s="62"/>
      <c r="V1091" s="62"/>
      <c r="W1091" s="61"/>
      <c r="X1091" s="62"/>
      <c r="Y1091" s="62"/>
      <c r="Z1091" s="66"/>
      <c r="AA1091" s="93"/>
      <c r="AB1091" s="69"/>
      <c r="AC1091" s="93"/>
      <c r="AD1091" s="93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3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3"/>
      <c r="P1092" s="69"/>
      <c r="Q1092" s="93"/>
      <c r="R1092" s="93"/>
      <c r="S1092" s="60"/>
      <c r="T1092" s="62"/>
      <c r="U1092" s="62"/>
      <c r="V1092" s="62"/>
      <c r="W1092" s="61"/>
      <c r="X1092" s="62"/>
      <c r="Y1092" s="62"/>
      <c r="Z1092" s="66"/>
      <c r="AA1092" s="93"/>
      <c r="AB1092" s="69"/>
      <c r="AC1092" s="93"/>
      <c r="AD1092" s="93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3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3"/>
      <c r="R1093" s="93"/>
      <c r="S1093" s="60"/>
      <c r="T1093" s="62"/>
      <c r="U1093" s="62"/>
      <c r="V1093" s="62"/>
      <c r="W1093" s="61"/>
      <c r="X1093" s="62"/>
      <c r="Y1093" s="62"/>
      <c r="Z1093" s="66"/>
      <c r="AA1093" s="93"/>
      <c r="AB1093" s="69"/>
      <c r="AC1093" s="93"/>
      <c r="AD1093" s="93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3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3"/>
      <c r="P1094" s="69"/>
      <c r="Q1094" s="93"/>
      <c r="R1094" s="93"/>
      <c r="S1094" s="60"/>
      <c r="T1094" s="62"/>
      <c r="U1094" s="62"/>
      <c r="V1094" s="62"/>
      <c r="W1094" s="61"/>
      <c r="X1094" s="62"/>
      <c r="Y1094" s="62"/>
      <c r="Z1094" s="66"/>
      <c r="AA1094" s="93"/>
      <c r="AB1094" s="69"/>
      <c r="AC1094" s="93"/>
      <c r="AD1094" s="93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3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3"/>
      <c r="P1095" s="69"/>
      <c r="Q1095" s="93"/>
      <c r="R1095" s="93"/>
      <c r="S1095" s="60"/>
      <c r="T1095" s="62"/>
      <c r="U1095" s="62"/>
      <c r="V1095" s="62"/>
      <c r="W1095" s="61"/>
      <c r="X1095" s="62"/>
      <c r="Y1095" s="62"/>
      <c r="Z1095" s="66"/>
      <c r="AA1095" s="93"/>
      <c r="AB1095" s="69"/>
      <c r="AC1095" s="93"/>
      <c r="AD1095" s="93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3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3"/>
      <c r="R1096" s="93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3"/>
      <c r="AD1096" s="93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3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3"/>
      <c r="P1097" s="69"/>
      <c r="Q1097" s="93"/>
      <c r="R1097" s="93"/>
      <c r="S1097" s="60"/>
      <c r="T1097" s="62"/>
      <c r="U1097" s="62"/>
      <c r="V1097" s="62"/>
      <c r="W1097" s="61"/>
      <c r="X1097" s="62"/>
      <c r="Y1097" s="62"/>
      <c r="Z1097" s="66"/>
      <c r="AA1097" s="93"/>
      <c r="AB1097" s="69"/>
      <c r="AC1097" s="93"/>
      <c r="AD1097" s="93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3"/>
      <c r="O1098" s="93"/>
      <c r="P1098" s="93"/>
      <c r="Q1098" s="93"/>
      <c r="R1098" s="93"/>
      <c r="S1098" s="93"/>
      <c r="T1098" s="62"/>
      <c r="U1098" s="62"/>
      <c r="V1098" s="62"/>
      <c r="W1098" s="61"/>
      <c r="X1098" s="62"/>
      <c r="Y1098" s="62"/>
      <c r="Z1098" s="93"/>
      <c r="AA1098" s="93"/>
      <c r="AB1098" s="93"/>
      <c r="AC1098" s="93"/>
      <c r="AD1098" s="93"/>
      <c r="AE1098" s="93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3"/>
      <c r="C1099" s="93"/>
      <c r="D1099" s="93"/>
      <c r="E1099" s="93"/>
      <c r="F1099" s="93"/>
      <c r="G1099" s="93"/>
      <c r="H1099" s="62"/>
      <c r="I1099" s="62"/>
      <c r="J1099" s="62"/>
      <c r="K1099" s="62"/>
      <c r="L1099" s="62"/>
      <c r="M1099" s="62"/>
      <c r="N1099" s="93"/>
      <c r="O1099" s="93"/>
      <c r="P1099" s="93"/>
      <c r="Q1099" s="93"/>
      <c r="R1099" s="93"/>
      <c r="S1099" s="93"/>
      <c r="T1099" s="62"/>
      <c r="U1099" s="62"/>
      <c r="V1099" s="62"/>
      <c r="W1099" s="62"/>
      <c r="X1099" s="62"/>
      <c r="Y1099" s="62"/>
      <c r="Z1099" s="93"/>
      <c r="AA1099" s="93"/>
      <c r="AB1099" s="93"/>
      <c r="AC1099" s="93"/>
      <c r="AD1099" s="93"/>
      <c r="AE1099" s="93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3"/>
      <c r="C1100" s="93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3"/>
      <c r="O1100" s="93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3"/>
      <c r="AA1100" s="93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6"/>
      <c r="E1110" s="106"/>
      <c r="F1110" s="89"/>
      <c r="G1110" s="89"/>
      <c r="H1110" s="62"/>
      <c r="I1110" s="106"/>
      <c r="J1110" s="106"/>
      <c r="K1110" s="105"/>
      <c r="L1110" s="62"/>
      <c r="M1110" s="62"/>
      <c r="N1110" s="65"/>
      <c r="O1110" s="89"/>
      <c r="P1110" s="106"/>
      <c r="Q1110" s="106"/>
      <c r="R1110" s="89"/>
      <c r="S1110" s="89"/>
      <c r="T1110" s="62"/>
      <c r="U1110" s="106"/>
      <c r="V1110" s="106"/>
      <c r="W1110" s="105"/>
      <c r="X1110" s="62"/>
      <c r="Y1110" s="62"/>
      <c r="Z1110" s="65"/>
      <c r="AA1110" s="89"/>
      <c r="AB1110" s="106"/>
      <c r="AC1110" s="106"/>
      <c r="AD1110" s="89"/>
      <c r="AE1110" s="89"/>
      <c r="AF1110" s="62"/>
      <c r="AG1110" s="106"/>
      <c r="AH1110" s="106"/>
      <c r="AI1110" s="10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5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5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6"/>
      <c r="E1165" s="106"/>
      <c r="F1165" s="89"/>
      <c r="G1165" s="89"/>
      <c r="H1165" s="62"/>
      <c r="I1165" s="106"/>
      <c r="J1165" s="106"/>
      <c r="K1165" s="105"/>
      <c r="L1165" s="62"/>
      <c r="M1165" s="62"/>
      <c r="N1165" s="65"/>
      <c r="O1165" s="89"/>
      <c r="P1165" s="106"/>
      <c r="Q1165" s="106"/>
      <c r="R1165" s="89"/>
      <c r="S1165" s="89"/>
      <c r="T1165" s="62"/>
      <c r="U1165" s="106"/>
      <c r="V1165" s="106"/>
      <c r="W1165" s="105"/>
      <c r="X1165" s="62"/>
      <c r="Y1165" s="62"/>
      <c r="Z1165" s="65"/>
      <c r="AA1165" s="89"/>
      <c r="AB1165" s="106"/>
      <c r="AC1165" s="106"/>
      <c r="AD1165" s="89"/>
      <c r="AE1165" s="89"/>
      <c r="AF1165" s="62"/>
      <c r="AG1165" s="106"/>
      <c r="AH1165" s="106"/>
      <c r="AI1165" s="10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5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5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6"/>
      <c r="E1221" s="106"/>
      <c r="F1221" s="87"/>
      <c r="G1221" s="87"/>
      <c r="H1221" s="62"/>
      <c r="I1221" s="106"/>
      <c r="J1221" s="106"/>
      <c r="K1221" s="105"/>
      <c r="L1221" s="62"/>
      <c r="M1221" s="62"/>
      <c r="N1221" s="65"/>
      <c r="O1221" s="87"/>
      <c r="P1221" s="106"/>
      <c r="Q1221" s="106"/>
      <c r="R1221" s="87"/>
      <c r="S1221" s="87"/>
      <c r="T1221" s="62"/>
      <c r="U1221" s="106"/>
      <c r="V1221" s="106"/>
      <c r="W1221" s="105"/>
      <c r="X1221" s="62"/>
      <c r="Y1221" s="62"/>
      <c r="Z1221" s="65"/>
      <c r="AA1221" s="87"/>
      <c r="AB1221" s="106"/>
      <c r="AC1221" s="106"/>
      <c r="AD1221" s="87"/>
      <c r="AE1221" s="87"/>
      <c r="AF1221" s="62"/>
      <c r="AG1221" s="106"/>
      <c r="AH1221" s="106"/>
      <c r="AI1221" s="10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5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5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6"/>
      <c r="E1283" s="106"/>
      <c r="F1283" s="84"/>
      <c r="G1283" s="84"/>
      <c r="H1283" s="62"/>
      <c r="I1283" s="106"/>
      <c r="J1283" s="106"/>
      <c r="K1283" s="105"/>
      <c r="L1283" s="62"/>
      <c r="M1283" s="62"/>
      <c r="N1283" s="65"/>
      <c r="O1283" s="84"/>
      <c r="P1283" s="106"/>
      <c r="Q1283" s="106"/>
      <c r="R1283" s="84"/>
      <c r="S1283" s="84"/>
      <c r="T1283" s="62"/>
      <c r="U1283" s="106"/>
      <c r="V1283" s="106"/>
      <c r="W1283" s="105"/>
      <c r="X1283" s="62"/>
      <c r="Y1283" s="62"/>
      <c r="Z1283" s="65"/>
      <c r="AA1283" s="84"/>
      <c r="AB1283" s="106"/>
      <c r="AC1283" s="106"/>
      <c r="AD1283" s="84"/>
      <c r="AE1283" s="84"/>
      <c r="AF1283" s="62"/>
      <c r="AG1283" s="106"/>
      <c r="AH1283" s="106"/>
      <c r="AI1283" s="10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5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5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2025-12-09T01:23:12Z</dcterms:modified>
</cp:coreProperties>
</file>