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DECEMBER FILES 2025\"/>
    </mc:Choice>
  </mc:AlternateContent>
  <xr:revisionPtr revIDLastSave="0" documentId="13_ncr:1_{2EA13DF7-7581-49B6-B175-E55A7D7D69EE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DECEMBER" sheetId="1" r:id="rId1"/>
    <sheet name="DSIS | DECEMBER 2025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G729" i="2" l="1"/>
  <c r="AH729" i="2"/>
  <c r="AH770" i="2" s="1"/>
  <c r="AB729" i="2"/>
  <c r="AB728" i="2"/>
  <c r="AG727" i="2"/>
  <c r="AG770" i="2" s="1"/>
  <c r="AB727" i="2"/>
  <c r="AE727" i="2"/>
  <c r="AI727" i="2" s="1"/>
  <c r="AA728" i="2"/>
  <c r="AE728" i="2"/>
  <c r="AI728" i="2" s="1"/>
  <c r="AA729" i="2"/>
  <c r="AB770" i="2"/>
  <c r="AE730" i="2"/>
  <c r="AI730" i="2" s="1"/>
  <c r="AE731" i="2"/>
  <c r="AI731" i="2" s="1"/>
  <c r="AE732" i="2"/>
  <c r="AI732" i="2"/>
  <c r="AE733" i="2"/>
  <c r="AI733" i="2"/>
  <c r="AE734" i="2"/>
  <c r="AI734" i="2" s="1"/>
  <c r="AE735" i="2"/>
  <c r="AI735" i="2"/>
  <c r="AE736" i="2"/>
  <c r="AI736" i="2" s="1"/>
  <c r="AE737" i="2"/>
  <c r="AI737" i="2"/>
  <c r="AE738" i="2"/>
  <c r="AI738" i="2" s="1"/>
  <c r="AE739" i="2"/>
  <c r="AI739" i="2"/>
  <c r="AE740" i="2"/>
  <c r="AI740" i="2"/>
  <c r="AE741" i="2"/>
  <c r="AI741" i="2"/>
  <c r="AE742" i="2"/>
  <c r="AI742" i="2"/>
  <c r="AE743" i="2"/>
  <c r="AI743" i="2"/>
  <c r="AE744" i="2"/>
  <c r="AI744" i="2" s="1"/>
  <c r="AE745" i="2"/>
  <c r="AI745" i="2"/>
  <c r="AE746" i="2"/>
  <c r="AI746" i="2" s="1"/>
  <c r="AE747" i="2"/>
  <c r="AI747" i="2"/>
  <c r="AE748" i="2"/>
  <c r="AI748" i="2"/>
  <c r="AE749" i="2"/>
  <c r="AI749" i="2"/>
  <c r="AE750" i="2"/>
  <c r="AI750" i="2"/>
  <c r="AE751" i="2"/>
  <c r="AI751" i="2"/>
  <c r="AE752" i="2"/>
  <c r="AI752" i="2" s="1"/>
  <c r="AE753" i="2"/>
  <c r="AI753" i="2"/>
  <c r="AE754" i="2"/>
  <c r="AI754" i="2" s="1"/>
  <c r="AE755" i="2"/>
  <c r="AI755" i="2"/>
  <c r="AE756" i="2"/>
  <c r="AI756" i="2"/>
  <c r="AE757" i="2"/>
  <c r="AI757" i="2"/>
  <c r="AE758" i="2"/>
  <c r="AI758" i="2"/>
  <c r="AE759" i="2"/>
  <c r="AI759" i="2"/>
  <c r="AE760" i="2"/>
  <c r="AI760" i="2" s="1"/>
  <c r="AE761" i="2"/>
  <c r="AI761" i="2"/>
  <c r="AE762" i="2"/>
  <c r="AI762" i="2" s="1"/>
  <c r="AE763" i="2"/>
  <c r="AI763" i="2"/>
  <c r="AE764" i="2"/>
  <c r="AI764" i="2"/>
  <c r="AE765" i="2"/>
  <c r="AI765" i="2"/>
  <c r="AI766" i="2"/>
  <c r="AE767" i="2"/>
  <c r="AI767" i="2"/>
  <c r="AI768" i="2"/>
  <c r="AC770" i="2"/>
  <c r="AD770" i="2"/>
  <c r="P735" i="2"/>
  <c r="S735" i="2" s="1"/>
  <c r="W735" i="2" s="1"/>
  <c r="P734" i="2"/>
  <c r="V733" i="2"/>
  <c r="V770" i="2" s="1"/>
  <c r="P733" i="2"/>
  <c r="U732" i="2"/>
  <c r="W732" i="2" s="1"/>
  <c r="P732" i="2"/>
  <c r="P731" i="2"/>
  <c r="S731" i="2" s="1"/>
  <c r="W731" i="2" s="1"/>
  <c r="U730" i="2"/>
  <c r="P730" i="2"/>
  <c r="U729" i="2"/>
  <c r="U770" i="2" s="1"/>
  <c r="P729" i="2"/>
  <c r="S729" i="2" s="1"/>
  <c r="P728" i="2"/>
  <c r="S728" i="2" s="1"/>
  <c r="W728" i="2" s="1"/>
  <c r="P727" i="2"/>
  <c r="S727" i="2" s="1"/>
  <c r="O728" i="2"/>
  <c r="O729" i="2" s="1"/>
  <c r="O730" i="2" s="1"/>
  <c r="O731" i="2" s="1"/>
  <c r="O732" i="2" s="1"/>
  <c r="O733" i="2" s="1"/>
  <c r="O734" i="2" s="1"/>
  <c r="O735" i="2" s="1"/>
  <c r="S730" i="2"/>
  <c r="W730" i="2" s="1"/>
  <c r="S732" i="2"/>
  <c r="S733" i="2"/>
  <c r="S734" i="2"/>
  <c r="W734" i="2"/>
  <c r="S736" i="2"/>
  <c r="W736" i="2"/>
  <c r="S737" i="2"/>
  <c r="W737" i="2" s="1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/>
  <c r="S744" i="2"/>
  <c r="W744" i="2"/>
  <c r="S745" i="2"/>
  <c r="W745" i="2"/>
  <c r="S746" i="2"/>
  <c r="W746" i="2" s="1"/>
  <c r="S747" i="2"/>
  <c r="W747" i="2"/>
  <c r="S748" i="2"/>
  <c r="W748" i="2"/>
  <c r="S749" i="2"/>
  <c r="W749" i="2"/>
  <c r="S750" i="2"/>
  <c r="W750" i="2"/>
  <c r="S751" i="2"/>
  <c r="W751" i="2"/>
  <c r="S752" i="2"/>
  <c r="W752" i="2"/>
  <c r="S753" i="2"/>
  <c r="W753" i="2"/>
  <c r="S754" i="2"/>
  <c r="W754" i="2" s="1"/>
  <c r="S755" i="2"/>
  <c r="W755" i="2"/>
  <c r="S756" i="2"/>
  <c r="W756" i="2"/>
  <c r="S757" i="2"/>
  <c r="W757" i="2" s="1"/>
  <c r="S758" i="2"/>
  <c r="W758" i="2"/>
  <c r="S759" i="2"/>
  <c r="W759" i="2"/>
  <c r="S760" i="2"/>
  <c r="W760" i="2"/>
  <c r="S761" i="2"/>
  <c r="W761" i="2"/>
  <c r="S762" i="2"/>
  <c r="W762" i="2"/>
  <c r="S763" i="2"/>
  <c r="W763" i="2"/>
  <c r="S764" i="2"/>
  <c r="W764" i="2"/>
  <c r="S765" i="2"/>
  <c r="W765" i="2" s="1"/>
  <c r="W766" i="2"/>
  <c r="S767" i="2"/>
  <c r="W767" i="2"/>
  <c r="W768" i="2"/>
  <c r="Q770" i="2"/>
  <c r="R770" i="2"/>
  <c r="AE729" i="2" l="1"/>
  <c r="W733" i="2"/>
  <c r="W729" i="2"/>
  <c r="W727" i="2"/>
  <c r="W770" i="2" s="1"/>
  <c r="S770" i="2"/>
  <c r="P770" i="2"/>
  <c r="D743" i="2"/>
  <c r="G743" i="2" s="1"/>
  <c r="K743" i="2" s="1"/>
  <c r="D742" i="2"/>
  <c r="G742" i="2" s="1"/>
  <c r="K742" i="2" s="1"/>
  <c r="D741" i="2"/>
  <c r="G741" i="2" s="1"/>
  <c r="K741" i="2" s="1"/>
  <c r="D740" i="2"/>
  <c r="G740" i="2" s="1"/>
  <c r="K740" i="2" s="1"/>
  <c r="D739" i="2"/>
  <c r="D738" i="2"/>
  <c r="D737" i="2"/>
  <c r="D736" i="2"/>
  <c r="G736" i="2" s="1"/>
  <c r="K736" i="2" s="1"/>
  <c r="D735" i="2"/>
  <c r="D734" i="2"/>
  <c r="D733" i="2"/>
  <c r="D732" i="2"/>
  <c r="G732" i="2" s="1"/>
  <c r="K732" i="2" s="1"/>
  <c r="D731" i="2"/>
  <c r="G731" i="2" s="1"/>
  <c r="K731" i="2" s="1"/>
  <c r="D730" i="2"/>
  <c r="D729" i="2"/>
  <c r="G729" i="2" s="1"/>
  <c r="K729" i="2" s="1"/>
  <c r="D728" i="2"/>
  <c r="G728" i="2" s="1"/>
  <c r="K728" i="2" s="1"/>
  <c r="D727" i="2"/>
  <c r="G727" i="2"/>
  <c r="K727" i="2"/>
  <c r="C728" i="2"/>
  <c r="C729" i="2" s="1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J770" i="2"/>
  <c r="G730" i="2"/>
  <c r="K730" i="2"/>
  <c r="G733" i="2"/>
  <c r="K733" i="2" s="1"/>
  <c r="G734" i="2"/>
  <c r="K734" i="2"/>
  <c r="G735" i="2"/>
  <c r="K735" i="2" s="1"/>
  <c r="G737" i="2"/>
  <c r="K737" i="2"/>
  <c r="G738" i="2"/>
  <c r="K738" i="2" s="1"/>
  <c r="G739" i="2"/>
  <c r="K739" i="2"/>
  <c r="G744" i="2"/>
  <c r="K744" i="2"/>
  <c r="G745" i="2"/>
  <c r="K745" i="2" s="1"/>
  <c r="G746" i="2"/>
  <c r="K746" i="2"/>
  <c r="G747" i="2"/>
  <c r="K747" i="2" s="1"/>
  <c r="G748" i="2"/>
  <c r="K748" i="2"/>
  <c r="G749" i="2"/>
  <c r="K749" i="2" s="1"/>
  <c r="G750" i="2"/>
  <c r="K750" i="2"/>
  <c r="G751" i="2"/>
  <c r="K751" i="2" s="1"/>
  <c r="G752" i="2"/>
  <c r="K752" i="2"/>
  <c r="G753" i="2"/>
  <c r="K753" i="2"/>
  <c r="G754" i="2"/>
  <c r="K754" i="2"/>
  <c r="G755" i="2"/>
  <c r="K755" i="2"/>
  <c r="G756" i="2"/>
  <c r="K756" i="2"/>
  <c r="G757" i="2"/>
  <c r="K757" i="2" s="1"/>
  <c r="G758" i="2"/>
  <c r="K758" i="2"/>
  <c r="G759" i="2"/>
  <c r="K759" i="2" s="1"/>
  <c r="G760" i="2"/>
  <c r="K760" i="2"/>
  <c r="G767" i="2"/>
  <c r="K767" i="2"/>
  <c r="E770" i="2"/>
  <c r="F770" i="2"/>
  <c r="I770" i="2"/>
  <c r="AI729" i="2" l="1"/>
  <c r="AI770" i="2" s="1"/>
  <c r="AE770" i="2"/>
  <c r="D770" i="2"/>
  <c r="K770" i="2"/>
  <c r="G770" i="2"/>
  <c r="AH674" i="2"/>
  <c r="AH715" i="2" s="1"/>
  <c r="AB674" i="2"/>
  <c r="AH673" i="2"/>
  <c r="AB673" i="2"/>
  <c r="AG672" i="2"/>
  <c r="AG715" i="2" s="1"/>
  <c r="AB672" i="2"/>
  <c r="AB715" i="2" s="1"/>
  <c r="AA673" i="2"/>
  <c r="AA674" i="2" s="1"/>
  <c r="AE673" i="2"/>
  <c r="AI673" i="2" s="1"/>
  <c r="AE674" i="2"/>
  <c r="AE675" i="2"/>
  <c r="AI675" i="2" s="1"/>
  <c r="AE676" i="2"/>
  <c r="AI676" i="2"/>
  <c r="AE677" i="2"/>
  <c r="AI677" i="2" s="1"/>
  <c r="AE678" i="2"/>
  <c r="AI678" i="2"/>
  <c r="AE679" i="2"/>
  <c r="AI679" i="2" s="1"/>
  <c r="AE680" i="2"/>
  <c r="AI680" i="2"/>
  <c r="AE681" i="2"/>
  <c r="AI681" i="2"/>
  <c r="AE682" i="2"/>
  <c r="AI682" i="2"/>
  <c r="AE683" i="2"/>
  <c r="AI683" i="2" s="1"/>
  <c r="AE684" i="2"/>
  <c r="AI684" i="2"/>
  <c r="AE685" i="2"/>
  <c r="AI685" i="2" s="1"/>
  <c r="AE686" i="2"/>
  <c r="AI686" i="2"/>
  <c r="AE687" i="2"/>
  <c r="AI687" i="2" s="1"/>
  <c r="AE688" i="2"/>
  <c r="AI688" i="2"/>
  <c r="AE689" i="2"/>
  <c r="AI689" i="2"/>
  <c r="AE690" i="2"/>
  <c r="AI690" i="2"/>
  <c r="AE691" i="2"/>
  <c r="AI691" i="2"/>
  <c r="AE692" i="2"/>
  <c r="AI692" i="2"/>
  <c r="AE693" i="2"/>
  <c r="AI693" i="2" s="1"/>
  <c r="AE694" i="2"/>
  <c r="AI694" i="2"/>
  <c r="AE695" i="2"/>
  <c r="AI695" i="2" s="1"/>
  <c r="AE696" i="2"/>
  <c r="AI696" i="2" s="1"/>
  <c r="AE697" i="2"/>
  <c r="AI697" i="2"/>
  <c r="AE698" i="2"/>
  <c r="AI698" i="2"/>
  <c r="AE699" i="2"/>
  <c r="AI699" i="2"/>
  <c r="AE700" i="2"/>
  <c r="AI700" i="2"/>
  <c r="AE701" i="2"/>
  <c r="AI701" i="2" s="1"/>
  <c r="AE702" i="2"/>
  <c r="AI702" i="2"/>
  <c r="AE703" i="2"/>
  <c r="AI703" i="2" s="1"/>
  <c r="AE704" i="2"/>
  <c r="AI704" i="2"/>
  <c r="AE705" i="2"/>
  <c r="AI705" i="2"/>
  <c r="AE706" i="2"/>
  <c r="AI706" i="2"/>
  <c r="AE707" i="2"/>
  <c r="AI707" i="2"/>
  <c r="AE708" i="2"/>
  <c r="AI708" i="2"/>
  <c r="AE709" i="2"/>
  <c r="AI709" i="2" s="1"/>
  <c r="AE710" i="2"/>
  <c r="AI710" i="2"/>
  <c r="AI711" i="2"/>
  <c r="AE712" i="2"/>
  <c r="AI712" i="2"/>
  <c r="AI713" i="2"/>
  <c r="AC715" i="2"/>
  <c r="AD715" i="2"/>
  <c r="V676" i="2"/>
  <c r="U676" i="2"/>
  <c r="P676" i="2"/>
  <c r="S676" i="2" s="1"/>
  <c r="W676" i="2" s="1"/>
  <c r="P675" i="2"/>
  <c r="S675" i="2" s="1"/>
  <c r="W675" i="2" s="1"/>
  <c r="P674" i="2"/>
  <c r="V673" i="2"/>
  <c r="P672" i="2"/>
  <c r="S672" i="2"/>
  <c r="W672" i="2" s="1"/>
  <c r="O673" i="2"/>
  <c r="S673" i="2"/>
  <c r="O674" i="2"/>
  <c r="O675" i="2" s="1"/>
  <c r="U715" i="2"/>
  <c r="S677" i="2"/>
  <c r="W677" i="2"/>
  <c r="S678" i="2"/>
  <c r="W678" i="2"/>
  <c r="S679" i="2"/>
  <c r="W679" i="2"/>
  <c r="S680" i="2"/>
  <c r="W680" i="2"/>
  <c r="S681" i="2"/>
  <c r="W681" i="2"/>
  <c r="S682" i="2"/>
  <c r="W682" i="2" s="1"/>
  <c r="S683" i="2"/>
  <c r="W683" i="2"/>
  <c r="S684" i="2"/>
  <c r="W684" i="2"/>
  <c r="S685" i="2"/>
  <c r="W685" i="2"/>
  <c r="S686" i="2"/>
  <c r="W686" i="2"/>
  <c r="S687" i="2"/>
  <c r="W687" i="2"/>
  <c r="S688" i="2"/>
  <c r="W688" i="2"/>
  <c r="S689" i="2"/>
  <c r="W689" i="2" s="1"/>
  <c r="S690" i="2"/>
  <c r="W690" i="2" s="1"/>
  <c r="S691" i="2"/>
  <c r="W691" i="2"/>
  <c r="S692" i="2"/>
  <c r="W692" i="2"/>
  <c r="S693" i="2"/>
  <c r="W693" i="2"/>
  <c r="S694" i="2"/>
  <c r="W694" i="2"/>
  <c r="S695" i="2"/>
  <c r="W695" i="2"/>
  <c r="S696" i="2"/>
  <c r="W696" i="2"/>
  <c r="S697" i="2"/>
  <c r="W697" i="2"/>
  <c r="S698" i="2"/>
  <c r="W698" i="2" s="1"/>
  <c r="S699" i="2"/>
  <c r="W699" i="2"/>
  <c r="S700" i="2"/>
  <c r="W700" i="2"/>
  <c r="S701" i="2"/>
  <c r="W701" i="2"/>
  <c r="S702" i="2"/>
  <c r="W702" i="2"/>
  <c r="S703" i="2"/>
  <c r="W703" i="2"/>
  <c r="S704" i="2"/>
  <c r="W704" i="2"/>
  <c r="S705" i="2"/>
  <c r="W705" i="2"/>
  <c r="S706" i="2"/>
  <c r="W706" i="2" s="1"/>
  <c r="S707" i="2"/>
  <c r="W707" i="2"/>
  <c r="S708" i="2"/>
  <c r="W708" i="2"/>
  <c r="S709" i="2"/>
  <c r="W709" i="2"/>
  <c r="S710" i="2"/>
  <c r="W710" i="2" s="1"/>
  <c r="W711" i="2"/>
  <c r="S712" i="2"/>
  <c r="W712" i="2"/>
  <c r="W713" i="2"/>
  <c r="Q715" i="2"/>
  <c r="R715" i="2"/>
  <c r="V715" i="2"/>
  <c r="J674" i="2"/>
  <c r="D674" i="2"/>
  <c r="G674" i="2" s="1"/>
  <c r="K674" i="2" s="1"/>
  <c r="D673" i="2"/>
  <c r="G673" i="2" s="1"/>
  <c r="K673" i="2" s="1"/>
  <c r="D672" i="2"/>
  <c r="G672" i="2"/>
  <c r="K672" i="2" s="1"/>
  <c r="C673" i="2"/>
  <c r="C674" i="2" s="1"/>
  <c r="G675" i="2"/>
  <c r="I715" i="2"/>
  <c r="G676" i="2"/>
  <c r="K676" i="2" s="1"/>
  <c r="G677" i="2"/>
  <c r="K677" i="2" s="1"/>
  <c r="G678" i="2"/>
  <c r="K678" i="2" s="1"/>
  <c r="G679" i="2"/>
  <c r="K679" i="2"/>
  <c r="G680" i="2"/>
  <c r="K680" i="2" s="1"/>
  <c r="G681" i="2"/>
  <c r="K681" i="2" s="1"/>
  <c r="G682" i="2"/>
  <c r="K682" i="2" s="1"/>
  <c r="G683" i="2"/>
  <c r="K683" i="2"/>
  <c r="G684" i="2"/>
  <c r="K684" i="2" s="1"/>
  <c r="G685" i="2"/>
  <c r="K685" i="2" s="1"/>
  <c r="G686" i="2"/>
  <c r="K686" i="2" s="1"/>
  <c r="G687" i="2"/>
  <c r="K687" i="2"/>
  <c r="G688" i="2"/>
  <c r="K688" i="2" s="1"/>
  <c r="G689" i="2"/>
  <c r="K689" i="2" s="1"/>
  <c r="G690" i="2"/>
  <c r="K690" i="2"/>
  <c r="G691" i="2"/>
  <c r="K691" i="2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/>
  <c r="G699" i="2"/>
  <c r="K699" i="2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/>
  <c r="E715" i="2"/>
  <c r="F715" i="2"/>
  <c r="J715" i="2"/>
  <c r="AI674" i="2" l="1"/>
  <c r="AE672" i="2"/>
  <c r="AI672" i="2" s="1"/>
  <c r="AE715" i="2"/>
  <c r="P715" i="2"/>
  <c r="W673" i="2"/>
  <c r="S674" i="2"/>
  <c r="W674" i="2" s="1"/>
  <c r="D715" i="2"/>
  <c r="K675" i="2"/>
  <c r="K715" i="2" s="1"/>
  <c r="G715" i="2"/>
  <c r="AB622" i="2"/>
  <c r="AE622" i="2" s="1"/>
  <c r="AI622" i="2" s="1"/>
  <c r="AB621" i="2"/>
  <c r="AG620" i="2"/>
  <c r="AB620" i="2"/>
  <c r="AB660" i="2" s="1"/>
  <c r="AB619" i="2"/>
  <c r="AB618" i="2"/>
  <c r="AB617" i="2"/>
  <c r="AE617" i="2"/>
  <c r="AA618" i="2"/>
  <c r="AA619" i="2" s="1"/>
  <c r="AA620" i="2" s="1"/>
  <c r="AA621" i="2" s="1"/>
  <c r="AA622" i="2" s="1"/>
  <c r="AE618" i="2"/>
  <c r="AI618" i="2" s="1"/>
  <c r="AE619" i="2"/>
  <c r="AI619" i="2"/>
  <c r="AG660" i="2"/>
  <c r="AE621" i="2"/>
  <c r="AI621" i="2" s="1"/>
  <c r="AE623" i="2"/>
  <c r="AI623" i="2" s="1"/>
  <c r="AE624" i="2"/>
  <c r="AI624" i="2" s="1"/>
  <c r="AE625" i="2"/>
  <c r="AI625" i="2" s="1"/>
  <c r="AE626" i="2"/>
  <c r="AI626" i="2" s="1"/>
  <c r="AE627" i="2"/>
  <c r="AI627" i="2"/>
  <c r="AE628" i="2"/>
  <c r="AI628" i="2"/>
  <c r="AE629" i="2"/>
  <c r="AI629" i="2"/>
  <c r="AE630" i="2"/>
  <c r="AI630" i="2" s="1"/>
  <c r="AE631" i="2"/>
  <c r="AI631" i="2"/>
  <c r="AE632" i="2"/>
  <c r="AI632" i="2"/>
  <c r="AE633" i="2"/>
  <c r="AI633" i="2"/>
  <c r="AE634" i="2"/>
  <c r="AI634" i="2"/>
  <c r="AE635" i="2"/>
  <c r="AI635" i="2"/>
  <c r="AE636" i="2"/>
  <c r="AI636" i="2"/>
  <c r="AE637" i="2"/>
  <c r="AI637" i="2"/>
  <c r="AE638" i="2"/>
  <c r="AI638" i="2" s="1"/>
  <c r="AE639" i="2"/>
  <c r="AI639" i="2"/>
  <c r="AE640" i="2"/>
  <c r="AI640" i="2"/>
  <c r="AE641" i="2"/>
  <c r="AI641" i="2"/>
  <c r="AE642" i="2"/>
  <c r="AI642" i="2"/>
  <c r="AE643" i="2"/>
  <c r="AI643" i="2"/>
  <c r="AE644" i="2"/>
  <c r="AI644" i="2"/>
  <c r="AE645" i="2"/>
  <c r="AI645" i="2"/>
  <c r="AE646" i="2"/>
  <c r="AI646" i="2" s="1"/>
  <c r="AE647" i="2"/>
  <c r="AI647" i="2"/>
  <c r="AE648" i="2"/>
  <c r="AI648" i="2"/>
  <c r="AE649" i="2"/>
  <c r="AI649" i="2" s="1"/>
  <c r="AE650" i="2"/>
  <c r="AI650" i="2"/>
  <c r="AE651" i="2"/>
  <c r="AI651" i="2"/>
  <c r="AE652" i="2"/>
  <c r="AI652" i="2"/>
  <c r="AE653" i="2"/>
  <c r="AI653" i="2"/>
  <c r="AE654" i="2"/>
  <c r="AI654" i="2" s="1"/>
  <c r="AE655" i="2"/>
  <c r="AI655" i="2"/>
  <c r="AI656" i="2"/>
  <c r="AE657" i="2"/>
  <c r="AI657" i="2"/>
  <c r="AI658" i="2"/>
  <c r="AC660" i="2"/>
  <c r="AD660" i="2"/>
  <c r="AH660" i="2"/>
  <c r="V620" i="2"/>
  <c r="U620" i="2"/>
  <c r="P620" i="2"/>
  <c r="U619" i="2"/>
  <c r="P619" i="2"/>
  <c r="P618" i="2"/>
  <c r="S618" i="2" s="1"/>
  <c r="W618" i="2" s="1"/>
  <c r="V617" i="2"/>
  <c r="V660" i="2" s="1"/>
  <c r="P617" i="2"/>
  <c r="S617" i="2" s="1"/>
  <c r="O618" i="2"/>
  <c r="O619" i="2" s="1"/>
  <c r="O620" i="2" s="1"/>
  <c r="S619" i="2"/>
  <c r="W619" i="2" s="1"/>
  <c r="S620" i="2"/>
  <c r="W620" i="2" s="1"/>
  <c r="S621" i="2"/>
  <c r="W621" i="2"/>
  <c r="S622" i="2"/>
  <c r="W622" i="2" s="1"/>
  <c r="S623" i="2"/>
  <c r="W623" i="2"/>
  <c r="S624" i="2"/>
  <c r="W624" i="2"/>
  <c r="S625" i="2"/>
  <c r="W625" i="2" s="1"/>
  <c r="S626" i="2"/>
  <c r="W626" i="2" s="1"/>
  <c r="S627" i="2"/>
  <c r="W627" i="2"/>
  <c r="S628" i="2"/>
  <c r="W628" i="2"/>
  <c r="S629" i="2"/>
  <c r="W629" i="2"/>
  <c r="S630" i="2"/>
  <c r="W630" i="2" s="1"/>
  <c r="S631" i="2"/>
  <c r="W631" i="2"/>
  <c r="S632" i="2"/>
  <c r="W632" i="2" s="1"/>
  <c r="S633" i="2"/>
  <c r="W633" i="2" s="1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 s="1"/>
  <c r="S642" i="2"/>
  <c r="W642" i="2" s="1"/>
  <c r="S643" i="2"/>
  <c r="W643" i="2" s="1"/>
  <c r="S644" i="2"/>
  <c r="W644" i="2"/>
  <c r="S645" i="2"/>
  <c r="W645" i="2"/>
  <c r="S646" i="2"/>
  <c r="W646" i="2"/>
  <c r="S647" i="2"/>
  <c r="W647" i="2" s="1"/>
  <c r="S648" i="2"/>
  <c r="W648" i="2"/>
  <c r="S649" i="2"/>
  <c r="W649" i="2" s="1"/>
  <c r="S650" i="2"/>
  <c r="W650" i="2" s="1"/>
  <c r="S651" i="2"/>
  <c r="W651" i="2" s="1"/>
  <c r="S652" i="2"/>
  <c r="W652" i="2"/>
  <c r="S653" i="2"/>
  <c r="W653" i="2"/>
  <c r="S654" i="2"/>
  <c r="W654" i="2"/>
  <c r="S655" i="2"/>
  <c r="W655" i="2" s="1"/>
  <c r="W656" i="2"/>
  <c r="S657" i="2"/>
  <c r="W657" i="2"/>
  <c r="W658" i="2"/>
  <c r="Q660" i="2"/>
  <c r="R660" i="2"/>
  <c r="U660" i="2"/>
  <c r="D634" i="2"/>
  <c r="G634" i="2"/>
  <c r="K634" i="2" s="1"/>
  <c r="C634" i="2"/>
  <c r="D633" i="2"/>
  <c r="G633" i="2" s="1"/>
  <c r="K633" i="2" s="1"/>
  <c r="D632" i="2"/>
  <c r="D631" i="2"/>
  <c r="G631" i="2" s="1"/>
  <c r="K631" i="2" s="1"/>
  <c r="D630" i="2"/>
  <c r="G630" i="2" s="1"/>
  <c r="K630" i="2" s="1"/>
  <c r="D629" i="2"/>
  <c r="G629" i="2" s="1"/>
  <c r="K629" i="2" s="1"/>
  <c r="D628" i="2"/>
  <c r="G628" i="2" s="1"/>
  <c r="K628" i="2" s="1"/>
  <c r="D627" i="2"/>
  <c r="D626" i="2"/>
  <c r="D625" i="2"/>
  <c r="G625" i="2" s="1"/>
  <c r="K625" i="2" s="1"/>
  <c r="D624" i="2"/>
  <c r="G624" i="2" s="1"/>
  <c r="K624" i="2" s="1"/>
  <c r="D623" i="2"/>
  <c r="G623" i="2" s="1"/>
  <c r="K623" i="2" s="1"/>
  <c r="D622" i="2"/>
  <c r="G622" i="2" s="1"/>
  <c r="K622" i="2" s="1"/>
  <c r="D621" i="2"/>
  <c r="G621" i="2" s="1"/>
  <c r="K621" i="2" s="1"/>
  <c r="I620" i="2"/>
  <c r="D620" i="2"/>
  <c r="D619" i="2"/>
  <c r="G619" i="2" s="1"/>
  <c r="K619" i="2" s="1"/>
  <c r="D618" i="2"/>
  <c r="D617" i="2"/>
  <c r="G617" i="2"/>
  <c r="K617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C632" i="2" s="1"/>
  <c r="C633" i="2" s="1"/>
  <c r="G618" i="2"/>
  <c r="K618" i="2" s="1"/>
  <c r="I660" i="2"/>
  <c r="G620" i="2"/>
  <c r="K620" i="2" s="1"/>
  <c r="G626" i="2"/>
  <c r="K626" i="2" s="1"/>
  <c r="G627" i="2"/>
  <c r="K627" i="2" s="1"/>
  <c r="G632" i="2"/>
  <c r="K632" i="2"/>
  <c r="G635" i="2"/>
  <c r="K635" i="2" s="1"/>
  <c r="G636" i="2"/>
  <c r="K636" i="2"/>
  <c r="G637" i="2"/>
  <c r="K637" i="2"/>
  <c r="G638" i="2"/>
  <c r="K638" i="2"/>
  <c r="G639" i="2"/>
  <c r="K639" i="2"/>
  <c r="G640" i="2"/>
  <c r="K640" i="2"/>
  <c r="G641" i="2"/>
  <c r="K641" i="2" s="1"/>
  <c r="G642" i="2"/>
  <c r="K642" i="2"/>
  <c r="G643" i="2"/>
  <c r="K643" i="2"/>
  <c r="G644" i="2"/>
  <c r="K644" i="2"/>
  <c r="G645" i="2"/>
  <c r="K645" i="2"/>
  <c r="G646" i="2"/>
  <c r="K646" i="2"/>
  <c r="G647" i="2"/>
  <c r="K647" i="2"/>
  <c r="G648" i="2"/>
  <c r="K648" i="2"/>
  <c r="G649" i="2"/>
  <c r="K649" i="2" s="1"/>
  <c r="G650" i="2"/>
  <c r="K650" i="2"/>
  <c r="G657" i="2"/>
  <c r="K657" i="2"/>
  <c r="E660" i="2"/>
  <c r="F660" i="2"/>
  <c r="J660" i="2"/>
  <c r="AI715" i="2" l="1"/>
  <c r="W715" i="2"/>
  <c r="S715" i="2"/>
  <c r="AE620" i="2"/>
  <c r="AI620" i="2" s="1"/>
  <c r="AI617" i="2"/>
  <c r="W617" i="2"/>
  <c r="P660" i="2"/>
  <c r="S660" i="2"/>
  <c r="W660" i="2"/>
  <c r="D660" i="2"/>
  <c r="K660" i="2"/>
  <c r="G660" i="2"/>
  <c r="P579" i="2"/>
  <c r="P578" i="2"/>
  <c r="S578" i="2" s="1"/>
  <c r="W578" i="2" s="1"/>
  <c r="P577" i="2"/>
  <c r="P576" i="2"/>
  <c r="P575" i="2"/>
  <c r="P574" i="2"/>
  <c r="S574" i="2" s="1"/>
  <c r="W574" i="2" s="1"/>
  <c r="P573" i="2"/>
  <c r="P572" i="2"/>
  <c r="S572" i="2" s="1"/>
  <c r="W572" i="2" s="1"/>
  <c r="P571" i="2"/>
  <c r="P570" i="2"/>
  <c r="P569" i="2"/>
  <c r="P568" i="2"/>
  <c r="S568" i="2" s="1"/>
  <c r="W568" i="2" s="1"/>
  <c r="P567" i="2"/>
  <c r="P566" i="2"/>
  <c r="P565" i="2"/>
  <c r="P564" i="2"/>
  <c r="P563" i="2"/>
  <c r="S563" i="2" s="1"/>
  <c r="P562" i="2"/>
  <c r="S562" i="2"/>
  <c r="W562" i="2" s="1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S564" i="2"/>
  <c r="W564" i="2" s="1"/>
  <c r="S565" i="2"/>
  <c r="W565" i="2" s="1"/>
  <c r="S566" i="2"/>
  <c r="W566" i="2"/>
  <c r="S567" i="2"/>
  <c r="W567" i="2" s="1"/>
  <c r="S569" i="2"/>
  <c r="W569" i="2"/>
  <c r="S570" i="2"/>
  <c r="W570" i="2" s="1"/>
  <c r="S571" i="2"/>
  <c r="W571" i="2" s="1"/>
  <c r="S573" i="2"/>
  <c r="W573" i="2" s="1"/>
  <c r="S575" i="2"/>
  <c r="W575" i="2" s="1"/>
  <c r="S576" i="2"/>
  <c r="W576" i="2" s="1"/>
  <c r="S577" i="2"/>
  <c r="W577" i="2" s="1"/>
  <c r="S579" i="2"/>
  <c r="W579" i="2" s="1"/>
  <c r="S580" i="2"/>
  <c r="W580" i="2"/>
  <c r="S581" i="2"/>
  <c r="W581" i="2" s="1"/>
  <c r="S582" i="2"/>
  <c r="W582" i="2" s="1"/>
  <c r="S583" i="2"/>
  <c r="W583" i="2"/>
  <c r="S584" i="2"/>
  <c r="W584" i="2"/>
  <c r="S585" i="2"/>
  <c r="W585" i="2" s="1"/>
  <c r="S586" i="2"/>
  <c r="W586" i="2"/>
  <c r="S587" i="2"/>
  <c r="W587" i="2"/>
  <c r="S588" i="2"/>
  <c r="W588" i="2"/>
  <c r="S589" i="2"/>
  <c r="W589" i="2" s="1"/>
  <c r="S590" i="2"/>
  <c r="W590" i="2" s="1"/>
  <c r="S591" i="2"/>
  <c r="W591" i="2"/>
  <c r="S592" i="2"/>
  <c r="W592" i="2"/>
  <c r="S593" i="2"/>
  <c r="W593" i="2"/>
  <c r="S594" i="2"/>
  <c r="W594" i="2"/>
  <c r="S595" i="2"/>
  <c r="W595" i="2"/>
  <c r="S596" i="2"/>
  <c r="W596" i="2"/>
  <c r="S597" i="2"/>
  <c r="W597" i="2"/>
  <c r="S598" i="2"/>
  <c r="W598" i="2" s="1"/>
  <c r="S599" i="2"/>
  <c r="W599" i="2"/>
  <c r="S600" i="2"/>
  <c r="W600" i="2"/>
  <c r="W601" i="2"/>
  <c r="S602" i="2"/>
  <c r="W602" i="2" s="1"/>
  <c r="W603" i="2"/>
  <c r="Q605" i="2"/>
  <c r="R605" i="2"/>
  <c r="U605" i="2"/>
  <c r="V605" i="2"/>
  <c r="I564" i="2"/>
  <c r="D564" i="2"/>
  <c r="D563" i="2"/>
  <c r="D562" i="2"/>
  <c r="D605" i="2" s="1"/>
  <c r="G562" i="2"/>
  <c r="K562" i="2" s="1"/>
  <c r="C563" i="2"/>
  <c r="G563" i="2"/>
  <c r="K563" i="2"/>
  <c r="C564" i="2"/>
  <c r="G564" i="2"/>
  <c r="K564" i="2" s="1"/>
  <c r="G565" i="2"/>
  <c r="K565" i="2" s="1"/>
  <c r="G566" i="2"/>
  <c r="K566" i="2" s="1"/>
  <c r="G567" i="2"/>
  <c r="K567" i="2"/>
  <c r="G568" i="2"/>
  <c r="K568" i="2" s="1"/>
  <c r="G569" i="2"/>
  <c r="K569" i="2" s="1"/>
  <c r="G570" i="2"/>
  <c r="K570" i="2" s="1"/>
  <c r="G571" i="2"/>
  <c r="K571" i="2" s="1"/>
  <c r="G572" i="2"/>
  <c r="K572" i="2"/>
  <c r="G573" i="2"/>
  <c r="K573" i="2" s="1"/>
  <c r="G574" i="2"/>
  <c r="K574" i="2"/>
  <c r="G575" i="2"/>
  <c r="K575" i="2"/>
  <c r="G576" i="2"/>
  <c r="K576" i="2" s="1"/>
  <c r="G577" i="2"/>
  <c r="K577" i="2"/>
  <c r="G578" i="2"/>
  <c r="K578" i="2"/>
  <c r="G579" i="2"/>
  <c r="K579" i="2"/>
  <c r="G580" i="2"/>
  <c r="K580" i="2"/>
  <c r="G581" i="2"/>
  <c r="K581" i="2" s="1"/>
  <c r="G582" i="2"/>
  <c r="K582" i="2"/>
  <c r="G583" i="2"/>
  <c r="K583" i="2"/>
  <c r="G584" i="2"/>
  <c r="K584" i="2" s="1"/>
  <c r="G585" i="2"/>
  <c r="K585" i="2"/>
  <c r="G586" i="2"/>
  <c r="K586" i="2"/>
  <c r="G587" i="2"/>
  <c r="K587" i="2"/>
  <c r="G588" i="2"/>
  <c r="K588" i="2"/>
  <c r="G589" i="2"/>
  <c r="K589" i="2" s="1"/>
  <c r="G590" i="2"/>
  <c r="K590" i="2"/>
  <c r="G591" i="2"/>
  <c r="K591" i="2"/>
  <c r="G592" i="2"/>
  <c r="K592" i="2" s="1"/>
  <c r="G593" i="2"/>
  <c r="K593" i="2"/>
  <c r="G594" i="2"/>
  <c r="K594" i="2"/>
  <c r="G595" i="2"/>
  <c r="K595" i="2"/>
  <c r="G602" i="2"/>
  <c r="K602" i="2"/>
  <c r="E605" i="2"/>
  <c r="F605" i="2"/>
  <c r="I605" i="2"/>
  <c r="J605" i="2"/>
  <c r="AB567" i="2"/>
  <c r="AB566" i="2"/>
  <c r="AG565" i="2"/>
  <c r="AB565" i="2"/>
  <c r="AE565" i="2" s="1"/>
  <c r="AB564" i="2"/>
  <c r="AB563" i="2"/>
  <c r="AE563" i="2" s="1"/>
  <c r="AI563" i="2" s="1"/>
  <c r="AB562" i="2"/>
  <c r="AE562" i="2"/>
  <c r="AI562" i="2" s="1"/>
  <c r="AA563" i="2"/>
  <c r="AA564" i="2"/>
  <c r="AA565" i="2" s="1"/>
  <c r="AA566" i="2" s="1"/>
  <c r="AA567" i="2" s="1"/>
  <c r="AE564" i="2"/>
  <c r="AI564" i="2" s="1"/>
  <c r="AE566" i="2"/>
  <c r="AI566" i="2" s="1"/>
  <c r="AE567" i="2"/>
  <c r="AI567" i="2" s="1"/>
  <c r="AE568" i="2"/>
  <c r="AI568" i="2" s="1"/>
  <c r="AE569" i="2"/>
  <c r="AI569" i="2" s="1"/>
  <c r="AE570" i="2"/>
  <c r="AI570" i="2"/>
  <c r="AE571" i="2"/>
  <c r="AI571" i="2" s="1"/>
  <c r="AE572" i="2"/>
  <c r="AI572" i="2" s="1"/>
  <c r="AE573" i="2"/>
  <c r="AI573" i="2"/>
  <c r="AE574" i="2"/>
  <c r="AI574" i="2"/>
  <c r="AE575" i="2"/>
  <c r="AI575" i="2" s="1"/>
  <c r="AE576" i="2"/>
  <c r="AI576" i="2"/>
  <c r="AE577" i="2"/>
  <c r="AI577" i="2"/>
  <c r="AE578" i="2"/>
  <c r="AI578" i="2"/>
  <c r="AE579" i="2"/>
  <c r="AI579" i="2"/>
  <c r="AE580" i="2"/>
  <c r="AI580" i="2"/>
  <c r="AE581" i="2"/>
  <c r="AI581" i="2"/>
  <c r="AE582" i="2"/>
  <c r="AI582" i="2"/>
  <c r="AE583" i="2"/>
  <c r="AI583" i="2" s="1"/>
  <c r="AE584" i="2"/>
  <c r="AI584" i="2"/>
  <c r="AE585" i="2"/>
  <c r="AI585" i="2"/>
  <c r="AE586" i="2"/>
  <c r="AI586" i="2"/>
  <c r="AE587" i="2"/>
  <c r="AI587" i="2"/>
  <c r="AE588" i="2"/>
  <c r="AI588" i="2"/>
  <c r="AE589" i="2"/>
  <c r="AI589" i="2"/>
  <c r="AE590" i="2"/>
  <c r="AI590" i="2"/>
  <c r="AE591" i="2"/>
  <c r="AI591" i="2" s="1"/>
  <c r="AE592" i="2"/>
  <c r="AI592" i="2"/>
  <c r="AE593" i="2"/>
  <c r="AI593" i="2"/>
  <c r="AE594" i="2"/>
  <c r="AI594" i="2"/>
  <c r="AE595" i="2"/>
  <c r="AI595" i="2"/>
  <c r="AE596" i="2"/>
  <c r="AI596" i="2"/>
  <c r="AE597" i="2"/>
  <c r="AI597" i="2"/>
  <c r="AE598" i="2"/>
  <c r="AI598" i="2"/>
  <c r="AE599" i="2"/>
  <c r="AI599" i="2" s="1"/>
  <c r="AE600" i="2"/>
  <c r="AI600" i="2"/>
  <c r="AI601" i="2"/>
  <c r="AE602" i="2"/>
  <c r="AI602" i="2"/>
  <c r="AI603" i="2"/>
  <c r="AC605" i="2"/>
  <c r="AD605" i="2"/>
  <c r="AG605" i="2"/>
  <c r="AH605" i="2"/>
  <c r="AI660" i="2" l="1"/>
  <c r="AE660" i="2"/>
  <c r="P605" i="2"/>
  <c r="W563" i="2"/>
  <c r="S605" i="2"/>
  <c r="W605" i="2"/>
  <c r="G605" i="2"/>
  <c r="K605" i="2"/>
  <c r="AI565" i="2"/>
  <c r="AB605" i="2"/>
  <c r="AI605" i="2"/>
  <c r="AE605" i="2"/>
  <c r="AB517" i="2"/>
  <c r="AB516" i="2"/>
  <c r="AB515" i="2"/>
  <c r="AB514" i="2"/>
  <c r="AE514" i="2" s="1"/>
  <c r="AI514" i="2" s="1"/>
  <c r="AB513" i="2"/>
  <c r="AE513" i="2" s="1"/>
  <c r="AI513" i="2" s="1"/>
  <c r="AB512" i="2"/>
  <c r="AE512" i="2" s="1"/>
  <c r="AI512" i="2" s="1"/>
  <c r="AB511" i="2"/>
  <c r="AB510" i="2"/>
  <c r="AB509" i="2"/>
  <c r="AB508" i="2"/>
  <c r="AB507" i="2"/>
  <c r="AE507" i="2" s="1"/>
  <c r="AI507" i="2" s="1"/>
  <c r="AA509" i="2"/>
  <c r="AA510" i="2" s="1"/>
  <c r="AA511" i="2" s="1"/>
  <c r="AA512" i="2" s="1"/>
  <c r="AA513" i="2" s="1"/>
  <c r="AA514" i="2" s="1"/>
  <c r="AA515" i="2" s="1"/>
  <c r="AA516" i="2" s="1"/>
  <c r="AA517" i="2" s="1"/>
  <c r="AA508" i="2"/>
  <c r="AE508" i="2"/>
  <c r="AI508" i="2" s="1"/>
  <c r="AE509" i="2"/>
  <c r="AI509" i="2" s="1"/>
  <c r="AE510" i="2"/>
  <c r="AI510" i="2" s="1"/>
  <c r="AE511" i="2"/>
  <c r="AI511" i="2" s="1"/>
  <c r="AE515" i="2"/>
  <c r="AI515" i="2" s="1"/>
  <c r="AE516" i="2"/>
  <c r="AI516" i="2" s="1"/>
  <c r="AE517" i="2"/>
  <c r="AI517" i="2"/>
  <c r="AE518" i="2"/>
  <c r="AI518" i="2" s="1"/>
  <c r="AE519" i="2"/>
  <c r="AI519" i="2" s="1"/>
  <c r="AE520" i="2"/>
  <c r="AI520" i="2"/>
  <c r="AE521" i="2"/>
  <c r="AI521" i="2" s="1"/>
  <c r="AE522" i="2"/>
  <c r="AI522" i="2"/>
  <c r="AE523" i="2"/>
  <c r="AI523" i="2" s="1"/>
  <c r="AE524" i="2"/>
  <c r="AI524" i="2"/>
  <c r="AE525" i="2"/>
  <c r="AI525" i="2"/>
  <c r="AE526" i="2"/>
  <c r="AI526" i="2" s="1"/>
  <c r="AE527" i="2"/>
  <c r="AI527" i="2"/>
  <c r="AE528" i="2"/>
  <c r="AI528" i="2"/>
  <c r="AE529" i="2"/>
  <c r="AI529" i="2" s="1"/>
  <c r="AE530" i="2"/>
  <c r="AI530" i="2"/>
  <c r="AE531" i="2"/>
  <c r="AI531" i="2"/>
  <c r="AE532" i="2"/>
  <c r="AI532" i="2"/>
  <c r="AE533" i="2"/>
  <c r="AI533" i="2"/>
  <c r="AE534" i="2"/>
  <c r="AI534" i="2" s="1"/>
  <c r="AE535" i="2"/>
  <c r="AI535" i="2"/>
  <c r="AE536" i="2"/>
  <c r="AI536" i="2"/>
  <c r="AE537" i="2"/>
  <c r="AI537" i="2" s="1"/>
  <c r="AE538" i="2"/>
  <c r="AI538" i="2"/>
  <c r="AE539" i="2"/>
  <c r="AI539" i="2"/>
  <c r="AE540" i="2"/>
  <c r="AI540" i="2"/>
  <c r="AE541" i="2"/>
  <c r="AI541" i="2"/>
  <c r="AE542" i="2"/>
  <c r="AI542" i="2" s="1"/>
  <c r="AE543" i="2"/>
  <c r="AI543" i="2"/>
  <c r="AE544" i="2"/>
  <c r="AI544" i="2"/>
  <c r="AE545" i="2"/>
  <c r="AI545" i="2" s="1"/>
  <c r="AI546" i="2"/>
  <c r="AE547" i="2"/>
  <c r="AI547" i="2" s="1"/>
  <c r="AI548" i="2"/>
  <c r="AC550" i="2"/>
  <c r="AD550" i="2"/>
  <c r="AG550" i="2"/>
  <c r="AH550" i="2"/>
  <c r="U518" i="2"/>
  <c r="U550" i="2" s="1"/>
  <c r="P518" i="2"/>
  <c r="S518" i="2" s="1"/>
  <c r="P517" i="2"/>
  <c r="P516" i="2"/>
  <c r="S516" i="2" s="1"/>
  <c r="W516" i="2" s="1"/>
  <c r="P515" i="2"/>
  <c r="S515" i="2" s="1"/>
  <c r="W515" i="2" s="1"/>
  <c r="P514" i="2"/>
  <c r="S514" i="2" s="1"/>
  <c r="W514" i="2" s="1"/>
  <c r="P513" i="2"/>
  <c r="P512" i="2"/>
  <c r="S512" i="2" s="1"/>
  <c r="W512" i="2" s="1"/>
  <c r="P511" i="2"/>
  <c r="S511" i="2" s="1"/>
  <c r="W511" i="2" s="1"/>
  <c r="P510" i="2"/>
  <c r="S510" i="2" s="1"/>
  <c r="W510" i="2" s="1"/>
  <c r="P509" i="2"/>
  <c r="S509" i="2" s="1"/>
  <c r="W509" i="2" s="1"/>
  <c r="P508" i="2"/>
  <c r="P507" i="2"/>
  <c r="S507" i="2" s="1"/>
  <c r="W507" i="2" s="1"/>
  <c r="O508" i="2"/>
  <c r="O509" i="2" s="1"/>
  <c r="O510" i="2" s="1"/>
  <c r="O511" i="2" s="1"/>
  <c r="O512" i="2" s="1"/>
  <c r="O513" i="2" s="1"/>
  <c r="O514" i="2" s="1"/>
  <c r="O515" i="2" s="1"/>
  <c r="O517" i="2" s="1"/>
  <c r="O518" i="2" s="1"/>
  <c r="S508" i="2"/>
  <c r="V550" i="2"/>
  <c r="S513" i="2"/>
  <c r="W513" i="2"/>
  <c r="S517" i="2"/>
  <c r="W517" i="2" s="1"/>
  <c r="S519" i="2"/>
  <c r="W519" i="2"/>
  <c r="S520" i="2"/>
  <c r="W520" i="2" s="1"/>
  <c r="S521" i="2"/>
  <c r="W521" i="2"/>
  <c r="S522" i="2"/>
  <c r="W522" i="2"/>
  <c r="S523" i="2"/>
  <c r="W523" i="2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/>
  <c r="S532" i="2"/>
  <c r="W532" i="2"/>
  <c r="S533" i="2"/>
  <c r="W533" i="2"/>
  <c r="S534" i="2"/>
  <c r="W534" i="2" s="1"/>
  <c r="S535" i="2"/>
  <c r="W535" i="2"/>
  <c r="S536" i="2"/>
  <c r="W536" i="2"/>
  <c r="S537" i="2"/>
  <c r="W537" i="2"/>
  <c r="S538" i="2"/>
  <c r="W538" i="2"/>
  <c r="S539" i="2"/>
  <c r="W539" i="2"/>
  <c r="S540" i="2"/>
  <c r="W540" i="2"/>
  <c r="S541" i="2"/>
  <c r="W541" i="2"/>
  <c r="S542" i="2"/>
  <c r="W542" i="2" s="1"/>
  <c r="S543" i="2"/>
  <c r="W543" i="2"/>
  <c r="S544" i="2"/>
  <c r="W544" i="2"/>
  <c r="S545" i="2"/>
  <c r="W545" i="2" s="1"/>
  <c r="W546" i="2"/>
  <c r="S547" i="2"/>
  <c r="W547" i="2"/>
  <c r="W548" i="2"/>
  <c r="Q550" i="2"/>
  <c r="R550" i="2"/>
  <c r="D510" i="2"/>
  <c r="D509" i="2"/>
  <c r="G509" i="2" s="1"/>
  <c r="K509" i="2" s="1"/>
  <c r="D508" i="2"/>
  <c r="G508" i="2" s="1"/>
  <c r="K508" i="2" s="1"/>
  <c r="J507" i="2"/>
  <c r="J550" i="2" s="1"/>
  <c r="I507" i="2"/>
  <c r="I550" i="2" s="1"/>
  <c r="D507" i="2"/>
  <c r="G507" i="2" s="1"/>
  <c r="F550" i="2"/>
  <c r="E550" i="2"/>
  <c r="G547" i="2"/>
  <c r="K547" i="2" s="1"/>
  <c r="G540" i="2"/>
  <c r="K540" i="2" s="1"/>
  <c r="G539" i="2"/>
  <c r="K539" i="2" s="1"/>
  <c r="G538" i="2"/>
  <c r="K538" i="2" s="1"/>
  <c r="K537" i="2"/>
  <c r="G537" i="2"/>
  <c r="G536" i="2"/>
  <c r="K536" i="2" s="1"/>
  <c r="G535" i="2"/>
  <c r="K535" i="2" s="1"/>
  <c r="G534" i="2"/>
  <c r="K534" i="2" s="1"/>
  <c r="G533" i="2"/>
  <c r="K533" i="2" s="1"/>
  <c r="G532" i="2"/>
  <c r="K532" i="2" s="1"/>
  <c r="G531" i="2"/>
  <c r="K531" i="2" s="1"/>
  <c r="G530" i="2"/>
  <c r="K530" i="2" s="1"/>
  <c r="K529" i="2"/>
  <c r="G529" i="2"/>
  <c r="G528" i="2"/>
  <c r="K528" i="2" s="1"/>
  <c r="G527" i="2"/>
  <c r="K527" i="2" s="1"/>
  <c r="G526" i="2"/>
  <c r="K526" i="2" s="1"/>
  <c r="G525" i="2"/>
  <c r="K525" i="2" s="1"/>
  <c r="G524" i="2"/>
  <c r="K524" i="2" s="1"/>
  <c r="G523" i="2"/>
  <c r="K523" i="2" s="1"/>
  <c r="G522" i="2"/>
  <c r="K522" i="2" s="1"/>
  <c r="G521" i="2"/>
  <c r="K521" i="2" s="1"/>
  <c r="G520" i="2"/>
  <c r="K520" i="2" s="1"/>
  <c r="G519" i="2"/>
  <c r="K519" i="2" s="1"/>
  <c r="G518" i="2"/>
  <c r="K518" i="2" s="1"/>
  <c r="G517" i="2"/>
  <c r="K517" i="2" s="1"/>
  <c r="G516" i="2"/>
  <c r="K516" i="2" s="1"/>
  <c r="G515" i="2"/>
  <c r="K515" i="2" s="1"/>
  <c r="G514" i="2"/>
  <c r="K514" i="2" s="1"/>
  <c r="G513" i="2"/>
  <c r="K513" i="2" s="1"/>
  <c r="G512" i="2"/>
  <c r="K512" i="2" s="1"/>
  <c r="G511" i="2"/>
  <c r="K511" i="2" s="1"/>
  <c r="G510" i="2"/>
  <c r="K510" i="2" s="1"/>
  <c r="C508" i="2"/>
  <c r="C509" i="2" s="1"/>
  <c r="C510" i="2" s="1"/>
  <c r="AB550" i="2" l="1"/>
  <c r="AI550" i="2"/>
  <c r="AE550" i="2"/>
  <c r="W518" i="2"/>
  <c r="P550" i="2"/>
  <c r="S550" i="2"/>
  <c r="W508" i="2"/>
  <c r="K507" i="2"/>
  <c r="K550" i="2" s="1"/>
  <c r="G550" i="2"/>
  <c r="D550" i="2"/>
  <c r="AG454" i="2"/>
  <c r="AI454" i="2" s="1"/>
  <c r="AB454" i="2"/>
  <c r="AB453" i="2"/>
  <c r="AE453" i="2" s="1"/>
  <c r="AB452" i="2"/>
  <c r="AE452" i="2" s="1"/>
  <c r="AI452" i="2" s="1"/>
  <c r="AA454" i="2"/>
  <c r="AA455" i="2"/>
  <c r="AA453" i="2"/>
  <c r="AE454" i="2"/>
  <c r="AE455" i="2"/>
  <c r="AI455" i="2" s="1"/>
  <c r="AE456" i="2"/>
  <c r="AI456" i="2" s="1"/>
  <c r="AE457" i="2"/>
  <c r="AI457" i="2"/>
  <c r="AE458" i="2"/>
  <c r="AI458" i="2" s="1"/>
  <c r="AE459" i="2"/>
  <c r="AI459" i="2" s="1"/>
  <c r="AE460" i="2"/>
  <c r="AI460" i="2"/>
  <c r="AE461" i="2"/>
  <c r="AI461" i="2"/>
  <c r="AE462" i="2"/>
  <c r="AI462" i="2"/>
  <c r="AE463" i="2"/>
  <c r="AI463" i="2" s="1"/>
  <c r="AE464" i="2"/>
  <c r="AI464" i="2" s="1"/>
  <c r="AE465" i="2"/>
  <c r="AI465" i="2"/>
  <c r="AE466" i="2"/>
  <c r="AI466" i="2" s="1"/>
  <c r="AE467" i="2"/>
  <c r="AI467" i="2"/>
  <c r="AE468" i="2"/>
  <c r="AI468" i="2"/>
  <c r="AE469" i="2"/>
  <c r="AI469" i="2"/>
  <c r="AE470" i="2"/>
  <c r="AI470" i="2"/>
  <c r="AE471" i="2"/>
  <c r="AI471" i="2" s="1"/>
  <c r="AE472" i="2"/>
  <c r="AI472" i="2" s="1"/>
  <c r="AE473" i="2"/>
  <c r="AI473" i="2"/>
  <c r="AE474" i="2"/>
  <c r="AI474" i="2" s="1"/>
  <c r="AE475" i="2"/>
  <c r="AI475" i="2"/>
  <c r="AE476" i="2"/>
  <c r="AI476" i="2"/>
  <c r="AE477" i="2"/>
  <c r="AI477" i="2"/>
  <c r="AE478" i="2"/>
  <c r="AI478" i="2"/>
  <c r="AE479" i="2"/>
  <c r="AI479" i="2" s="1"/>
  <c r="AE480" i="2"/>
  <c r="AI480" i="2" s="1"/>
  <c r="AE481" i="2"/>
  <c r="AI481" i="2"/>
  <c r="AE482" i="2"/>
  <c r="AI482" i="2" s="1"/>
  <c r="AE483" i="2"/>
  <c r="AI483" i="2"/>
  <c r="AE484" i="2"/>
  <c r="AI484" i="2"/>
  <c r="AE485" i="2"/>
  <c r="AI485" i="2"/>
  <c r="AE486" i="2"/>
  <c r="AI486" i="2"/>
  <c r="AE487" i="2"/>
  <c r="AI487" i="2" s="1"/>
  <c r="AE488" i="2"/>
  <c r="AI488" i="2" s="1"/>
  <c r="AE489" i="2"/>
  <c r="AI489" i="2"/>
  <c r="AE490" i="2"/>
  <c r="AI490" i="2" s="1"/>
  <c r="AI491" i="2"/>
  <c r="AE492" i="2"/>
  <c r="AI492" i="2"/>
  <c r="AI493" i="2"/>
  <c r="AC495" i="2"/>
  <c r="AD495" i="2"/>
  <c r="AH495" i="2"/>
  <c r="V454" i="2"/>
  <c r="P454" i="2"/>
  <c r="S454" i="2" s="1"/>
  <c r="P453" i="2"/>
  <c r="S453" i="2" s="1"/>
  <c r="V453" i="2"/>
  <c r="U453" i="2"/>
  <c r="V452" i="2"/>
  <c r="P452" i="2"/>
  <c r="S452" i="2"/>
  <c r="W452" i="2" s="1"/>
  <c r="U495" i="2"/>
  <c r="O453" i="2"/>
  <c r="O454" i="2" s="1"/>
  <c r="S455" i="2"/>
  <c r="W455" i="2"/>
  <c r="S456" i="2"/>
  <c r="W456" i="2" s="1"/>
  <c r="S457" i="2"/>
  <c r="W457" i="2"/>
  <c r="S458" i="2"/>
  <c r="W458" i="2" s="1"/>
  <c r="S459" i="2"/>
  <c r="W459" i="2"/>
  <c r="S460" i="2"/>
  <c r="W460" i="2"/>
  <c r="S461" i="2"/>
  <c r="W461" i="2"/>
  <c r="S462" i="2"/>
  <c r="W462" i="2"/>
  <c r="S463" i="2"/>
  <c r="W463" i="2"/>
  <c r="S464" i="2"/>
  <c r="W464" i="2" s="1"/>
  <c r="S465" i="2"/>
  <c r="W465" i="2"/>
  <c r="S466" i="2"/>
  <c r="W466" i="2" s="1"/>
  <c r="S467" i="2"/>
  <c r="W467" i="2"/>
  <c r="S468" i="2"/>
  <c r="W468" i="2"/>
  <c r="S469" i="2"/>
  <c r="W469" i="2"/>
  <c r="S470" i="2"/>
  <c r="W470" i="2"/>
  <c r="S471" i="2"/>
  <c r="W471" i="2"/>
  <c r="S472" i="2"/>
  <c r="W472" i="2" s="1"/>
  <c r="S473" i="2"/>
  <c r="W473" i="2"/>
  <c r="S474" i="2"/>
  <c r="W474" i="2" s="1"/>
  <c r="S475" i="2"/>
  <c r="W475" i="2"/>
  <c r="S476" i="2"/>
  <c r="W476" i="2"/>
  <c r="S477" i="2"/>
  <c r="W477" i="2"/>
  <c r="S478" i="2"/>
  <c r="W478" i="2"/>
  <c r="S479" i="2"/>
  <c r="W479" i="2"/>
  <c r="S480" i="2"/>
  <c r="W480" i="2" s="1"/>
  <c r="S481" i="2"/>
  <c r="W481" i="2"/>
  <c r="S482" i="2"/>
  <c r="W482" i="2" s="1"/>
  <c r="S483" i="2"/>
  <c r="W483" i="2"/>
  <c r="S484" i="2"/>
  <c r="W484" i="2"/>
  <c r="S485" i="2"/>
  <c r="W485" i="2"/>
  <c r="S486" i="2"/>
  <c r="W486" i="2"/>
  <c r="S487" i="2"/>
  <c r="W487" i="2"/>
  <c r="S488" i="2"/>
  <c r="W488" i="2" s="1"/>
  <c r="S489" i="2"/>
  <c r="W489" i="2"/>
  <c r="S490" i="2"/>
  <c r="W490" i="2" s="1"/>
  <c r="W491" i="2"/>
  <c r="S492" i="2"/>
  <c r="W492" i="2"/>
  <c r="W493" i="2"/>
  <c r="Q495" i="2"/>
  <c r="R495" i="2"/>
  <c r="W550" i="2" l="1"/>
  <c r="AG495" i="2"/>
  <c r="AB495" i="2"/>
  <c r="AI453" i="2"/>
  <c r="AI495" i="2" s="1"/>
  <c r="AE495" i="2"/>
  <c r="W454" i="2"/>
  <c r="S495" i="2"/>
  <c r="W453" i="2"/>
  <c r="P495" i="2"/>
  <c r="V495" i="2"/>
  <c r="W495" i="2"/>
  <c r="AB401" i="2"/>
  <c r="AE401" i="2" s="1"/>
  <c r="AI401" i="2" s="1"/>
  <c r="AB400" i="2"/>
  <c r="AB399" i="2"/>
  <c r="AB398" i="2"/>
  <c r="AG397" i="2"/>
  <c r="AB397" i="2"/>
  <c r="AA400" i="2"/>
  <c r="AA401" i="2" s="1"/>
  <c r="AE397" i="2"/>
  <c r="AA398" i="2"/>
  <c r="AE398" i="2"/>
  <c r="AI398" i="2" s="1"/>
  <c r="AE399" i="2"/>
  <c r="AI399" i="2" s="1"/>
  <c r="AE400" i="2"/>
  <c r="AI400" i="2" s="1"/>
  <c r="AE402" i="2"/>
  <c r="AI402" i="2" s="1"/>
  <c r="AE403" i="2"/>
  <c r="AI403" i="2" s="1"/>
  <c r="AE404" i="2"/>
  <c r="AI404" i="2" s="1"/>
  <c r="AE405" i="2"/>
  <c r="AI405" i="2"/>
  <c r="AE406" i="2"/>
  <c r="AI406" i="2"/>
  <c r="AE407" i="2"/>
  <c r="AI407" i="2"/>
  <c r="AE408" i="2"/>
  <c r="AI408" i="2"/>
  <c r="AE409" i="2"/>
  <c r="AI409" i="2"/>
  <c r="AE410" i="2"/>
  <c r="AI410" i="2" s="1"/>
  <c r="AE411" i="2"/>
  <c r="AI411" i="2"/>
  <c r="AE412" i="2"/>
  <c r="AI412" i="2" s="1"/>
  <c r="AE413" i="2"/>
  <c r="AI413" i="2"/>
  <c r="AE414" i="2"/>
  <c r="AI414" i="2"/>
  <c r="AE415" i="2"/>
  <c r="AI415" i="2"/>
  <c r="AE416" i="2"/>
  <c r="AI416" i="2"/>
  <c r="AE417" i="2"/>
  <c r="AI417" i="2"/>
  <c r="AE418" i="2"/>
  <c r="AI418" i="2" s="1"/>
  <c r="AE419" i="2"/>
  <c r="AI419" i="2"/>
  <c r="AE420" i="2"/>
  <c r="AI420" i="2" s="1"/>
  <c r="AE421" i="2"/>
  <c r="AI421" i="2"/>
  <c r="AE422" i="2"/>
  <c r="AI422" i="2"/>
  <c r="AE423" i="2"/>
  <c r="AI423" i="2"/>
  <c r="AE424" i="2"/>
  <c r="AI424" i="2"/>
  <c r="AE425" i="2"/>
  <c r="AI425" i="2"/>
  <c r="AE426" i="2"/>
  <c r="AI426" i="2" s="1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AG440" i="2"/>
  <c r="AH440" i="2"/>
  <c r="V401" i="2"/>
  <c r="P401" i="2"/>
  <c r="S401" i="2" s="1"/>
  <c r="W401" i="2" s="1"/>
  <c r="P400" i="2"/>
  <c r="P399" i="2"/>
  <c r="S398" i="2"/>
  <c r="U397" i="2"/>
  <c r="P397" i="2"/>
  <c r="S397" i="2"/>
  <c r="W397" i="2" s="1"/>
  <c r="O398" i="2"/>
  <c r="O399" i="2" s="1"/>
  <c r="O400" i="2" s="1"/>
  <c r="O401" i="2" s="1"/>
  <c r="S399" i="2"/>
  <c r="W399" i="2" s="1"/>
  <c r="S400" i="2"/>
  <c r="W400" i="2" s="1"/>
  <c r="S402" i="2"/>
  <c r="W402" i="2" s="1"/>
  <c r="S403" i="2"/>
  <c r="W403" i="2" s="1"/>
  <c r="S404" i="2"/>
  <c r="W404" i="2" s="1"/>
  <c r="U440" i="2"/>
  <c r="S405" i="2"/>
  <c r="W405" i="2" s="1"/>
  <c r="S406" i="2"/>
  <c r="W406" i="2"/>
  <c r="S407" i="2"/>
  <c r="W407" i="2"/>
  <c r="S408" i="2"/>
  <c r="W408" i="2" s="1"/>
  <c r="S409" i="2"/>
  <c r="W409" i="2" s="1"/>
  <c r="S410" i="2"/>
  <c r="W410" i="2" s="1"/>
  <c r="S411" i="2"/>
  <c r="W411" i="2"/>
  <c r="S412" i="2"/>
  <c r="W412" i="2" s="1"/>
  <c r="S413" i="2"/>
  <c r="W413" i="2"/>
  <c r="S414" i="2"/>
  <c r="W414" i="2" s="1"/>
  <c r="S415" i="2"/>
  <c r="W415" i="2"/>
  <c r="S416" i="2"/>
  <c r="W416" i="2"/>
  <c r="S417" i="2"/>
  <c r="W417" i="2" s="1"/>
  <c r="S418" i="2"/>
  <c r="W418" i="2"/>
  <c r="S419" i="2"/>
  <c r="W419" i="2"/>
  <c r="S420" i="2"/>
  <c r="W420" i="2" s="1"/>
  <c r="S421" i="2"/>
  <c r="W421" i="2"/>
  <c r="S422" i="2"/>
  <c r="W422" i="2" s="1"/>
  <c r="S423" i="2"/>
  <c r="W423" i="2"/>
  <c r="S424" i="2"/>
  <c r="W424" i="2"/>
  <c r="S425" i="2"/>
  <c r="W425" i="2"/>
  <c r="S426" i="2"/>
  <c r="W426" i="2"/>
  <c r="S427" i="2"/>
  <c r="W427" i="2"/>
  <c r="S428" i="2"/>
  <c r="W428" i="2" s="1"/>
  <c r="S429" i="2"/>
  <c r="W429" i="2"/>
  <c r="S430" i="2"/>
  <c r="W430" i="2" s="1"/>
  <c r="S431" i="2"/>
  <c r="W431" i="2"/>
  <c r="S432" i="2"/>
  <c r="W432" i="2"/>
  <c r="S433" i="2"/>
  <c r="W433" i="2"/>
  <c r="S434" i="2"/>
  <c r="W434" i="2"/>
  <c r="S435" i="2"/>
  <c r="W435" i="2" s="1"/>
  <c r="W436" i="2"/>
  <c r="S437" i="2"/>
  <c r="W437" i="2" s="1"/>
  <c r="W438" i="2"/>
  <c r="Q440" i="2"/>
  <c r="R440" i="2"/>
  <c r="V440" i="2"/>
  <c r="D411" i="2"/>
  <c r="G411" i="2" s="1"/>
  <c r="K411" i="2" s="1"/>
  <c r="I410" i="2"/>
  <c r="I440" i="2" s="1"/>
  <c r="D410" i="2"/>
  <c r="G410" i="2" s="1"/>
  <c r="K410" i="2" s="1"/>
  <c r="D409" i="2"/>
  <c r="G409" i="2" s="1"/>
  <c r="K409" i="2" s="1"/>
  <c r="D408" i="2"/>
  <c r="D407" i="2"/>
  <c r="D406" i="2"/>
  <c r="D405" i="2"/>
  <c r="G405" i="2" s="1"/>
  <c r="K405" i="2" s="1"/>
  <c r="D404" i="2"/>
  <c r="D403" i="2"/>
  <c r="D402" i="2"/>
  <c r="D401" i="2"/>
  <c r="G401" i="2" s="1"/>
  <c r="K401" i="2" s="1"/>
  <c r="D400" i="2"/>
  <c r="D399" i="2"/>
  <c r="G399" i="2" s="1"/>
  <c r="K399" i="2" s="1"/>
  <c r="D398" i="2"/>
  <c r="G398" i="2" s="1"/>
  <c r="D397" i="2"/>
  <c r="G397" i="2" s="1"/>
  <c r="K397" i="2" s="1"/>
  <c r="C398" i="2"/>
  <c r="C399" i="2"/>
  <c r="C400" i="2" s="1"/>
  <c r="C401" i="2" s="1"/>
  <c r="C402" i="2" s="1"/>
  <c r="C403" i="2" s="1"/>
  <c r="C404" i="2" s="1"/>
  <c r="C405" i="2" s="1"/>
  <c r="C406" i="2" s="1"/>
  <c r="C407" i="2" s="1"/>
  <c r="C408" i="2" s="1"/>
  <c r="C409" i="2" s="1"/>
  <c r="C410" i="2" s="1"/>
  <c r="C411" i="2" s="1"/>
  <c r="G400" i="2"/>
  <c r="K400" i="2"/>
  <c r="G402" i="2"/>
  <c r="K402" i="2" s="1"/>
  <c r="G403" i="2"/>
  <c r="K403" i="2" s="1"/>
  <c r="G404" i="2"/>
  <c r="K404" i="2"/>
  <c r="G406" i="2"/>
  <c r="K406" i="2" s="1"/>
  <c r="G407" i="2"/>
  <c r="K407" i="2" s="1"/>
  <c r="G408" i="2"/>
  <c r="K408" i="2" s="1"/>
  <c r="G412" i="2"/>
  <c r="K412" i="2" s="1"/>
  <c r="G413" i="2"/>
  <c r="K413" i="2" s="1"/>
  <c r="G414" i="2"/>
  <c r="K414" i="2"/>
  <c r="G415" i="2"/>
  <c r="K415" i="2" s="1"/>
  <c r="G416" i="2"/>
  <c r="K416" i="2"/>
  <c r="G417" i="2"/>
  <c r="K417" i="2"/>
  <c r="G418" i="2"/>
  <c r="K418" i="2"/>
  <c r="G419" i="2"/>
  <c r="K419" i="2"/>
  <c r="G420" i="2"/>
  <c r="K420" i="2"/>
  <c r="G421" i="2"/>
  <c r="K421" i="2" s="1"/>
  <c r="G422" i="2"/>
  <c r="K422" i="2"/>
  <c r="G423" i="2"/>
  <c r="K423" i="2" s="1"/>
  <c r="G424" i="2"/>
  <c r="K424" i="2"/>
  <c r="G425" i="2"/>
  <c r="K425" i="2"/>
  <c r="G426" i="2"/>
  <c r="K426" i="2"/>
  <c r="G427" i="2"/>
  <c r="K427" i="2"/>
  <c r="G428" i="2"/>
  <c r="K428" i="2"/>
  <c r="G429" i="2"/>
  <c r="K429" i="2" s="1"/>
  <c r="G430" i="2"/>
  <c r="K430" i="2"/>
  <c r="G437" i="2"/>
  <c r="K437" i="2" s="1"/>
  <c r="E440" i="2"/>
  <c r="F440" i="2"/>
  <c r="J440" i="2"/>
  <c r="AI397" i="2" l="1"/>
  <c r="AI440" i="2" s="1"/>
  <c r="AE440" i="2"/>
  <c r="AB440" i="2"/>
  <c r="P440" i="2"/>
  <c r="W398" i="2"/>
  <c r="W440" i="2" s="1"/>
  <c r="S440" i="2"/>
  <c r="G440" i="2"/>
  <c r="K398" i="2"/>
  <c r="K440" i="2" s="1"/>
  <c r="D440" i="2"/>
  <c r="AB343" i="2"/>
  <c r="AG342" i="2"/>
  <c r="AH342" i="2"/>
  <c r="AG385" i="2"/>
  <c r="AC342" i="2"/>
  <c r="AC385" i="2" s="1"/>
  <c r="AB342" i="2"/>
  <c r="AB385" i="2" s="1"/>
  <c r="AA343" i="2"/>
  <c r="AE343" i="2"/>
  <c r="AI343" i="2" s="1"/>
  <c r="AE344" i="2"/>
  <c r="AH385" i="2"/>
  <c r="AI344" i="2"/>
  <c r="AE345" i="2"/>
  <c r="AI345" i="2" s="1"/>
  <c r="AE346" i="2"/>
  <c r="AI346" i="2"/>
  <c r="AE347" i="2"/>
  <c r="AI347" i="2"/>
  <c r="AE348" i="2"/>
  <c r="AI348" i="2" s="1"/>
  <c r="AE349" i="2"/>
  <c r="AI349" i="2" s="1"/>
  <c r="AE350" i="2"/>
  <c r="AI350" i="2"/>
  <c r="AE351" i="2"/>
  <c r="AI351" i="2"/>
  <c r="AE352" i="2"/>
  <c r="AI352" i="2" s="1"/>
  <c r="AE353" i="2"/>
  <c r="AI353" i="2" s="1"/>
  <c r="AE354" i="2"/>
  <c r="AI354" i="2"/>
  <c r="AE355" i="2"/>
  <c r="AI355" i="2" s="1"/>
  <c r="AE356" i="2"/>
  <c r="AI356" i="2" s="1"/>
  <c r="AE357" i="2"/>
  <c r="AI357" i="2" s="1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/>
  <c r="AE364" i="2"/>
  <c r="AI364" i="2" s="1"/>
  <c r="AE365" i="2"/>
  <c r="AI365" i="2" s="1"/>
  <c r="AE366" i="2"/>
  <c r="AI366" i="2"/>
  <c r="AE367" i="2"/>
  <c r="AI367" i="2"/>
  <c r="AE368" i="2"/>
  <c r="AI368" i="2"/>
  <c r="AE369" i="2"/>
  <c r="AI369" i="2" s="1"/>
  <c r="AE370" i="2"/>
  <c r="AI370" i="2"/>
  <c r="AE371" i="2"/>
  <c r="AI371" i="2"/>
  <c r="AE372" i="2"/>
  <c r="AI372" i="2" s="1"/>
  <c r="AE373" i="2"/>
  <c r="AI373" i="2" s="1"/>
  <c r="AE374" i="2"/>
  <c r="AI374" i="2"/>
  <c r="AE375" i="2"/>
  <c r="AI375" i="2"/>
  <c r="AE376" i="2"/>
  <c r="AI376" i="2"/>
  <c r="AE377" i="2"/>
  <c r="AI377" i="2" s="1"/>
  <c r="AE378" i="2"/>
  <c r="AI378" i="2"/>
  <c r="AE379" i="2"/>
  <c r="AI379" i="2"/>
  <c r="AE380" i="2"/>
  <c r="AI380" i="2" s="1"/>
  <c r="AI381" i="2"/>
  <c r="AE382" i="2"/>
  <c r="AI382" i="2"/>
  <c r="AI383" i="2"/>
  <c r="AD385" i="2"/>
  <c r="P357" i="2"/>
  <c r="P356" i="2"/>
  <c r="S356" i="2" s="1"/>
  <c r="W356" i="2" s="1"/>
  <c r="P355" i="2"/>
  <c r="P354" i="2"/>
  <c r="S354" i="2" s="1"/>
  <c r="W354" i="2" s="1"/>
  <c r="P353" i="2"/>
  <c r="P352" i="2"/>
  <c r="P351" i="2"/>
  <c r="S351" i="2" s="1"/>
  <c r="W351" i="2" s="1"/>
  <c r="P350" i="2"/>
  <c r="S350" i="2" s="1"/>
  <c r="W350" i="2" s="1"/>
  <c r="U349" i="2"/>
  <c r="P349" i="2"/>
  <c r="S349" i="2" s="1"/>
  <c r="P348" i="2"/>
  <c r="U347" i="2"/>
  <c r="U385" i="2" s="1"/>
  <c r="P347" i="2"/>
  <c r="P346" i="2"/>
  <c r="S346" i="2" s="1"/>
  <c r="W346" i="2" s="1"/>
  <c r="P345" i="2"/>
  <c r="P344" i="2"/>
  <c r="P343" i="2"/>
  <c r="P342" i="2"/>
  <c r="S342" i="2" s="1"/>
  <c r="O343" i="2"/>
  <c r="O344" i="2" s="1"/>
  <c r="O345" i="2" s="1"/>
  <c r="O346" i="2" s="1"/>
  <c r="O347" i="2" s="1"/>
  <c r="O348" i="2" s="1"/>
  <c r="O349" i="2" s="1"/>
  <c r="O350" i="2" s="1"/>
  <c r="O351" i="2" s="1"/>
  <c r="O352" i="2" s="1"/>
  <c r="O353" i="2" s="1"/>
  <c r="O354" i="2" s="1"/>
  <c r="O355" i="2" s="1"/>
  <c r="O356" i="2" s="1"/>
  <c r="O357" i="2" s="1"/>
  <c r="S343" i="2"/>
  <c r="W343" i="2" s="1"/>
  <c r="S344" i="2"/>
  <c r="W344" i="2" s="1"/>
  <c r="S345" i="2"/>
  <c r="W345" i="2" s="1"/>
  <c r="S347" i="2"/>
  <c r="W347" i="2" s="1"/>
  <c r="S348" i="2"/>
  <c r="W348" i="2" s="1"/>
  <c r="S352" i="2"/>
  <c r="W352" i="2" s="1"/>
  <c r="S353" i="2"/>
  <c r="W353" i="2" s="1"/>
  <c r="S355" i="2"/>
  <c r="W355" i="2"/>
  <c r="S357" i="2"/>
  <c r="W357" i="2"/>
  <c r="S358" i="2"/>
  <c r="W358" i="2" s="1"/>
  <c r="S359" i="2"/>
  <c r="W359" i="2" s="1"/>
  <c r="S360" i="2"/>
  <c r="W360" i="2" s="1"/>
  <c r="S361" i="2"/>
  <c r="W361" i="2" s="1"/>
  <c r="S362" i="2"/>
  <c r="W362" i="2" s="1"/>
  <c r="S363" i="2"/>
  <c r="W363" i="2" s="1"/>
  <c r="S364" i="2"/>
  <c r="W364" i="2" s="1"/>
  <c r="S365" i="2"/>
  <c r="W365" i="2"/>
  <c r="S366" i="2"/>
  <c r="W366" i="2" s="1"/>
  <c r="S367" i="2"/>
  <c r="W367" i="2"/>
  <c r="S368" i="2"/>
  <c r="W368" i="2" s="1"/>
  <c r="S369" i="2"/>
  <c r="W369" i="2"/>
  <c r="S370" i="2"/>
  <c r="W370" i="2" s="1"/>
  <c r="S371" i="2"/>
  <c r="W371" i="2"/>
  <c r="S372" i="2"/>
  <c r="W372" i="2"/>
  <c r="S373" i="2"/>
  <c r="W373" i="2"/>
  <c r="S374" i="2"/>
  <c r="W374" i="2" s="1"/>
  <c r="S375" i="2"/>
  <c r="W375" i="2"/>
  <c r="S376" i="2"/>
  <c r="W376" i="2" s="1"/>
  <c r="S377" i="2"/>
  <c r="W377" i="2"/>
  <c r="S378" i="2"/>
  <c r="W378" i="2" s="1"/>
  <c r="S379" i="2"/>
  <c r="W379" i="2"/>
  <c r="S380" i="2"/>
  <c r="W380" i="2"/>
  <c r="W381" i="2"/>
  <c r="S382" i="2"/>
  <c r="W382" i="2"/>
  <c r="W383" i="2"/>
  <c r="Q385" i="2"/>
  <c r="R385" i="2"/>
  <c r="V385" i="2"/>
  <c r="D358" i="2"/>
  <c r="D357" i="2"/>
  <c r="C357" i="2"/>
  <c r="C358" i="2"/>
  <c r="D356" i="2"/>
  <c r="G356" i="2" s="1"/>
  <c r="K356" i="2" s="1"/>
  <c r="D355" i="2"/>
  <c r="G355" i="2" s="1"/>
  <c r="K355" i="2" s="1"/>
  <c r="D354" i="2"/>
  <c r="D353" i="2"/>
  <c r="D352" i="2"/>
  <c r="D351" i="2"/>
  <c r="D350" i="2"/>
  <c r="C352" i="2"/>
  <c r="C353" i="2"/>
  <c r="C354" i="2"/>
  <c r="C355" i="2"/>
  <c r="C356" i="2"/>
  <c r="D349" i="2"/>
  <c r="G349" i="2" s="1"/>
  <c r="K349" i="2" s="1"/>
  <c r="D348" i="2"/>
  <c r="D347" i="2"/>
  <c r="G347" i="2" s="1"/>
  <c r="K347" i="2" s="1"/>
  <c r="D346" i="2"/>
  <c r="G346" i="2" s="1"/>
  <c r="K346" i="2" s="1"/>
  <c r="D345" i="2"/>
  <c r="G345" i="2" s="1"/>
  <c r="K345" i="2" s="1"/>
  <c r="D344" i="2"/>
  <c r="D343" i="2"/>
  <c r="D342" i="2"/>
  <c r="G342" i="2"/>
  <c r="K342" i="2" s="1"/>
  <c r="C343" i="2"/>
  <c r="C344" i="2" s="1"/>
  <c r="C345" i="2" s="1"/>
  <c r="C346" i="2" s="1"/>
  <c r="C347" i="2" s="1"/>
  <c r="C349" i="2" s="1"/>
  <c r="C350" i="2" s="1"/>
  <c r="C351" i="2" s="1"/>
  <c r="G343" i="2"/>
  <c r="K343" i="2"/>
  <c r="G348" i="2"/>
  <c r="K348" i="2" s="1"/>
  <c r="G350" i="2"/>
  <c r="K350" i="2" s="1"/>
  <c r="G351" i="2"/>
  <c r="K351" i="2"/>
  <c r="G352" i="2"/>
  <c r="G353" i="2"/>
  <c r="K353" i="2" s="1"/>
  <c r="G354" i="2"/>
  <c r="K354" i="2"/>
  <c r="G357" i="2"/>
  <c r="K357" i="2"/>
  <c r="G358" i="2"/>
  <c r="K358" i="2" s="1"/>
  <c r="G359" i="2"/>
  <c r="K359" i="2" s="1"/>
  <c r="G360" i="2"/>
  <c r="K360" i="2"/>
  <c r="G361" i="2"/>
  <c r="K361" i="2"/>
  <c r="G362" i="2"/>
  <c r="K362" i="2"/>
  <c r="G363" i="2"/>
  <c r="K363" i="2"/>
  <c r="G364" i="2"/>
  <c r="K364" i="2"/>
  <c r="G365" i="2"/>
  <c r="K365" i="2"/>
  <c r="G366" i="2"/>
  <c r="K366" i="2"/>
  <c r="G367" i="2"/>
  <c r="K367" i="2" s="1"/>
  <c r="G368" i="2"/>
  <c r="K368" i="2"/>
  <c r="G369" i="2"/>
  <c r="K369" i="2"/>
  <c r="G370" i="2"/>
  <c r="K370" i="2"/>
  <c r="G371" i="2"/>
  <c r="K371" i="2"/>
  <c r="G372" i="2"/>
  <c r="K372" i="2"/>
  <c r="G373" i="2"/>
  <c r="K373" i="2"/>
  <c r="G374" i="2"/>
  <c r="K374" i="2"/>
  <c r="G375" i="2"/>
  <c r="K375" i="2"/>
  <c r="G382" i="2"/>
  <c r="K382" i="2"/>
  <c r="E385" i="2"/>
  <c r="F385" i="2"/>
  <c r="I385" i="2"/>
  <c r="J385" i="2"/>
  <c r="AE342" i="2" l="1"/>
  <c r="AI342" i="2" s="1"/>
  <c r="AI385" i="2" s="1"/>
  <c r="W349" i="2"/>
  <c r="P385" i="2"/>
  <c r="W342" i="2"/>
  <c r="W385" i="2" s="1"/>
  <c r="S385" i="2"/>
  <c r="D385" i="2"/>
  <c r="G344" i="2"/>
  <c r="K344" i="2" s="1"/>
  <c r="G385" i="2"/>
  <c r="K352" i="2"/>
  <c r="K385" i="2"/>
  <c r="AB290" i="2"/>
  <c r="AE290" i="2" s="1"/>
  <c r="AI290" i="2" s="1"/>
  <c r="AC289" i="2"/>
  <c r="AB289" i="2"/>
  <c r="AE289" i="2"/>
  <c r="AI289" i="2" s="1"/>
  <c r="AH289" i="2"/>
  <c r="AB288" i="2"/>
  <c r="AE288" i="2" s="1"/>
  <c r="AI288" i="2" s="1"/>
  <c r="AB287" i="2"/>
  <c r="AE287" i="2"/>
  <c r="AA288" i="2"/>
  <c r="AA289" i="2"/>
  <c r="AA290" i="2" s="1"/>
  <c r="AE291" i="2"/>
  <c r="AI291" i="2" s="1"/>
  <c r="AE292" i="2"/>
  <c r="AI292" i="2"/>
  <c r="AE293" i="2"/>
  <c r="AI293" i="2"/>
  <c r="AE294" i="2"/>
  <c r="AI294" i="2" s="1"/>
  <c r="AE295" i="2"/>
  <c r="AI295" i="2" s="1"/>
  <c r="AE296" i="2"/>
  <c r="AI296" i="2" s="1"/>
  <c r="AE297" i="2"/>
  <c r="AI297" i="2" s="1"/>
  <c r="AE298" i="2"/>
  <c r="AI298" i="2" s="1"/>
  <c r="AE299" i="2"/>
  <c r="AI299" i="2" s="1"/>
  <c r="AE300" i="2"/>
  <c r="AI300" i="2"/>
  <c r="AE301" i="2"/>
  <c r="AI301" i="2"/>
  <c r="AE302" i="2"/>
  <c r="AI302" i="2" s="1"/>
  <c r="AE303" i="2"/>
  <c r="AI303" i="2" s="1"/>
  <c r="AE304" i="2"/>
  <c r="AI304" i="2"/>
  <c r="AE305" i="2"/>
  <c r="AI305" i="2" s="1"/>
  <c r="AE306" i="2"/>
  <c r="AI306" i="2" s="1"/>
  <c r="AE307" i="2"/>
  <c r="AI307" i="2"/>
  <c r="AE308" i="2"/>
  <c r="AI308" i="2" s="1"/>
  <c r="AE309" i="2"/>
  <c r="AI309" i="2" s="1"/>
  <c r="AE310" i="2"/>
  <c r="AI310" i="2"/>
  <c r="AE311" i="2"/>
  <c r="AI311" i="2"/>
  <c r="AE312" i="2"/>
  <c r="AI312" i="2"/>
  <c r="AE313" i="2"/>
  <c r="AI313" i="2"/>
  <c r="AE314" i="2"/>
  <c r="AI314" i="2" s="1"/>
  <c r="AE315" i="2"/>
  <c r="AI315" i="2"/>
  <c r="AE316" i="2"/>
  <c r="AI316" i="2" s="1"/>
  <c r="AE317" i="2"/>
  <c r="AI317" i="2" s="1"/>
  <c r="AE318" i="2"/>
  <c r="AI318" i="2"/>
  <c r="AE319" i="2"/>
  <c r="AI319" i="2"/>
  <c r="AE320" i="2"/>
  <c r="AI320" i="2"/>
  <c r="AE321" i="2"/>
  <c r="AI321" i="2"/>
  <c r="AE322" i="2"/>
  <c r="AI322" i="2" s="1"/>
  <c r="AE323" i="2"/>
  <c r="AI323" i="2"/>
  <c r="AE324" i="2"/>
  <c r="AI324" i="2" s="1"/>
  <c r="AE325" i="2"/>
  <c r="AI325" i="2" s="1"/>
  <c r="AI326" i="2"/>
  <c r="AE327" i="2"/>
  <c r="AI327" i="2"/>
  <c r="AI328" i="2"/>
  <c r="AC330" i="2"/>
  <c r="AD330" i="2"/>
  <c r="AG330" i="2"/>
  <c r="AH330" i="2"/>
  <c r="P309" i="2"/>
  <c r="P308" i="2"/>
  <c r="P307" i="2"/>
  <c r="S307" i="2" s="1"/>
  <c r="W307" i="2" s="1"/>
  <c r="P306" i="2"/>
  <c r="V305" i="2"/>
  <c r="V330" i="2" s="1"/>
  <c r="P305" i="2"/>
  <c r="P304" i="2"/>
  <c r="S304" i="2" s="1"/>
  <c r="W304" i="2" s="1"/>
  <c r="P303" i="2"/>
  <c r="S303" i="2" s="1"/>
  <c r="W303" i="2" s="1"/>
  <c r="P302" i="2"/>
  <c r="S302" i="2" s="1"/>
  <c r="W302" i="2" s="1"/>
  <c r="P301" i="2"/>
  <c r="P300" i="2"/>
  <c r="S300" i="2" s="1"/>
  <c r="W300" i="2" s="1"/>
  <c r="P299" i="2"/>
  <c r="S299" i="2" s="1"/>
  <c r="W299" i="2" s="1"/>
  <c r="P298" i="2"/>
  <c r="P297" i="2"/>
  <c r="P296" i="2"/>
  <c r="P295" i="2"/>
  <c r="S295" i="2" s="1"/>
  <c r="W295" i="2" s="1"/>
  <c r="P294" i="2"/>
  <c r="P293" i="2"/>
  <c r="S293" i="2" s="1"/>
  <c r="W293" i="2" s="1"/>
  <c r="P292" i="2"/>
  <c r="P291" i="2"/>
  <c r="S291" i="2" s="1"/>
  <c r="W291" i="2" s="1"/>
  <c r="P290" i="2"/>
  <c r="P289" i="2"/>
  <c r="P288" i="2"/>
  <c r="P287" i="2"/>
  <c r="S287" i="2"/>
  <c r="O288" i="2"/>
  <c r="O289" i="2" s="1"/>
  <c r="O290" i="2" s="1"/>
  <c r="O291" i="2" s="1"/>
  <c r="O292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S288" i="2"/>
  <c r="W288" i="2" s="1"/>
  <c r="S289" i="2"/>
  <c r="W289" i="2" s="1"/>
  <c r="S290" i="2"/>
  <c r="W290" i="2"/>
  <c r="S294" i="2"/>
  <c r="W294" i="2" s="1"/>
  <c r="S296" i="2"/>
  <c r="W296" i="2" s="1"/>
  <c r="S297" i="2"/>
  <c r="W297" i="2" s="1"/>
  <c r="S298" i="2"/>
  <c r="W298" i="2" s="1"/>
  <c r="S301" i="2"/>
  <c r="W301" i="2" s="1"/>
  <c r="S305" i="2"/>
  <c r="W305" i="2" s="1"/>
  <c r="S306" i="2"/>
  <c r="W306" i="2"/>
  <c r="S308" i="2"/>
  <c r="W308" i="2" s="1"/>
  <c r="S309" i="2"/>
  <c r="W309" i="2" s="1"/>
  <c r="S310" i="2"/>
  <c r="W310" i="2" s="1"/>
  <c r="S311" i="2"/>
  <c r="W311" i="2"/>
  <c r="S312" i="2"/>
  <c r="W312" i="2"/>
  <c r="S313" i="2"/>
  <c r="W313" i="2"/>
  <c r="S314" i="2"/>
  <c r="W314" i="2"/>
  <c r="S315" i="2"/>
  <c r="W315" i="2" s="1"/>
  <c r="S316" i="2"/>
  <c r="W316" i="2" s="1"/>
  <c r="S317" i="2"/>
  <c r="W317" i="2"/>
  <c r="S318" i="2"/>
  <c r="W318" i="2" s="1"/>
  <c r="S319" i="2"/>
  <c r="W319" i="2"/>
  <c r="S320" i="2"/>
  <c r="W320" i="2"/>
  <c r="S321" i="2"/>
  <c r="W321" i="2"/>
  <c r="S322" i="2"/>
  <c r="W322" i="2"/>
  <c r="S323" i="2"/>
  <c r="W323" i="2" s="1"/>
  <c r="S324" i="2"/>
  <c r="W324" i="2" s="1"/>
  <c r="S325" i="2"/>
  <c r="W325" i="2"/>
  <c r="W326" i="2"/>
  <c r="S327" i="2"/>
  <c r="W327" i="2"/>
  <c r="W328" i="2"/>
  <c r="Q330" i="2"/>
  <c r="R330" i="2"/>
  <c r="U330" i="2"/>
  <c r="D297" i="2"/>
  <c r="G297" i="2" s="1"/>
  <c r="K297" i="2" s="1"/>
  <c r="D296" i="2"/>
  <c r="D295" i="2"/>
  <c r="D294" i="2"/>
  <c r="D293" i="2"/>
  <c r="G293" i="2" s="1"/>
  <c r="K293" i="2" s="1"/>
  <c r="D292" i="2"/>
  <c r="D291" i="2"/>
  <c r="D290" i="2"/>
  <c r="D289" i="2"/>
  <c r="G289" i="2" s="1"/>
  <c r="K289" i="2" s="1"/>
  <c r="D288" i="2"/>
  <c r="D287" i="2"/>
  <c r="G287" i="2" s="1"/>
  <c r="K287" i="2" s="1"/>
  <c r="C293" i="2"/>
  <c r="C294" i="2" s="1"/>
  <c r="C295" i="2" s="1"/>
  <c r="C296" i="2" s="1"/>
  <c r="J330" i="2"/>
  <c r="C288" i="2"/>
  <c r="C289" i="2" s="1"/>
  <c r="C290" i="2" s="1"/>
  <c r="C291" i="2" s="1"/>
  <c r="C292" i="2" s="1"/>
  <c r="G288" i="2"/>
  <c r="K288" i="2" s="1"/>
  <c r="G290" i="2"/>
  <c r="K290" i="2" s="1"/>
  <c r="G291" i="2"/>
  <c r="K291" i="2" s="1"/>
  <c r="G292" i="2"/>
  <c r="K292" i="2" s="1"/>
  <c r="G294" i="2"/>
  <c r="K294" i="2" s="1"/>
  <c r="G295" i="2"/>
  <c r="K295" i="2"/>
  <c r="G296" i="2"/>
  <c r="K296" i="2"/>
  <c r="G298" i="2"/>
  <c r="K298" i="2"/>
  <c r="G299" i="2"/>
  <c r="K299" i="2" s="1"/>
  <c r="G300" i="2"/>
  <c r="K300" i="2" s="1"/>
  <c r="G301" i="2"/>
  <c r="K301" i="2" s="1"/>
  <c r="G302" i="2"/>
  <c r="K302" i="2"/>
  <c r="G303" i="2"/>
  <c r="K303" i="2"/>
  <c r="G304" i="2"/>
  <c r="K304" i="2"/>
  <c r="G305" i="2"/>
  <c r="K305" i="2"/>
  <c r="G306" i="2"/>
  <c r="K306" i="2"/>
  <c r="G307" i="2"/>
  <c r="K307" i="2"/>
  <c r="G308" i="2"/>
  <c r="K308" i="2" s="1"/>
  <c r="G309" i="2"/>
  <c r="K309" i="2" s="1"/>
  <c r="G310" i="2"/>
  <c r="K310" i="2"/>
  <c r="G311" i="2"/>
  <c r="K311" i="2"/>
  <c r="G312" i="2"/>
  <c r="K312" i="2"/>
  <c r="G313" i="2"/>
  <c r="K313" i="2"/>
  <c r="G314" i="2"/>
  <c r="K314" i="2"/>
  <c r="G315" i="2"/>
  <c r="K315" i="2"/>
  <c r="G316" i="2"/>
  <c r="K316" i="2" s="1"/>
  <c r="G317" i="2"/>
  <c r="K317" i="2" s="1"/>
  <c r="G318" i="2"/>
  <c r="K318" i="2"/>
  <c r="G319" i="2"/>
  <c r="K319" i="2"/>
  <c r="G320" i="2"/>
  <c r="K320" i="2"/>
  <c r="G327" i="2"/>
  <c r="K327" i="2"/>
  <c r="E330" i="2"/>
  <c r="F330" i="2"/>
  <c r="I330" i="2"/>
  <c r="AE385" i="2" l="1"/>
  <c r="AI287" i="2"/>
  <c r="AI330" i="2" s="1"/>
  <c r="AE330" i="2"/>
  <c r="AB330" i="2"/>
  <c r="P330" i="2"/>
  <c r="S292" i="2"/>
  <c r="W292" i="2" s="1"/>
  <c r="W287" i="2"/>
  <c r="W330" i="2" s="1"/>
  <c r="S330" i="2"/>
  <c r="D330" i="2"/>
  <c r="K330" i="2"/>
  <c r="G330" i="2"/>
  <c r="AB251" i="2"/>
  <c r="AE251" i="2" s="1"/>
  <c r="AI251" i="2" s="1"/>
  <c r="AB250" i="2"/>
  <c r="AB249" i="2"/>
  <c r="AE249" i="2" s="1"/>
  <c r="AI249" i="2" s="1"/>
  <c r="AB248" i="2"/>
  <c r="AE248" i="2" s="1"/>
  <c r="AI248" i="2" s="1"/>
  <c r="AB247" i="2"/>
  <c r="AB246" i="2"/>
  <c r="AE246" i="2" s="1"/>
  <c r="AI246" i="2" s="1"/>
  <c r="AB245" i="2"/>
  <c r="AB244" i="2"/>
  <c r="AB243" i="2"/>
  <c r="AB242" i="2"/>
  <c r="AE242" i="2" s="1"/>
  <c r="AI242" i="2" s="1"/>
  <c r="AB241" i="2"/>
  <c r="AB240" i="2"/>
  <c r="AE240" i="2" s="1"/>
  <c r="AI240" i="2" s="1"/>
  <c r="AB239" i="2"/>
  <c r="AE239" i="2" s="1"/>
  <c r="AI239" i="2" s="1"/>
  <c r="AB238" i="2"/>
  <c r="AB237" i="2"/>
  <c r="AB236" i="2"/>
  <c r="AB235" i="2"/>
  <c r="AE235" i="2" s="1"/>
  <c r="AI235" i="2" s="1"/>
  <c r="AB234" i="2"/>
  <c r="AB233" i="2"/>
  <c r="AB232" i="2"/>
  <c r="AE232" i="2" s="1"/>
  <c r="AA235" i="2"/>
  <c r="AA236" i="2"/>
  <c r="AA237" i="2"/>
  <c r="AA238" i="2" s="1"/>
  <c r="AA239" i="2" s="1"/>
  <c r="AA240" i="2" s="1"/>
  <c r="AA241" i="2" s="1"/>
  <c r="AA242" i="2" s="1"/>
  <c r="AA243" i="2" s="1"/>
  <c r="AA244" i="2" s="1"/>
  <c r="AA245" i="2" s="1"/>
  <c r="AA246" i="2" s="1"/>
  <c r="AA247" i="2" s="1"/>
  <c r="AA248" i="2" s="1"/>
  <c r="AA249" i="2" s="1"/>
  <c r="AA250" i="2" s="1"/>
  <c r="AA251" i="2" s="1"/>
  <c r="AA233" i="2"/>
  <c r="AA234" i="2" s="1"/>
  <c r="AE233" i="2"/>
  <c r="AI233" i="2" s="1"/>
  <c r="AE236" i="2"/>
  <c r="AI236" i="2" s="1"/>
  <c r="AE237" i="2"/>
  <c r="AI237" i="2" s="1"/>
  <c r="AE238" i="2"/>
  <c r="AI238" i="2" s="1"/>
  <c r="AE241" i="2"/>
  <c r="AI241" i="2"/>
  <c r="AE243" i="2"/>
  <c r="AI243" i="2" s="1"/>
  <c r="AE244" i="2"/>
  <c r="AI244" i="2" s="1"/>
  <c r="AE245" i="2"/>
  <c r="AI245" i="2" s="1"/>
  <c r="AE247" i="2"/>
  <c r="AI247" i="2" s="1"/>
  <c r="AE250" i="2"/>
  <c r="AI250" i="2"/>
  <c r="AE252" i="2"/>
  <c r="AI252" i="2"/>
  <c r="AE253" i="2"/>
  <c r="AI253" i="2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AG275" i="2"/>
  <c r="AH275" i="2"/>
  <c r="P251" i="2"/>
  <c r="P250" i="2"/>
  <c r="P249" i="2"/>
  <c r="P248" i="2"/>
  <c r="S248" i="2" s="1"/>
  <c r="W248" i="2" s="1"/>
  <c r="P247" i="2"/>
  <c r="S247" i="2" s="1"/>
  <c r="W247" i="2" s="1"/>
  <c r="P246" i="2"/>
  <c r="P245" i="2"/>
  <c r="P244" i="2"/>
  <c r="P243" i="2"/>
  <c r="P242" i="2"/>
  <c r="S242" i="2" s="1"/>
  <c r="W242" i="2" s="1"/>
  <c r="P241" i="2"/>
  <c r="P240" i="2"/>
  <c r="P239" i="2"/>
  <c r="S239" i="2" s="1"/>
  <c r="W239" i="2" s="1"/>
  <c r="P238" i="2"/>
  <c r="S238" i="2" s="1"/>
  <c r="W238" i="2" s="1"/>
  <c r="P237" i="2"/>
  <c r="S237" i="2" s="1"/>
  <c r="W237" i="2" s="1"/>
  <c r="P236" i="2"/>
  <c r="S236" i="2"/>
  <c r="W236" i="2" s="1"/>
  <c r="P235" i="2"/>
  <c r="P234" i="2"/>
  <c r="P233" i="2"/>
  <c r="P232" i="2"/>
  <c r="S232" i="2"/>
  <c r="W232" i="2" s="1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S233" i="2"/>
  <c r="W233" i="2" s="1"/>
  <c r="V275" i="2"/>
  <c r="S234" i="2"/>
  <c r="W234" i="2" s="1"/>
  <c r="S240" i="2"/>
  <c r="W240" i="2" s="1"/>
  <c r="S241" i="2"/>
  <c r="W241" i="2" s="1"/>
  <c r="S243" i="2"/>
  <c r="W243" i="2" s="1"/>
  <c r="S244" i="2"/>
  <c r="W244" i="2" s="1"/>
  <c r="S245" i="2"/>
  <c r="W245" i="2"/>
  <c r="S246" i="2"/>
  <c r="W246" i="2"/>
  <c r="S249" i="2"/>
  <c r="W249" i="2" s="1"/>
  <c r="S250" i="2"/>
  <c r="W250" i="2" s="1"/>
  <c r="S251" i="2"/>
  <c r="W251" i="2" s="1"/>
  <c r="S252" i="2"/>
  <c r="W252" i="2" s="1"/>
  <c r="S253" i="2"/>
  <c r="W253" i="2"/>
  <c r="S254" i="2"/>
  <c r="W254" i="2" s="1"/>
  <c r="S255" i="2"/>
  <c r="W255" i="2" s="1"/>
  <c r="S256" i="2"/>
  <c r="W256" i="2" s="1"/>
  <c r="S257" i="2"/>
  <c r="W257" i="2" s="1"/>
  <c r="S258" i="2"/>
  <c r="W258" i="2"/>
  <c r="S259" i="2"/>
  <c r="W259" i="2" s="1"/>
  <c r="S260" i="2"/>
  <c r="W260" i="2"/>
  <c r="S261" i="2"/>
  <c r="W261" i="2"/>
  <c r="S262" i="2"/>
  <c r="W262" i="2" s="1"/>
  <c r="S263" i="2"/>
  <c r="W263" i="2" s="1"/>
  <c r="S264" i="2"/>
  <c r="W264" i="2"/>
  <c r="S265" i="2"/>
  <c r="W265" i="2" s="1"/>
  <c r="S266" i="2"/>
  <c r="W266" i="2"/>
  <c r="S267" i="2"/>
  <c r="W267" i="2" s="1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U275" i="2"/>
  <c r="D237" i="2"/>
  <c r="G237" i="2" s="1"/>
  <c r="K237" i="2" s="1"/>
  <c r="D236" i="2"/>
  <c r="D235" i="2"/>
  <c r="D234" i="2"/>
  <c r="G234" i="2" s="1"/>
  <c r="D233" i="2"/>
  <c r="G233" i="2" s="1"/>
  <c r="K233" i="2" s="1"/>
  <c r="J232" i="2"/>
  <c r="K232" i="2" s="1"/>
  <c r="D232" i="2"/>
  <c r="I275" i="2"/>
  <c r="F275" i="2"/>
  <c r="E275" i="2"/>
  <c r="G272" i="2"/>
  <c r="K272" i="2" s="1"/>
  <c r="G265" i="2"/>
  <c r="K265" i="2" s="1"/>
  <c r="K264" i="2"/>
  <c r="G264" i="2"/>
  <c r="K263" i="2"/>
  <c r="G263" i="2"/>
  <c r="G262" i="2"/>
  <c r="K262" i="2" s="1"/>
  <c r="G261" i="2"/>
  <c r="K261" i="2" s="1"/>
  <c r="G260" i="2"/>
  <c r="K260" i="2" s="1"/>
  <c r="K259" i="2"/>
  <c r="G259" i="2"/>
  <c r="G258" i="2"/>
  <c r="K258" i="2" s="1"/>
  <c r="G257" i="2"/>
  <c r="K257" i="2" s="1"/>
  <c r="K256" i="2"/>
  <c r="G256" i="2"/>
  <c r="K255" i="2"/>
  <c r="G255" i="2"/>
  <c r="G254" i="2"/>
  <c r="K254" i="2" s="1"/>
  <c r="G253" i="2"/>
  <c r="K253" i="2" s="1"/>
  <c r="G252" i="2"/>
  <c r="K252" i="2" s="1"/>
  <c r="K251" i="2"/>
  <c r="G251" i="2"/>
  <c r="G250" i="2"/>
  <c r="K250" i="2" s="1"/>
  <c r="G249" i="2"/>
  <c r="K249" i="2" s="1"/>
  <c r="K248" i="2"/>
  <c r="G248" i="2"/>
  <c r="G247" i="2"/>
  <c r="K247" i="2" s="1"/>
  <c r="G246" i="2"/>
  <c r="K246" i="2" s="1"/>
  <c r="G245" i="2"/>
  <c r="K245" i="2" s="1"/>
  <c r="G244" i="2"/>
  <c r="K244" i="2" s="1"/>
  <c r="G243" i="2"/>
  <c r="K243" i="2" s="1"/>
  <c r="G242" i="2"/>
  <c r="K242" i="2" s="1"/>
  <c r="G241" i="2"/>
  <c r="K241" i="2" s="1"/>
  <c r="G240" i="2"/>
  <c r="K240" i="2" s="1"/>
  <c r="G239" i="2"/>
  <c r="K239" i="2" s="1"/>
  <c r="G238" i="2"/>
  <c r="K238" i="2" s="1"/>
  <c r="G236" i="2"/>
  <c r="K236" i="2" s="1"/>
  <c r="G235" i="2"/>
  <c r="K235" i="2" s="1"/>
  <c r="C233" i="2"/>
  <c r="C234" i="2" s="1"/>
  <c r="C235" i="2" s="1"/>
  <c r="C236" i="2" s="1"/>
  <c r="C237" i="2" s="1"/>
  <c r="G232" i="2"/>
  <c r="AB275" i="2" l="1"/>
  <c r="AI232" i="2"/>
  <c r="AE234" i="2"/>
  <c r="AI234" i="2" s="1"/>
  <c r="P275" i="2"/>
  <c r="S235" i="2"/>
  <c r="D275" i="2"/>
  <c r="J275" i="2"/>
  <c r="K234" i="2"/>
  <c r="K275" i="2" s="1"/>
  <c r="G275" i="2"/>
  <c r="AB179" i="2"/>
  <c r="AB220" i="2" s="1"/>
  <c r="AB178" i="2"/>
  <c r="AG177" i="2"/>
  <c r="AG220" i="2" s="1"/>
  <c r="AB177" i="2"/>
  <c r="AE177" i="2"/>
  <c r="AA178" i="2"/>
  <c r="AA179" i="2" s="1"/>
  <c r="AE178" i="2"/>
  <c r="AI178" i="2" s="1"/>
  <c r="AE179" i="2"/>
  <c r="AI179" i="2" s="1"/>
  <c r="AE180" i="2"/>
  <c r="AE181" i="2"/>
  <c r="AI181" i="2" s="1"/>
  <c r="AE182" i="2"/>
  <c r="AI182" i="2"/>
  <c r="AE183" i="2"/>
  <c r="AI183" i="2" s="1"/>
  <c r="AE184" i="2"/>
  <c r="AI184" i="2"/>
  <c r="AE185" i="2"/>
  <c r="AI185" i="2"/>
  <c r="AE186" i="2"/>
  <c r="AI186" i="2"/>
  <c r="AE187" i="2"/>
  <c r="AI187" i="2"/>
  <c r="AE188" i="2"/>
  <c r="AI188" i="2"/>
  <c r="AE189" i="2"/>
  <c r="AI189" i="2"/>
  <c r="AE190" i="2"/>
  <c r="AI190" i="2" s="1"/>
  <c r="AE191" i="2"/>
  <c r="AI191" i="2" s="1"/>
  <c r="AE192" i="2"/>
  <c r="AI192" i="2"/>
  <c r="AE193" i="2"/>
  <c r="AI193" i="2"/>
  <c r="AE194" i="2"/>
  <c r="AI194" i="2"/>
  <c r="AE195" i="2"/>
  <c r="AI195" i="2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/>
  <c r="AE202" i="2"/>
  <c r="AI202" i="2"/>
  <c r="AE203" i="2"/>
  <c r="AI203" i="2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/>
  <c r="AE210" i="2"/>
  <c r="AI210" i="2"/>
  <c r="AE211" i="2"/>
  <c r="AI211" i="2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C220" i="2"/>
  <c r="AD220" i="2"/>
  <c r="AH220" i="2"/>
  <c r="P184" i="2"/>
  <c r="S184" i="2" s="1"/>
  <c r="W184" i="2" s="1"/>
  <c r="P183" i="2"/>
  <c r="U182" i="2"/>
  <c r="P182" i="2"/>
  <c r="P181" i="2"/>
  <c r="P180" i="2"/>
  <c r="P179" i="2"/>
  <c r="S179" i="2" s="1"/>
  <c r="W179" i="2" s="1"/>
  <c r="V178" i="2"/>
  <c r="V220" i="2" s="1"/>
  <c r="P178" i="2"/>
  <c r="P177" i="2"/>
  <c r="S177" i="2" s="1"/>
  <c r="W177" i="2" s="1"/>
  <c r="O178" i="2"/>
  <c r="O179" i="2" s="1"/>
  <c r="O180" i="2" s="1"/>
  <c r="O181" i="2" s="1"/>
  <c r="O182" i="2" s="1"/>
  <c r="O183" i="2" s="1"/>
  <c r="O184" i="2" s="1"/>
  <c r="S180" i="2"/>
  <c r="W180" i="2" s="1"/>
  <c r="S181" i="2"/>
  <c r="W181" i="2" s="1"/>
  <c r="S182" i="2"/>
  <c r="W182" i="2" s="1"/>
  <c r="S183" i="2"/>
  <c r="W183" i="2" s="1"/>
  <c r="S185" i="2"/>
  <c r="W185" i="2"/>
  <c r="S186" i="2"/>
  <c r="W186" i="2"/>
  <c r="S187" i="2"/>
  <c r="W187" i="2" s="1"/>
  <c r="S188" i="2"/>
  <c r="W188" i="2"/>
  <c r="S189" i="2"/>
  <c r="W189" i="2"/>
  <c r="S190" i="2"/>
  <c r="W190" i="2"/>
  <c r="S191" i="2"/>
  <c r="W191" i="2"/>
  <c r="S192" i="2"/>
  <c r="W192" i="2"/>
  <c r="S193" i="2"/>
  <c r="W193" i="2"/>
  <c r="S194" i="2"/>
  <c r="W194" i="2"/>
  <c r="S195" i="2"/>
  <c r="W195" i="2" s="1"/>
  <c r="S196" i="2"/>
  <c r="W196" i="2"/>
  <c r="S197" i="2"/>
  <c r="W197" i="2"/>
  <c r="S198" i="2"/>
  <c r="W198" i="2"/>
  <c r="S199" i="2"/>
  <c r="W199" i="2"/>
  <c r="S200" i="2"/>
  <c r="W200" i="2"/>
  <c r="S201" i="2"/>
  <c r="W201" i="2"/>
  <c r="S202" i="2"/>
  <c r="W202" i="2"/>
  <c r="S203" i="2"/>
  <c r="W203" i="2" s="1"/>
  <c r="S204" i="2"/>
  <c r="W204" i="2"/>
  <c r="S205" i="2"/>
  <c r="W205" i="2"/>
  <c r="S206" i="2"/>
  <c r="W206" i="2"/>
  <c r="S207" i="2"/>
  <c r="W207" i="2"/>
  <c r="S208" i="2"/>
  <c r="W208" i="2"/>
  <c r="S209" i="2"/>
  <c r="W209" i="2"/>
  <c r="S210" i="2"/>
  <c r="W210" i="2"/>
  <c r="S211" i="2"/>
  <c r="W211" i="2" s="1"/>
  <c r="S212" i="2"/>
  <c r="W212" i="2"/>
  <c r="S213" i="2"/>
  <c r="W213" i="2"/>
  <c r="S214" i="2"/>
  <c r="W214" i="2"/>
  <c r="S215" i="2"/>
  <c r="W215" i="2"/>
  <c r="W216" i="2"/>
  <c r="S217" i="2"/>
  <c r="W217" i="2" s="1"/>
  <c r="W218" i="2"/>
  <c r="Q220" i="2"/>
  <c r="R220" i="2"/>
  <c r="U220" i="2"/>
  <c r="AE275" i="2" l="1"/>
  <c r="AI275" i="2"/>
  <c r="W235" i="2"/>
  <c r="W275" i="2" s="1"/>
  <c r="S275" i="2"/>
  <c r="AI177" i="2"/>
  <c r="AE220" i="2"/>
  <c r="AI180" i="2"/>
  <c r="P220" i="2"/>
  <c r="S178" i="2"/>
  <c r="W178" i="2" s="1"/>
  <c r="W220" i="2" s="1"/>
  <c r="AB126" i="2"/>
  <c r="AG125" i="2"/>
  <c r="AG165" i="2" s="1"/>
  <c r="AB125" i="2"/>
  <c r="AE125" i="2" s="1"/>
  <c r="AI125" i="2" s="1"/>
  <c r="AB124" i="2"/>
  <c r="AB123" i="2"/>
  <c r="AB122" i="2"/>
  <c r="AE122" i="2" s="1"/>
  <c r="AA123" i="2"/>
  <c r="AE123" i="2"/>
  <c r="AI123" i="2" s="1"/>
  <c r="AA124" i="2"/>
  <c r="AA125" i="2" s="1"/>
  <c r="AA126" i="2" s="1"/>
  <c r="AE124" i="2"/>
  <c r="AI124" i="2" s="1"/>
  <c r="AE126" i="2"/>
  <c r="AI126" i="2" s="1"/>
  <c r="AE127" i="2"/>
  <c r="AI127" i="2" s="1"/>
  <c r="AE128" i="2"/>
  <c r="AI128" i="2" s="1"/>
  <c r="AE129" i="2"/>
  <c r="AI129" i="2" s="1"/>
  <c r="AE130" i="2"/>
  <c r="AI130" i="2"/>
  <c r="AE131" i="2"/>
  <c r="AI131" i="2" s="1"/>
  <c r="AE132" i="2"/>
  <c r="AI132" i="2"/>
  <c r="AE133" i="2"/>
  <c r="AI133" i="2" s="1"/>
  <c r="AE134" i="2"/>
  <c r="AI134" i="2" s="1"/>
  <c r="AE135" i="2"/>
  <c r="AI135" i="2"/>
  <c r="AE136" i="2"/>
  <c r="AI136" i="2"/>
  <c r="AE137" i="2"/>
  <c r="AI137" i="2" s="1"/>
  <c r="AE138" i="2"/>
  <c r="AI138" i="2"/>
  <c r="AE139" i="2"/>
  <c r="AI139" i="2"/>
  <c r="AE140" i="2"/>
  <c r="AI140" i="2"/>
  <c r="AE141" i="2"/>
  <c r="AI141" i="2" s="1"/>
  <c r="AE142" i="2"/>
  <c r="AI142" i="2" s="1"/>
  <c r="AE143" i="2"/>
  <c r="AI143" i="2"/>
  <c r="AE144" i="2"/>
  <c r="AI144" i="2"/>
  <c r="AE145" i="2"/>
  <c r="AI145" i="2" s="1"/>
  <c r="AE146" i="2"/>
  <c r="AI146" i="2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/>
  <c r="AE153" i="2"/>
  <c r="AI153" i="2" s="1"/>
  <c r="AE154" i="2"/>
  <c r="AI154" i="2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/>
  <c r="AI161" i="2"/>
  <c r="AE162" i="2"/>
  <c r="AI162" i="2"/>
  <c r="AI163" i="2"/>
  <c r="AC165" i="2"/>
  <c r="AD165" i="2"/>
  <c r="AH165" i="2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P124" i="2"/>
  <c r="S124" i="2" s="1"/>
  <c r="W124" i="2" s="1"/>
  <c r="V123" i="2"/>
  <c r="V165" i="2" s="1"/>
  <c r="P123" i="2"/>
  <c r="P122" i="2"/>
  <c r="S122" i="2" s="1"/>
  <c r="O123" i="2"/>
  <c r="O124" i="2" s="1"/>
  <c r="O125" i="2" s="1"/>
  <c r="O126" i="2" s="1"/>
  <c r="O127" i="2" s="1"/>
  <c r="O128" i="2" s="1"/>
  <c r="O129" i="2" s="1"/>
  <c r="S123" i="2"/>
  <c r="S125" i="2"/>
  <c r="W125" i="2" s="1"/>
  <c r="S130" i="2"/>
  <c r="W130" i="2"/>
  <c r="S131" i="2"/>
  <c r="W131" i="2" s="1"/>
  <c r="S132" i="2"/>
  <c r="W132" i="2"/>
  <c r="S133" i="2"/>
  <c r="W133" i="2" s="1"/>
  <c r="S134" i="2"/>
  <c r="W134" i="2" s="1"/>
  <c r="S135" i="2"/>
  <c r="W135" i="2" s="1"/>
  <c r="S136" i="2"/>
  <c r="W136" i="2"/>
  <c r="S137" i="2"/>
  <c r="W137" i="2" s="1"/>
  <c r="S138" i="2"/>
  <c r="W138" i="2"/>
  <c r="S139" i="2"/>
  <c r="W139" i="2"/>
  <c r="S140" i="2"/>
  <c r="W140" i="2"/>
  <c r="S141" i="2"/>
  <c r="W141" i="2" s="1"/>
  <c r="S142" i="2"/>
  <c r="W142" i="2"/>
  <c r="S143" i="2"/>
  <c r="W143" i="2"/>
  <c r="S144" i="2"/>
  <c r="W144" i="2"/>
  <c r="S145" i="2"/>
  <c r="W145" i="2" s="1"/>
  <c r="S146" i="2"/>
  <c r="W146" i="2"/>
  <c r="S147" i="2"/>
  <c r="W147" i="2"/>
  <c r="S148" i="2"/>
  <c r="W148" i="2"/>
  <c r="S149" i="2"/>
  <c r="W149" i="2" s="1"/>
  <c r="S150" i="2"/>
  <c r="W150" i="2"/>
  <c r="S151" i="2"/>
  <c r="W151" i="2"/>
  <c r="S152" i="2"/>
  <c r="W152" i="2"/>
  <c r="S153" i="2"/>
  <c r="W153" i="2" s="1"/>
  <c r="S154" i="2"/>
  <c r="W154" i="2"/>
  <c r="S155" i="2"/>
  <c r="W155" i="2"/>
  <c r="S156" i="2"/>
  <c r="W156" i="2"/>
  <c r="S157" i="2"/>
  <c r="W157" i="2" s="1"/>
  <c r="S158" i="2"/>
  <c r="W158" i="2"/>
  <c r="S159" i="2"/>
  <c r="W159" i="2"/>
  <c r="S160" i="2"/>
  <c r="W160" i="2"/>
  <c r="W161" i="2"/>
  <c r="S162" i="2"/>
  <c r="W162" i="2" s="1"/>
  <c r="W163" i="2"/>
  <c r="Q165" i="2"/>
  <c r="R165" i="2"/>
  <c r="U165" i="2"/>
  <c r="D137" i="2"/>
  <c r="G137" i="2" s="1"/>
  <c r="K137" i="2" s="1"/>
  <c r="D136" i="2"/>
  <c r="G136" i="2" s="1"/>
  <c r="K136" i="2" s="1"/>
  <c r="D135" i="2"/>
  <c r="D134" i="2"/>
  <c r="D133" i="2"/>
  <c r="G133" i="2" s="1"/>
  <c r="K133" i="2" s="1"/>
  <c r="D132" i="2"/>
  <c r="D131" i="2"/>
  <c r="D130" i="2"/>
  <c r="D129" i="2"/>
  <c r="D128" i="2"/>
  <c r="G128" i="2" s="1"/>
  <c r="K128" i="2" s="1"/>
  <c r="D127" i="2"/>
  <c r="G127" i="2" s="1"/>
  <c r="K127" i="2" s="1"/>
  <c r="D126" i="2"/>
  <c r="G126" i="2" s="1"/>
  <c r="K126" i="2" s="1"/>
  <c r="D125" i="2"/>
  <c r="I124" i="2"/>
  <c r="D124" i="2"/>
  <c r="D123" i="2"/>
  <c r="D122" i="2"/>
  <c r="C129" i="2"/>
  <c r="C130" i="2" s="1"/>
  <c r="C131" i="2" s="1"/>
  <c r="C132" i="2" s="1"/>
  <c r="C133" i="2" s="1"/>
  <c r="C134" i="2" s="1"/>
  <c r="C135" i="2" s="1"/>
  <c r="C136" i="2" s="1"/>
  <c r="C137" i="2" s="1"/>
  <c r="G122" i="2"/>
  <c r="K122" i="2"/>
  <c r="C123" i="2"/>
  <c r="G123" i="2"/>
  <c r="K123" i="2" s="1"/>
  <c r="C124" i="2"/>
  <c r="C125" i="2" s="1"/>
  <c r="C126" i="2" s="1"/>
  <c r="C127" i="2" s="1"/>
  <c r="C128" i="2" s="1"/>
  <c r="G124" i="2"/>
  <c r="K124" i="2" s="1"/>
  <c r="G125" i="2"/>
  <c r="G129" i="2"/>
  <c r="K129" i="2"/>
  <c r="G130" i="2"/>
  <c r="K130" i="2" s="1"/>
  <c r="G131" i="2"/>
  <c r="K131" i="2" s="1"/>
  <c r="G132" i="2"/>
  <c r="K132" i="2" s="1"/>
  <c r="G134" i="2"/>
  <c r="K134" i="2" s="1"/>
  <c r="G135" i="2"/>
  <c r="K135" i="2" s="1"/>
  <c r="G138" i="2"/>
  <c r="K138" i="2" s="1"/>
  <c r="G139" i="2"/>
  <c r="K139" i="2" s="1"/>
  <c r="G140" i="2"/>
  <c r="K140" i="2"/>
  <c r="G141" i="2"/>
  <c r="K141" i="2"/>
  <c r="G142" i="2"/>
  <c r="K142" i="2"/>
  <c r="G143" i="2"/>
  <c r="K143" i="2" s="1"/>
  <c r="G144" i="2"/>
  <c r="K144" i="2"/>
  <c r="G145" i="2"/>
  <c r="K145" i="2"/>
  <c r="G146" i="2"/>
  <c r="K146" i="2"/>
  <c r="G147" i="2"/>
  <c r="K147" i="2" s="1"/>
  <c r="G148" i="2"/>
  <c r="K148" i="2"/>
  <c r="G149" i="2"/>
  <c r="K149" i="2"/>
  <c r="G150" i="2"/>
  <c r="K150" i="2"/>
  <c r="G151" i="2"/>
  <c r="K151" i="2" s="1"/>
  <c r="G152" i="2"/>
  <c r="K152" i="2"/>
  <c r="G153" i="2"/>
  <c r="K153" i="2"/>
  <c r="G154" i="2"/>
  <c r="K154" i="2"/>
  <c r="G155" i="2"/>
  <c r="K155" i="2" s="1"/>
  <c r="G162" i="2"/>
  <c r="K162" i="2"/>
  <c r="E165" i="2"/>
  <c r="F165" i="2"/>
  <c r="I165" i="2"/>
  <c r="J165" i="2"/>
  <c r="AI220" i="2" l="1"/>
  <c r="S220" i="2"/>
  <c r="AI122" i="2"/>
  <c r="AI165" i="2" s="1"/>
  <c r="AE165" i="2"/>
  <c r="AB165" i="2"/>
  <c r="W123" i="2"/>
  <c r="W122" i="2"/>
  <c r="W165" i="2" s="1"/>
  <c r="S165" i="2"/>
  <c r="P165" i="2"/>
  <c r="D165" i="2"/>
  <c r="G165" i="2"/>
  <c r="K125" i="2"/>
  <c r="K165" i="2" s="1"/>
  <c r="AH71" i="2"/>
  <c r="AB71" i="2"/>
  <c r="AB70" i="2"/>
  <c r="AB69" i="2"/>
  <c r="AE69" i="2" s="1"/>
  <c r="AI69" i="2" s="1"/>
  <c r="AB68" i="2"/>
  <c r="AB67" i="2"/>
  <c r="AA68" i="2"/>
  <c r="AE67" i="2"/>
  <c r="AI67" i="2" s="1"/>
  <c r="AE68" i="2"/>
  <c r="AI68" i="2" s="1"/>
  <c r="AA69" i="2"/>
  <c r="AA70" i="2" s="1"/>
  <c r="AA71" i="2" s="1"/>
  <c r="AE70" i="2"/>
  <c r="AI70" i="2" s="1"/>
  <c r="AE71" i="2"/>
  <c r="AI71" i="2" s="1"/>
  <c r="AG110" i="2"/>
  <c r="AE72" i="2"/>
  <c r="AI72" i="2" s="1"/>
  <c r="AE73" i="2"/>
  <c r="AI73" i="2" s="1"/>
  <c r="AE74" i="2"/>
  <c r="AI74" i="2" s="1"/>
  <c r="AE75" i="2"/>
  <c r="AI75" i="2"/>
  <c r="AE76" i="2"/>
  <c r="AI76" i="2" s="1"/>
  <c r="AE77" i="2"/>
  <c r="AI77" i="2" s="1"/>
  <c r="AE78" i="2"/>
  <c r="AI78" i="2"/>
  <c r="AE79" i="2"/>
  <c r="AI79" i="2"/>
  <c r="AE80" i="2"/>
  <c r="AI80" i="2" s="1"/>
  <c r="AE81" i="2"/>
  <c r="AI81" i="2" s="1"/>
  <c r="AE82" i="2"/>
  <c r="AI82" i="2"/>
  <c r="AE83" i="2"/>
  <c r="AI83" i="2"/>
  <c r="AE84" i="2"/>
  <c r="AI84" i="2"/>
  <c r="AE85" i="2"/>
  <c r="AI85" i="2" s="1"/>
  <c r="AE86" i="2"/>
  <c r="AI86" i="2"/>
  <c r="AE87" i="2"/>
  <c r="AI87" i="2"/>
  <c r="AE88" i="2"/>
  <c r="AI88" i="2"/>
  <c r="AE89" i="2"/>
  <c r="AI89" i="2" s="1"/>
  <c r="AE90" i="2"/>
  <c r="AI90" i="2"/>
  <c r="AE91" i="2"/>
  <c r="AI91" i="2"/>
  <c r="AE92" i="2"/>
  <c r="AI92" i="2"/>
  <c r="AE93" i="2"/>
  <c r="AI93" i="2" s="1"/>
  <c r="AE94" i="2"/>
  <c r="AI94" i="2"/>
  <c r="AE95" i="2"/>
  <c r="AI95" i="2"/>
  <c r="AE96" i="2"/>
  <c r="AI96" i="2"/>
  <c r="AE97" i="2"/>
  <c r="AI97" i="2" s="1"/>
  <c r="AE98" i="2"/>
  <c r="AI98" i="2"/>
  <c r="AE99" i="2"/>
  <c r="AI99" i="2"/>
  <c r="AE100" i="2"/>
  <c r="AI100" i="2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C110" i="2"/>
  <c r="AD110" i="2"/>
  <c r="AH110" i="2"/>
  <c r="V70" i="2"/>
  <c r="V110" i="2" s="1"/>
  <c r="U70" i="2"/>
  <c r="P70" i="2"/>
  <c r="S70" i="2" s="1"/>
  <c r="W70" i="2" s="1"/>
  <c r="P69" i="2"/>
  <c r="P68" i="2"/>
  <c r="S68" i="2" s="1"/>
  <c r="W68" i="2" s="1"/>
  <c r="U67" i="2"/>
  <c r="P67" i="2"/>
  <c r="S67" i="2"/>
  <c r="O68" i="2"/>
  <c r="O69" i="2" s="1"/>
  <c r="O70" i="2" s="1"/>
  <c r="S69" i="2"/>
  <c r="W69" i="2"/>
  <c r="S71" i="2"/>
  <c r="W71" i="2"/>
  <c r="S72" i="2"/>
  <c r="W72" i="2" s="1"/>
  <c r="S73" i="2"/>
  <c r="W73" i="2" s="1"/>
  <c r="S74" i="2"/>
  <c r="W74" i="2" s="1"/>
  <c r="S75" i="2"/>
  <c r="W75" i="2"/>
  <c r="S76" i="2"/>
  <c r="W76" i="2"/>
  <c r="S77" i="2"/>
  <c r="W77" i="2" s="1"/>
  <c r="S78" i="2"/>
  <c r="W78" i="2" s="1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 s="1"/>
  <c r="S86" i="2"/>
  <c r="W86" i="2"/>
  <c r="S87" i="2"/>
  <c r="W87" i="2"/>
  <c r="S88" i="2"/>
  <c r="W88" i="2"/>
  <c r="S89" i="2"/>
  <c r="W89" i="2" s="1"/>
  <c r="S90" i="2"/>
  <c r="W90" i="2"/>
  <c r="S91" i="2"/>
  <c r="W91" i="2"/>
  <c r="S92" i="2"/>
  <c r="W92" i="2"/>
  <c r="S93" i="2"/>
  <c r="W93" i="2" s="1"/>
  <c r="S94" i="2"/>
  <c r="W94" i="2"/>
  <c r="S95" i="2"/>
  <c r="W95" i="2"/>
  <c r="S96" i="2"/>
  <c r="W96" i="2"/>
  <c r="S97" i="2"/>
  <c r="W97" i="2" s="1"/>
  <c r="S98" i="2"/>
  <c r="W98" i="2"/>
  <c r="S99" i="2"/>
  <c r="W99" i="2"/>
  <c r="S100" i="2"/>
  <c r="W100" i="2"/>
  <c r="S101" i="2"/>
  <c r="W101" i="2" s="1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D83" i="2"/>
  <c r="C83" i="2"/>
  <c r="D82" i="2"/>
  <c r="D81" i="2"/>
  <c r="G81" i="2" s="1"/>
  <c r="K81" i="2" s="1"/>
  <c r="D80" i="2"/>
  <c r="G80" i="2" s="1"/>
  <c r="K80" i="2" s="1"/>
  <c r="D79" i="2"/>
  <c r="G79" i="2" s="1"/>
  <c r="K79" i="2" s="1"/>
  <c r="D78" i="2"/>
  <c r="G78" i="2" s="1"/>
  <c r="K78" i="2" s="1"/>
  <c r="D77" i="2"/>
  <c r="D76" i="2"/>
  <c r="D75" i="2"/>
  <c r="D74" i="2"/>
  <c r="G74" i="2" s="1"/>
  <c r="K74" i="2" s="1"/>
  <c r="D73" i="2"/>
  <c r="G73" i="2" s="1"/>
  <c r="K73" i="2" s="1"/>
  <c r="D72" i="2"/>
  <c r="D71" i="2"/>
  <c r="D70" i="2"/>
  <c r="G70" i="2" s="1"/>
  <c r="K70" i="2" s="1"/>
  <c r="D69" i="2"/>
  <c r="D68" i="2"/>
  <c r="D67" i="2"/>
  <c r="G67" i="2"/>
  <c r="C68" i="2"/>
  <c r="C69" i="2" s="1"/>
  <c r="C70" i="2" s="1"/>
  <c r="C71" i="2" s="1"/>
  <c r="C72" i="2" s="1"/>
  <c r="C73" i="2" s="1"/>
  <c r="C75" i="2" s="1"/>
  <c r="C76" i="2" s="1"/>
  <c r="C77" i="2" s="1"/>
  <c r="C78" i="2" s="1"/>
  <c r="C79" i="2" s="1"/>
  <c r="C80" i="2" s="1"/>
  <c r="C81" i="2" s="1"/>
  <c r="C82" i="2" s="1"/>
  <c r="G68" i="2"/>
  <c r="K68" i="2" s="1"/>
  <c r="G69" i="2"/>
  <c r="K69" i="2" s="1"/>
  <c r="G71" i="2"/>
  <c r="K71" i="2" s="1"/>
  <c r="G72" i="2"/>
  <c r="K72" i="2"/>
  <c r="G75" i="2"/>
  <c r="K75" i="2" s="1"/>
  <c r="G76" i="2"/>
  <c r="K76" i="2" s="1"/>
  <c r="G77" i="2"/>
  <c r="K77" i="2" s="1"/>
  <c r="G82" i="2"/>
  <c r="K82" i="2" s="1"/>
  <c r="G83" i="2"/>
  <c r="K83" i="2"/>
  <c r="G84" i="2"/>
  <c r="K84" i="2"/>
  <c r="G85" i="2"/>
  <c r="K85" i="2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/>
  <c r="G94" i="2"/>
  <c r="K94" i="2" s="1"/>
  <c r="G95" i="2"/>
  <c r="K95" i="2"/>
  <c r="G96" i="2"/>
  <c r="K96" i="2"/>
  <c r="G97" i="2"/>
  <c r="K97" i="2"/>
  <c r="G98" i="2"/>
  <c r="K98" i="2"/>
  <c r="G99" i="2"/>
  <c r="K99" i="2" s="1"/>
  <c r="G100" i="2"/>
  <c r="K100" i="2"/>
  <c r="G107" i="2"/>
  <c r="K107" i="2"/>
  <c r="E110" i="2"/>
  <c r="F110" i="2"/>
  <c r="I110" i="2"/>
  <c r="J110" i="2"/>
  <c r="AB110" i="2" l="1"/>
  <c r="AI110" i="2"/>
  <c r="AE110" i="2"/>
  <c r="U110" i="2"/>
  <c r="P110" i="2"/>
  <c r="W67" i="2"/>
  <c r="S110" i="2"/>
  <c r="W110" i="2"/>
  <c r="D110" i="2"/>
  <c r="K67" i="2"/>
  <c r="K110" i="2" s="1"/>
  <c r="G110" i="2"/>
  <c r="AB21" i="2"/>
  <c r="AB20" i="2"/>
  <c r="AB19" i="2"/>
  <c r="AB18" i="2"/>
  <c r="AB17" i="2"/>
  <c r="AG16" i="2"/>
  <c r="AB16" i="2"/>
  <c r="AB15" i="2"/>
  <c r="AB14" i="2"/>
  <c r="AB13" i="2"/>
  <c r="AB12" i="2"/>
  <c r="P21" i="2"/>
  <c r="P20" i="2"/>
  <c r="P19" i="2"/>
  <c r="P18" i="2"/>
  <c r="P17" i="2"/>
  <c r="P16" i="2"/>
  <c r="P15" i="2"/>
  <c r="P14" i="2"/>
  <c r="P13" i="2"/>
  <c r="P12" i="2"/>
  <c r="D27" i="2"/>
  <c r="D26" i="2"/>
  <c r="I25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39" i="1" l="1"/>
  <c r="D40" i="1"/>
  <c r="A40" i="1"/>
  <c r="C13" i="2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O13" i="2"/>
  <c r="O14" i="2" s="1"/>
  <c r="O15" i="2" s="1"/>
  <c r="O16" i="2" s="1"/>
  <c r="O17" i="2" s="1"/>
  <c r="O18" i="2" s="1"/>
  <c r="O19" i="2" s="1"/>
  <c r="O20" i="2" s="1"/>
  <c r="O21" i="2" s="1"/>
  <c r="D32" i="1"/>
  <c r="D33" i="1"/>
  <c r="J32" i="1"/>
  <c r="J33" i="1"/>
  <c r="J34" i="1"/>
  <c r="D34" i="1" s="1"/>
  <c r="J35" i="1"/>
  <c r="D35" i="1" s="1"/>
  <c r="J36" i="1"/>
  <c r="D36" i="1" s="1"/>
  <c r="J37" i="1"/>
  <c r="J25" i="1"/>
  <c r="D25" i="1" s="1"/>
  <c r="J26" i="1"/>
  <c r="D26" i="1" s="1"/>
  <c r="J27" i="1"/>
  <c r="D27" i="1" s="1"/>
  <c r="J28" i="1"/>
  <c r="D28" i="1" s="1"/>
  <c r="J29" i="1"/>
  <c r="J18" i="1"/>
  <c r="D18" i="1" s="1"/>
  <c r="J19" i="1"/>
  <c r="D19" i="1" s="1"/>
  <c r="J20" i="1"/>
  <c r="D20" i="1" s="1"/>
  <c r="J21" i="1"/>
  <c r="D21" i="1" s="1"/>
  <c r="J22" i="1"/>
  <c r="D22" i="1" s="1"/>
  <c r="J17" i="1"/>
  <c r="J15" i="1"/>
  <c r="D15" i="1" s="1"/>
  <c r="J14" i="1"/>
  <c r="D14" i="1" s="1"/>
  <c r="J13" i="1"/>
  <c r="D13" i="1" s="1"/>
  <c r="J12" i="1"/>
  <c r="D12" i="1" s="1"/>
  <c r="J11" i="1"/>
  <c r="D11" i="1" s="1"/>
  <c r="D29" i="1" l="1"/>
  <c r="J24" i="1"/>
  <c r="D24" i="1" s="1"/>
  <c r="D17" i="1" l="1"/>
  <c r="J31" i="1"/>
  <c r="D31" i="1" s="1"/>
  <c r="J38" i="1"/>
  <c r="D38" i="1" s="1"/>
  <c r="J10" i="1" l="1"/>
  <c r="D10" i="1" s="1"/>
  <c r="D42" i="1" s="1"/>
  <c r="AA14" i="2" l="1"/>
  <c r="AA15" i="2" s="1"/>
  <c r="AA16" i="2" s="1"/>
  <c r="AA17" i="2" s="1"/>
  <c r="AA18" i="2" s="1"/>
  <c r="AA19" i="2" s="1"/>
  <c r="AA20" i="2" s="1"/>
  <c r="AA21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978A405-E4A7-4B71-9CFF-B9B2B90AE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POWER SPEED
DISUD, SINDANGAN</t>
        </r>
      </text>
    </comment>
    <comment ref="O12" authorId="0" shapeId="0" xr:uid="{4AB47D1B-C51B-493B-AA9D-0F24A5365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JANE STORE
GOLEO, SINDANGAN</t>
        </r>
      </text>
    </comment>
    <comment ref="AA12" authorId="0" shapeId="0" xr:uid="{E33B1A9B-DFE5-48A4-8BDE-2344C25938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TROCIO, ANALYN
BACONG, SALUG</t>
        </r>
      </text>
    </comment>
    <comment ref="C13" authorId="0" shapeId="0" xr:uid="{83B3B320-DAD9-4DF8-B451-DE44DAF39B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13" authorId="0" shapeId="0" xr:uid="{CFFC0B69-BC5E-45EB-9D8A-4286326925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/ RUNIE O. JAMORA
POB, BACUNGAN</t>
        </r>
      </text>
    </comment>
    <comment ref="AA13" authorId="0" shapeId="0" xr:uid="{C5440B5F-8A55-49DC-B895-80B99F05C1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HENSON, ELIZABETH
BACONG, SALUG</t>
        </r>
      </text>
    </comment>
    <comment ref="C14" authorId="0" shapeId="0" xr:uid="{4318AE24-F449-4817-A2CB-565CA109C2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4" authorId="0" shapeId="0" xr:uid="{3BCA3E49-06C0-43C9-B0E5-05F0AB2B4D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AA14" authorId="0" shapeId="0" xr:uid="{208FFC1A-CE23-40B6-975B-31470359A5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LAGARE
POB, SALUG</t>
        </r>
      </text>
    </comment>
    <comment ref="C15" authorId="0" shapeId="0" xr:uid="{416BC994-369E-4BC7-9D2A-8464998AD2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O15" authorId="0" shapeId="0" xr:uid="{BC7C20EB-B753-4812-AA5A-E499E57E6C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5" authorId="0" shapeId="0" xr:uid="{781F5F8C-7C0D-45B0-9734-10005EDFBDA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CARBONA RANILO
POB, SALUG</t>
        </r>
      </text>
    </comment>
    <comment ref="C16" authorId="0" shapeId="0" xr:uid="{A811AD16-BB58-47CA-B317-8E6535FE7E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KINN ESQUADRO
RM, SINDANGAN</t>
        </r>
      </text>
    </comment>
    <comment ref="O16" authorId="0" shapeId="0" xr:uid="{AE53367E-C60F-4971-984B-B4C0C333AD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OCEAN GREY BEACH RESORT
TALINGA, BACUNGAN</t>
        </r>
      </text>
    </comment>
    <comment ref="AA16" authorId="0" shapeId="0" xr:uid="{2C01C933-C88E-4CBC-8949-D14F4CC5F5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RANILO CARBONA
POB, SALUG</t>
        </r>
      </text>
    </comment>
    <comment ref="C17" authorId="0" shapeId="0" xr:uid="{EA4E9987-C51F-49BD-93C7-9E67FB2A3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17" authorId="0" shapeId="0" xr:uid="{25861E9F-6AC0-4575-846A-9F5FCF1EE0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AA17" authorId="0" shapeId="0" xr:uid="{C7D12775-1638-4864-9950-7DAFC16EA7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18" authorId="0" shapeId="0" xr:uid="{1B3E3E20-D7E7-49F6-A9AD-72EC86D4CC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18" authorId="0" shapeId="0" xr:uid="{89998A90-6C1C-42AC-9594-5FF774D162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
TALINGA, SINDANGAN</t>
        </r>
      </text>
    </comment>
    <comment ref="AA18" authorId="0" shapeId="0" xr:uid="{BA1BE011-BE45-4A22-8071-021D063CB3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MAÑOSA ZENAIDA
POB, SALUG</t>
        </r>
      </text>
    </comment>
    <comment ref="C19" authorId="0" shapeId="0" xr:uid="{F871A874-8E95-411D-8668-4CC34A87C7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19" authorId="0" shapeId="0" xr:uid="{7C226D7D-7486-4DAD-9878-67C5A178BE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9" authorId="0" shapeId="0" xr:uid="{A36CD8DB-5B18-41E4-AF38-3A18BC9C73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20" authorId="0" shapeId="0" xr:uid="{467BDBA6-DCE2-41A3-A22E-7E6D0E690A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20" authorId="0" shapeId="0" xr:uid="{510D91E9-C2A7-4B1F-96FD-1BB2369AD0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 STORE
TALINGA, SINDANGAN</t>
        </r>
      </text>
    </comment>
    <comment ref="AA20" authorId="0" shapeId="0" xr:uid="{406F6FA6-E0ED-4596-A2FC-553EC7CC92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
POB, SALUG</t>
        </r>
      </text>
    </comment>
    <comment ref="C21" authorId="0" shapeId="0" xr:uid="{417C7BF5-FAA0-4EF4-B1EB-0F3BA390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21" authorId="0" shapeId="0" xr:uid="{FC32423F-46D9-492E-A5B8-7C364A701E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AA21" authorId="0" shapeId="0" xr:uid="{A3E8051B-DD28-467E-8ED3-0F2DAD9AC4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NEILVIN BAGUIO
BISAN-ASA, NA LUGAR</t>
        </r>
      </text>
    </comment>
    <comment ref="C22" authorId="0" shapeId="0" xr:uid="{4FA4D480-C392-4967-8DCD-C65AB47760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C23" authorId="0" shapeId="0" xr:uid="{C1806B47-FB0D-4736-BF1D-D8D7F4BF4C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MCS STORE
DAPAON, SINDANGAN</t>
        </r>
      </text>
    </comment>
    <comment ref="C24" authorId="0" shapeId="0" xr:uid="{E6C5E7F5-C074-48CE-A232-8E9917D455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C25" authorId="0" shapeId="0" xr:uid="{106DF03F-B3DB-47DE-A9D0-56E32C527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C26" authorId="0" shapeId="0" xr:uid="{72EC9530-B9C7-4203-ACF0-3D41A6C76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POB, SINDANGAN</t>
        </r>
      </text>
    </comment>
    <comment ref="C27" authorId="0" shapeId="0" xr:uid="{C3D3D4F2-1499-427A-AFF9-235C1692DD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HOME MART
POB, SINDANGAN</t>
        </r>
      </text>
    </comment>
    <comment ref="C67" authorId="0" shapeId="0" xr:uid="{ABFC9E97-9538-46BA-B198-67E1057370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 STORE
PIAO, SINDANGAN</t>
        </r>
      </text>
    </comment>
    <comment ref="O67" authorId="0" shapeId="0" xr:uid="{3C716625-F4CB-48D7-B7B2-872809351F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AA67" authorId="0" shapeId="0" xr:uid="{5FB801B3-F403-4A56-8B06-E0DFF1D02A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ANALIZA HAJAN
BAYBAY, LILOY</t>
        </r>
      </text>
    </comment>
    <comment ref="C68" authorId="0" shapeId="0" xr:uid="{D5C2AD63-5422-4357-BC97-7E5A0F77D3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AIZA HAGAN
DENOYAN, SIAYAN</t>
        </r>
      </text>
    </comment>
    <comment ref="O68" authorId="0" shapeId="0" xr:uid="{5ED0F291-01A2-4AF0-98EA-DB055000A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AA68" authorId="0" shapeId="0" xr:uid="{A986EA1C-3FF6-4110-B9F5-17A47CD489F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MICHELLE
BAYBAY, LILOY</t>
        </r>
      </text>
    </comment>
    <comment ref="C69" authorId="0" shapeId="0" xr:uid="{ABF273C3-B0CB-4E9A-B1D8-2095C990F6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69" authorId="0" shapeId="0" xr:uid="{D19E0D02-2F73-4BDB-9C35-A287EBF579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AZUNA
TALINGA, SINDANGAN</t>
        </r>
      </text>
    </comment>
    <comment ref="AA69" authorId="0" shapeId="0" xr:uid="{2638F6B2-D58F-4706-9D22-B9501265D1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B2A593D9-21D6-42E2-9DCA-432DA5D1C6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JOE CATUBAY
DENOYAN, SIAYAN</t>
        </r>
      </text>
    </comment>
    <comment ref="O70" authorId="0" shapeId="0" xr:uid="{459317A9-BBF2-439E-BEBD-0C6A42B6EF7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70" authorId="0" shapeId="0" xr:uid="{81786ED6-8449-47CD-B532-85E7BB0144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C71" authorId="0" shapeId="0" xr:uid="{EBDC1C7D-DD9A-4638-B243-6059C1422C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RONALD SABILLO
POB, SIAYAN</t>
        </r>
      </text>
    </comment>
    <comment ref="AA71" authorId="0" shapeId="0" xr:uid="{01B72538-0AEC-45FA-A13D-42834CDA4B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SHEILA GUIBANG-GUIBANG
KAYOK, LILOY</t>
        </r>
      </text>
    </comment>
    <comment ref="C72" authorId="0" shapeId="0" xr:uid="{26F7505C-1D29-4116-9A0A-EBBD6999F0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 STORE
POB, SIAYAN</t>
        </r>
      </text>
    </comment>
    <comment ref="C73" authorId="0" shapeId="0" xr:uid="{C7FC34AD-261F-4F6E-BAF7-D8EF799BFD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74" authorId="0" shapeId="0" xr:uid="{D05580D3-B8BC-4B6E-83F2-53A426C49F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GABATO
POB, SIAYAN</t>
        </r>
      </text>
    </comment>
    <comment ref="C75" authorId="0" shapeId="0" xr:uid="{60C085C8-90C3-4180-B9B3-D3B3CCEAEC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SIAYAN MOTORPARTS
POB, SIAYAN</t>
        </r>
      </text>
    </comment>
    <comment ref="C76" authorId="0" shapeId="0" xr:uid="{3E7783AA-96A2-4900-924C-D4A5926F88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JEZZELLE STORE
POB, SIAYAN</t>
        </r>
      </text>
    </comment>
    <comment ref="C77" authorId="0" shapeId="0" xr:uid="{263CC2EF-5656-4CAE-A930-95AC2EA6B3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ALBORQUE
POB, SIAYAN</t>
        </r>
      </text>
    </comment>
    <comment ref="C78" authorId="0" shapeId="0" xr:uid="{FAD0E96D-8097-47BE-BB9C-D0977C830A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 STORE
DENOYAN, SIAYAN</t>
        </r>
      </text>
    </comment>
    <comment ref="C79" authorId="0" shapeId="0" xr:uid="{AD185CCA-9077-4976-8076-BDA524E3B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C80" authorId="0" shapeId="0" xr:uid="{55597D48-45C1-4395-8109-C075C5ED8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81" authorId="0" shapeId="0" xr:uid="{EC9225A4-96D6-41EE-AA31-95FF7CB134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82" authorId="0" shapeId="0" xr:uid="{0FADF7EE-024E-4DAC-8313-6FE3D0928F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83" authorId="0" shapeId="0" xr:uid="{5ADC415A-4DC4-4BFA-B2D6-D157176D87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GODI CAMASURA STORE
DAPAON, SINDANGAN</t>
        </r>
      </text>
    </comment>
    <comment ref="C122" authorId="0" shapeId="0" xr:uid="{4D4BAAAA-7A28-4C22-B850-D88576A27F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AMOD STORE
LABAKID, SINDANGAN</t>
        </r>
      </text>
    </comment>
    <comment ref="O122" authorId="0" shapeId="0" xr:uid="{BD5A0937-76F0-409F-85B0-3E61E392D9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TALINGA, SINDANGAN</t>
        </r>
      </text>
    </comment>
    <comment ref="AA122" authorId="0" shapeId="0" xr:uid="{6C2DA341-9FA5-4486-A8A0-E820A96168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123" authorId="0" shapeId="0" xr:uid="{C3F6F6B6-3875-49B0-9C33-27D6DEC7DD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
LABAKID, SINDANGAN</t>
        </r>
      </text>
    </comment>
    <comment ref="O123" authorId="0" shapeId="0" xr:uid="{23BE090F-502E-4109-A500-78DE085512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ELUMBA
POB, BACUNGAN</t>
        </r>
      </text>
    </comment>
    <comment ref="AA123" authorId="0" shapeId="0" xr:uid="{1AE9CE46-D432-4ACE-A115-F4E47CE26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124" authorId="0" shapeId="0" xr:uid="{826F84CD-E416-4651-8160-28488AA3B0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O124" authorId="0" shapeId="0" xr:uid="{2AD19A65-42FD-4F42-A5FD-91D64A1B53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CAMPOY
TALINGA, SINDANGAN</t>
        </r>
      </text>
    </comment>
    <comment ref="AA124" authorId="0" shapeId="0" xr:uid="{9536FC98-5F32-4299-B747-E1AB2BC46F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BORACOOL BEACH</t>
        </r>
      </text>
    </comment>
    <comment ref="C125" authorId="0" shapeId="0" xr:uid="{95300D7E-E30A-46E1-9E88-8CA17F8738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OTTO
DICOYONG, SINDANGAN</t>
        </r>
      </text>
    </comment>
    <comment ref="O125" authorId="0" shapeId="0" xr:uid="{EB6E0B03-B654-451F-A94B-E6336370E5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FERVY
TALINGA, SINDANGAN</t>
        </r>
      </text>
    </comment>
    <comment ref="AA125" authorId="0" shapeId="0" xr:uid="{788D9592-6620-499B-A908-1935C907CF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6" authorId="0" shapeId="0" xr:uid="{DC6C5A7C-80F1-43AA-A91F-55EE8A063B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SUMINGGIT STORE
DICOYONG, SINDANGAN</t>
        </r>
      </text>
    </comment>
    <comment ref="O126" authorId="0" shapeId="0" xr:uid="{D9164F66-6D33-4512-BB20-5BA869BDE3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AA126" authorId="0" shapeId="0" xr:uid="{0FB382CA-8F73-482F-9804-C705FE316A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WILMA SALENAS
SALUG, COCKPIT</t>
        </r>
      </text>
    </comment>
    <comment ref="C127" authorId="0" shapeId="0" xr:uid="{E62C182B-16DF-49AB-AECF-8354EBCBED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JANESA MOLAS
DICOYONG, SINDANGAN</t>
        </r>
      </text>
    </comment>
    <comment ref="O127" authorId="0" shapeId="0" xr:uid="{CAAA1E53-F861-4F31-8B91-DADB754FFF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 MAG-ASO
INUMAN, SINDANGAN</t>
        </r>
      </text>
    </comment>
    <comment ref="C128" authorId="0" shapeId="0" xr:uid="{F5100C22-6D00-4D3B-B017-5672FCB286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SAGAYSAY
DICOYONG, SINDANGAN</t>
        </r>
      </text>
    </comment>
    <comment ref="O128" authorId="0" shapeId="0" xr:uid="{23BF6461-9CBE-4F5E-98AE-526865ADDA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BLANCH VALENCIA
INUMAN, SINDANGAN</t>
        </r>
      </text>
    </comment>
    <comment ref="C129" authorId="0" shapeId="0" xr:uid="{A0B0222B-929D-4D6C-8CB7-374663CE78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PRECHIJOY STORE
DICOYONG, SINDANGAN</t>
        </r>
      </text>
    </comment>
    <comment ref="O129" authorId="0" shapeId="0" xr:uid="{C532E2E3-2028-461D-8868-A80670C6B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REMOLUNA STORE
INUMAN, SINDANGAN</t>
        </r>
      </text>
    </comment>
    <comment ref="C130" authorId="0" shapeId="0" xr:uid="{17E90E40-4CD0-4DEF-BDE8-26ECF0C1F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TACO JUANA
DICOYONG, SINDANGAN</t>
        </r>
      </text>
    </comment>
    <comment ref="C131" authorId="0" shapeId="0" xr:uid="{6483B23C-80F0-495B-80D7-7242942DB6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CRISTINA DEPOSA
DICOYONG, SINDANGAN</t>
        </r>
      </text>
    </comment>
    <comment ref="C132" authorId="0" shapeId="0" xr:uid="{62CC0038-B3AD-459A-AAFC-B901F1E77E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CLAIRE SAABEDRA
LABAKID, SINDANGAN</t>
        </r>
      </text>
    </comment>
    <comment ref="C133" authorId="0" shapeId="0" xr:uid="{76D9A3C4-676D-47EF-A6CE-47C3E3E29E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VILLALUNA STORE
LABAKID, SINDANGAN</t>
        </r>
      </text>
    </comment>
    <comment ref="C134" authorId="0" shapeId="0" xr:uid="{1CB366B7-BD9D-483F-8F71-9A19DB677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135" authorId="0" shapeId="0" xr:uid="{CF228208-3AE0-498C-ABFF-CFD119747E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C136" authorId="0" shapeId="0" xr:uid="{24FF73E2-CAEB-4E2C-9060-A78703EC37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PIALA STORE
PIAO, SINDANGAN</t>
        </r>
      </text>
    </comment>
    <comment ref="C137" authorId="0" shapeId="0" xr:uid="{026319A2-108F-4E06-A245-E2F359654C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BUYOS, SINDANGAN</t>
        </r>
      </text>
    </comment>
    <comment ref="O177" authorId="0" shapeId="0" xr:uid="{44427434-DC45-403E-A5AC-AF97BE16E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77" authorId="0" shapeId="0" xr:uid="{64E7BFA4-3DD4-4A2C-A968-8C61E2D0F9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TAN
BAYBAY, LILOY</t>
        </r>
      </text>
    </comment>
    <comment ref="O178" authorId="0" shapeId="0" xr:uid="{BFD314B6-D8AB-45B3-9DF7-D910A7F025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SINDANGAN</t>
        </r>
      </text>
    </comment>
    <comment ref="AA178" authorId="0" shapeId="0" xr:uid="{08DFD125-BFA9-485B-AAA5-4166D2B58B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PLAZA
BAYBAY, LILOY</t>
        </r>
      </text>
    </comment>
    <comment ref="O179" authorId="0" shapeId="0" xr:uid="{E30D243C-CFC5-4EBF-A630-274FD694A2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BELARMINO
DATU TANGKILAN, SINDANGAN</t>
        </r>
      </text>
    </comment>
    <comment ref="AA179" authorId="0" shapeId="0" xr:uid="{D70B8BF3-16AB-422C-A045-50D2CA8697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180" authorId="0" shapeId="0" xr:uid="{9A4D6DD3-EF72-4725-B984-FAD37E2ED5A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181" authorId="0" shapeId="0" xr:uid="{8D6E9C1C-215F-4785-B8F0-BC2F9B1CE7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182" authorId="0" shapeId="0" xr:uid="{1D72FE18-7FBF-4CBA-B79B-EA1FDC6373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GERIAN
GOLEO, SINDANGAN</t>
        </r>
      </text>
    </comment>
    <comment ref="O183" authorId="0" shapeId="0" xr:uid="{DB09F380-1855-413F-B02D-DDEC2605E2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JOSEPHINE STORE
GOLEO, SINDANGAN</t>
        </r>
      </text>
    </comment>
    <comment ref="O184" authorId="0" shapeId="0" xr:uid="{0477F4C4-EA18-4A99-8D60-5B6B26E2E0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STORE
GOLEO, SINDANGAN</t>
        </r>
      </text>
    </comment>
    <comment ref="C232" authorId="0" shapeId="0" xr:uid="{239F5AAD-5A66-49AB-A40B-5326BFB8B0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VARIETY STORE
GUNYAN, SIAYAN</t>
        </r>
      </text>
    </comment>
    <comment ref="O232" authorId="0" shapeId="0" xr:uid="{2AE56EE4-E24D-4863-BCE2-0BEE3F855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TALILANG STORE
RM, SALUG</t>
        </r>
      </text>
    </comment>
    <comment ref="AA232" authorId="0" shapeId="0" xr:uid="{E281E00B-1FD3-48E1-868C-A26096DFA3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RETUYA PACITA
BACONG, SALUG</t>
        </r>
      </text>
    </comment>
    <comment ref="C233" authorId="0" shapeId="0" xr:uid="{A8E6A141-933C-407E-B872-A1237382CC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233" authorId="0" shapeId="0" xr:uid="{8AE42533-A7F0-4B6B-9CBB-3256148B37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233" authorId="0" shapeId="0" xr:uid="{EA3E3B85-CE48-4EC2-98CC-C4CCA63B9E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GALLEPOSO
BACONG, SALUG</t>
        </r>
      </text>
    </comment>
    <comment ref="C234" authorId="0" shapeId="0" xr:uid="{A649C4DD-FFA1-4A1B-9A7E-70869AB9F3C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234" authorId="0" shapeId="0" xr:uid="{9CAFB6C0-40DE-4DF5-AC4C-D83E11EE84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NUGAS STORE
RM, SALUG</t>
        </r>
      </text>
    </comment>
    <comment ref="AA234" authorId="0" shapeId="0" xr:uid="{1398F47B-5054-4E0B-A525-B51D520F3B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JEFFREY REVELO
BACONG, SALUG</t>
        </r>
      </text>
    </comment>
    <comment ref="C235" authorId="0" shapeId="0" xr:uid="{8A85EBB4-D188-4121-BA64-9C6311B2EC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235" authorId="0" shapeId="0" xr:uid="{8F99983A-A846-4020-9CEB-2D1B6A8A70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235" authorId="0" shapeId="0" xr:uid="{3227DCD8-3E50-4693-898C-82A0CB6AB9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AMIT, ARLYN
BACONG, SALUG</t>
        </r>
      </text>
    </comment>
    <comment ref="C236" authorId="0" shapeId="0" xr:uid="{C80A30B0-F66E-4403-ADE5-6E968015AC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O236" authorId="0" shapeId="0" xr:uid="{E1EC1378-B783-4E3C-99EB-28181A2818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QUIMNO STORE
RM, SALUG</t>
        </r>
      </text>
    </comment>
    <comment ref="AA236" authorId="0" shapeId="0" xr:uid="{D135E2EA-2410-475A-B1EB-826FCB82DB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FEDELA DUBDUBAN
STO. NIÑO, SALUG</t>
        </r>
      </text>
    </comment>
    <comment ref="C237" authorId="0" shapeId="0" xr:uid="{FCF7BB2B-E80E-485E-A421-EB092BC1B3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37" authorId="0" shapeId="0" xr:uid="{8527A761-1EB0-4957-BD32-D40C30CAD5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AA237" authorId="0" shapeId="0" xr:uid="{B6F43C2A-CE06-4EA0-A174-D5D5ADCD44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TERISITA ADING
STO. NIÑO, SALUG</t>
        </r>
      </text>
    </comment>
    <comment ref="O238" authorId="0" shapeId="0" xr:uid="{22650836-6B30-488A-9F42-9014CD7739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POSTIGO STORE
PALANDOK, BACUNGAN</t>
        </r>
      </text>
    </comment>
    <comment ref="AA238" authorId="0" shapeId="0" xr:uid="{D69B1A26-A95D-4924-93EE-6B54CEBDE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PAUSAL FLOREDA
STO. NIÑO, SALUG</t>
        </r>
      </text>
    </comment>
    <comment ref="O239" authorId="0" shapeId="0" xr:uid="{A716BAC2-C661-4F67-AE46-EAA5118F86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LAMPAWOG STORE
MANGOP, BACUNGAN</t>
        </r>
      </text>
    </comment>
    <comment ref="AA239" authorId="0" shapeId="0" xr:uid="{79A3E35B-24AA-4F3C-AD5E-9AE947653E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4J'S BAKESHOP
BACONG, SALUG</t>
        </r>
      </text>
    </comment>
    <comment ref="O240" authorId="0" shapeId="0" xr:uid="{EA50934D-172D-44CF-BA55-827EC98D3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ACUJEDO STORE
MANGOP, BACUNGAN</t>
        </r>
      </text>
    </comment>
    <comment ref="AA240" authorId="0" shapeId="0" xr:uid="{9F54853A-D4D1-488D-9BE3-C4580D4163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BAYAWA, LUCILA
BACONG, SALUG</t>
        </r>
      </text>
    </comment>
    <comment ref="O241" authorId="0" shapeId="0" xr:uid="{3281DE54-09A0-4E32-BDF5-69F4CE50D6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BOGABONGAN
BOGABONGAN, BACUNGAN</t>
        </r>
      </text>
    </comment>
    <comment ref="AA241" authorId="0" shapeId="0" xr:uid="{42080A0E-B484-49D4-87C7-5133997A8FA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BASTE STORE
BACONG, SALUG</t>
        </r>
      </text>
    </comment>
    <comment ref="O242" authorId="0" shapeId="0" xr:uid="{436351F6-D0FA-426F-9168-9534E7E917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AA242" authorId="0" shapeId="0" xr:uid="{144B729F-9664-4CBC-AA96-46C473BBC78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RAZIEL NUGAS / SLPA 2
BACONG, SALUG</t>
        </r>
      </text>
    </comment>
    <comment ref="O243" authorId="0" shapeId="0" xr:uid="{0A99B46B-C33B-4D3C-95AF-0F4EE4BE38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BACUNGAN
BOGABONGAN, BACUNGAN</t>
        </r>
      </text>
    </comment>
    <comment ref="AA243" authorId="0" shapeId="0" xr:uid="{7B502FF9-9AD6-4C6F-B328-44208464AC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NOEL BALBUENA
POB, SALUG</t>
        </r>
      </text>
    </comment>
    <comment ref="O244" authorId="0" shapeId="0" xr:uid="{B33A51CC-44C2-4EEE-9B84-84EE3D44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
BOGABONGAN, BACUNGAN</t>
        </r>
      </text>
    </comment>
    <comment ref="AA244" authorId="0" shapeId="0" xr:uid="{F54248B5-2565-4D1E-995C-B7178485DB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O245" authorId="0" shapeId="0" xr:uid="{7304CACC-77AA-445E-81E6-D208EA966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BOGABUNGAN, BACUNGAN</t>
        </r>
      </text>
    </comment>
    <comment ref="AA245" authorId="0" shapeId="0" xr:uid="{22D93454-FB76-4B9D-87C4-AD443CE94F7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BOSSING EATERY
POB, SALUG</t>
        </r>
      </text>
    </comment>
    <comment ref="O246" authorId="0" shapeId="0" xr:uid="{3FE6AC3D-16CD-4EB4-85DA-DD5A1FF9CD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246" authorId="0" shapeId="0" xr:uid="{2F871804-A0B5-47C4-B616-809E2411AC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O247" authorId="0" shapeId="0" xr:uid="{EB9AB556-7CA9-4484-993B-3DFEF22C57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ALLAN STORE
POB, BACUNGAN</t>
        </r>
      </text>
    </comment>
    <comment ref="AA247" authorId="0" shapeId="0" xr:uid="{542BF779-B577-4EF0-8ACA-34FFF505A4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ANABELLE TIMTIM
POB, SALUG</t>
        </r>
      </text>
    </comment>
    <comment ref="O248" authorId="0" shapeId="0" xr:uid="{CCB10596-E471-4B38-B26E-8BC58834AE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AA248" authorId="0" shapeId="0" xr:uid="{0A29ACE7-0BC5-4CA4-9C12-2302BAC88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249" authorId="0" shapeId="0" xr:uid="{80D308F0-0CAC-428F-B746-A089BA7AB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PAJUAY STORE
MAWAL, BACUNGAN</t>
        </r>
      </text>
    </comment>
    <comment ref="AA249" authorId="0" shapeId="0" xr:uid="{1E1F1FCF-5BFE-47E9-8C6C-E15B2FCCBB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LIPAYO, MARY ANN
CANAWAN, SALUG</t>
        </r>
      </text>
    </comment>
    <comment ref="O250" authorId="0" shapeId="0" xr:uid="{0383445D-B690-47EB-84A2-129BE2E85A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POB, BACUNGAN</t>
        </r>
      </text>
    </comment>
    <comment ref="AA250" authorId="0" shapeId="0" xr:uid="{7F952F1B-0F2C-4FE0-8E33-9D9886B6F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LAGDAMIN, FE
CANAWAN, SALUG</t>
        </r>
      </text>
    </comment>
    <comment ref="O251" authorId="0" shapeId="0" xr:uid="{0DF49949-8665-4ABE-A459-5BF9F6B7E4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DODONG
GOLEO, SINDANGAN</t>
        </r>
      </text>
    </comment>
    <comment ref="AA251" authorId="0" shapeId="0" xr:uid="{F27DCD09-F5FC-4890-83D2-4C576427D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ROCHEN'S EATERY
POB, SALUG</t>
        </r>
      </text>
    </comment>
    <comment ref="C287" authorId="0" shapeId="0" xr:uid="{6468E8C8-D3BD-414D-AE77-078231F4AA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287" authorId="0" shapeId="0" xr:uid="{16DFBD70-3C4D-4F40-A51F-B61ED21C7D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TATA CATIVA / ROEL
INUMAN, SINDANGAN</t>
        </r>
      </text>
    </comment>
    <comment ref="AA287" authorId="0" shapeId="0" xr:uid="{D3EA4A08-9E51-4333-ACF9-9FC273D85F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288" authorId="0" shapeId="0" xr:uid="{40BD23EF-426F-4F55-8BE1-31D73E0E81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288" authorId="0" shapeId="0" xr:uid="{BA010E0C-8974-43D4-A9D8-17A8AA2572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288" authorId="0" shapeId="0" xr:uid="{8D7196D1-DB30-46BA-9C6C-7ABF8666BE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89" authorId="0" shapeId="0" xr:uid="{3040EE1E-5F10-425F-9781-F7729344F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O289" authorId="0" shapeId="0" xr:uid="{E9915322-EFC0-491D-8A00-E6FED1FEB6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ANTIPUESTO
INUMAN, SINDANGAN</t>
        </r>
      </text>
    </comment>
    <comment ref="AA289" authorId="0" shapeId="0" xr:uid="{8EF15639-0C2F-4184-8902-0656EF7A8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32029DE4-7DC7-4BFC-AFCD-34E446E36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CRIS PAUNILYAN
DENOYAN, SIAYAN</t>
        </r>
      </text>
    </comment>
    <comment ref="O290" authorId="0" shapeId="0" xr:uid="{B393440E-7CE9-4E93-9F49-98E298D808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BOGANOTAN
INUMAN, SINDANGAN</t>
        </r>
      </text>
    </comment>
    <comment ref="AA290" authorId="0" shapeId="0" xr:uid="{37FC554F-0DF0-40F0-995E-57D562F217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CAMANSI HAVANA
LAMAO, LILOY</t>
        </r>
      </text>
    </comment>
    <comment ref="C291" authorId="0" shapeId="0" xr:uid="{6B221B8B-7BCC-4428-84AC-6EF4E800193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291" authorId="0" shapeId="0" xr:uid="{783579F7-D6BC-43C4-9C7C-142D5BC9EC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TARIGA
INUMAN, SINDANGAN</t>
        </r>
      </text>
    </comment>
    <comment ref="C292" authorId="0" shapeId="0" xr:uid="{879974A6-04C2-4A1D-ABDC-62C7AD96B7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SHER-ED EATERY
POB, SIAYAN</t>
        </r>
      </text>
    </comment>
    <comment ref="O292" authorId="0" shapeId="0" xr:uid="{FB72951E-D216-407A-AEA0-64A1F11692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REGINA REMOLONA
INUMAN, SINDANGAN</t>
        </r>
      </text>
    </comment>
    <comment ref="C293" authorId="0" shapeId="0" xr:uid="{E44DD261-0C8E-4155-B839-B55A7EC851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293" authorId="0" shapeId="0" xr:uid="{E63D08D7-57AB-48FA-921E-6ECAEE18D3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GLENDA TUANDA
INUMAN, SINDANGAN</t>
        </r>
      </text>
    </comment>
    <comment ref="C294" authorId="0" shapeId="0" xr:uid="{D716860E-7CF8-4A50-B8B0-B7DE2F6FA1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SAIYAN</t>
        </r>
      </text>
    </comment>
    <comment ref="O294" authorId="0" shapeId="0" xr:uid="{13337DD2-0268-41E7-AAE5-48E49A1788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SINDANGAN</t>
        </r>
      </text>
    </comment>
    <comment ref="C295" authorId="0" shapeId="0" xr:uid="{AE3392C6-3579-43A5-B3BE-445E9C1879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BENEBEBE STORE
POB, SIAYAN</t>
        </r>
      </text>
    </comment>
    <comment ref="O295" authorId="0" shapeId="0" xr:uid="{1158D4A6-1535-4892-91E2-D3D9D369C4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TALIP STOPRE
TALINGA, SINDANGAN</t>
        </r>
      </text>
    </comment>
    <comment ref="C296" authorId="0" shapeId="0" xr:uid="{F9B46052-9D07-419E-B37F-948584186D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ENOSENCIA DULAT
POLAYO, SIAYAN</t>
        </r>
      </text>
    </comment>
    <comment ref="O296" authorId="0" shapeId="0" xr:uid="{144D8197-D2B1-4CB7-BE36-3E58CDD0B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SAPAL STORE
TALINGA, SINDANGAN</t>
        </r>
      </text>
    </comment>
    <comment ref="C297" authorId="0" shapeId="0" xr:uid="{D8767C75-0872-4435-8047-E819B925A3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IRENE CATIG
DENOYAN, SIAYAN</t>
        </r>
      </text>
    </comment>
    <comment ref="O297" authorId="0" shapeId="0" xr:uid="{035DB921-F8EE-47CA-ADD6-F51E2BA6D4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RHEDERA VILLA
TALINGA, SINDANGAN</t>
        </r>
      </text>
    </comment>
    <comment ref="O298" authorId="0" shapeId="0" xr:uid="{6D7E762A-2E90-4194-8F4F-C37CB1E03CB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299" authorId="0" shapeId="0" xr:uid="{D34C713F-2CF3-4F83-B21F-1A9A5361F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FERVEY STORE
TALINGA, SINDANGAN</t>
        </r>
      </text>
    </comment>
    <comment ref="O300" authorId="0" shapeId="0" xr:uid="{C5B89F8D-D75F-44EC-BDEA-1441DD4615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CASSEY STORE
MARAS, SINDANGAN</t>
        </r>
      </text>
    </comment>
    <comment ref="O301" authorId="0" shapeId="0" xr:uid="{515E3959-C53C-4031-BC12-FE53F2889C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BUENAFLOR STORE
MARAS, SINDANGAN</t>
        </r>
      </text>
    </comment>
    <comment ref="O302" authorId="0" shapeId="0" xr:uid="{E4599002-6A54-4878-AB07-C812B2AFA93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O303" authorId="0" shapeId="0" xr:uid="{D6A70D02-BA88-4DB2-A492-4347C297916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O304" authorId="0" shapeId="0" xr:uid="{06511485-AFD3-4953-BA0D-E2AF336F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ROSE MARIE
GOLEO, SINDANGAN</t>
        </r>
      </text>
    </comment>
    <comment ref="O305" authorId="0" shapeId="0" xr:uid="{CB7A99B3-DEE2-466D-874C-14A4F1B304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GAHUMAN, NILFA STORE
GOLEO, SINDANGAN</t>
        </r>
      </text>
    </comment>
    <comment ref="O306" authorId="0" shapeId="0" xr:uid="{4CBBBE5C-2E9F-4A57-9D81-6355BBBEEC6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JAVY TAATA
GOLEO, SINDANGAN</t>
        </r>
      </text>
    </comment>
    <comment ref="O307" authorId="0" shapeId="0" xr:uid="{A3F027A6-BFD7-41AE-8AAB-3A40A0075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HAYAHAY STORE
GOLEO, SINDANGAN</t>
        </r>
      </text>
    </comment>
    <comment ref="O308" authorId="0" shapeId="0" xr:uid="{87910BCC-51DA-407E-9DA9-E7E3EA29EC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ATE GEA
GOLEO, SINDANGAN</t>
        </r>
      </text>
    </comment>
    <comment ref="O309" authorId="0" shapeId="0" xr:uid="{C23C3D49-E70A-4A15-9EA8-D165D33123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PARILLA
GOLEO, SINDANGAN</t>
        </r>
      </text>
    </comment>
    <comment ref="C342" authorId="0" shapeId="0" xr:uid="{05BD3E49-460E-4A20-ADA6-A7DD27965C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342" authorId="0" shapeId="0" xr:uid="{656E9F89-439A-4AC5-B066-58160BF789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RAGO STORE
INUMAN, SINDANGAN</t>
        </r>
      </text>
    </comment>
    <comment ref="AA342" authorId="0" shapeId="0" xr:uid="{7BBBE7E1-0259-4037-9D5C-17A15269BD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343" authorId="0" shapeId="0" xr:uid="{0A310308-A8C2-4399-8D19-F8D9DBF851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343" authorId="0" shapeId="0" xr:uid="{884C2C00-3F9C-43BD-B60A-F82D43F107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MARY JANE
LOWER INUMAN, SINDANGAN</t>
        </r>
      </text>
    </comment>
    <comment ref="AA343" authorId="0" shapeId="0" xr:uid="{DC79A120-1CE8-41B1-972F-42674F485B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OFW BAR / CUENCA, ELINA
POB, SALUG</t>
        </r>
      </text>
    </comment>
    <comment ref="C344" authorId="0" shapeId="0" xr:uid="{3FA93FA2-3DE8-47FE-ABA2-877E1A1ACB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NELIA ORAIZ
DAPAON, SINDANGAN</t>
        </r>
      </text>
    </comment>
    <comment ref="O344" authorId="0" shapeId="0" xr:uid="{EC8CD616-AD99-4085-A49D-47D2142231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RUNIE O. JAMORA
POB, BACUNGAN</t>
        </r>
      </text>
    </comment>
    <comment ref="C345" authorId="0" shapeId="0" xr:uid="{819A38B8-D887-4B70-A9BD-DE3F4B2B29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Z MINIMART / MARK ESQUADRO
RM, SINDANGAN</t>
        </r>
      </text>
    </comment>
    <comment ref="O345" authorId="0" shapeId="0" xr:uid="{D8812B04-D7E9-44E9-BFE1-6F995EA1F6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 STORE
POB, BACUNGAN</t>
        </r>
      </text>
    </comment>
    <comment ref="C346" authorId="0" shapeId="0" xr:uid="{9E17AAC6-BA4D-43F9-B095-9B18C59E3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VILLAESPIN
DAPAON, SINDANGAN</t>
        </r>
      </text>
    </comment>
    <comment ref="O346" authorId="0" shapeId="0" xr:uid="{BC8E01A2-CFA5-4B83-9BC0-984766AD28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347" authorId="0" shapeId="0" xr:uid="{D2BD791B-39FD-462B-9B40-5529C96DE1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LENI DAMONSONG / DAMONSONG STORE
RM, SINDANGAN</t>
        </r>
      </text>
    </comment>
    <comment ref="O347" authorId="0" shapeId="0" xr:uid="{6FE44F95-9E8B-4CE2-AC14-D1F94E4AA1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RITCHEL BENDE STORE
TALINGA, BACUNGAN</t>
        </r>
      </text>
    </comment>
    <comment ref="C348" authorId="0" shapeId="0" xr:uid="{85CB09D8-F0DC-4075-ABD4-9E24B8E45C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STORE
DISUD, SINDANGAN</t>
        </r>
      </text>
    </comment>
    <comment ref="O348" authorId="0" shapeId="0" xr:uid="{E3730265-7F13-4D7C-86D5-AD7874470A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COSEM STORE
TALINGA, BACUNGAN</t>
        </r>
      </text>
    </comment>
    <comment ref="C349" authorId="0" shapeId="0" xr:uid="{7B08DE70-446F-4F6A-B3B6-FCC366C6A7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3M STORE
DISUD, SINDANGAN</t>
        </r>
      </text>
    </comment>
    <comment ref="O349" authorId="0" shapeId="0" xr:uid="{95DCBAEF-1F9E-497A-A000-917421DE87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DADAN STORE
TALINGA, BACUNGAN</t>
        </r>
      </text>
    </comment>
    <comment ref="C350" authorId="0" shapeId="0" xr:uid="{AD365E82-3205-4777-BF86-538998BAF8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WILLIAM'S COMMERCIAL
DISUD, SINDANGAN</t>
        </r>
      </text>
    </comment>
    <comment ref="O350" authorId="0" shapeId="0" xr:uid="{FBE8B56A-C495-4A6A-883B-01FB929924D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CALUAN INFINITY POOL
INUMAN, SINDANGAN</t>
        </r>
      </text>
    </comment>
    <comment ref="C351" authorId="0" shapeId="0" xr:uid="{A89570C9-95EC-409D-B55E-01A5E7127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WILL'S STORE
DISUD, SINDANGAN</t>
        </r>
      </text>
    </comment>
    <comment ref="O351" authorId="0" shapeId="0" xr:uid="{38A45387-6591-4D46-8B05-9790365E5E4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SHANNES STORE
MARAS, SINDANGAN</t>
        </r>
      </text>
    </comment>
    <comment ref="C352" authorId="0" shapeId="0" xr:uid="{C08C5936-520C-4365-A6AD-B2839B473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352" authorId="0" shapeId="0" xr:uid="{98137CF6-DB90-436E-B559-ADD0A6A6AC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3" authorId="0" shapeId="0" xr:uid="{48E7F9F9-542E-42AE-8901-283682DF0D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353" authorId="0" shapeId="0" xr:uid="{068B3856-8BA9-4C16-9220-E47557775EE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CAYACAP STORE
MARAS, SINDANGAN</t>
        </r>
      </text>
    </comment>
    <comment ref="C354" authorId="0" shapeId="0" xr:uid="{36717E2E-7354-4321-8B2E-46D07DE238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RG STORE
GERLYN JUANO
DISUD, SINDANGAN</t>
        </r>
      </text>
    </comment>
    <comment ref="O354" authorId="0" shapeId="0" xr:uid="{F8AE155C-6B7A-4779-B6A5-5B58D1C3B6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CARIÑO STORE
MARAS, SINDANGAN</t>
        </r>
      </text>
    </comment>
    <comment ref="C355" authorId="0" shapeId="0" xr:uid="{34363BC0-D514-4E07-865D-A99A1F670A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KRYSTEL DAWN STORE
DISUD, SINDANGAN</t>
        </r>
      </text>
    </comment>
    <comment ref="O355" authorId="0" shapeId="0" xr:uid="{CFDA8D02-C1E3-499C-8349-BBC71D4FC4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356" authorId="0" shapeId="0" xr:uid="{1CB6F213-147F-41A1-AB4F-E899BC489AD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EATERY
DISUD, SINDANGAN</t>
        </r>
      </text>
    </comment>
    <comment ref="O356" authorId="0" shapeId="0" xr:uid="{87C9945A-F9B2-428C-8F71-5CA656D5F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MARAS, SINDANGAN</t>
        </r>
      </text>
    </comment>
    <comment ref="C357" authorId="0" shapeId="0" xr:uid="{5921DA66-7C0B-45D7-8693-A6621C7F6F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O357" authorId="0" shapeId="0" xr:uid="{60E1F1A2-1C11-4FF4-891A-7D1BA7954B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
MANDIH, SINDANGAN</t>
        </r>
      </text>
    </comment>
    <comment ref="C358" authorId="0" shapeId="0" xr:uid="{AA7C2E7D-E063-499D-8103-B50E94F7B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CHONA STORE
POB, SINDANGAN</t>
        </r>
      </text>
    </comment>
    <comment ref="C397" authorId="0" shapeId="0" xr:uid="{395E6058-B392-4C86-A780-F9AB53B9B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STORE
BALOK, SINDANGAN</t>
        </r>
      </text>
    </comment>
    <comment ref="O397" authorId="0" shapeId="0" xr:uid="{B92C381E-617D-484B-9A25-FB39B3A109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397" authorId="0" shapeId="0" xr:uid="{F7D54265-EB2A-4593-AC5E-CAFB53238D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C398" authorId="0" shapeId="0" xr:uid="{2C7126B1-0883-4452-BDF4-7C6CF83F9D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DEGULO STORE
BALOK, SINDANGAN</t>
        </r>
      </text>
    </comment>
    <comment ref="O398" authorId="0" shapeId="0" xr:uid="{CB0057F8-8EDF-46DB-91C1-4BAA8C7B56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BILLIONES STORE
INUMAN, SINDANGAN</t>
        </r>
      </text>
    </comment>
    <comment ref="AA398" authorId="0" shapeId="0" xr:uid="{473E0D21-5A69-4762-81DC-0ED50B27DD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2B4274BD-1CB5-4179-AC27-13E8D42F4F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REAN BALOS
BALOK, SINDANGAN</t>
        </r>
      </text>
    </comment>
    <comment ref="O399" authorId="0" shapeId="0" xr:uid="{3BC89F4E-549C-4594-BF4E-C3D4AB9D056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AA399" authorId="0" shapeId="0" xr:uid="{ACC8F97F-D855-4D74-94DE-03F6EF7A2DA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 ANALIZA
BAYBAY, LILOY</t>
        </r>
      </text>
    </comment>
    <comment ref="C400" authorId="0" shapeId="0" xr:uid="{3592B7B8-2E1F-4F7E-B0CD-5BEA0BB187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LEDAMA STORE
LAGAG, SINDANGAN</t>
        </r>
      </text>
    </comment>
    <comment ref="O400" authorId="0" shapeId="0" xr:uid="{C9EE66AD-494D-49DE-AFDA-1A715227E1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DARLENE STORE
GOLEO, SINDANGAN</t>
        </r>
      </text>
    </comment>
    <comment ref="AA400" authorId="0" shapeId="0" xr:uid="{411295CC-8DD7-40BB-9144-AEB9494919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SARI-SARI STORE</t>
        </r>
      </text>
    </comment>
    <comment ref="C401" authorId="0" shapeId="0" xr:uid="{3729A67B-B2CA-4D04-9E87-D85E7AAE81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NELSON VILLARUBIA
DENOYAN, SIAYAN</t>
        </r>
      </text>
    </comment>
    <comment ref="O401" authorId="0" shapeId="0" xr:uid="{9D791F26-4D38-41D7-AEC8-60BFE738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401" authorId="0" shapeId="0" xr:uid="{5BF9BE88-4DEF-4076-B37B-493A4BFD5F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402" authorId="0" shapeId="0" xr:uid="{8B02C38E-69B3-4440-8E34-6EEDB2BCC4C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C403" authorId="0" shapeId="0" xr:uid="{6A342005-E045-4E49-938E-8F6E8EEA97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CATUBAY
DENOYAN, SIAYAN</t>
        </r>
      </text>
    </comment>
    <comment ref="C404" authorId="0" shapeId="0" xr:uid="{08891E8B-900A-4C72-AD15-240088FE29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JANETH UTAK
POLAYO, SIAYAN</t>
        </r>
      </text>
    </comment>
    <comment ref="C405" authorId="0" shapeId="0" xr:uid="{7866AEE4-64CD-442C-A97B-0CBAB1A629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C406" authorId="0" shapeId="0" xr:uid="{7E675BE9-C3A9-4869-9BF6-3AF7609D0E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C407" authorId="0" shapeId="0" xr:uid="{0A4C1C8D-74BA-45B5-A2EC-ED23C8BF7B2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C408" authorId="0" shapeId="0" xr:uid="{4280F8BA-01A7-430D-B4D2-A0C1272762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409" authorId="0" shapeId="0" xr:uid="{5E1D103A-CD18-4BC6-9110-30C422C95C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LUCKY I STORE
POB, SIAYAN</t>
        </r>
      </text>
    </comment>
    <comment ref="C410" authorId="0" shapeId="0" xr:uid="{41197725-E173-47A3-BAFA-98E00C693F7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STORE
POB, SIAYAN</t>
        </r>
      </text>
    </comment>
    <comment ref="C411" authorId="0" shapeId="0" xr:uid="{CD0215BA-6BC6-472A-89FE-754932FBDF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ALIAH'S STORE
POB, SIAYAN</t>
        </r>
      </text>
    </comment>
    <comment ref="O452" authorId="0" shapeId="0" xr:uid="{38B640B9-CFE3-4716-BF9F-422286D092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PODIOTAN
SINDANGAN</t>
        </r>
      </text>
    </comment>
    <comment ref="AA452" authorId="0" shapeId="0" xr:uid="{2439450B-267F-44E3-9059-8A6DB478B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COMMENDADOR
POB, SALUG</t>
        </r>
      </text>
    </comment>
    <comment ref="O453" authorId="0" shapeId="0" xr:uid="{7B3586BD-4774-456A-99FB-DB8E4BAFD3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MINIMART
POB, BACUNGAN</t>
        </r>
      </text>
    </comment>
    <comment ref="AA453" authorId="0" shapeId="0" xr:uid="{2409F77D-1200-403E-A20F-FE6ACD5161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454" authorId="0" shapeId="0" xr:uid="{F43F6282-C648-498E-ADF5-38CE038E66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454" authorId="0" shapeId="0" xr:uid="{88564A48-A478-4962-BFE4-172BE72EA0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SILVA GALLEPOSO
POB, GODOD</t>
        </r>
      </text>
    </comment>
    <comment ref="AA455" authorId="0" shapeId="0" xr:uid="{86BDC839-54F4-4063-B84F-F3E558E0C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MARLIE STORE
MAUSWAGON, GODOD</t>
        </r>
      </text>
    </comment>
    <comment ref="C507" authorId="0" shapeId="0" xr:uid="{83FF9EFE-30B6-4214-99EC-9E4FAD1F261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507" authorId="0" shapeId="0" xr:uid="{3BEBB6ED-F493-4342-BF8A-0DB597AF74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07" authorId="0" shapeId="0" xr:uid="{E78FCEAC-DD65-4BF5-8EA4-A98C4CADDC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508" authorId="0" shapeId="0" xr:uid="{DD51B13E-EA43-4980-89A0-F70D28E435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ABORQUE
POB, SIAYAN</t>
        </r>
      </text>
    </comment>
    <comment ref="O508" authorId="0" shapeId="0" xr:uid="{C67BAE56-DC8C-45FD-A61B-E470D0879D6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STORE
KALAWIT, TINAPLAN, SINDANGAN</t>
        </r>
      </text>
    </comment>
    <comment ref="AA508" authorId="0" shapeId="0" xr:uid="{F11F85DE-ABED-43AF-966C-3E98A4CCD8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DANGAN STORE
MUCAS, SALUG</t>
        </r>
      </text>
    </comment>
    <comment ref="C509" authorId="0" shapeId="0" xr:uid="{3ED54F9C-82F6-4DEA-BDBB-FA243E27E4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09" authorId="0" shapeId="0" xr:uid="{CE6E6A41-37F9-4ED8-9C6C-41B1A2AF2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ANTAG
TINAPLAN, SINDANGAN</t>
        </r>
      </text>
    </comment>
    <comment ref="AA509" authorId="0" shapeId="0" xr:uid="{917A019B-3D7F-4243-8E46-0BFE53E405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JESUS REUTIQUIO</t>
        </r>
      </text>
    </comment>
    <comment ref="C510" authorId="0" shapeId="0" xr:uid="{ED3606B4-F624-4D6B-AE27-F67735E878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510" authorId="0" shapeId="0" xr:uid="{845AA881-420D-4AD8-A50C-571C0FE28E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TOP MOUNTAIN RESORT
TINAPLAN, SINDANGAN</t>
        </r>
      </text>
    </comment>
    <comment ref="AA510" authorId="0" shapeId="0" xr:uid="{87B77DE9-0FD0-4B84-A0C4-C37A5468A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NEMESIA PASLON
DELAPAZ, LILOY</t>
        </r>
      </text>
    </comment>
    <comment ref="O511" authorId="0" shapeId="0" xr:uid="{F3D4E0EB-FCD6-4168-8BB1-85B30607B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MARICEL STORE
TINAPLAN, SINDANGAN</t>
        </r>
      </text>
    </comment>
    <comment ref="AA511" authorId="0" shapeId="0" xr:uid="{AF261A26-A802-4FF6-8C3E-039EC292A7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2" authorId="0" shapeId="0" xr:uid="{CF5FEC4A-5CF1-4974-8B90-CB7D14132E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CANDIZ STORE
TINAPLAN, SINDANGAN</t>
        </r>
      </text>
    </comment>
    <comment ref="AA512" authorId="0" shapeId="0" xr:uid="{29EB75AE-C3E4-4C62-BBE4-E59D5D339D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GAMALE VIVIAN
LILOY COCKPIT
VILLA SUICIDAL, LILOY</t>
        </r>
      </text>
    </comment>
    <comment ref="O513" authorId="0" shapeId="0" xr:uid="{6048FCAC-D8F4-4333-8BB3-CB4EB82F1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EDITHA TAMAC
TINAPLAN, SINDANGAN</t>
        </r>
      </text>
    </comment>
    <comment ref="AA513" authorId="0" shapeId="0" xr:uid="{1E378BE6-40E1-4046-AE76-5849BE3BD9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MARIA VINA MARAÑON
LILOY COCKPIT
VILLA SUICIDAL, LILOY</t>
        </r>
      </text>
    </comment>
    <comment ref="O514" authorId="0" shapeId="0" xr:uid="{70B6DEBB-D68C-4262-8A1B-023C4CC0178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ABUHAN
DAGOHOY, SINDANGAN</t>
        </r>
      </text>
    </comment>
    <comment ref="AA514" authorId="0" shapeId="0" xr:uid="{51CB177C-427F-4D23-888C-34C31F3F9F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 BUHIAN
LILOY COCKPIT
VILLA SUICIDAL LILOY</t>
        </r>
      </text>
    </comment>
    <comment ref="O515" authorId="0" shapeId="0" xr:uid="{B42B3736-3674-481C-A2EF-5774C20B18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PADILLA
TALINGA, SINDANGAN</t>
        </r>
      </text>
    </comment>
    <comment ref="AA515" authorId="0" shapeId="0" xr:uid="{9FCE8139-91E2-4F25-A4D7-B86A77C589D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VIP RESAN
ANTONIO BALASUELA
BAYBAY, LILOY</t>
        </r>
      </text>
    </comment>
    <comment ref="O516" authorId="0" shapeId="0" xr:uid="{00C2DB35-AD48-4DA7-9564-0FC4FAC3B5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BERMUDEZ
TALINGA, SINDANGAN</t>
        </r>
      </text>
    </comment>
    <comment ref="AA516" authorId="0" shapeId="0" xr:uid="{E0127F15-AB67-4133-BAEA-6CFB945659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DELA ORDONIO
LAMAO, LILOY</t>
        </r>
      </text>
    </comment>
    <comment ref="O517" authorId="0" shapeId="0" xr:uid="{4252E802-9D54-41B6-9D0B-726FA0E8D4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NIDA LAYAN
TALINGA, SINDANGAN</t>
        </r>
      </text>
    </comment>
    <comment ref="AA517" authorId="0" shapeId="0" xr:uid="{C3C762E4-216A-43D9-8608-061BECFE2D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JAME'S EATERY
BAYBAY, LILOY</t>
        </r>
      </text>
    </comment>
    <comment ref="O518" authorId="0" shapeId="0" xr:uid="{5A130D29-D808-4EE8-9A41-88FEAF1734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C562" authorId="0" shapeId="0" xr:uid="{29CE5880-DC4D-4E91-A82F-0A97EA94AB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O562" authorId="0" shapeId="0" xr:uid="{F613DF08-9A5B-40EA-BEF7-F0C25EBA68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RONIE O. JAMORA
POB, BACUNGAN</t>
        </r>
      </text>
    </comment>
    <comment ref="AA562" authorId="0" shapeId="0" xr:uid="{48A1DC8B-F6B7-41E5-897B-50A1E1058F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563" authorId="0" shapeId="0" xr:uid="{4A4F7853-89CA-4891-8A75-0D2ECCD612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 STORE
POB, SINDANGAN</t>
        </r>
      </text>
    </comment>
    <comment ref="O563" authorId="0" shapeId="0" xr:uid="{F58C5FC2-AC94-4C2D-AC9F-FB67D5A7132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LAÑOJAN STORE
GOLEO, SINDANGAN</t>
        </r>
      </text>
    </comment>
    <comment ref="AA563" authorId="0" shapeId="0" xr:uid="{3214E0E8-72C4-4A67-A492-6B19146FEC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JINKY SAGARIO
POB, SALUG</t>
        </r>
      </text>
    </comment>
    <comment ref="C564" authorId="0" shapeId="0" xr:uid="{4F6356B3-797C-402E-8EB7-E07F323114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564" authorId="0" shapeId="0" xr:uid="{08BB1ECF-6C37-4F83-92B8-8B9E9C150DA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MG STORE
RM, SALUG</t>
        </r>
      </text>
    </comment>
    <comment ref="AA564" authorId="0" shapeId="0" xr:uid="{CDD1DFCB-97D5-4051-A3E9-4B5829B620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EMOTIN INOCENCIO
POB, SALUG</t>
        </r>
      </text>
    </comment>
    <comment ref="O565" authorId="0" shapeId="0" xr:uid="{470844A5-74FE-4FA7-A7DD-CA296925D5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SAFLOR STORE
RM, SALUG</t>
        </r>
      </text>
    </comment>
    <comment ref="AA565" authorId="0" shapeId="0" xr:uid="{6C349179-FB00-4A08-957B-50F5AD896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566" authorId="0" shapeId="0" xr:uid="{E1353352-46AC-49D7-A739-7EFD8A4363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CONGE
PALANDOK, BACUNGAN</t>
        </r>
      </text>
    </comment>
    <comment ref="AA566" authorId="0" shapeId="0" xr:uid="{F7ED4F9E-D5D2-430B-8FCF-1D057840A8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567" authorId="0" shapeId="0" xr:uid="{5FA880AA-ED74-41AF-99AB-DB4C4C8837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BOGABONGAN
BOGABONGAN, BACUNGAN</t>
        </r>
      </text>
    </comment>
    <comment ref="AA567" authorId="0" shapeId="0" xr:uid="{1BD1E0BB-149E-44A9-AF9C-089B6B80A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OWENA INSONG
OSSANAH STORE
BAYBAY, LILOY</t>
        </r>
      </text>
    </comment>
    <comment ref="O568" authorId="0" shapeId="0" xr:uid="{A82C465D-50EF-4977-8B6E-05652FC737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RAFOLS
BOGABONGAN, BACUNGAN</t>
        </r>
      </text>
    </comment>
    <comment ref="O569" authorId="0" shapeId="0" xr:uid="{FED64E5B-B4AD-4786-8047-6F640ABBC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DURAN
BOGABONGAN, BACUNGAN</t>
        </r>
      </text>
    </comment>
    <comment ref="O570" authorId="0" shapeId="0" xr:uid="{85B586FD-2D73-455A-AF7C-F03AB1CF2F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DIANNE STORE
BOGABONGAN, BACUNGAN</t>
        </r>
      </text>
    </comment>
    <comment ref="O571" authorId="0" shapeId="0" xr:uid="{C041E05D-8925-43BE-8B3E-576DA3101E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BAEL
BOGABONGAN, BACUNGAN</t>
        </r>
      </text>
    </comment>
    <comment ref="O572" authorId="0" shapeId="0" xr:uid="{D6E9922E-1005-47B9-B43C-15B1F4C4CD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BOBOY MANDANGAN
BOGABONGAN, BACUNGAN</t>
        </r>
      </text>
    </comment>
    <comment ref="O573" authorId="0" shapeId="0" xr:uid="{4A018704-5F72-448F-89A8-BB3C9A8ECA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SLPA BACUNGAN
BOGABONGAN, BACUNGAN</t>
        </r>
      </text>
    </comment>
    <comment ref="O574" authorId="0" shapeId="0" xr:uid="{4FA7BB53-DFE0-496A-86BF-C93433396C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EMMA STORE
BOGABONGAN, BACUNGAN</t>
        </r>
      </text>
    </comment>
    <comment ref="O575" authorId="0" shapeId="0" xr:uid="{12770D70-28CD-4AC8-ACCE-489688DE46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JENIA'S MINIMART
BOGABONGAN, BACUNGAN</t>
        </r>
      </text>
    </comment>
    <comment ref="O576" authorId="0" shapeId="0" xr:uid="{0122B3B3-D23D-4590-9EAC-CF11053E96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MARIEL
BOGABONGAN, BACUNGAN</t>
        </r>
      </text>
    </comment>
    <comment ref="O577" authorId="0" shapeId="0" xr:uid="{E9690F64-6BCE-4B92-B28F-992D275E99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ALEJANDRO STORE
MANIL, BACUNGAN</t>
        </r>
      </text>
    </comment>
    <comment ref="O578" authorId="0" shapeId="0" xr:uid="{5CC49F5D-7CD0-4DD4-B9B8-071C1E40E8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STORE
POB, BACUNGAN</t>
        </r>
      </text>
    </comment>
    <comment ref="O579" authorId="0" shapeId="0" xr:uid="{A6D1714B-4A7F-45C3-B761-1D6DE081B72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BERNABE PATRICIO
POB, BACUNGAN</t>
        </r>
      </text>
    </comment>
    <comment ref="C617" authorId="0" shapeId="0" xr:uid="{7D17BFFA-FE56-43C8-9C0A-15956B60A9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17" authorId="0" shapeId="0" xr:uid="{31F20DC8-FEC1-4B0F-8768-A8911820DD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AA617" authorId="0" shapeId="0" xr:uid="{E50958D6-D347-4911-91F6-E499459859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618" authorId="0" shapeId="0" xr:uid="{44D54750-B415-4589-94E8-54D91BCC6E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JOVEN'S BATION
PIAO, SINDANGAN</t>
        </r>
      </text>
    </comment>
    <comment ref="O618" authorId="0" shapeId="0" xr:uid="{9C7CC35D-68D8-40A0-9A44-E5B5200612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618" authorId="0" shapeId="0" xr:uid="{1A41F10C-8186-4481-9E5C-7A318A1910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619" authorId="0" shapeId="0" xr:uid="{BA5C8E6F-EDB3-4553-9248-81C6BE3CF9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619" authorId="0" shapeId="0" xr:uid="{4B9C0296-FCD0-400A-A722-FC63FFF248F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ALDRIN TOBIAS / WCDC STORE
MANDIH, SINDANGAN</t>
        </r>
      </text>
    </comment>
    <comment ref="AA619" authorId="0" shapeId="0" xr:uid="{7F6E6689-8D66-402C-82E9-8AD55DABBB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BILLY
BAYBAY, LILOY</t>
        </r>
      </text>
    </comment>
    <comment ref="C620" authorId="0" shapeId="0" xr:uid="{2C98400E-6E94-4A0D-B00F-F65CAA509D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O620" authorId="0" shapeId="0" xr:uid="{D8EF10FC-86EF-4CE5-9450-9D16861D30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AA620" authorId="0" shapeId="0" xr:uid="{DB8DBB1C-3B4C-4B0F-B3C6-4BB10DACEA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ALBERT, TAN
BAYBAY, LILOY</t>
        </r>
      </text>
    </comment>
    <comment ref="C621" authorId="0" shapeId="0" xr:uid="{EA5B40F9-765D-4648-B488-F3DA396BD0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ALFREDO CATIG
POB, SIAYAN</t>
        </r>
      </text>
    </comment>
    <comment ref="AA621" authorId="0" shapeId="0" xr:uid="{EACF3267-8ECA-4808-8192-39E12177DB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622" authorId="0" shapeId="0" xr:uid="{47D6EBD6-6E36-4070-ACF1-2C8F6EDF13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SHER-ED EATERY
POB, SIAYAN</t>
        </r>
      </text>
    </comment>
    <comment ref="AA622" authorId="0" shapeId="0" xr:uid="{7D2778D6-3317-4942-B469-4DF3F215AC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POB, SALUG</t>
        </r>
      </text>
    </comment>
    <comment ref="C623" authorId="0" shapeId="0" xr:uid="{8F1F58AE-200C-4050-8181-0991A4B3F5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C624" authorId="0" shapeId="0" xr:uid="{93152EFB-6081-4018-968B-FE3E352A0B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625" authorId="0" shapeId="0" xr:uid="{FED230A3-C28A-4614-AB8F-AF4EEA5FB08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626" authorId="0" shapeId="0" xr:uid="{854D0184-DFA4-413A-8A9D-6DC25A1712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C627" authorId="0" shapeId="0" xr:uid="{C54C13D4-FB06-4572-B4D2-927C461A7E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C628" authorId="0" shapeId="0" xr:uid="{4A995678-8424-46F2-BBFB-27E25F5C2C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SIAYAN MOTORPARTS
POB, SIAYAN</t>
        </r>
      </text>
    </comment>
    <comment ref="C629" authorId="0" shapeId="0" xr:uid="{3AB64E9E-9F22-493E-9FB1-8CA43A6B2E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630" authorId="0" shapeId="0" xr:uid="{81E5C336-CEA4-4F95-915D-A0D777B122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631" authorId="0" shapeId="0" xr:uid="{1D6B5110-3B94-487C-9793-BDA010EA0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632" authorId="0" shapeId="0" xr:uid="{85868370-64A7-4486-A444-1269C73AE6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POB, SIAYAN</t>
        </r>
      </text>
    </comment>
    <comment ref="C633" authorId="0" shapeId="0" xr:uid="{8B416FB6-EB23-404B-B8F8-E3D3A6054F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634" authorId="0" shapeId="0" xr:uid="{E823D804-4519-4277-8ECF-268587F363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SOUNDCHECK
POB, SINDANGAN</t>
        </r>
      </text>
    </comment>
    <comment ref="C672" authorId="0" shapeId="0" xr:uid="{B752CF3B-3334-4802-9E08-131BFC7606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672" authorId="0" shapeId="0" xr:uid="{94D22536-1EAE-427E-9BA5-801AF3C275A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JANE STORE
GOLEO, SINDANGAN</t>
        </r>
      </text>
    </comment>
    <comment ref="AA672" authorId="0" shapeId="0" xr:uid="{37B53540-5D77-4967-9641-6EE36D4164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VILMA
POB, SALUG</t>
        </r>
      </text>
    </comment>
    <comment ref="C673" authorId="0" shapeId="0" xr:uid="{83EFB1AA-C0AD-4935-B7C3-C872359A61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673" authorId="0" shapeId="0" xr:uid="{B065AF2E-A2E9-41BF-9636-E2D3AC9DD1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YASSI STORE
TALINGA, BACUNGAN</t>
        </r>
      </text>
    </comment>
    <comment ref="AA673" authorId="0" shapeId="0" xr:uid="{32791BE7-B0DA-471A-9316-16ECE15B5E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4" authorId="0" shapeId="0" xr:uid="{24F7DEE5-9E94-4846-9AFD-64C57CBBAD1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EDNA TAMPUS
POB, SINDANGAN</t>
        </r>
      </text>
    </comment>
    <comment ref="O674" authorId="0" shapeId="0" xr:uid="{98E06EE0-4B6B-4FF6-9538-3BB4CD5C9E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DADAN STORE
TALINGA, BACUNGAN</t>
        </r>
      </text>
    </comment>
    <comment ref="AA674" authorId="0" shapeId="0" xr:uid="{688394F6-3C93-4F03-B756-FC4C8A34EE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OWENA SALENAS
SALUG COCKPIT
CARACOL, SALUG</t>
        </r>
      </text>
    </comment>
    <comment ref="O675" authorId="0" shapeId="0" xr:uid="{DB7FEA18-4170-4E3D-8901-A2AC0A3ED1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O676" authorId="0" shapeId="0" xr:uid="{B2A60632-A792-4A0C-81BE-54BE88E0A8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ALDRIN TOBIAS
MANDIH, SINDANGAN</t>
        </r>
      </text>
    </comment>
    <comment ref="C727" authorId="0" shapeId="0" xr:uid="{91DE84AD-2251-411C-8D12-5D2528DB9C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727" authorId="0" shapeId="0" xr:uid="{5AB72F29-7786-44BA-B39F-BE943813E0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INUMAN, SINDANGAN</t>
        </r>
      </text>
    </comment>
    <comment ref="AA727" authorId="0" shapeId="0" xr:uid="{D47ECA81-007E-4D89-9B7F-67AED9AF6E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728" authorId="0" shapeId="0" xr:uid="{AFFBBD00-8940-4B39-A56E-D91DCE23DA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728" authorId="0" shapeId="0" xr:uid="{D3503D2B-F545-40FF-8EE3-B004E646A8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RUNIE JAMORA
POB, BACUNGAN</t>
        </r>
      </text>
    </comment>
    <comment ref="AA728" authorId="0" shapeId="0" xr:uid="{13FE3A29-8E90-4F68-BA26-7EE2C89468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729" authorId="0" shapeId="0" xr:uid="{6D7FBD9D-DAA8-4334-A229-577EF442E9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729" authorId="0" shapeId="0" xr:uid="{A367DA0B-A9BA-4F05-9F1F-755C9EC6AE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NANCY ANADEO
POB, BACUNGAN</t>
        </r>
      </text>
    </comment>
    <comment ref="AA729" authorId="0" shapeId="0" xr:uid="{D2ABA186-D7AA-4B22-B007-46251F1962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30" authorId="0" shapeId="0" xr:uid="{814FC09D-64DB-4ABE-8713-004604E8F4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730" authorId="0" shapeId="0" xr:uid="{0EC32471-0E3B-4A45-B1DC-1DBA1BD216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JENIFFER AVILA
POB, BACUNGAN</t>
        </r>
      </text>
    </comment>
    <comment ref="C731" authorId="0" shapeId="0" xr:uid="{74FBA3F8-C799-4A0B-A355-94988821E8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731" authorId="0" shapeId="0" xr:uid="{B3D39E6C-1110-4F5B-8335-601E97DFB2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JERSON PADILLA
TALINGA, SINDANGAN</t>
        </r>
      </text>
    </comment>
    <comment ref="C732" authorId="0" shapeId="0" xr:uid="{528A3042-F7E5-47E1-AB55-A3862C1FD9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BUYOS, SINDANGAN</t>
        </r>
      </text>
    </comment>
    <comment ref="O732" authorId="0" shapeId="0" xr:uid="{9E523A98-0AC8-42AF-B5A8-B17995EFAE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733" authorId="0" shapeId="0" xr:uid="{65ED2C89-106D-4FBE-A0F3-F63CB23F3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MAGWATE
RHM STORE
LAGAG, SINDANGAN</t>
        </r>
      </text>
    </comment>
    <comment ref="O733" authorId="0" shapeId="0" xr:uid="{072D5FCA-0CBD-4C70-BBEC-6D5E174C2B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MINIMART
POB, SINDANGAN</t>
        </r>
      </text>
    </comment>
    <comment ref="C734" authorId="0" shapeId="0" xr:uid="{94BCFF60-01DD-4B74-8ED6-816F9C3C0E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734" authorId="0" shapeId="0" xr:uid="{6D8EF890-ADC9-4341-8764-EF2DCEB5B4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 CARIÑO
GOLEO, SINDANGAN</t>
        </r>
      </text>
    </comment>
    <comment ref="C735" authorId="0" shapeId="0" xr:uid="{1B1BF8B7-2D84-493C-8A90-D032AE2C9F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LEDAMA STORE
LAGAG, SINDANGAN</t>
        </r>
      </text>
    </comment>
    <comment ref="O735" authorId="0" shapeId="0" xr:uid="{FC0E5BF6-6C11-4B79-8AF3-273709E469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C736" authorId="0" shapeId="0" xr:uid="{3FAFBEA0-C027-4638-A7C1-F20DBC8897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C737" authorId="0" shapeId="0" xr:uid="{CA4255DC-0E78-43FA-B412-84B54ECD5B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STORE
DENOYAN, SIAYAN</t>
        </r>
      </text>
    </comment>
    <comment ref="C738" authorId="0" shapeId="0" xr:uid="{7BA1F048-38D9-44A5-AC99-9C37F9C849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C739" authorId="0" shapeId="0" xr:uid="{D6DB0A81-03DC-4329-B931-4AB08F3107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C740" authorId="0" shapeId="0" xr:uid="{D910F4D4-B468-4A52-9DFE-A89B4CDB78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741" authorId="0" shapeId="0" xr:uid="{1980D967-2DC5-4216-8E2C-CCC503B9BB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C742" authorId="0" shapeId="0" xr:uid="{E1BBE5A7-96D6-4C72-8C39-821DBABBC8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743" authorId="0" shapeId="0" xr:uid="{2BCF37B2-E6D2-4DC0-8B1F-19400262B3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ALIA'S STORE
POB, SIAYAN</t>
        </r>
      </text>
    </comment>
  </commentList>
</comments>
</file>

<file path=xl/sharedStrings.xml><?xml version="1.0" encoding="utf-8"?>
<sst xmlns="http://schemas.openxmlformats.org/spreadsheetml/2006/main" count="933" uniqueCount="75">
  <si>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</si>
  <si>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</si>
  <si>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</si>
  <si>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</si>
  <si>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</si>
  <si>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</si>
  <si>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</si>
  <si>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</si>
  <si>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</si>
  <si>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</si>
  <si>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</si>
  <si>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</si>
  <si>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</si>
  <si>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</si>
  <si>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</si>
  <si>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</si>
  <si>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</si>
  <si>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</si>
  <si>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</si>
  <si>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</si>
  <si>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</si>
  <si>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</si>
  <si>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</si>
  <si>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</si>
  <si>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</si>
  <si>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</si>
  <si>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</si>
  <si>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</si>
  <si>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</si>
  <si>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</si>
  <si>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</si>
  <si>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</si>
  <si>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</si>
  <si>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</si>
  <si>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</si>
  <si>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R3A</t>
  </si>
  <si>
    <t>R3B</t>
  </si>
  <si>
    <t>GICA, GRACE B.</t>
  </si>
  <si>
    <t>DECEMBER 2025</t>
  </si>
  <si>
    <t>DECEMBER 01, 2025</t>
  </si>
  <si>
    <t>7528-7543/7595-7604/7350,7451-7459</t>
  </si>
  <si>
    <t>TUESDAY</t>
  </si>
  <si>
    <t>DECEMBER 02, 2025</t>
  </si>
  <si>
    <t>7544-7660/7605-7608/7460-7464</t>
  </si>
  <si>
    <t>WEDNESDAY</t>
  </si>
  <si>
    <t>DECEMBER 03, 2025</t>
  </si>
  <si>
    <t>7661-7676/7609-7616/7465-7469</t>
  </si>
  <si>
    <t>THURSDAY</t>
  </si>
  <si>
    <t>DECEMBER 04, 2025</t>
  </si>
  <si>
    <t>/7617-7624/7470-7472</t>
  </si>
  <si>
    <t>FRIDAY</t>
  </si>
  <si>
    <t>DECEMBER 05, 2025</t>
  </si>
  <si>
    <t>7677-7682/7625-7644/7473-7492</t>
  </si>
  <si>
    <t>SATURDAY</t>
  </si>
  <si>
    <t>DECEMBER 06, 2025</t>
  </si>
  <si>
    <t>7683-7694/7645-7650,7701-7717/7493-7496</t>
  </si>
  <si>
    <t>DECEMBER 08, 2025</t>
  </si>
  <si>
    <t>7695-7700,7801-7811/7718-7733/7497-7498</t>
  </si>
  <si>
    <t>DECEMBER 09, 2025</t>
  </si>
  <si>
    <t>7812-7826/7734-7738/7499-7500,7751-7753</t>
  </si>
  <si>
    <t>DECEMBER 10, 2025</t>
  </si>
  <si>
    <t>/7739-7741/7851-7854</t>
  </si>
  <si>
    <t>DECEMBER 11, 2025</t>
  </si>
  <si>
    <t>7827-7830/7742-7750,7901-7903/7855-7865</t>
  </si>
  <si>
    <t>DECEMBER 12, 2025</t>
  </si>
  <si>
    <t>7831-7833/7904-7921/7756-7761</t>
  </si>
  <si>
    <t>DECEMBER 13, 2025</t>
  </si>
  <si>
    <t>12/13/2025</t>
  </si>
  <si>
    <t>7834-7851/7922-7925/7762-7767</t>
  </si>
  <si>
    <t>DECEMBER 15, 2025</t>
  </si>
  <si>
    <t>12/15/2025</t>
  </si>
  <si>
    <t>7952-7954/7926-7931/7768-7770</t>
  </si>
  <si>
    <t>DECEMBER 16, 2025</t>
  </si>
  <si>
    <t>12/16/2025</t>
  </si>
  <si>
    <t>7955-7971/7932-7940/7771-7773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</si>
</sst>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zoomScaleNormal="100" workbookViewId="0">
      <selection activeCell="C26" sqref="C26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9" t="s">
        <v>38</v>
      </c>
      <c r="B6" s="109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35</v>
      </c>
      <c r="I8" s="52" t="s">
        <v>36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2" si="0">J10</f>
        <v>503578.5</v>
      </c>
      <c r="F10" s="14">
        <v>204631.5</v>
      </c>
      <c r="G10" s="14">
        <v>129222</v>
      </c>
      <c r="H10" s="14">
        <v>169725</v>
      </c>
      <c r="I10" s="14"/>
      <c r="J10" s="17">
        <f t="shared" ref="J10:J38" si="1">F10+G10+H10</f>
        <v>503578.5</v>
      </c>
    </row>
    <row r="11" spans="1:10" x14ac:dyDescent="0.25">
      <c r="A11" s="10">
        <f>A10+1</f>
        <v>2</v>
      </c>
      <c r="B11" s="43" t="s">
        <v>8</v>
      </c>
      <c r="C11" s="12" t="s">
        <v>43</v>
      </c>
      <c r="D11" s="16">
        <f t="shared" si="0"/>
        <v>496677.5</v>
      </c>
      <c r="F11" s="14">
        <v>184970</v>
      </c>
      <c r="G11" s="14">
        <v>165168.5</v>
      </c>
      <c r="H11" s="14">
        <v>146539</v>
      </c>
      <c r="I11" s="14"/>
      <c r="J11" s="17">
        <f t="shared" si="1"/>
        <v>496677.5</v>
      </c>
    </row>
    <row r="12" spans="1:10" x14ac:dyDescent="0.25">
      <c r="A12" s="10">
        <f t="shared" ref="A12:A40" si="2">A11+1</f>
        <v>3</v>
      </c>
      <c r="B12" s="56" t="s">
        <v>9</v>
      </c>
      <c r="C12" s="12" t="s">
        <v>46</v>
      </c>
      <c r="D12" s="16">
        <f t="shared" si="0"/>
        <v>752031.5</v>
      </c>
      <c r="F12" s="14">
        <v>106675</v>
      </c>
      <c r="G12" s="14">
        <v>219800.5</v>
      </c>
      <c r="H12" s="14">
        <v>425556</v>
      </c>
      <c r="I12" s="14"/>
      <c r="J12" s="17">
        <f t="shared" si="1"/>
        <v>752031.5</v>
      </c>
    </row>
    <row r="13" spans="1:10" x14ac:dyDescent="0.25">
      <c r="A13" s="10">
        <f t="shared" si="2"/>
        <v>4</v>
      </c>
      <c r="B13" s="11" t="s">
        <v>30</v>
      </c>
      <c r="C13" s="12" t="s">
        <v>49</v>
      </c>
      <c r="D13" s="16">
        <f t="shared" si="0"/>
        <v>479087.5</v>
      </c>
      <c r="F13" s="14"/>
      <c r="G13" s="14">
        <v>160644.5</v>
      </c>
      <c r="H13" s="14">
        <v>318443</v>
      </c>
      <c r="I13" s="14"/>
      <c r="J13" s="17">
        <f t="shared" si="1"/>
        <v>479087.5</v>
      </c>
    </row>
    <row r="14" spans="1:10" x14ac:dyDescent="0.25">
      <c r="A14" s="10">
        <f t="shared" si="2"/>
        <v>5</v>
      </c>
      <c r="B14" s="43" t="s">
        <v>4</v>
      </c>
      <c r="C14" s="12" t="s">
        <v>52</v>
      </c>
      <c r="D14" s="16">
        <f t="shared" si="0"/>
        <v>671232.5</v>
      </c>
      <c r="F14" s="14">
        <v>404249</v>
      </c>
      <c r="G14" s="14">
        <v>126319</v>
      </c>
      <c r="H14" s="14">
        <v>140664.5</v>
      </c>
      <c r="I14" s="14"/>
      <c r="J14" s="17">
        <f t="shared" si="1"/>
        <v>671232.5</v>
      </c>
    </row>
    <row r="15" spans="1:10" x14ac:dyDescent="0.25">
      <c r="A15" s="10">
        <f t="shared" si="2"/>
        <v>6</v>
      </c>
      <c r="B15" s="56" t="s">
        <v>5</v>
      </c>
      <c r="C15" s="12" t="s">
        <v>55</v>
      </c>
      <c r="D15" s="16">
        <f t="shared" si="0"/>
        <v>709387</v>
      </c>
      <c r="F15" s="14">
        <v>289815</v>
      </c>
      <c r="G15" s="14">
        <v>157107</v>
      </c>
      <c r="H15" s="14">
        <v>262465</v>
      </c>
      <c r="I15" s="14"/>
      <c r="J15" s="17">
        <f t="shared" si="1"/>
        <v>709387</v>
      </c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57</v>
      </c>
      <c r="D17" s="16">
        <f t="shared" si="0"/>
        <v>577659</v>
      </c>
      <c r="F17" s="14">
        <v>109009</v>
      </c>
      <c r="G17" s="14">
        <v>173131</v>
      </c>
      <c r="H17" s="14">
        <v>295519</v>
      </c>
      <c r="I17" s="14"/>
      <c r="J17" s="17">
        <f t="shared" si="1"/>
        <v>577659</v>
      </c>
    </row>
    <row r="18" spans="1:10" x14ac:dyDescent="0.25">
      <c r="A18" s="10">
        <f t="shared" si="2"/>
        <v>9</v>
      </c>
      <c r="B18" s="43" t="s">
        <v>8</v>
      </c>
      <c r="C18" s="12" t="s">
        <v>59</v>
      </c>
      <c r="D18" s="16">
        <f t="shared" si="0"/>
        <v>766289.5</v>
      </c>
      <c r="F18" s="14">
        <v>185221.5</v>
      </c>
      <c r="G18" s="14">
        <v>220000</v>
      </c>
      <c r="H18" s="14">
        <v>361068</v>
      </c>
      <c r="I18" s="14"/>
      <c r="J18" s="17">
        <f t="shared" si="1"/>
        <v>766289.5</v>
      </c>
    </row>
    <row r="19" spans="1:10" x14ac:dyDescent="0.25">
      <c r="A19" s="10">
        <f t="shared" si="2"/>
        <v>10</v>
      </c>
      <c r="B19" s="56" t="s">
        <v>9</v>
      </c>
      <c r="C19" s="12" t="s">
        <v>61</v>
      </c>
      <c r="D19" s="16">
        <f t="shared" si="0"/>
        <v>490739</v>
      </c>
      <c r="F19" s="14"/>
      <c r="G19" s="14">
        <v>339020</v>
      </c>
      <c r="H19" s="14">
        <v>151719</v>
      </c>
      <c r="I19" s="14"/>
      <c r="J19" s="17">
        <f t="shared" si="1"/>
        <v>490739</v>
      </c>
    </row>
    <row r="20" spans="1:10" x14ac:dyDescent="0.25">
      <c r="A20" s="10">
        <f t="shared" si="2"/>
        <v>11</v>
      </c>
      <c r="B20" s="11" t="s">
        <v>30</v>
      </c>
      <c r="C20" s="12" t="s">
        <v>63</v>
      </c>
      <c r="D20" s="16">
        <f t="shared" si="0"/>
        <v>944477.5</v>
      </c>
      <c r="F20" s="14">
        <v>493907</v>
      </c>
      <c r="G20" s="14">
        <v>166582.5</v>
      </c>
      <c r="H20" s="14">
        <v>283988</v>
      </c>
      <c r="I20" s="14"/>
      <c r="J20" s="17">
        <f t="shared" si="1"/>
        <v>944477.5</v>
      </c>
    </row>
    <row r="21" spans="1:10" x14ac:dyDescent="0.25">
      <c r="A21" s="10">
        <f t="shared" si="2"/>
        <v>12</v>
      </c>
      <c r="B21" s="43" t="s">
        <v>4</v>
      </c>
      <c r="C21" s="12" t="s">
        <v>65</v>
      </c>
      <c r="D21" s="16">
        <f t="shared" si="0"/>
        <v>1347622.5</v>
      </c>
      <c r="F21" s="14">
        <v>683726</v>
      </c>
      <c r="G21" s="14">
        <v>160349</v>
      </c>
      <c r="H21" s="14">
        <v>503547.5</v>
      </c>
      <c r="I21" s="14"/>
      <c r="J21" s="17">
        <f t="shared" si="1"/>
        <v>1347622.5</v>
      </c>
    </row>
    <row r="22" spans="1:10" x14ac:dyDescent="0.25">
      <c r="A22" s="10">
        <f t="shared" si="2"/>
        <v>13</v>
      </c>
      <c r="B22" s="56" t="s">
        <v>5</v>
      </c>
      <c r="C22" s="12" t="s">
        <v>68</v>
      </c>
      <c r="D22" s="16">
        <f t="shared" si="0"/>
        <v>1196165.5</v>
      </c>
      <c r="F22" s="14">
        <v>326400.5</v>
      </c>
      <c r="G22" s="14">
        <v>645565</v>
      </c>
      <c r="H22" s="14">
        <v>224200</v>
      </c>
      <c r="I22" s="14"/>
      <c r="J22" s="17">
        <f t="shared" si="1"/>
        <v>1196165.5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 t="s">
        <v>71</v>
      </c>
      <c r="D24" s="16">
        <f t="shared" ref="D24:D28" si="3">J24</f>
        <v>1252109.5</v>
      </c>
      <c r="F24" s="14">
        <v>448967</v>
      </c>
      <c r="G24" s="14">
        <v>449111.5</v>
      </c>
      <c r="H24" s="14">
        <v>354031</v>
      </c>
      <c r="I24" s="14"/>
      <c r="J24" s="17">
        <f t="shared" si="1"/>
        <v>1252109.5</v>
      </c>
    </row>
    <row r="25" spans="1:10" x14ac:dyDescent="0.25">
      <c r="A25" s="10">
        <f t="shared" si="2"/>
        <v>16</v>
      </c>
      <c r="B25" s="43" t="s">
        <v>8</v>
      </c>
      <c r="C25" s="12" t="s">
        <v>74</v>
      </c>
      <c r="D25" s="16">
        <f t="shared" si="3"/>
        <v>958361</v>
      </c>
      <c r="F25" s="14">
        <v>209954.5</v>
      </c>
      <c r="G25" s="14">
        <v>289875.5</v>
      </c>
      <c r="H25" s="14">
        <v>458531</v>
      </c>
      <c r="I25" s="14"/>
      <c r="J25" s="17">
        <f t="shared" si="1"/>
        <v>958361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3"/>
        <v>0</v>
      </c>
      <c r="F26" s="14"/>
      <c r="G26" s="14"/>
      <c r="H26" s="14"/>
      <c r="I26" s="14"/>
      <c r="J26" s="17">
        <f t="shared" si="1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3"/>
        <v>0</v>
      </c>
      <c r="F27" s="14"/>
      <c r="G27" s="14"/>
      <c r="H27" s="14"/>
      <c r="I27" s="14"/>
      <c r="J27" s="17">
        <f t="shared" si="1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3"/>
        <v>0</v>
      </c>
      <c r="F28" s="14"/>
      <c r="G28" s="14"/>
      <c r="H28" s="14"/>
      <c r="I28" s="14"/>
      <c r="J28" s="17">
        <f t="shared" si="1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ref="D29:D36" si="4">J29</f>
        <v>0</v>
      </c>
      <c r="F29" s="14"/>
      <c r="G29" s="14"/>
      <c r="H29" s="14"/>
      <c r="I29" s="14"/>
      <c r="J29" s="17">
        <f t="shared" si="1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si="4"/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5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>
        <f t="shared" si="2"/>
        <v>29</v>
      </c>
      <c r="B38" s="11" t="s">
        <v>7</v>
      </c>
      <c r="C38" s="12"/>
      <c r="D38" s="16">
        <f t="shared" ref="D38:D40" si="5">J38</f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43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59"/>
    </row>
    <row r="40" spans="1:10" x14ac:dyDescent="0.25">
      <c r="A40" s="10">
        <f t="shared" si="2"/>
        <v>31</v>
      </c>
      <c r="B40" s="56" t="s">
        <v>9</v>
      </c>
      <c r="C40" s="12"/>
      <c r="D40" s="16">
        <f t="shared" si="5"/>
        <v>0</v>
      </c>
      <c r="E40" s="14"/>
      <c r="F40" s="14"/>
      <c r="G40" s="14"/>
      <c r="H40" s="14"/>
      <c r="I40" s="14"/>
      <c r="J40" s="51"/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0" t="s">
        <v>10</v>
      </c>
      <c r="B42" s="111"/>
      <c r="C42" s="112"/>
      <c r="D42" s="48">
        <f>SUM(D2:D41)</f>
        <v>11145418</v>
      </c>
      <c r="J42" s="49">
        <f>SUM(J10:J41)</f>
        <v>11145418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29"/>
  <sheetViews>
    <sheetView topLeftCell="A750" zoomScale="115" zoomScaleNormal="115" workbookViewId="0">
      <selection activeCell="A771" sqref="A771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39</v>
      </c>
      <c r="B8" s="20"/>
      <c r="C8" s="57"/>
      <c r="D8" s="57"/>
      <c r="E8" s="57"/>
      <c r="G8" s="57"/>
      <c r="I8" s="22" t="s">
        <v>16</v>
      </c>
      <c r="J8" s="23" t="s">
        <v>33</v>
      </c>
      <c r="K8" s="24"/>
      <c r="M8" s="21" t="s">
        <v>39</v>
      </c>
      <c r="N8" s="20"/>
      <c r="O8" s="57"/>
      <c r="P8" s="57"/>
      <c r="Q8" s="57"/>
      <c r="R8" s="57"/>
      <c r="S8" s="57"/>
      <c r="U8" s="22" t="s">
        <v>16</v>
      </c>
      <c r="V8" s="23" t="s">
        <v>37</v>
      </c>
      <c r="W8" s="24"/>
      <c r="Y8" s="21" t="s">
        <v>39</v>
      </c>
      <c r="Z8" s="20"/>
      <c r="AA8" s="57"/>
      <c r="AB8" s="57"/>
      <c r="AC8" s="57"/>
      <c r="AD8" s="57"/>
      <c r="AE8" s="57"/>
      <c r="AG8" s="22" t="s">
        <v>16</v>
      </c>
      <c r="AH8" s="23" t="s">
        <v>31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5" t="s">
        <v>17</v>
      </c>
      <c r="E10" s="115"/>
      <c r="F10" s="77"/>
      <c r="G10" s="27"/>
      <c r="I10" s="118" t="s">
        <v>18</v>
      </c>
      <c r="J10" s="119"/>
      <c r="K10" s="116" t="s">
        <v>19</v>
      </c>
      <c r="N10" s="25"/>
      <c r="O10" s="26"/>
      <c r="P10" s="115" t="s">
        <v>17</v>
      </c>
      <c r="Q10" s="115"/>
      <c r="R10" s="77"/>
      <c r="S10" s="27"/>
      <c r="U10" s="118" t="s">
        <v>18</v>
      </c>
      <c r="V10" s="119"/>
      <c r="W10" s="116" t="s">
        <v>19</v>
      </c>
      <c r="Z10" s="25"/>
      <c r="AA10" s="26"/>
      <c r="AB10" s="115" t="s">
        <v>17</v>
      </c>
      <c r="AC10" s="115"/>
      <c r="AD10" s="77"/>
      <c r="AE10" s="27"/>
      <c r="AG10" s="118" t="s">
        <v>18</v>
      </c>
      <c r="AH10" s="119"/>
      <c r="AI10" s="116" t="s">
        <v>19</v>
      </c>
    </row>
    <row r="11" spans="1:35" ht="30" x14ac:dyDescent="0.25">
      <c r="B11" s="28" t="s">
        <v>20</v>
      </c>
      <c r="C11" s="28" t="s">
        <v>21</v>
      </c>
      <c r="D11" s="79" t="s">
        <v>22</v>
      </c>
      <c r="E11" s="78" t="s">
        <v>23</v>
      </c>
      <c r="F11" s="80" t="s">
        <v>32</v>
      </c>
      <c r="G11" s="80" t="s">
        <v>24</v>
      </c>
      <c r="I11" s="29" t="s">
        <v>25</v>
      </c>
      <c r="J11" s="29" t="s">
        <v>26</v>
      </c>
      <c r="K11" s="117"/>
      <c r="N11" s="28" t="s">
        <v>20</v>
      </c>
      <c r="O11" s="28" t="s">
        <v>21</v>
      </c>
      <c r="P11" s="79" t="s">
        <v>22</v>
      </c>
      <c r="Q11" s="80" t="s">
        <v>23</v>
      </c>
      <c r="R11" s="80" t="s">
        <v>32</v>
      </c>
      <c r="S11" s="80" t="s">
        <v>24</v>
      </c>
      <c r="U11" s="29" t="s">
        <v>25</v>
      </c>
      <c r="V11" s="29" t="s">
        <v>26</v>
      </c>
      <c r="W11" s="117"/>
      <c r="Z11" s="28" t="s">
        <v>20</v>
      </c>
      <c r="AA11" s="28" t="s">
        <v>21</v>
      </c>
      <c r="AB11" s="79" t="s">
        <v>22</v>
      </c>
      <c r="AC11" s="80" t="s">
        <v>23</v>
      </c>
      <c r="AD11" s="80" t="s">
        <v>32</v>
      </c>
      <c r="AE11" s="80" t="s">
        <v>24</v>
      </c>
      <c r="AG11" s="29" t="s">
        <v>25</v>
      </c>
      <c r="AH11" s="29" t="s">
        <v>26</v>
      </c>
      <c r="AI11" s="117"/>
    </row>
    <row r="12" spans="1:35" x14ac:dyDescent="0.25">
      <c r="A12" s="10">
        <v>1</v>
      </c>
      <c r="B12" s="30">
        <v>45669</v>
      </c>
      <c r="C12" s="91">
        <v>7528</v>
      </c>
      <c r="D12" s="32">
        <f>1878+596</f>
        <v>2474</v>
      </c>
      <c r="E12" s="32"/>
      <c r="F12" s="32"/>
      <c r="G12" s="32">
        <f t="shared" ref="G12:G45" si="0">SUM(D12:E12)</f>
        <v>2474</v>
      </c>
      <c r="H12" s="12"/>
      <c r="I12" s="12"/>
      <c r="J12" s="12"/>
      <c r="K12" s="12">
        <f t="shared" ref="K12:K45" si="1">SUM(G12:J12)</f>
        <v>2474</v>
      </c>
      <c r="M12" s="10">
        <v>1</v>
      </c>
      <c r="N12" s="30">
        <v>45669</v>
      </c>
      <c r="O12" s="31">
        <v>7595</v>
      </c>
      <c r="P12" s="32">
        <f>3756+57</f>
        <v>3813</v>
      </c>
      <c r="Q12" s="32"/>
      <c r="R12" s="32"/>
      <c r="S12" s="32">
        <f>SUM(P12:Q12)</f>
        <v>3813</v>
      </c>
      <c r="T12" s="12"/>
      <c r="U12" s="12"/>
      <c r="V12" s="12"/>
      <c r="W12" s="12">
        <f>SUM(S12:V12)</f>
        <v>3813</v>
      </c>
      <c r="Y12" s="10">
        <v>1</v>
      </c>
      <c r="Z12" s="30">
        <v>45669</v>
      </c>
      <c r="AA12" s="31">
        <v>7350</v>
      </c>
      <c r="AB12" s="32">
        <f>12520+2456+1788+1704+1664+229</f>
        <v>20361</v>
      </c>
      <c r="AC12" s="32"/>
      <c r="AD12" s="32"/>
      <c r="AE12" s="32">
        <f>SUM(AB12:AC12)</f>
        <v>20361</v>
      </c>
      <c r="AF12" s="12"/>
      <c r="AG12" s="12"/>
      <c r="AH12" s="12">
        <v>-3996</v>
      </c>
      <c r="AI12" s="12">
        <f>SUM(AE12:AH12)</f>
        <v>16365</v>
      </c>
    </row>
    <row r="13" spans="1:35" x14ac:dyDescent="0.25">
      <c r="A13" s="10">
        <v>2</v>
      </c>
      <c r="B13" s="30">
        <v>45669</v>
      </c>
      <c r="C13" s="91">
        <f>C12+1</f>
        <v>7529</v>
      </c>
      <c r="D13" s="32">
        <f>43820+1842+2980</f>
        <v>48642</v>
      </c>
      <c r="E13" s="32"/>
      <c r="F13" s="32"/>
      <c r="G13" s="32">
        <f t="shared" si="0"/>
        <v>48642</v>
      </c>
      <c r="H13" s="12"/>
      <c r="I13" s="12">
        <v>216</v>
      </c>
      <c r="J13" s="12"/>
      <c r="K13" s="12">
        <f t="shared" si="1"/>
        <v>48858</v>
      </c>
      <c r="M13" s="10">
        <v>2</v>
      </c>
      <c r="N13" s="30">
        <v>45669</v>
      </c>
      <c r="O13" s="31">
        <f>O12+1</f>
        <v>7596</v>
      </c>
      <c r="P13" s="32">
        <f>75120+13708+687</f>
        <v>89515</v>
      </c>
      <c r="Q13" s="32">
        <v>-1314</v>
      </c>
      <c r="R13" s="32"/>
      <c r="S13" s="32">
        <f t="shared" ref="S13:S44" si="2">SUM(P13:Q13)</f>
        <v>88201</v>
      </c>
      <c r="T13" s="12"/>
      <c r="U13" s="12"/>
      <c r="V13" s="12"/>
      <c r="W13" s="12">
        <f t="shared" ref="W13:W44" si="3">SUM(S13:V13)</f>
        <v>88201</v>
      </c>
      <c r="Y13" s="10">
        <v>2</v>
      </c>
      <c r="Z13" s="30">
        <v>45669</v>
      </c>
      <c r="AA13" s="31">
        <v>7451</v>
      </c>
      <c r="AB13" s="32">
        <f>31300+458</f>
        <v>31758</v>
      </c>
      <c r="AC13" s="32">
        <v>-300</v>
      </c>
      <c r="AD13" s="32"/>
      <c r="AE13" s="32">
        <f t="shared" ref="AE13:AE44" si="4">SUM(AB13:AC13)</f>
        <v>31458</v>
      </c>
      <c r="AF13" s="12"/>
      <c r="AG13" s="12"/>
      <c r="AH13" s="12"/>
      <c r="AI13" s="12">
        <f t="shared" ref="AI13:AI44" si="5">SUM(AE13:AH13)</f>
        <v>31458</v>
      </c>
    </row>
    <row r="14" spans="1:35" x14ac:dyDescent="0.25">
      <c r="A14" s="10">
        <v>3</v>
      </c>
      <c r="B14" s="30">
        <v>45669</v>
      </c>
      <c r="C14" s="91">
        <f t="shared" ref="C14:C27" si="6">C13+1</f>
        <v>7530</v>
      </c>
      <c r="D14" s="33">
        <f>6260+614+1369.5+596+1278+1300+1248+104.5+500+674</f>
        <v>13944</v>
      </c>
      <c r="E14" s="33"/>
      <c r="F14" s="33"/>
      <c r="G14" s="33">
        <f t="shared" si="0"/>
        <v>13944</v>
      </c>
      <c r="H14" s="34"/>
      <c r="I14" s="34">
        <v>270</v>
      </c>
      <c r="J14" s="34"/>
      <c r="K14" s="34">
        <f t="shared" si="1"/>
        <v>14214</v>
      </c>
      <c r="M14" s="10">
        <v>3</v>
      </c>
      <c r="N14" s="30">
        <v>45669</v>
      </c>
      <c r="O14" s="31">
        <f t="shared" ref="O14:O21" si="7">O13+1</f>
        <v>7597</v>
      </c>
      <c r="P14" s="32">
        <f>12520</f>
        <v>12520</v>
      </c>
      <c r="Q14" s="32"/>
      <c r="R14" s="32"/>
      <c r="S14" s="32">
        <f t="shared" si="2"/>
        <v>12520</v>
      </c>
      <c r="T14" s="12"/>
      <c r="U14" s="12"/>
      <c r="V14" s="12"/>
      <c r="W14" s="12">
        <f t="shared" si="3"/>
        <v>12520</v>
      </c>
      <c r="Y14" s="10">
        <v>3</v>
      </c>
      <c r="Z14" s="30">
        <v>45669</v>
      </c>
      <c r="AA14" s="31">
        <f t="shared" ref="AA14:AA21" si="8">AA13+1</f>
        <v>7452</v>
      </c>
      <c r="AB14" s="33">
        <f>3130+229</f>
        <v>3359</v>
      </c>
      <c r="AC14" s="33"/>
      <c r="AD14" s="32"/>
      <c r="AE14" s="32">
        <f t="shared" si="4"/>
        <v>3359</v>
      </c>
      <c r="AF14" s="12"/>
      <c r="AG14" s="12"/>
      <c r="AH14" s="12"/>
      <c r="AI14" s="12">
        <f t="shared" si="5"/>
        <v>3359</v>
      </c>
    </row>
    <row r="15" spans="1:35" x14ac:dyDescent="0.25">
      <c r="A15" s="10">
        <v>4</v>
      </c>
      <c r="B15" s="30">
        <v>45669</v>
      </c>
      <c r="C15" s="91">
        <f t="shared" si="6"/>
        <v>7531</v>
      </c>
      <c r="D15" s="32">
        <f>626+614+9.5</f>
        <v>1249.5</v>
      </c>
      <c r="E15" s="32"/>
      <c r="F15" s="32"/>
      <c r="G15" s="32">
        <f t="shared" si="0"/>
        <v>1249.5</v>
      </c>
      <c r="H15" s="12"/>
      <c r="I15" s="12"/>
      <c r="J15" s="12"/>
      <c r="K15" s="12">
        <f t="shared" si="1"/>
        <v>1249.5</v>
      </c>
      <c r="M15" s="10">
        <v>4</v>
      </c>
      <c r="N15" s="30">
        <v>45669</v>
      </c>
      <c r="O15" s="31">
        <f t="shared" si="7"/>
        <v>7598</v>
      </c>
      <c r="P15" s="32">
        <f>8940</f>
        <v>8940</v>
      </c>
      <c r="Q15" s="32"/>
      <c r="R15" s="32"/>
      <c r="S15" s="32">
        <f t="shared" si="2"/>
        <v>8940</v>
      </c>
      <c r="T15" s="12"/>
      <c r="U15" s="12"/>
      <c r="V15" s="12"/>
      <c r="W15" s="12">
        <f t="shared" si="3"/>
        <v>8940</v>
      </c>
      <c r="Y15" s="10">
        <v>4</v>
      </c>
      <c r="Z15" s="30">
        <v>45669</v>
      </c>
      <c r="AA15" s="31">
        <f t="shared" si="8"/>
        <v>7453</v>
      </c>
      <c r="AB15" s="32">
        <f>6260+2980+142.5</f>
        <v>9382.5</v>
      </c>
      <c r="AC15" s="32"/>
      <c r="AD15" s="32"/>
      <c r="AE15" s="32">
        <f t="shared" si="4"/>
        <v>9382.5</v>
      </c>
      <c r="AF15" s="12"/>
      <c r="AH15" s="12"/>
      <c r="AI15" s="12">
        <f t="shared" si="5"/>
        <v>9382.5</v>
      </c>
    </row>
    <row r="16" spans="1:35" x14ac:dyDescent="0.25">
      <c r="A16" s="10">
        <v>5</v>
      </c>
      <c r="B16" s="30">
        <v>45669</v>
      </c>
      <c r="C16" s="91">
        <f t="shared" si="6"/>
        <v>7532</v>
      </c>
      <c r="D16" s="32">
        <f>6260+1228+596+104.5</f>
        <v>8188.5</v>
      </c>
      <c r="E16" s="32"/>
      <c r="F16" s="32"/>
      <c r="G16" s="32">
        <f t="shared" si="0"/>
        <v>8188.5</v>
      </c>
      <c r="H16" s="12"/>
      <c r="I16" s="12">
        <v>98</v>
      </c>
      <c r="J16" s="12"/>
      <c r="K16" s="12">
        <f t="shared" si="1"/>
        <v>8286.5</v>
      </c>
      <c r="M16" s="10">
        <v>5</v>
      </c>
      <c r="N16" s="30">
        <v>45669</v>
      </c>
      <c r="O16" s="31">
        <f t="shared" si="7"/>
        <v>7599</v>
      </c>
      <c r="P16" s="32">
        <f>3756+57</f>
        <v>3813</v>
      </c>
      <c r="Q16" s="32"/>
      <c r="R16" s="32"/>
      <c r="S16" s="32">
        <f t="shared" si="2"/>
        <v>3813</v>
      </c>
      <c r="T16" s="12"/>
      <c r="U16" s="12"/>
      <c r="V16" s="12"/>
      <c r="W16" s="12">
        <f t="shared" si="3"/>
        <v>3813</v>
      </c>
      <c r="Y16" s="10">
        <v>5</v>
      </c>
      <c r="Z16" s="30">
        <v>45669</v>
      </c>
      <c r="AA16" s="31">
        <f t="shared" si="8"/>
        <v>7454</v>
      </c>
      <c r="AB16" s="32">
        <f>3130+47.5</f>
        <v>3177.5</v>
      </c>
      <c r="AC16" s="32"/>
      <c r="AD16" s="32"/>
      <c r="AE16" s="32">
        <f t="shared" ref="AE16:AE21" si="9">SUM(AB16:AC16)</f>
        <v>3177.5</v>
      </c>
      <c r="AF16" s="12"/>
      <c r="AG16" s="12">
        <f>555+7.5</f>
        <v>562.5</v>
      </c>
      <c r="AH16" s="12"/>
      <c r="AI16" s="12">
        <f t="shared" si="5"/>
        <v>3740</v>
      </c>
    </row>
    <row r="17" spans="1:35" x14ac:dyDescent="0.25">
      <c r="A17" s="10">
        <v>6</v>
      </c>
      <c r="B17" s="30">
        <v>45669</v>
      </c>
      <c r="C17" s="91">
        <f t="shared" si="6"/>
        <v>7533</v>
      </c>
      <c r="D17" s="32">
        <f>10016+1228+1788+180.5</f>
        <v>13212.5</v>
      </c>
      <c r="E17" s="32"/>
      <c r="F17" s="32"/>
      <c r="G17" s="32">
        <f t="shared" si="0"/>
        <v>13212.5</v>
      </c>
      <c r="H17" s="12"/>
      <c r="I17" s="12"/>
      <c r="J17" s="12"/>
      <c r="K17" s="12">
        <f t="shared" si="1"/>
        <v>13212.5</v>
      </c>
      <c r="M17" s="10">
        <v>6</v>
      </c>
      <c r="N17" s="30">
        <v>45669</v>
      </c>
      <c r="O17" s="31">
        <f t="shared" si="7"/>
        <v>7600</v>
      </c>
      <c r="P17" s="32">
        <f>1878+28.5</f>
        <v>1906.5</v>
      </c>
      <c r="Q17" s="32"/>
      <c r="R17" s="32"/>
      <c r="S17" s="32">
        <f t="shared" si="2"/>
        <v>1906.5</v>
      </c>
      <c r="T17" s="12"/>
      <c r="U17" s="12"/>
      <c r="V17" s="10"/>
      <c r="W17" s="12">
        <f t="shared" si="3"/>
        <v>1906.5</v>
      </c>
      <c r="Y17" s="10">
        <v>6</v>
      </c>
      <c r="Z17" s="30">
        <v>45669</v>
      </c>
      <c r="AA17" s="31">
        <f t="shared" si="8"/>
        <v>7455</v>
      </c>
      <c r="AB17" s="32">
        <f>15650+614+913</f>
        <v>17177</v>
      </c>
      <c r="AC17" s="32"/>
      <c r="AD17" s="32"/>
      <c r="AE17" s="32">
        <f t="shared" si="9"/>
        <v>17177</v>
      </c>
      <c r="AF17" s="12"/>
      <c r="AG17" s="12"/>
      <c r="AH17" s="10"/>
      <c r="AI17" s="12">
        <f t="shared" si="5"/>
        <v>17177</v>
      </c>
    </row>
    <row r="18" spans="1:35" x14ac:dyDescent="0.25">
      <c r="A18" s="10">
        <v>7</v>
      </c>
      <c r="B18" s="30">
        <v>45669</v>
      </c>
      <c r="C18" s="91">
        <f t="shared" si="6"/>
        <v>7534</v>
      </c>
      <c r="D18" s="32">
        <f>3756+596+66.5</f>
        <v>4418.5</v>
      </c>
      <c r="E18" s="32"/>
      <c r="F18" s="32"/>
      <c r="G18" s="32">
        <f t="shared" si="0"/>
        <v>4418.5</v>
      </c>
      <c r="H18" s="12"/>
      <c r="I18" s="12"/>
      <c r="J18" s="12"/>
      <c r="K18" s="12">
        <f t="shared" si="1"/>
        <v>4418.5</v>
      </c>
      <c r="M18" s="10">
        <v>7</v>
      </c>
      <c r="N18" s="30">
        <v>45669</v>
      </c>
      <c r="O18" s="31">
        <f t="shared" si="7"/>
        <v>7601</v>
      </c>
      <c r="P18" s="32">
        <f>3756</f>
        <v>3756</v>
      </c>
      <c r="Q18" s="32"/>
      <c r="R18" s="32"/>
      <c r="S18" s="32">
        <f t="shared" si="2"/>
        <v>3756</v>
      </c>
      <c r="T18" s="12"/>
      <c r="U18" s="12"/>
      <c r="V18" s="12">
        <v>-555</v>
      </c>
      <c r="W18" s="12">
        <f t="shared" si="3"/>
        <v>3201</v>
      </c>
      <c r="Y18" s="10">
        <v>7</v>
      </c>
      <c r="Z18" s="30">
        <v>45669</v>
      </c>
      <c r="AA18" s="31">
        <f t="shared" si="8"/>
        <v>7456</v>
      </c>
      <c r="AB18" s="32">
        <f>10642+614</f>
        <v>11256</v>
      </c>
      <c r="AC18" s="32"/>
      <c r="AD18" s="32"/>
      <c r="AE18" s="32">
        <f t="shared" si="9"/>
        <v>11256</v>
      </c>
      <c r="AF18" s="12"/>
      <c r="AG18" s="58"/>
      <c r="AH18" s="12"/>
      <c r="AI18" s="12">
        <f t="shared" si="5"/>
        <v>11256</v>
      </c>
    </row>
    <row r="19" spans="1:35" x14ac:dyDescent="0.25">
      <c r="A19" s="10">
        <v>8</v>
      </c>
      <c r="B19" s="30">
        <v>45669</v>
      </c>
      <c r="C19" s="91">
        <f t="shared" si="6"/>
        <v>7535</v>
      </c>
      <c r="D19" s="32">
        <f>2504+596+47.5</f>
        <v>3147.5</v>
      </c>
      <c r="E19" s="32"/>
      <c r="F19" s="32"/>
      <c r="G19" s="32">
        <f t="shared" si="0"/>
        <v>3147.5</v>
      </c>
      <c r="H19" s="12"/>
      <c r="I19" s="12">
        <v>108</v>
      </c>
      <c r="J19" s="12"/>
      <c r="K19" s="12">
        <f t="shared" si="1"/>
        <v>3255.5</v>
      </c>
      <c r="M19" s="10">
        <v>8</v>
      </c>
      <c r="N19" s="30">
        <v>45669</v>
      </c>
      <c r="O19" s="31">
        <f t="shared" si="7"/>
        <v>7602</v>
      </c>
      <c r="P19" s="32">
        <f>3130+614+47.5</f>
        <v>3791.5</v>
      </c>
      <c r="Q19" s="32"/>
      <c r="R19" s="32"/>
      <c r="S19" s="32">
        <f t="shared" si="2"/>
        <v>3791.5</v>
      </c>
      <c r="T19" s="12"/>
      <c r="U19" s="12"/>
      <c r="V19" s="12"/>
      <c r="W19" s="12">
        <f t="shared" si="3"/>
        <v>3791.5</v>
      </c>
      <c r="Y19" s="10">
        <v>8</v>
      </c>
      <c r="Z19" s="30">
        <v>45669</v>
      </c>
      <c r="AA19" s="31">
        <f t="shared" si="8"/>
        <v>7457</v>
      </c>
      <c r="AB19" s="32">
        <f>18780+2980</f>
        <v>21760</v>
      </c>
      <c r="AC19" s="32"/>
      <c r="AE19" s="32">
        <f t="shared" si="9"/>
        <v>21760</v>
      </c>
      <c r="AF19" s="12"/>
      <c r="AG19" s="12"/>
      <c r="AH19" s="12"/>
      <c r="AI19" s="12">
        <f t="shared" si="5"/>
        <v>21760</v>
      </c>
    </row>
    <row r="20" spans="1:35" x14ac:dyDescent="0.25">
      <c r="A20" s="10">
        <v>9</v>
      </c>
      <c r="B20" s="30">
        <v>45669</v>
      </c>
      <c r="C20" s="91">
        <f t="shared" si="6"/>
        <v>7536</v>
      </c>
      <c r="D20" s="32">
        <f>6260+95</f>
        <v>6355</v>
      </c>
      <c r="E20" s="32"/>
      <c r="F20" s="32"/>
      <c r="G20" s="32">
        <f t="shared" si="0"/>
        <v>6355</v>
      </c>
      <c r="H20" s="12"/>
      <c r="I20" s="12"/>
      <c r="J20" s="12"/>
      <c r="K20" s="12">
        <f t="shared" si="1"/>
        <v>6355</v>
      </c>
      <c r="M20" s="10">
        <v>9</v>
      </c>
      <c r="N20" s="30">
        <v>45669</v>
      </c>
      <c r="O20" s="31">
        <f t="shared" si="7"/>
        <v>7603</v>
      </c>
      <c r="P20" s="32">
        <f>614</f>
        <v>614</v>
      </c>
      <c r="Q20" s="32"/>
      <c r="R20" s="32"/>
      <c r="S20" s="32">
        <f t="shared" si="2"/>
        <v>614</v>
      </c>
      <c r="T20" s="12"/>
      <c r="U20" s="12"/>
      <c r="V20" s="12"/>
      <c r="W20" s="12">
        <f t="shared" si="3"/>
        <v>614</v>
      </c>
      <c r="Y20" s="10">
        <v>9</v>
      </c>
      <c r="Z20" s="30">
        <v>45669</v>
      </c>
      <c r="AA20" s="31">
        <f t="shared" si="8"/>
        <v>7458</v>
      </c>
      <c r="AB20">
        <f>30674+3070+2980+832</f>
        <v>37556</v>
      </c>
      <c r="AC20" s="32"/>
      <c r="AD20" s="32"/>
      <c r="AE20" s="32">
        <f t="shared" si="9"/>
        <v>37556</v>
      </c>
      <c r="AF20" s="12"/>
      <c r="AH20" s="12"/>
      <c r="AI20" s="12">
        <f t="shared" si="5"/>
        <v>37556</v>
      </c>
    </row>
    <row r="21" spans="1:35" x14ac:dyDescent="0.25">
      <c r="A21" s="10">
        <v>10</v>
      </c>
      <c r="B21" s="30">
        <v>45669</v>
      </c>
      <c r="C21" s="91">
        <f t="shared" si="6"/>
        <v>7537</v>
      </c>
      <c r="D21" s="32">
        <f>2504+38</f>
        <v>2542</v>
      </c>
      <c r="E21" s="32"/>
      <c r="F21" s="32"/>
      <c r="G21" s="32">
        <f t="shared" si="0"/>
        <v>2542</v>
      </c>
      <c r="H21" s="12"/>
      <c r="I21" s="12"/>
      <c r="J21" s="12"/>
      <c r="K21" s="12">
        <f t="shared" si="1"/>
        <v>2542</v>
      </c>
      <c r="M21" s="10">
        <v>10</v>
      </c>
      <c r="N21" s="30">
        <v>45669</v>
      </c>
      <c r="O21" s="31">
        <f t="shared" si="7"/>
        <v>7604</v>
      </c>
      <c r="P21" s="32">
        <f>1252+596+19</f>
        <v>1867</v>
      </c>
      <c r="Q21" s="32"/>
      <c r="R21" s="32"/>
      <c r="S21" s="32">
        <f t="shared" si="2"/>
        <v>1867</v>
      </c>
      <c r="T21" s="12"/>
      <c r="U21" s="12"/>
      <c r="V21" s="12"/>
      <c r="W21" s="12">
        <f t="shared" si="3"/>
        <v>1867</v>
      </c>
      <c r="Y21" s="10">
        <v>10</v>
      </c>
      <c r="Z21" s="30">
        <v>45669</v>
      </c>
      <c r="AA21" s="31">
        <f t="shared" si="8"/>
        <v>7459</v>
      </c>
      <c r="AB21" s="32">
        <f>14238</f>
        <v>14238</v>
      </c>
      <c r="AC21" s="32"/>
      <c r="AD21" s="32"/>
      <c r="AE21" s="32">
        <f t="shared" si="9"/>
        <v>14238</v>
      </c>
      <c r="AF21" s="12"/>
      <c r="AG21" s="12"/>
      <c r="AH21" s="12"/>
      <c r="AI21" s="12">
        <f t="shared" si="5"/>
        <v>14238</v>
      </c>
    </row>
    <row r="22" spans="1:35" x14ac:dyDescent="0.25">
      <c r="A22" s="10">
        <v>11</v>
      </c>
      <c r="B22" s="30">
        <v>45669</v>
      </c>
      <c r="C22" s="91">
        <f t="shared" si="6"/>
        <v>7538</v>
      </c>
      <c r="D22" s="32">
        <f>626+614+9.5</f>
        <v>1249.5</v>
      </c>
      <c r="E22" s="32"/>
      <c r="F22" s="32"/>
      <c r="G22" s="32">
        <f t="shared" si="0"/>
        <v>1249.5</v>
      </c>
      <c r="H22" s="12"/>
      <c r="I22" s="12"/>
      <c r="J22" s="12"/>
      <c r="K22" s="12">
        <f t="shared" si="1"/>
        <v>1249.5</v>
      </c>
      <c r="M22" s="10">
        <v>11</v>
      </c>
      <c r="N22" s="30"/>
      <c r="O22" s="11" t="s">
        <v>27</v>
      </c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11" t="s">
        <v>27</v>
      </c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>
        <v>45669</v>
      </c>
      <c r="C23" s="91">
        <f t="shared" si="6"/>
        <v>7539</v>
      </c>
      <c r="D23" s="32">
        <f>2504+596+47.5</f>
        <v>3147.5</v>
      </c>
      <c r="E23" s="32"/>
      <c r="F23" s="32"/>
      <c r="G23" s="32">
        <f t="shared" si="0"/>
        <v>3147.5</v>
      </c>
      <c r="H23" s="12"/>
      <c r="I23" s="12"/>
      <c r="J23" s="10"/>
      <c r="K23" s="12">
        <f t="shared" si="1"/>
        <v>3147.5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>
        <v>45669</v>
      </c>
      <c r="C24" s="91">
        <f t="shared" si="6"/>
        <v>7540</v>
      </c>
      <c r="D24" s="32">
        <f>3130</f>
        <v>3130</v>
      </c>
      <c r="E24" s="32"/>
      <c r="F24" s="32"/>
      <c r="G24" s="32">
        <f t="shared" si="0"/>
        <v>3130</v>
      </c>
      <c r="H24" s="12"/>
      <c r="I24" s="12"/>
      <c r="J24" s="12"/>
      <c r="K24" s="12">
        <f t="shared" si="1"/>
        <v>3130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>
        <v>45669</v>
      </c>
      <c r="C25" s="91">
        <f t="shared" si="6"/>
        <v>7541</v>
      </c>
      <c r="D25" s="32">
        <f>62600+1842+6740+3576+852+1005+832+1145</f>
        <v>78592</v>
      </c>
      <c r="E25" s="32"/>
      <c r="F25" s="32"/>
      <c r="G25" s="32">
        <f t="shared" si="0"/>
        <v>78592</v>
      </c>
      <c r="H25" s="12"/>
      <c r="I25" s="12">
        <f>666+390+270</f>
        <v>1326</v>
      </c>
      <c r="J25" s="12"/>
      <c r="K25" s="12">
        <f t="shared" si="1"/>
        <v>79918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>
        <v>45669</v>
      </c>
      <c r="C26" s="91">
        <f t="shared" si="6"/>
        <v>7542</v>
      </c>
      <c r="D26" s="32">
        <f>11268+1842</f>
        <v>13110</v>
      </c>
      <c r="E26" s="32"/>
      <c r="F26" s="32"/>
      <c r="G26" s="32">
        <f t="shared" si="0"/>
        <v>13110</v>
      </c>
      <c r="H26" s="12"/>
      <c r="I26" s="12">
        <v>135</v>
      </c>
      <c r="J26" s="12"/>
      <c r="K26" s="12">
        <f t="shared" si="1"/>
        <v>13245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>
        <v>45669</v>
      </c>
      <c r="C27" s="91">
        <f t="shared" si="6"/>
        <v>7543</v>
      </c>
      <c r="D27" s="32">
        <f>229+1000</f>
        <v>1229</v>
      </c>
      <c r="E27" s="32"/>
      <c r="F27" s="32"/>
      <c r="G27" s="32">
        <f t="shared" si="0"/>
        <v>1229</v>
      </c>
      <c r="H27" s="12"/>
      <c r="I27" s="12"/>
      <c r="J27" s="12"/>
      <c r="K27" s="12">
        <f t="shared" si="1"/>
        <v>1229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11" t="s">
        <v>27</v>
      </c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9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9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204631.5</v>
      </c>
      <c r="E55" s="38">
        <f t="shared" ref="E55:F55" si="18">SUM(E12:E52)</f>
        <v>0</v>
      </c>
      <c r="F55" s="38">
        <f t="shared" si="18"/>
        <v>0</v>
      </c>
      <c r="G55" s="38">
        <f>SUM(G12:G54)</f>
        <v>204631.5</v>
      </c>
      <c r="H55" s="4"/>
      <c r="I55" s="39">
        <f>SUM(I12:I54)</f>
        <v>2153</v>
      </c>
      <c r="J55" s="39">
        <f>SUM(J12:J54)</f>
        <v>0</v>
      </c>
      <c r="K55" s="40">
        <f>SUM(K12:K54)</f>
        <v>206784.5</v>
      </c>
      <c r="N55" s="57"/>
      <c r="O55" s="57"/>
      <c r="P55" s="38">
        <f>SUM(P12:P54)</f>
        <v>130536</v>
      </c>
      <c r="Q55" s="38">
        <f>SUM(Q12:Q36)</f>
        <v>-1314</v>
      </c>
      <c r="R55" s="38">
        <f>SUM(R12:R36)</f>
        <v>0</v>
      </c>
      <c r="S55" s="38">
        <f>SUM(S12:S54)</f>
        <v>129222</v>
      </c>
      <c r="T55" s="4"/>
      <c r="U55" s="41">
        <f>SUM(U12:U54)</f>
        <v>0</v>
      </c>
      <c r="V55" s="41">
        <f>SUM(V12:V36)</f>
        <v>-555</v>
      </c>
      <c r="W55" s="42">
        <f>SUM(W12:W54)</f>
        <v>128667</v>
      </c>
      <c r="Z55" s="57"/>
      <c r="AA55" s="57"/>
      <c r="AB55" s="38">
        <f>SUM(AB12:AB54)</f>
        <v>170025</v>
      </c>
      <c r="AC55" s="38">
        <f>SUM(AC12:AC36)</f>
        <v>-300</v>
      </c>
      <c r="AD55" s="38">
        <f>SUM(AD12:AD36)</f>
        <v>0</v>
      </c>
      <c r="AE55" s="38">
        <f>SUM(AE12:AE54)</f>
        <v>169725</v>
      </c>
      <c r="AF55" s="4"/>
      <c r="AG55" s="41">
        <f>SUM(AG12:AG54)</f>
        <v>562.5</v>
      </c>
      <c r="AH55" s="41">
        <f>SUM(AH12:AH36)</f>
        <v>-3996</v>
      </c>
      <c r="AI55" s="42">
        <f>SUM(AI12:AI54)</f>
        <v>166291.5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7"/>
      <c r="AM59" s="87"/>
      <c r="AN59" s="87"/>
      <c r="AO59" s="87"/>
      <c r="AP59" s="87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7"/>
      <c r="AM60" s="87"/>
      <c r="AN60" s="87"/>
      <c r="AO60" s="87"/>
      <c r="AP60" s="87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7"/>
      <c r="AM61" s="87"/>
      <c r="AN61" s="87"/>
      <c r="AO61" s="87"/>
      <c r="AP61" s="87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7"/>
      <c r="AM62" s="87"/>
      <c r="AN62" s="87"/>
      <c r="AO62" s="87"/>
      <c r="AP62" s="87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33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37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31</v>
      </c>
      <c r="AI63" s="24"/>
      <c r="AK63" s="62"/>
      <c r="AL63" s="87"/>
      <c r="AM63" s="87"/>
      <c r="AN63" s="87"/>
      <c r="AO63" s="87"/>
      <c r="AP63" s="87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7"/>
      <c r="AM64" s="87"/>
      <c r="AN64" s="87"/>
      <c r="AO64" s="87"/>
      <c r="AP64" s="87"/>
      <c r="AQ64" s="62"/>
      <c r="AR64" s="84"/>
      <c r="AS64" s="84"/>
      <c r="AT64" s="62"/>
      <c r="AU64" s="62"/>
      <c r="AV64" s="62"/>
      <c r="AW64" s="62"/>
      <c r="AX64" s="62"/>
      <c r="AY64" s="62"/>
      <c r="AZ64" s="62"/>
    </row>
    <row r="65" spans="1:52" x14ac:dyDescent="0.25">
      <c r="B65" s="25"/>
      <c r="C65" s="26"/>
      <c r="D65" s="115" t="s">
        <v>17</v>
      </c>
      <c r="E65" s="115"/>
      <c r="F65" s="95"/>
      <c r="G65" s="27"/>
      <c r="I65" s="118" t="s">
        <v>18</v>
      </c>
      <c r="J65" s="119"/>
      <c r="K65" s="116" t="s">
        <v>19</v>
      </c>
      <c r="N65" s="25"/>
      <c r="O65" s="26"/>
      <c r="P65" s="115" t="s">
        <v>17</v>
      </c>
      <c r="Q65" s="115"/>
      <c r="R65" s="95"/>
      <c r="S65" s="27"/>
      <c r="U65" s="118" t="s">
        <v>18</v>
      </c>
      <c r="V65" s="119"/>
      <c r="W65" s="116" t="s">
        <v>19</v>
      </c>
      <c r="Z65" s="25"/>
      <c r="AA65" s="26"/>
      <c r="AB65" s="115" t="s">
        <v>17</v>
      </c>
      <c r="AC65" s="115"/>
      <c r="AD65" s="95"/>
      <c r="AE65" s="27"/>
      <c r="AG65" s="118" t="s">
        <v>18</v>
      </c>
      <c r="AH65" s="119"/>
      <c r="AI65" s="116" t="s">
        <v>19</v>
      </c>
      <c r="AK65" s="64"/>
      <c r="AL65" s="87"/>
      <c r="AM65" s="87"/>
      <c r="AN65" s="87"/>
      <c r="AO65" s="87"/>
      <c r="AP65" s="87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9" t="s">
        <v>22</v>
      </c>
      <c r="E66" s="78" t="s">
        <v>23</v>
      </c>
      <c r="F66" s="80" t="s">
        <v>32</v>
      </c>
      <c r="G66" s="80" t="s">
        <v>24</v>
      </c>
      <c r="I66" s="29" t="s">
        <v>25</v>
      </c>
      <c r="J66" s="29" t="s">
        <v>26</v>
      </c>
      <c r="K66" s="117"/>
      <c r="N66" s="28" t="s">
        <v>20</v>
      </c>
      <c r="O66" s="28" t="s">
        <v>21</v>
      </c>
      <c r="P66" s="79" t="s">
        <v>22</v>
      </c>
      <c r="Q66" s="80" t="s">
        <v>23</v>
      </c>
      <c r="R66" s="80" t="s">
        <v>32</v>
      </c>
      <c r="S66" s="80" t="s">
        <v>24</v>
      </c>
      <c r="U66" s="29" t="s">
        <v>25</v>
      </c>
      <c r="V66" s="29" t="s">
        <v>26</v>
      </c>
      <c r="W66" s="117"/>
      <c r="Z66" s="28" t="s">
        <v>20</v>
      </c>
      <c r="AA66" s="28" t="s">
        <v>21</v>
      </c>
      <c r="AB66" s="79" t="s">
        <v>22</v>
      </c>
      <c r="AC66" s="80" t="s">
        <v>23</v>
      </c>
      <c r="AD66" s="80" t="s">
        <v>32</v>
      </c>
      <c r="AE66" s="80" t="s">
        <v>24</v>
      </c>
      <c r="AG66" s="29" t="s">
        <v>25</v>
      </c>
      <c r="AH66" s="29" t="s">
        <v>26</v>
      </c>
      <c r="AI66" s="117"/>
      <c r="AK66" s="62"/>
      <c r="AL66" s="87"/>
      <c r="AM66" s="87"/>
      <c r="AN66" s="87"/>
      <c r="AO66" s="87"/>
      <c r="AP66" s="87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45700</v>
      </c>
      <c r="C67" s="91">
        <v>7544</v>
      </c>
      <c r="D67" s="32">
        <f>5634+614+1192+852</f>
        <v>8292</v>
      </c>
      <c r="E67" s="32"/>
      <c r="F67" s="32"/>
      <c r="G67" s="32">
        <f t="shared" ref="G67:G100" si="19">SUM(D67:E67)</f>
        <v>8292</v>
      </c>
      <c r="H67" s="12"/>
      <c r="I67" s="12"/>
      <c r="J67" s="12"/>
      <c r="K67" s="12">
        <f t="shared" ref="K67:K100" si="20">SUM(G67:J67)</f>
        <v>8292</v>
      </c>
      <c r="M67" s="10">
        <v>1</v>
      </c>
      <c r="N67" s="30">
        <v>45700</v>
      </c>
      <c r="O67" s="31">
        <v>7605</v>
      </c>
      <c r="P67" s="32">
        <f>11268+832+1300</f>
        <v>13400</v>
      </c>
      <c r="Q67" s="32"/>
      <c r="R67" s="32"/>
      <c r="S67" s="32">
        <f>SUM(P67:Q67)</f>
        <v>13400</v>
      </c>
      <c r="T67" s="12"/>
      <c r="U67" s="12">
        <f>222+10.5</f>
        <v>232.5</v>
      </c>
      <c r="V67" s="12"/>
      <c r="W67" s="12">
        <f>SUM(S67:V67)</f>
        <v>13632.5</v>
      </c>
      <c r="Y67" s="10">
        <v>1</v>
      </c>
      <c r="Z67" s="30">
        <v>45700</v>
      </c>
      <c r="AA67" s="31">
        <v>7460</v>
      </c>
      <c r="AB67" s="32">
        <f>626*22+1842+229</f>
        <v>15843</v>
      </c>
      <c r="AC67" s="32"/>
      <c r="AD67" s="32"/>
      <c r="AE67" s="32">
        <f>SUM(AB67:AC67)</f>
        <v>15843</v>
      </c>
      <c r="AF67" s="12"/>
      <c r="AG67" s="12">
        <v>777</v>
      </c>
      <c r="AH67" s="12"/>
      <c r="AI67" s="12">
        <f>SUM(AE67:AH67)</f>
        <v>16620</v>
      </c>
      <c r="AK67" s="62"/>
      <c r="AL67" s="65"/>
      <c r="AM67" s="87"/>
      <c r="AN67" s="114"/>
      <c r="AO67" s="114"/>
      <c r="AP67" s="87"/>
      <c r="AQ67" s="62"/>
      <c r="AR67" s="114"/>
      <c r="AS67" s="114"/>
      <c r="AT67" s="113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45700</v>
      </c>
      <c r="C68" s="91">
        <f>C67+1</f>
        <v>7545</v>
      </c>
      <c r="D68" s="32">
        <f>37560+229</f>
        <v>37789</v>
      </c>
      <c r="E68" s="32"/>
      <c r="F68" s="32"/>
      <c r="G68" s="32">
        <f t="shared" si="19"/>
        <v>37789</v>
      </c>
      <c r="H68" s="12"/>
      <c r="I68" s="12"/>
      <c r="J68" s="12"/>
      <c r="K68" s="12">
        <f t="shared" si="20"/>
        <v>37789</v>
      </c>
      <c r="M68" s="10">
        <v>2</v>
      </c>
      <c r="N68" s="30">
        <v>45700</v>
      </c>
      <c r="O68" s="31">
        <f>O67+1</f>
        <v>7606</v>
      </c>
      <c r="P68" s="32">
        <f>19406+614+832+95+650</f>
        <v>21597</v>
      </c>
      <c r="Q68" s="32"/>
      <c r="R68" s="32"/>
      <c r="S68" s="32">
        <f t="shared" ref="S68:S99" si="21">SUM(P68:Q68)</f>
        <v>21597</v>
      </c>
      <c r="T68" s="12"/>
      <c r="U68" s="12">
        <v>18</v>
      </c>
      <c r="V68" s="12"/>
      <c r="W68" s="12">
        <f t="shared" ref="W68:W99" si="22">SUM(S68:V68)</f>
        <v>21615</v>
      </c>
      <c r="Y68" s="10">
        <v>2</v>
      </c>
      <c r="Z68" s="30">
        <v>45700</v>
      </c>
      <c r="AA68" s="31">
        <f>AA67+1</f>
        <v>7461</v>
      </c>
      <c r="AB68" s="32">
        <f>626*93+614*9+674*2</f>
        <v>65092</v>
      </c>
      <c r="AC68" s="32"/>
      <c r="AD68" s="32"/>
      <c r="AE68" s="32">
        <f t="shared" ref="AE68:AE70" si="23">SUM(AB68:AC68)</f>
        <v>65092</v>
      </c>
      <c r="AF68" s="12"/>
      <c r="AG68" s="12"/>
      <c r="AH68" s="12"/>
      <c r="AI68" s="12">
        <f t="shared" ref="AI68:AI99" si="24">SUM(AE68:AH68)</f>
        <v>65092</v>
      </c>
      <c r="AK68" s="62"/>
      <c r="AL68" s="87"/>
      <c r="AM68" s="87"/>
      <c r="AN68" s="87"/>
      <c r="AO68" s="86"/>
      <c r="AP68" s="86"/>
      <c r="AQ68" s="62"/>
      <c r="AR68" s="85"/>
      <c r="AS68" s="85"/>
      <c r="AT68" s="113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45700</v>
      </c>
      <c r="C69" s="91">
        <f t="shared" ref="C69:C83" si="25">C68+1</f>
        <v>7546</v>
      </c>
      <c r="D69" s="33">
        <f>1878+596+38</f>
        <v>2512</v>
      </c>
      <c r="E69" s="33"/>
      <c r="F69" s="33"/>
      <c r="G69" s="33">
        <f t="shared" si="19"/>
        <v>2512</v>
      </c>
      <c r="H69" s="34"/>
      <c r="I69" s="34"/>
      <c r="J69" s="34"/>
      <c r="K69" s="34">
        <f t="shared" si="20"/>
        <v>2512</v>
      </c>
      <c r="M69" s="10">
        <v>3</v>
      </c>
      <c r="N69" s="30">
        <v>45700</v>
      </c>
      <c r="O69" s="31">
        <f t="shared" ref="O69:O70" si="26">O68+1</f>
        <v>7607</v>
      </c>
      <c r="P69" s="32">
        <f>1878+614+9.5*3</f>
        <v>2520.5</v>
      </c>
      <c r="Q69" s="32"/>
      <c r="R69" s="32"/>
      <c r="S69" s="32">
        <f t="shared" si="21"/>
        <v>2520.5</v>
      </c>
      <c r="T69" s="12"/>
      <c r="U69" s="12">
        <v>4.5</v>
      </c>
      <c r="V69" s="12"/>
      <c r="W69" s="12">
        <f t="shared" si="22"/>
        <v>2525</v>
      </c>
      <c r="Y69" s="10">
        <v>3</v>
      </c>
      <c r="Z69" s="30">
        <v>45700</v>
      </c>
      <c r="AA69" s="31">
        <f t="shared" ref="AA69:AA71" si="27">AA68+1</f>
        <v>7462</v>
      </c>
      <c r="AB69" s="33">
        <f>28170+3070+3576+458</f>
        <v>35274</v>
      </c>
      <c r="AC69" s="33">
        <v>-336</v>
      </c>
      <c r="AD69" s="32"/>
      <c r="AE69" s="32">
        <f t="shared" si="23"/>
        <v>34938</v>
      </c>
      <c r="AF69" s="12"/>
      <c r="AG69" s="12"/>
      <c r="AH69" s="12"/>
      <c r="AI69" s="12">
        <f t="shared" si="24"/>
        <v>34938</v>
      </c>
      <c r="AK69" s="62"/>
      <c r="AL69" s="66"/>
      <c r="AM69" s="87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45700</v>
      </c>
      <c r="C70" s="91">
        <f t="shared" si="25"/>
        <v>7547</v>
      </c>
      <c r="D70" s="32">
        <f>2504+38</f>
        <v>2542</v>
      </c>
      <c r="E70" s="32"/>
      <c r="F70" s="32"/>
      <c r="G70" s="32">
        <f t="shared" si="19"/>
        <v>2542</v>
      </c>
      <c r="H70" s="12"/>
      <c r="I70" s="12"/>
      <c r="J70" s="12"/>
      <c r="K70" s="12">
        <f t="shared" si="20"/>
        <v>2542</v>
      </c>
      <c r="M70" s="10">
        <v>4</v>
      </c>
      <c r="N70" s="30">
        <v>45700</v>
      </c>
      <c r="O70" s="31">
        <f t="shared" si="26"/>
        <v>7608</v>
      </c>
      <c r="P70" s="32">
        <f>111428+3070+11920+1832+1300</f>
        <v>129550</v>
      </c>
      <c r="Q70" s="32">
        <v>-1899</v>
      </c>
      <c r="R70" s="32"/>
      <c r="S70" s="32">
        <f t="shared" si="21"/>
        <v>127651</v>
      </c>
      <c r="T70" s="12"/>
      <c r="U70" s="12">
        <f>468</f>
        <v>468</v>
      </c>
      <c r="V70" s="12">
        <f>-111*72+-84*3</f>
        <v>-8244</v>
      </c>
      <c r="W70" s="12">
        <f t="shared" si="22"/>
        <v>119875</v>
      </c>
      <c r="Y70" s="10">
        <v>4</v>
      </c>
      <c r="Z70" s="30">
        <v>45700</v>
      </c>
      <c r="AA70" s="31">
        <f t="shared" si="27"/>
        <v>7463</v>
      </c>
      <c r="AB70" s="32">
        <f>626*30+596*3+852*2+1005*2+832*2+229*2</f>
        <v>26404</v>
      </c>
      <c r="AC70" s="32"/>
      <c r="AD70" s="32"/>
      <c r="AE70" s="32">
        <f t="shared" si="23"/>
        <v>26404</v>
      </c>
      <c r="AF70" s="12"/>
      <c r="AH70" s="12"/>
      <c r="AI70" s="12">
        <f t="shared" si="24"/>
        <v>26404</v>
      </c>
      <c r="AK70" s="62"/>
      <c r="AL70" s="66"/>
      <c r="AM70" s="87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45700</v>
      </c>
      <c r="C71" s="91">
        <f t="shared" si="25"/>
        <v>7548</v>
      </c>
      <c r="D71" s="32">
        <f>18780+2022</f>
        <v>20802</v>
      </c>
      <c r="E71" s="32"/>
      <c r="F71" s="32"/>
      <c r="G71" s="32">
        <f t="shared" si="19"/>
        <v>20802</v>
      </c>
      <c r="H71" s="12"/>
      <c r="I71" s="12"/>
      <c r="J71" s="12"/>
      <c r="K71" s="12">
        <f t="shared" si="20"/>
        <v>20802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45700</v>
      </c>
      <c r="AA71" s="31">
        <f t="shared" si="27"/>
        <v>7464</v>
      </c>
      <c r="AB71" s="32">
        <f>1878+2384</f>
        <v>4262</v>
      </c>
      <c r="AC71" s="32"/>
      <c r="AD71" s="32"/>
      <c r="AE71" s="32">
        <f t="shared" ref="AE71:AE76" si="28">SUM(AB71:AC71)</f>
        <v>4262</v>
      </c>
      <c r="AF71" s="12"/>
      <c r="AG71" s="12"/>
      <c r="AH71" s="12">
        <f>-111*13</f>
        <v>-1443</v>
      </c>
      <c r="AI71" s="12">
        <f t="shared" si="24"/>
        <v>2819</v>
      </c>
      <c r="AK71" s="62"/>
      <c r="AL71" s="66"/>
      <c r="AM71" s="87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45700</v>
      </c>
      <c r="C72" s="91">
        <f t="shared" si="25"/>
        <v>7549</v>
      </c>
      <c r="D72" s="32">
        <f>4382+2384+104.5</f>
        <v>6870.5</v>
      </c>
      <c r="E72" s="32"/>
      <c r="F72" s="32"/>
      <c r="G72" s="32">
        <f t="shared" si="19"/>
        <v>6870.5</v>
      </c>
      <c r="H72" s="12"/>
      <c r="I72" s="12">
        <v>108</v>
      </c>
      <c r="J72" s="12"/>
      <c r="K72" s="12">
        <f t="shared" si="20"/>
        <v>6978.5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7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45700</v>
      </c>
      <c r="C73" s="91">
        <f t="shared" si="25"/>
        <v>7550</v>
      </c>
      <c r="D73" s="32">
        <f>3130+47.5</f>
        <v>3177.5</v>
      </c>
      <c r="E73" s="32"/>
      <c r="F73" s="32"/>
      <c r="G73" s="32">
        <f t="shared" si="19"/>
        <v>3177.5</v>
      </c>
      <c r="H73" s="12"/>
      <c r="I73" s="12"/>
      <c r="J73" s="12"/>
      <c r="K73" s="12">
        <f t="shared" si="20"/>
        <v>3177.5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7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45700</v>
      </c>
      <c r="C74" s="91">
        <v>7651</v>
      </c>
      <c r="D74" s="32">
        <f>8138+674+1102+650</f>
        <v>10564</v>
      </c>
      <c r="E74" s="32"/>
      <c r="F74" s="32"/>
      <c r="G74" s="32">
        <f t="shared" si="19"/>
        <v>10564</v>
      </c>
      <c r="H74" s="12"/>
      <c r="I74" s="12">
        <v>27</v>
      </c>
      <c r="J74" s="12"/>
      <c r="K74" s="12">
        <f t="shared" si="20"/>
        <v>10591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7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45700</v>
      </c>
      <c r="C75" s="91">
        <f t="shared" si="25"/>
        <v>7652</v>
      </c>
      <c r="D75" s="32">
        <f>1252+19</f>
        <v>1271</v>
      </c>
      <c r="E75" s="32"/>
      <c r="F75" s="32"/>
      <c r="G75" s="32">
        <f t="shared" si="19"/>
        <v>1271</v>
      </c>
      <c r="H75" s="12"/>
      <c r="I75" s="12"/>
      <c r="J75" s="12"/>
      <c r="K75" s="12">
        <f t="shared" si="20"/>
        <v>1271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7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45700</v>
      </c>
      <c r="C76" s="91">
        <f t="shared" si="25"/>
        <v>7653</v>
      </c>
      <c r="D76" s="32">
        <f>28796+7152+832+500</f>
        <v>37280</v>
      </c>
      <c r="E76" s="32"/>
      <c r="F76" s="32"/>
      <c r="G76" s="32">
        <f t="shared" si="19"/>
        <v>37280</v>
      </c>
      <c r="H76" s="12"/>
      <c r="I76" s="12">
        <v>27</v>
      </c>
      <c r="J76" s="12"/>
      <c r="K76" s="12">
        <f t="shared" si="20"/>
        <v>37307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45700</v>
      </c>
      <c r="C77" s="91">
        <f t="shared" si="25"/>
        <v>7654</v>
      </c>
      <c r="D77" s="32">
        <f>6260+95</f>
        <v>6355</v>
      </c>
      <c r="E77" s="32"/>
      <c r="F77" s="32"/>
      <c r="G77" s="32">
        <f t="shared" si="19"/>
        <v>6355</v>
      </c>
      <c r="H77" s="12"/>
      <c r="I77" s="12"/>
      <c r="J77" s="12"/>
      <c r="K77" s="12">
        <f t="shared" si="20"/>
        <v>6355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7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45700</v>
      </c>
      <c r="C78" s="91">
        <f t="shared" si="25"/>
        <v>7655</v>
      </c>
      <c r="D78" s="32">
        <f>4382+596+76</f>
        <v>5054</v>
      </c>
      <c r="E78" s="32"/>
      <c r="F78" s="32"/>
      <c r="G78" s="32">
        <f t="shared" si="19"/>
        <v>5054</v>
      </c>
      <c r="H78" s="12"/>
      <c r="I78" s="12"/>
      <c r="J78" s="10"/>
      <c r="K78" s="12">
        <f t="shared" si="20"/>
        <v>5054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7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45700</v>
      </c>
      <c r="C79" s="91">
        <f t="shared" si="25"/>
        <v>7656</v>
      </c>
      <c r="D79" s="32">
        <f>9390+1348</f>
        <v>10738</v>
      </c>
      <c r="E79" s="32"/>
      <c r="F79" s="32"/>
      <c r="G79" s="32">
        <f t="shared" si="19"/>
        <v>10738</v>
      </c>
      <c r="H79" s="12"/>
      <c r="I79" s="12"/>
      <c r="J79" s="12"/>
      <c r="K79" s="12">
        <f t="shared" si="20"/>
        <v>10738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7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>
        <v>45700</v>
      </c>
      <c r="C80" s="91">
        <f t="shared" si="25"/>
        <v>7657</v>
      </c>
      <c r="D80" s="32">
        <f>12520+190</f>
        <v>12710</v>
      </c>
      <c r="E80" s="32"/>
      <c r="F80" s="32"/>
      <c r="G80" s="32">
        <f t="shared" si="19"/>
        <v>12710</v>
      </c>
      <c r="H80" s="12"/>
      <c r="I80" s="12"/>
      <c r="J80" s="12"/>
      <c r="K80" s="12">
        <f t="shared" si="20"/>
        <v>12710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7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>
        <v>45700</v>
      </c>
      <c r="C81" s="91">
        <f t="shared" si="25"/>
        <v>7658</v>
      </c>
      <c r="D81" s="32">
        <f>10016+152+650</f>
        <v>10818</v>
      </c>
      <c r="E81" s="32"/>
      <c r="F81" s="32"/>
      <c r="G81" s="32">
        <f t="shared" si="19"/>
        <v>10818</v>
      </c>
      <c r="H81" s="12"/>
      <c r="I81" s="12"/>
      <c r="J81" s="12"/>
      <c r="K81" s="12">
        <f t="shared" si="20"/>
        <v>10818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7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>
        <v>45700</v>
      </c>
      <c r="C82" s="91">
        <f t="shared" si="25"/>
        <v>7659</v>
      </c>
      <c r="D82" s="32">
        <f>2504+650</f>
        <v>3154</v>
      </c>
      <c r="E82" s="32"/>
      <c r="F82" s="32"/>
      <c r="G82" s="32">
        <f t="shared" si="19"/>
        <v>3154</v>
      </c>
      <c r="H82" s="12"/>
      <c r="I82" s="12"/>
      <c r="J82" s="12"/>
      <c r="K82" s="12">
        <f t="shared" si="20"/>
        <v>3154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7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>
        <v>45700</v>
      </c>
      <c r="C83" s="91">
        <f t="shared" si="25"/>
        <v>7660</v>
      </c>
      <c r="D83" s="32">
        <f>3756+1228+57</f>
        <v>5041</v>
      </c>
      <c r="E83" s="32"/>
      <c r="F83" s="32"/>
      <c r="G83" s="32">
        <f t="shared" si="19"/>
        <v>5041</v>
      </c>
      <c r="H83" s="12"/>
      <c r="I83" s="12"/>
      <c r="J83" s="12"/>
      <c r="K83" s="12">
        <f t="shared" si="20"/>
        <v>5041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7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11" t="s">
        <v>27</v>
      </c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7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91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7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91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7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91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7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91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7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57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7"/>
      <c r="AN89" s="67"/>
      <c r="AO89" s="87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31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1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7"/>
      <c r="AN90" s="68"/>
      <c r="AO90" s="87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31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1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11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7"/>
      <c r="AN92" s="69"/>
      <c r="AO92" s="87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57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7"/>
      <c r="AN93" s="69"/>
      <c r="AO93" s="87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31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7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31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7"/>
      <c r="AN95" s="69"/>
      <c r="AO95" s="87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57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7"/>
      <c r="AN96" s="69"/>
      <c r="AO96" s="87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57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7"/>
      <c r="AN97" s="69"/>
      <c r="AO97" s="87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31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7"/>
      <c r="AN98" s="69"/>
      <c r="AO98" s="87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57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7"/>
      <c r="AN99" s="69"/>
      <c r="AO99" s="87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57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7"/>
      <c r="AN100" s="69"/>
      <c r="AO100" s="87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31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7"/>
      <c r="AN101" s="69"/>
      <c r="AO101" s="87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31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7"/>
      <c r="AN102" s="69"/>
      <c r="AO102" s="87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7"/>
      <c r="AN103" s="69"/>
      <c r="AO103" s="87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7"/>
      <c r="AN104" s="69"/>
      <c r="AO104" s="87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7"/>
      <c r="AN105" s="69"/>
      <c r="AO105" s="87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7"/>
      <c r="AN106" s="69"/>
      <c r="AO106" s="87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7"/>
      <c r="AN107" s="69"/>
      <c r="AO107" s="87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7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7"/>
      <c r="AN109" s="69"/>
      <c r="AO109" s="87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184970</v>
      </c>
      <c r="E110" s="38">
        <f t="shared" ref="E110:F110" si="38">SUM(E67:E107)</f>
        <v>0</v>
      </c>
      <c r="F110" s="38">
        <f t="shared" si="38"/>
        <v>0</v>
      </c>
      <c r="G110" s="38">
        <f>SUM(G67:G109)</f>
        <v>184970</v>
      </c>
      <c r="H110" s="4"/>
      <c r="I110" s="39">
        <f>SUM(I67:I109)</f>
        <v>162</v>
      </c>
      <c r="J110" s="39">
        <f>SUM(J67:J109)</f>
        <v>0</v>
      </c>
      <c r="K110" s="40">
        <f>SUM(K67:K109)</f>
        <v>185132</v>
      </c>
      <c r="N110" s="57"/>
      <c r="O110" s="57"/>
      <c r="P110" s="38">
        <f>SUM(P67:P109)</f>
        <v>167067.5</v>
      </c>
      <c r="Q110" s="38">
        <f>SUM(Q67:Q91)</f>
        <v>-1899</v>
      </c>
      <c r="R110" s="38">
        <f>SUM(R67:R91)</f>
        <v>0</v>
      </c>
      <c r="S110" s="38">
        <f>SUM(S67:S109)</f>
        <v>165168.5</v>
      </c>
      <c r="T110" s="4"/>
      <c r="U110" s="41">
        <f>SUM(U67:U109)</f>
        <v>723</v>
      </c>
      <c r="V110" s="41">
        <f>SUM(V67:V91)</f>
        <v>-8244</v>
      </c>
      <c r="W110" s="42">
        <f>SUM(W67:W109)</f>
        <v>157647.5</v>
      </c>
      <c r="Z110" s="57"/>
      <c r="AA110" s="57"/>
      <c r="AB110" s="38">
        <f>SUM(AB67:AB109)</f>
        <v>146875</v>
      </c>
      <c r="AC110" s="38">
        <f>SUM(AC67:AC91)</f>
        <v>-336</v>
      </c>
      <c r="AD110" s="38">
        <f>SUM(AD67:AD91)</f>
        <v>0</v>
      </c>
      <c r="AE110" s="38">
        <f>SUM(AE67:AE109)</f>
        <v>146539</v>
      </c>
      <c r="AF110" s="4"/>
      <c r="AG110" s="41">
        <f>SUM(AG67:AG109)</f>
        <v>777</v>
      </c>
      <c r="AH110" s="41">
        <f>SUM(AH67:AH91)</f>
        <v>-1443</v>
      </c>
      <c r="AI110" s="42">
        <f>SUM(AI67:AI109)</f>
        <v>145873</v>
      </c>
      <c r="AK110" s="62"/>
      <c r="AL110" s="87"/>
      <c r="AM110" s="87"/>
      <c r="AN110" s="87"/>
      <c r="AO110" s="87"/>
      <c r="AP110" s="87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7"/>
      <c r="AM111" s="87"/>
      <c r="AN111" s="87"/>
      <c r="AO111" s="87"/>
      <c r="AP111" s="87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7"/>
      <c r="AM112" s="87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7"/>
      <c r="AM113" s="87"/>
      <c r="AN113" s="72"/>
      <c r="AO113" s="87"/>
      <c r="AP113" s="87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7"/>
      <c r="AM114" s="87"/>
      <c r="AN114" s="87"/>
      <c r="AO114" s="87"/>
      <c r="AP114" s="87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33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37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31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5" t="s">
        <v>17</v>
      </c>
      <c r="E120" s="115"/>
      <c r="F120" s="96"/>
      <c r="G120" s="27"/>
      <c r="I120" s="118" t="s">
        <v>18</v>
      </c>
      <c r="J120" s="119"/>
      <c r="K120" s="116" t="s">
        <v>19</v>
      </c>
      <c r="N120" s="25"/>
      <c r="O120" s="26"/>
      <c r="P120" s="115" t="s">
        <v>17</v>
      </c>
      <c r="Q120" s="115"/>
      <c r="R120" s="96"/>
      <c r="S120" s="27"/>
      <c r="U120" s="118" t="s">
        <v>18</v>
      </c>
      <c r="V120" s="119"/>
      <c r="W120" s="116" t="s">
        <v>19</v>
      </c>
      <c r="Z120" s="25"/>
      <c r="AA120" s="26"/>
      <c r="AB120" s="115" t="s">
        <v>17</v>
      </c>
      <c r="AC120" s="115"/>
      <c r="AD120" s="96"/>
      <c r="AE120" s="27"/>
      <c r="AG120" s="118" t="s">
        <v>18</v>
      </c>
      <c r="AH120" s="119"/>
      <c r="AI120" s="116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9" t="s">
        <v>22</v>
      </c>
      <c r="E121" s="78" t="s">
        <v>23</v>
      </c>
      <c r="F121" s="80" t="s">
        <v>32</v>
      </c>
      <c r="G121" s="80" t="s">
        <v>24</v>
      </c>
      <c r="I121" s="29" t="s">
        <v>25</v>
      </c>
      <c r="J121" s="29" t="s">
        <v>26</v>
      </c>
      <c r="K121" s="117"/>
      <c r="N121" s="28" t="s">
        <v>20</v>
      </c>
      <c r="O121" s="28" t="s">
        <v>21</v>
      </c>
      <c r="P121" s="79" t="s">
        <v>22</v>
      </c>
      <c r="Q121" s="80" t="s">
        <v>23</v>
      </c>
      <c r="R121" s="80" t="s">
        <v>32</v>
      </c>
      <c r="S121" s="80" t="s">
        <v>24</v>
      </c>
      <c r="U121" s="29" t="s">
        <v>25</v>
      </c>
      <c r="V121" s="29" t="s">
        <v>26</v>
      </c>
      <c r="W121" s="117"/>
      <c r="Z121" s="28" t="s">
        <v>20</v>
      </c>
      <c r="AA121" s="28" t="s">
        <v>21</v>
      </c>
      <c r="AB121" s="79" t="s">
        <v>22</v>
      </c>
      <c r="AC121" s="80" t="s">
        <v>23</v>
      </c>
      <c r="AD121" s="80" t="s">
        <v>32</v>
      </c>
      <c r="AE121" s="80" t="s">
        <v>24</v>
      </c>
      <c r="AG121" s="29" t="s">
        <v>25</v>
      </c>
      <c r="AH121" s="29" t="s">
        <v>26</v>
      </c>
      <c r="AI121" s="117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45728</v>
      </c>
      <c r="C122" s="91">
        <v>7661</v>
      </c>
      <c r="D122" s="32">
        <f>6260+95</f>
        <v>6355</v>
      </c>
      <c r="E122" s="32"/>
      <c r="F122" s="32"/>
      <c r="G122" s="32">
        <f t="shared" ref="G122:G155" si="39">SUM(D122:E122)</f>
        <v>6355</v>
      </c>
      <c r="H122" s="12"/>
      <c r="I122" s="12"/>
      <c r="J122" s="12"/>
      <c r="K122" s="12">
        <f t="shared" ref="K122:K155" si="40">SUM(G122:J122)</f>
        <v>6355</v>
      </c>
      <c r="M122" s="10">
        <v>1</v>
      </c>
      <c r="N122" s="30">
        <v>45728</v>
      </c>
      <c r="O122" s="31">
        <v>7609</v>
      </c>
      <c r="P122" s="32">
        <f>626*3+596+66.5</f>
        <v>2540.5</v>
      </c>
      <c r="Q122" s="32"/>
      <c r="R122" s="32"/>
      <c r="S122" s="32">
        <f>SUM(P122:Q122)</f>
        <v>2540.5</v>
      </c>
      <c r="T122" s="12"/>
      <c r="U122" s="12"/>
      <c r="V122" s="12">
        <v>-555</v>
      </c>
      <c r="W122" s="12">
        <f>SUM(S122:V122)</f>
        <v>1985.5</v>
      </c>
      <c r="Y122" s="10">
        <v>1</v>
      </c>
      <c r="Z122" s="30">
        <v>45728</v>
      </c>
      <c r="AA122" s="31">
        <v>7465</v>
      </c>
      <c r="AB122" s="32">
        <f>202824+6140+59004+1664</f>
        <v>269632</v>
      </c>
      <c r="AC122" s="32">
        <v>-2610</v>
      </c>
      <c r="AD122" s="32"/>
      <c r="AE122" s="32">
        <f>SUM(AB122:AC122)</f>
        <v>267022</v>
      </c>
      <c r="AF122" s="12"/>
      <c r="AG122" s="12">
        <v>16872</v>
      </c>
      <c r="AH122" s="12"/>
      <c r="AI122" s="12">
        <f>SUM(AE122:AH122)</f>
        <v>283894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45728</v>
      </c>
      <c r="C123" s="91">
        <f>C122+1</f>
        <v>7662</v>
      </c>
      <c r="D123" s="32">
        <f>18780+614</f>
        <v>19394</v>
      </c>
      <c r="E123" s="32"/>
      <c r="F123" s="32"/>
      <c r="G123" s="32">
        <f t="shared" si="39"/>
        <v>19394</v>
      </c>
      <c r="H123" s="12"/>
      <c r="I123" s="12"/>
      <c r="J123" s="12"/>
      <c r="K123" s="12">
        <f t="shared" si="40"/>
        <v>19394</v>
      </c>
      <c r="M123" s="10">
        <v>2</v>
      </c>
      <c r="N123" s="30">
        <v>45728</v>
      </c>
      <c r="O123" s="31">
        <f>O122+1</f>
        <v>7610</v>
      </c>
      <c r="P123" s="32">
        <f>202824+2977</f>
        <v>205801</v>
      </c>
      <c r="Q123" s="32">
        <v>-3033</v>
      </c>
      <c r="R123" s="32"/>
      <c r="S123" s="32">
        <f t="shared" ref="S123:S154" si="41">SUM(P123:Q123)</f>
        <v>202768</v>
      </c>
      <c r="T123" s="12"/>
      <c r="U123" s="12">
        <v>546</v>
      </c>
      <c r="V123" s="12">
        <f>-588</f>
        <v>-588</v>
      </c>
      <c r="W123" s="12">
        <f t="shared" ref="W123:W154" si="42">SUM(S123:V123)</f>
        <v>202726</v>
      </c>
      <c r="Y123" s="10">
        <v>2</v>
      </c>
      <c r="Z123" s="30">
        <v>45728</v>
      </c>
      <c r="AA123" s="31">
        <f>AA122+1</f>
        <v>7466</v>
      </c>
      <c r="AB123" s="32">
        <f>31300+3070+458</f>
        <v>34828</v>
      </c>
      <c r="AC123" s="32">
        <v>-330</v>
      </c>
      <c r="AD123" s="32"/>
      <c r="AE123" s="32">
        <f t="shared" ref="AE123:AE125" si="43">SUM(AB123:AC123)</f>
        <v>34498</v>
      </c>
      <c r="AF123" s="12"/>
      <c r="AG123" s="12"/>
      <c r="AH123" s="12"/>
      <c r="AI123" s="12">
        <f t="shared" ref="AI123:AI154" si="44">SUM(AE123:AH123)</f>
        <v>34498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45728</v>
      </c>
      <c r="C124" s="91">
        <f t="shared" ref="C124:C137" si="45">C123+1</f>
        <v>7663</v>
      </c>
      <c r="D124" s="33">
        <f>8138+123.5+1950</f>
        <v>10211.5</v>
      </c>
      <c r="E124" s="33"/>
      <c r="F124" s="33"/>
      <c r="G124" s="33">
        <f t="shared" si="39"/>
        <v>10211.5</v>
      </c>
      <c r="H124" s="34"/>
      <c r="I124" s="34">
        <f>27+10.5</f>
        <v>37.5</v>
      </c>
      <c r="J124" s="34"/>
      <c r="K124" s="34">
        <f t="shared" si="40"/>
        <v>10249</v>
      </c>
      <c r="M124" s="10">
        <v>3</v>
      </c>
      <c r="N124" s="30">
        <v>45728</v>
      </c>
      <c r="O124" s="31">
        <f t="shared" ref="O124:O129" si="46">O123+1</f>
        <v>7611</v>
      </c>
      <c r="P124" s="32">
        <f>1252+614+19</f>
        <v>1885</v>
      </c>
      <c r="Q124" s="32"/>
      <c r="R124" s="32"/>
      <c r="S124" s="32">
        <f t="shared" si="41"/>
        <v>1885</v>
      </c>
      <c r="T124" s="12"/>
      <c r="U124" s="12"/>
      <c r="V124" s="12"/>
      <c r="W124" s="12">
        <f t="shared" si="42"/>
        <v>1885</v>
      </c>
      <c r="Y124" s="10">
        <v>3</v>
      </c>
      <c r="Z124" s="30">
        <v>45728</v>
      </c>
      <c r="AA124" s="31">
        <f t="shared" ref="AA124:AA126" si="47">AA123+1</f>
        <v>7467</v>
      </c>
      <c r="AB124" s="33">
        <f>18780+229</f>
        <v>19009</v>
      </c>
      <c r="AC124" s="33"/>
      <c r="AD124" s="32"/>
      <c r="AE124" s="32">
        <f t="shared" si="43"/>
        <v>19009</v>
      </c>
      <c r="AF124" s="12"/>
      <c r="AG124" s="12"/>
      <c r="AH124" s="12"/>
      <c r="AI124" s="12">
        <f t="shared" si="44"/>
        <v>19009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45728</v>
      </c>
      <c r="C125" s="91">
        <f t="shared" si="45"/>
        <v>7664</v>
      </c>
      <c r="D125" s="32">
        <f>626+9.5</f>
        <v>635.5</v>
      </c>
      <c r="E125" s="32"/>
      <c r="F125" s="32"/>
      <c r="G125" s="32">
        <f t="shared" si="39"/>
        <v>635.5</v>
      </c>
      <c r="H125" s="12"/>
      <c r="I125" s="12"/>
      <c r="J125" s="12"/>
      <c r="K125" s="12">
        <f t="shared" si="40"/>
        <v>635.5</v>
      </c>
      <c r="M125" s="10">
        <v>4</v>
      </c>
      <c r="N125" s="30">
        <v>45728</v>
      </c>
      <c r="O125" s="31">
        <f t="shared" si="46"/>
        <v>7612</v>
      </c>
      <c r="P125" s="32">
        <f>1252+614+19</f>
        <v>1885</v>
      </c>
      <c r="Q125" s="32"/>
      <c r="R125" s="32"/>
      <c r="S125" s="32">
        <f t="shared" si="41"/>
        <v>1885</v>
      </c>
      <c r="T125" s="12"/>
      <c r="U125" s="12"/>
      <c r="V125" s="12"/>
      <c r="W125" s="12">
        <f t="shared" si="42"/>
        <v>1885</v>
      </c>
      <c r="Y125" s="10">
        <v>4</v>
      </c>
      <c r="Z125" s="30">
        <v>45728</v>
      </c>
      <c r="AA125" s="31">
        <f t="shared" si="47"/>
        <v>7468</v>
      </c>
      <c r="AB125" s="32">
        <f>626*108+596*30+1145</f>
        <v>86633</v>
      </c>
      <c r="AC125" s="32"/>
      <c r="AD125" s="32"/>
      <c r="AE125" s="32">
        <f t="shared" si="43"/>
        <v>86633</v>
      </c>
      <c r="AF125" s="12"/>
      <c r="AG125">
        <f>15318+390</f>
        <v>15708</v>
      </c>
      <c r="AH125" s="12"/>
      <c r="AI125" s="12">
        <f t="shared" si="44"/>
        <v>102341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45728</v>
      </c>
      <c r="C126" s="91">
        <f t="shared" si="45"/>
        <v>7665</v>
      </c>
      <c r="D126" s="32">
        <f>6260+614+674+596</f>
        <v>8144</v>
      </c>
      <c r="E126" s="32"/>
      <c r="F126" s="32"/>
      <c r="G126" s="32">
        <f t="shared" si="39"/>
        <v>8144</v>
      </c>
      <c r="H126" s="12"/>
      <c r="I126" s="12"/>
      <c r="J126" s="12"/>
      <c r="K126" s="12">
        <f t="shared" si="40"/>
        <v>8144</v>
      </c>
      <c r="M126" s="10">
        <v>5</v>
      </c>
      <c r="N126" s="30">
        <v>45728</v>
      </c>
      <c r="O126" s="31">
        <f t="shared" si="46"/>
        <v>7613</v>
      </c>
      <c r="P126" s="32">
        <f>674+596+9.5</f>
        <v>1279.5</v>
      </c>
      <c r="Q126" s="32"/>
      <c r="R126" s="32"/>
      <c r="S126" s="32">
        <f t="shared" si="41"/>
        <v>1279.5</v>
      </c>
      <c r="T126" s="12"/>
      <c r="U126" s="12"/>
      <c r="V126" s="12"/>
      <c r="W126" s="12">
        <f t="shared" si="42"/>
        <v>1279.5</v>
      </c>
      <c r="Y126" s="10">
        <v>5</v>
      </c>
      <c r="Z126" s="30">
        <v>45728</v>
      </c>
      <c r="AA126" s="31">
        <f t="shared" si="47"/>
        <v>7469</v>
      </c>
      <c r="AB126" s="32">
        <f>15024+3370</f>
        <v>18394</v>
      </c>
      <c r="AC126" s="32"/>
      <c r="AD126" s="32"/>
      <c r="AE126" s="32">
        <f t="shared" ref="AE126:AE131" si="48">SUM(AB126:AC126)</f>
        <v>18394</v>
      </c>
      <c r="AF126" s="12"/>
      <c r="AG126" s="12"/>
      <c r="AH126" s="12">
        <v>-5550</v>
      </c>
      <c r="AI126" s="12">
        <f t="shared" si="44"/>
        <v>12844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45728</v>
      </c>
      <c r="C127" s="91">
        <f t="shared" si="45"/>
        <v>7666</v>
      </c>
      <c r="D127" s="32">
        <f>9390+2384+180.5</f>
        <v>11954.5</v>
      </c>
      <c r="E127" s="32"/>
      <c r="F127" s="32"/>
      <c r="G127" s="32">
        <f t="shared" si="39"/>
        <v>11954.5</v>
      </c>
      <c r="H127" s="12"/>
      <c r="I127" s="12"/>
      <c r="J127" s="12"/>
      <c r="K127" s="12">
        <f t="shared" si="40"/>
        <v>11954.5</v>
      </c>
      <c r="M127" s="10">
        <v>6</v>
      </c>
      <c r="N127" s="30">
        <v>45728</v>
      </c>
      <c r="O127" s="31">
        <f t="shared" si="46"/>
        <v>7614</v>
      </c>
      <c r="P127" s="32">
        <f>4382+1788+95</f>
        <v>6265</v>
      </c>
      <c r="Q127" s="32"/>
      <c r="R127" s="32"/>
      <c r="S127" s="32">
        <f t="shared" si="41"/>
        <v>6265</v>
      </c>
      <c r="T127" s="12"/>
      <c r="U127" s="12"/>
      <c r="V127" s="10"/>
      <c r="W127" s="12">
        <f t="shared" si="42"/>
        <v>6265</v>
      </c>
      <c r="Y127" s="10">
        <v>6</v>
      </c>
      <c r="Z127" s="30"/>
      <c r="AA127" s="11" t="s">
        <v>27</v>
      </c>
      <c r="AB127" s="32"/>
      <c r="AC127" s="32"/>
      <c r="AD127" s="32"/>
      <c r="AE127" s="32">
        <f t="shared" si="48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45728</v>
      </c>
      <c r="C128" s="91">
        <f t="shared" si="45"/>
        <v>7667</v>
      </c>
      <c r="D128" s="32">
        <f>1252+19</f>
        <v>1271</v>
      </c>
      <c r="E128" s="32"/>
      <c r="F128" s="32"/>
      <c r="G128" s="32">
        <f t="shared" si="39"/>
        <v>1271</v>
      </c>
      <c r="H128" s="12"/>
      <c r="I128" s="12"/>
      <c r="J128" s="12"/>
      <c r="K128" s="12">
        <f t="shared" si="40"/>
        <v>1271</v>
      </c>
      <c r="M128" s="10">
        <v>7</v>
      </c>
      <c r="N128" s="30">
        <v>45728</v>
      </c>
      <c r="O128" s="31">
        <f t="shared" si="46"/>
        <v>7615</v>
      </c>
      <c r="P128" s="32">
        <f>2504+38</f>
        <v>2542</v>
      </c>
      <c r="Q128" s="32"/>
      <c r="R128" s="32"/>
      <c r="S128" s="32">
        <f t="shared" si="41"/>
        <v>2542</v>
      </c>
      <c r="T128" s="12"/>
      <c r="U128" s="12">
        <v>333</v>
      </c>
      <c r="V128" s="12"/>
      <c r="W128" s="12">
        <f t="shared" si="42"/>
        <v>2875</v>
      </c>
      <c r="Y128" s="10">
        <v>7</v>
      </c>
      <c r="Z128" s="30"/>
      <c r="AA128" s="31"/>
      <c r="AB128" s="32"/>
      <c r="AC128" s="32"/>
      <c r="AD128" s="32"/>
      <c r="AE128" s="32">
        <f t="shared" si="48"/>
        <v>0</v>
      </c>
      <c r="AF128" s="12"/>
      <c r="AG128" s="58"/>
      <c r="AH128" s="12"/>
      <c r="AI128" s="12">
        <f t="shared" si="44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>
        <v>45728</v>
      </c>
      <c r="C129" s="91">
        <f t="shared" si="45"/>
        <v>7668</v>
      </c>
      <c r="D129" s="32">
        <f>10016+152</f>
        <v>10168</v>
      </c>
      <c r="E129" s="32"/>
      <c r="F129" s="32"/>
      <c r="G129" s="32">
        <f t="shared" si="39"/>
        <v>10168</v>
      </c>
      <c r="H129" s="12"/>
      <c r="I129" s="12"/>
      <c r="J129" s="12"/>
      <c r="K129" s="12">
        <f t="shared" si="40"/>
        <v>10168</v>
      </c>
      <c r="M129" s="10">
        <v>8</v>
      </c>
      <c r="N129" s="30">
        <v>45728</v>
      </c>
      <c r="O129" s="31">
        <f t="shared" si="46"/>
        <v>7616</v>
      </c>
      <c r="P129" s="32">
        <f>626+9.5</f>
        <v>635.5</v>
      </c>
      <c r="Q129" s="32"/>
      <c r="R129" s="32"/>
      <c r="S129" s="32">
        <f t="shared" si="41"/>
        <v>635.5</v>
      </c>
      <c r="T129" s="12"/>
      <c r="U129" s="12"/>
      <c r="V129" s="12"/>
      <c r="W129" s="12">
        <f t="shared" si="42"/>
        <v>635.5</v>
      </c>
      <c r="Y129" s="10">
        <v>8</v>
      </c>
      <c r="Z129" s="30"/>
      <c r="AA129" s="31"/>
      <c r="AB129" s="32"/>
      <c r="AC129" s="32"/>
      <c r="AE129" s="32">
        <f t="shared" si="48"/>
        <v>0</v>
      </c>
      <c r="AF129" s="12"/>
      <c r="AG129" s="12"/>
      <c r="AH129" s="12"/>
      <c r="AI129" s="12">
        <f t="shared" si="44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>
        <v>45728</v>
      </c>
      <c r="C130" s="91">
        <f t="shared" si="45"/>
        <v>7669</v>
      </c>
      <c r="D130" s="32">
        <f>3756+57</f>
        <v>3813</v>
      </c>
      <c r="E130" s="32"/>
      <c r="F130" s="32"/>
      <c r="G130" s="32">
        <f t="shared" si="39"/>
        <v>3813</v>
      </c>
      <c r="H130" s="12"/>
      <c r="I130" s="12"/>
      <c r="J130" s="12"/>
      <c r="K130" s="12">
        <f t="shared" si="40"/>
        <v>3813</v>
      </c>
      <c r="M130" s="10">
        <v>9</v>
      </c>
      <c r="N130" s="30"/>
      <c r="O130" s="11" t="s">
        <v>27</v>
      </c>
      <c r="P130" s="32"/>
      <c r="Q130" s="32"/>
      <c r="R130" s="32"/>
      <c r="S130" s="32">
        <f t="shared" si="41"/>
        <v>0</v>
      </c>
      <c r="T130" s="12"/>
      <c r="U130" s="12"/>
      <c r="V130" s="12"/>
      <c r="W130" s="12">
        <f t="shared" si="42"/>
        <v>0</v>
      </c>
      <c r="Y130" s="10">
        <v>9</v>
      </c>
      <c r="Z130" s="30"/>
      <c r="AA130" s="31"/>
      <c r="AC130" s="32"/>
      <c r="AD130" s="32"/>
      <c r="AE130" s="32">
        <f t="shared" si="48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>
        <v>45728</v>
      </c>
      <c r="C131" s="91">
        <f t="shared" si="45"/>
        <v>7670</v>
      </c>
      <c r="D131" s="32">
        <f>9390+614+142.5</f>
        <v>10146.5</v>
      </c>
      <c r="E131" s="32"/>
      <c r="F131" s="32"/>
      <c r="G131" s="32">
        <f t="shared" si="39"/>
        <v>10146.5</v>
      </c>
      <c r="H131" s="12"/>
      <c r="I131" s="12">
        <v>999</v>
      </c>
      <c r="J131" s="12"/>
      <c r="K131" s="12">
        <f t="shared" si="40"/>
        <v>11145.5</v>
      </c>
      <c r="M131" s="10">
        <v>10</v>
      </c>
      <c r="N131" s="30"/>
      <c r="O131" s="31"/>
      <c r="P131" s="32"/>
      <c r="Q131" s="32"/>
      <c r="R131" s="32"/>
      <c r="S131" s="32">
        <f t="shared" si="41"/>
        <v>0</v>
      </c>
      <c r="T131" s="12"/>
      <c r="U131" s="12"/>
      <c r="V131" s="12"/>
      <c r="W131" s="12">
        <f t="shared" si="42"/>
        <v>0</v>
      </c>
      <c r="Y131" s="10">
        <v>10</v>
      </c>
      <c r="Z131" s="30"/>
      <c r="AA131" s="31"/>
      <c r="AB131" s="32"/>
      <c r="AC131" s="32"/>
      <c r="AD131" s="32"/>
      <c r="AE131" s="32">
        <f t="shared" si="48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>
        <v>45728</v>
      </c>
      <c r="C132" s="91">
        <f t="shared" si="45"/>
        <v>7671</v>
      </c>
      <c r="D132" s="32">
        <f>1252+596+28.5</f>
        <v>1876.5</v>
      </c>
      <c r="E132" s="32"/>
      <c r="F132" s="32"/>
      <c r="G132" s="32">
        <f t="shared" si="39"/>
        <v>1876.5</v>
      </c>
      <c r="H132" s="12"/>
      <c r="I132" s="12"/>
      <c r="J132" s="12"/>
      <c r="K132" s="12">
        <f t="shared" si="40"/>
        <v>1876.5</v>
      </c>
      <c r="M132" s="10">
        <v>11</v>
      </c>
      <c r="N132" s="30"/>
      <c r="O132" s="31"/>
      <c r="P132" s="32"/>
      <c r="Q132" s="32"/>
      <c r="R132" s="32"/>
      <c r="S132" s="32">
        <f t="shared" si="41"/>
        <v>0</v>
      </c>
      <c r="T132" s="12"/>
      <c r="U132" s="12"/>
      <c r="V132" s="12"/>
      <c r="W132" s="12">
        <f t="shared" si="42"/>
        <v>0</v>
      </c>
      <c r="Y132" s="10">
        <v>11</v>
      </c>
      <c r="Z132" s="30"/>
      <c r="AB132" s="32"/>
      <c r="AC132" s="32"/>
      <c r="AD132" s="32"/>
      <c r="AE132" s="32">
        <f t="shared" ref="AE132:AE160" si="49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>
        <v>45728</v>
      </c>
      <c r="C133" s="91">
        <f t="shared" si="45"/>
        <v>7672</v>
      </c>
      <c r="D133" s="32">
        <f>6260+614+95</f>
        <v>6969</v>
      </c>
      <c r="E133" s="32"/>
      <c r="F133" s="32"/>
      <c r="G133" s="32">
        <f t="shared" si="39"/>
        <v>6969</v>
      </c>
      <c r="H133" s="12"/>
      <c r="I133" s="12"/>
      <c r="J133" s="10"/>
      <c r="K133" s="12">
        <f t="shared" si="40"/>
        <v>6969</v>
      </c>
      <c r="M133" s="10">
        <v>12</v>
      </c>
      <c r="N133" s="30"/>
      <c r="O133" s="31"/>
      <c r="P133" s="32"/>
      <c r="Q133" s="32"/>
      <c r="R133" s="32"/>
      <c r="S133" s="32">
        <f t="shared" si="41"/>
        <v>0</v>
      </c>
      <c r="T133" s="12"/>
      <c r="U133" s="12"/>
      <c r="V133" s="12"/>
      <c r="W133" s="12">
        <f t="shared" si="42"/>
        <v>0</v>
      </c>
      <c r="Y133" s="10">
        <v>12</v>
      </c>
      <c r="Z133" s="30"/>
      <c r="AA133" s="31"/>
      <c r="AB133" s="32"/>
      <c r="AC133" s="32"/>
      <c r="AD133" s="32"/>
      <c r="AE133" s="32">
        <f t="shared" si="49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>
        <v>45728</v>
      </c>
      <c r="C134" s="91">
        <f t="shared" si="45"/>
        <v>7673</v>
      </c>
      <c r="D134" s="32">
        <f>3130+596+47.5</f>
        <v>3773.5</v>
      </c>
      <c r="E134" s="32"/>
      <c r="F134" s="32"/>
      <c r="G134" s="32">
        <f t="shared" si="39"/>
        <v>3773.5</v>
      </c>
      <c r="H134" s="12"/>
      <c r="I134" s="12"/>
      <c r="J134" s="12"/>
      <c r="K134" s="12">
        <f t="shared" si="40"/>
        <v>3773.5</v>
      </c>
      <c r="M134" s="10">
        <v>13</v>
      </c>
      <c r="N134" s="30"/>
      <c r="O134" s="31"/>
      <c r="P134" s="32"/>
      <c r="Q134" s="32"/>
      <c r="R134" s="32"/>
      <c r="S134" s="32">
        <f t="shared" si="41"/>
        <v>0</v>
      </c>
      <c r="T134" s="12"/>
      <c r="U134" s="12"/>
      <c r="V134" s="12"/>
      <c r="W134" s="12">
        <f t="shared" si="42"/>
        <v>0</v>
      </c>
      <c r="Y134" s="10">
        <v>13</v>
      </c>
      <c r="Z134" s="30"/>
      <c r="AA134" s="31"/>
      <c r="AB134" s="32"/>
      <c r="AC134" s="32"/>
      <c r="AD134" s="32"/>
      <c r="AE134" s="32">
        <f t="shared" si="49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>
        <v>45728</v>
      </c>
      <c r="C135" s="91">
        <f t="shared" si="45"/>
        <v>7674</v>
      </c>
      <c r="D135" s="32">
        <f>3130+614+1192+66.5</f>
        <v>5002.5</v>
      </c>
      <c r="E135" s="32"/>
      <c r="F135" s="32"/>
      <c r="G135" s="32">
        <f t="shared" si="39"/>
        <v>5002.5</v>
      </c>
      <c r="H135" s="12"/>
      <c r="I135" s="12"/>
      <c r="J135" s="12"/>
      <c r="K135" s="12">
        <f t="shared" si="40"/>
        <v>5002.5</v>
      </c>
      <c r="M135" s="10">
        <v>14</v>
      </c>
      <c r="N135" s="30"/>
      <c r="O135" s="31"/>
      <c r="P135" s="32"/>
      <c r="Q135" s="32"/>
      <c r="R135" s="32"/>
      <c r="S135" s="32">
        <f t="shared" si="41"/>
        <v>0</v>
      </c>
      <c r="T135" s="12"/>
      <c r="U135" s="12"/>
      <c r="V135" s="12"/>
      <c r="W135" s="12">
        <f t="shared" si="42"/>
        <v>0</v>
      </c>
      <c r="Y135" s="10">
        <v>14</v>
      </c>
      <c r="Z135" s="30"/>
      <c r="AA135" s="31"/>
      <c r="AB135" s="32"/>
      <c r="AC135" s="32"/>
      <c r="AD135" s="32"/>
      <c r="AE135" s="32">
        <f t="shared" si="49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>
        <v>45728</v>
      </c>
      <c r="C136" s="91">
        <f t="shared" si="45"/>
        <v>7675</v>
      </c>
      <c r="D136" s="32">
        <f>3756+57</f>
        <v>3813</v>
      </c>
      <c r="E136" s="32"/>
      <c r="F136" s="32"/>
      <c r="G136" s="32">
        <f t="shared" si="39"/>
        <v>3813</v>
      </c>
      <c r="H136" s="12"/>
      <c r="I136" s="12"/>
      <c r="J136" s="12"/>
      <c r="K136" s="12">
        <f t="shared" si="40"/>
        <v>3813</v>
      </c>
      <c r="M136" s="10">
        <v>15</v>
      </c>
      <c r="N136" s="30"/>
      <c r="O136" s="31"/>
      <c r="P136" s="32"/>
      <c r="Q136" s="32"/>
      <c r="R136" s="32"/>
      <c r="S136" s="32">
        <f t="shared" si="41"/>
        <v>0</v>
      </c>
      <c r="T136" s="12"/>
      <c r="U136" s="12"/>
      <c r="V136" s="12"/>
      <c r="W136" s="12">
        <f t="shared" si="42"/>
        <v>0</v>
      </c>
      <c r="Y136" s="10">
        <v>15</v>
      </c>
      <c r="Z136" s="30"/>
      <c r="AA136" s="31"/>
      <c r="AB136" s="32"/>
      <c r="AC136" s="32"/>
      <c r="AD136" s="32"/>
      <c r="AE136" s="32">
        <f t="shared" si="49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>
        <v>45728</v>
      </c>
      <c r="C137" s="91">
        <f t="shared" si="45"/>
        <v>7676</v>
      </c>
      <c r="D137" s="32">
        <f>2504+596+9.5*5</f>
        <v>3147.5</v>
      </c>
      <c r="E137" s="32"/>
      <c r="F137" s="32"/>
      <c r="G137" s="32">
        <f t="shared" si="39"/>
        <v>3147.5</v>
      </c>
      <c r="H137" s="12"/>
      <c r="I137" s="12"/>
      <c r="J137" s="12"/>
      <c r="K137" s="12">
        <f t="shared" si="40"/>
        <v>3147.5</v>
      </c>
      <c r="M137" s="10">
        <v>16</v>
      </c>
      <c r="N137" s="30"/>
      <c r="P137" s="32"/>
      <c r="Q137" s="32"/>
      <c r="R137" s="32"/>
      <c r="S137" s="32">
        <f t="shared" si="41"/>
        <v>0</v>
      </c>
      <c r="T137" s="12"/>
      <c r="U137" s="12"/>
      <c r="V137" s="12"/>
      <c r="W137" s="12">
        <f t="shared" si="42"/>
        <v>0</v>
      </c>
      <c r="Y137" s="10">
        <v>16</v>
      </c>
      <c r="Z137" s="30"/>
      <c r="AB137" s="32"/>
      <c r="AC137" s="32"/>
      <c r="AD137" s="32"/>
      <c r="AE137" s="32">
        <f t="shared" si="49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11" t="s">
        <v>27</v>
      </c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/>
      <c r="O138" s="31"/>
      <c r="P138" s="35"/>
      <c r="Q138" s="32"/>
      <c r="R138" s="32"/>
      <c r="S138" s="32">
        <f t="shared" si="41"/>
        <v>0</v>
      </c>
      <c r="T138" s="12"/>
      <c r="U138" s="12"/>
      <c r="V138" s="12"/>
      <c r="W138" s="12">
        <f t="shared" si="42"/>
        <v>0</v>
      </c>
      <c r="Y138" s="10">
        <v>17</v>
      </c>
      <c r="Z138" s="30"/>
      <c r="AA138" s="31"/>
      <c r="AB138" s="35"/>
      <c r="AC138" s="32"/>
      <c r="AD138" s="32"/>
      <c r="AE138" s="32">
        <f t="shared" si="49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/>
      <c r="O139" s="31"/>
      <c r="P139" s="32"/>
      <c r="Q139" s="32"/>
      <c r="R139" s="32"/>
      <c r="S139" s="32">
        <f t="shared" si="41"/>
        <v>0</v>
      </c>
      <c r="T139" s="12"/>
      <c r="U139" s="12"/>
      <c r="V139" s="12"/>
      <c r="W139" s="12">
        <f t="shared" si="42"/>
        <v>0</v>
      </c>
      <c r="Y139" s="10">
        <v>18</v>
      </c>
      <c r="Z139" s="30"/>
      <c r="AA139" s="31"/>
      <c r="AB139" s="32"/>
      <c r="AC139" s="32"/>
      <c r="AD139" s="32"/>
      <c r="AE139" s="32">
        <f t="shared" si="49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91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/>
      <c r="O140" s="31"/>
      <c r="P140" s="32"/>
      <c r="Q140" s="32"/>
      <c r="R140" s="32"/>
      <c r="S140" s="32">
        <f t="shared" si="41"/>
        <v>0</v>
      </c>
      <c r="T140" s="12"/>
      <c r="U140" s="12"/>
      <c r="V140" s="12"/>
      <c r="W140" s="12">
        <f t="shared" si="42"/>
        <v>0</v>
      </c>
      <c r="Y140" s="10">
        <v>19</v>
      </c>
      <c r="Z140" s="30"/>
      <c r="AA140" s="31"/>
      <c r="AB140" s="32"/>
      <c r="AC140" s="32"/>
      <c r="AD140" s="32"/>
      <c r="AE140" s="32">
        <f t="shared" si="49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91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/>
      <c r="O141" s="31"/>
      <c r="P141" s="32"/>
      <c r="Q141" s="32"/>
      <c r="R141" s="32"/>
      <c r="S141" s="32">
        <f t="shared" si="41"/>
        <v>0</v>
      </c>
      <c r="T141" s="12"/>
      <c r="U141" s="12"/>
      <c r="V141" s="12"/>
      <c r="W141" s="12">
        <f t="shared" si="42"/>
        <v>0</v>
      </c>
      <c r="Y141" s="10">
        <v>20</v>
      </c>
      <c r="Z141" s="30"/>
      <c r="AB141" s="32"/>
      <c r="AC141" s="32"/>
      <c r="AD141" s="32"/>
      <c r="AE141" s="32">
        <f t="shared" si="49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91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/>
      <c r="P142" s="46"/>
      <c r="Q142" s="31"/>
      <c r="R142" s="31"/>
      <c r="S142" s="32">
        <f t="shared" si="41"/>
        <v>0</v>
      </c>
      <c r="T142" s="10"/>
      <c r="U142" s="10"/>
      <c r="V142" s="10"/>
      <c r="W142" s="12">
        <f t="shared" si="42"/>
        <v>0</v>
      </c>
      <c r="Y142" s="10">
        <v>21</v>
      </c>
      <c r="Z142" s="30"/>
      <c r="AA142" s="31"/>
      <c r="AB142" s="46"/>
      <c r="AC142" s="31"/>
      <c r="AD142" s="31"/>
      <c r="AE142" s="32">
        <f t="shared" si="49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91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9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9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1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9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11"/>
      <c r="AB146" s="47"/>
      <c r="AC146" s="31"/>
      <c r="AD146" s="31"/>
      <c r="AE146" s="32">
        <f t="shared" si="49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B147" s="47"/>
      <c r="AC147" s="31"/>
      <c r="AD147" s="31"/>
      <c r="AE147" s="32">
        <f t="shared" si="49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9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9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9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B151" s="47"/>
      <c r="AC151" s="31"/>
      <c r="AD151" s="31"/>
      <c r="AE151" s="32">
        <f t="shared" si="49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B152" s="47"/>
      <c r="AC152" s="31"/>
      <c r="AD152" s="31"/>
      <c r="AE152" s="32">
        <f t="shared" si="49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9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9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50">SUM(P155:Q155)</f>
        <v>0</v>
      </c>
      <c r="T155" s="10"/>
      <c r="U155" s="10"/>
      <c r="V155" s="10"/>
      <c r="W155" s="12">
        <f t="shared" ref="W155:W163" si="51">SUM(S155:V155)</f>
        <v>0</v>
      </c>
      <c r="Y155" s="10">
        <v>34</v>
      </c>
      <c r="Z155" s="30"/>
      <c r="AB155" s="47"/>
      <c r="AC155" s="31"/>
      <c r="AD155" s="31"/>
      <c r="AE155" s="32">
        <f t="shared" si="49"/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50"/>
        <v>0</v>
      </c>
      <c r="T156" s="10"/>
      <c r="U156" s="10"/>
      <c r="V156" s="10"/>
      <c r="W156" s="12">
        <f t="shared" si="51"/>
        <v>0</v>
      </c>
      <c r="Y156" s="10">
        <v>35</v>
      </c>
      <c r="Z156" s="30"/>
      <c r="AA156" s="31"/>
      <c r="AB156" s="47"/>
      <c r="AC156" s="31"/>
      <c r="AD156" s="31"/>
      <c r="AE156" s="32">
        <f t="shared" si="49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50"/>
        <v>0</v>
      </c>
      <c r="T157" s="10"/>
      <c r="U157" s="10"/>
      <c r="V157" s="10"/>
      <c r="W157" s="12">
        <f t="shared" si="51"/>
        <v>0</v>
      </c>
      <c r="Y157" s="10">
        <v>36</v>
      </c>
      <c r="Z157" s="30"/>
      <c r="AA157" s="31"/>
      <c r="AB157" s="47"/>
      <c r="AC157" s="31"/>
      <c r="AD157" s="31"/>
      <c r="AE157" s="32">
        <f t="shared" si="49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50"/>
        <v>0</v>
      </c>
      <c r="T158" s="10"/>
      <c r="U158" s="10"/>
      <c r="V158" s="10"/>
      <c r="W158" s="12">
        <f t="shared" si="51"/>
        <v>0</v>
      </c>
      <c r="Y158" s="10">
        <v>37</v>
      </c>
      <c r="Z158" s="30"/>
      <c r="AA158" s="31"/>
      <c r="AB158" s="47"/>
      <c r="AC158" s="31"/>
      <c r="AD158" s="31"/>
      <c r="AE158" s="32">
        <f t="shared" si="49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50"/>
        <v>0</v>
      </c>
      <c r="T159" s="10"/>
      <c r="U159" s="10"/>
      <c r="V159" s="10"/>
      <c r="W159" s="12">
        <f t="shared" si="51"/>
        <v>0</v>
      </c>
      <c r="Y159" s="10">
        <v>38</v>
      </c>
      <c r="Z159" s="30"/>
      <c r="AA159" s="31"/>
      <c r="AB159" s="47"/>
      <c r="AC159" s="31"/>
      <c r="AD159" s="31"/>
      <c r="AE159" s="32">
        <f t="shared" si="49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50"/>
        <v>0</v>
      </c>
      <c r="T160" s="10"/>
      <c r="U160" s="10"/>
      <c r="V160" s="10"/>
      <c r="W160" s="12">
        <f t="shared" si="51"/>
        <v>0</v>
      </c>
      <c r="Y160" s="10">
        <v>39</v>
      </c>
      <c r="Z160" s="30"/>
      <c r="AA160" s="31"/>
      <c r="AB160" s="47"/>
      <c r="AC160" s="31"/>
      <c r="AD160" s="31"/>
      <c r="AE160" s="32">
        <f t="shared" si="49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1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1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1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106675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106675</v>
      </c>
      <c r="H165" s="4"/>
      <c r="I165" s="39">
        <f>SUM(I122:I164)</f>
        <v>1036.5</v>
      </c>
      <c r="J165" s="39">
        <f>SUM(J122:J164)</f>
        <v>0</v>
      </c>
      <c r="K165" s="40">
        <f>SUM(K122:K164)</f>
        <v>107711.5</v>
      </c>
      <c r="N165" s="57"/>
      <c r="O165" s="57"/>
      <c r="P165" s="38">
        <f>SUM(P122:P164)</f>
        <v>222833.5</v>
      </c>
      <c r="Q165" s="38">
        <f>SUM(Q122:Q146)</f>
        <v>-3033</v>
      </c>
      <c r="R165" s="38">
        <f>SUM(R122:R146)</f>
        <v>0</v>
      </c>
      <c r="S165" s="38">
        <f>SUM(S122:S164)</f>
        <v>219800.5</v>
      </c>
      <c r="T165" s="4"/>
      <c r="U165" s="41">
        <f>SUM(U122:U164)</f>
        <v>879</v>
      </c>
      <c r="V165" s="41">
        <f>SUM(V122:V146)</f>
        <v>-1143</v>
      </c>
      <c r="W165" s="42">
        <f>SUM(W122:W164)</f>
        <v>219536.5</v>
      </c>
      <c r="Z165" s="57"/>
      <c r="AA165" s="57"/>
      <c r="AB165" s="38">
        <f>SUM(AB122:AB164)</f>
        <v>428496</v>
      </c>
      <c r="AC165" s="38">
        <f>SUM(AC122:AC146)</f>
        <v>-2940</v>
      </c>
      <c r="AD165" s="38">
        <f>SUM(AD122:AD146)</f>
        <v>0</v>
      </c>
      <c r="AE165" s="38">
        <f>SUM(AE122:AE164)</f>
        <v>425556</v>
      </c>
      <c r="AF165" s="4"/>
      <c r="AG165" s="41">
        <f>SUM(AG122:AG164)</f>
        <v>32580</v>
      </c>
      <c r="AH165" s="41">
        <f>SUM(AH122:AH146)</f>
        <v>-5550</v>
      </c>
      <c r="AI165" s="42">
        <f>SUM(AI122:AI164)</f>
        <v>452586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s="62"/>
      <c r="B167" s="93"/>
      <c r="C167" s="93"/>
      <c r="D167" s="93"/>
      <c r="E167" s="93"/>
      <c r="F167" s="93"/>
      <c r="G167" s="93"/>
      <c r="H167" s="62"/>
      <c r="I167" s="62"/>
      <c r="J167" s="62"/>
      <c r="K167" s="62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s="62"/>
      <c r="B168" s="93"/>
      <c r="C168" s="93"/>
      <c r="D168" s="93"/>
      <c r="E168" s="93"/>
      <c r="F168" s="93"/>
      <c r="G168" s="93"/>
      <c r="H168" s="62"/>
      <c r="I168" s="62"/>
      <c r="J168" s="62"/>
      <c r="K168" s="62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A169" s="62"/>
      <c r="B169" s="93"/>
      <c r="C169" s="93"/>
      <c r="D169" s="93"/>
      <c r="E169" s="93"/>
      <c r="F169" s="93"/>
      <c r="G169" s="93"/>
      <c r="H169" s="62"/>
      <c r="I169" s="62"/>
      <c r="J169" s="62"/>
      <c r="K169" s="62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63"/>
      <c r="B170" s="93"/>
      <c r="C170" s="93"/>
      <c r="D170" s="93"/>
      <c r="E170" s="93"/>
      <c r="F170" s="93"/>
      <c r="G170" s="93"/>
      <c r="H170" s="62"/>
      <c r="I170" s="62"/>
      <c r="J170" s="62"/>
      <c r="K170" s="62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A171" s="62"/>
      <c r="B171" s="93"/>
      <c r="C171" s="93"/>
      <c r="D171" s="93"/>
      <c r="E171" s="93"/>
      <c r="F171" s="93"/>
      <c r="G171" s="93"/>
      <c r="H171" s="62"/>
      <c r="I171" s="62"/>
      <c r="J171" s="62"/>
      <c r="K171" s="62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s="62"/>
      <c r="B172" s="93"/>
      <c r="C172" s="93"/>
      <c r="D172" s="93"/>
      <c r="E172" s="93"/>
      <c r="F172" s="93"/>
      <c r="G172" s="93"/>
      <c r="H172" s="62"/>
      <c r="I172" s="93"/>
      <c r="J172" s="74"/>
      <c r="K172" s="62"/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64"/>
      <c r="B173" s="93"/>
      <c r="C173" s="93"/>
      <c r="D173" s="93"/>
      <c r="E173" s="93"/>
      <c r="F173" s="93"/>
      <c r="G173" s="93"/>
      <c r="H173" s="62"/>
      <c r="I173" s="65"/>
      <c r="J173" s="65"/>
      <c r="K173" s="62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37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31</v>
      </c>
      <c r="AI173" s="24"/>
      <c r="AK173" s="62"/>
      <c r="AL173" s="87"/>
      <c r="AM173" s="87"/>
      <c r="AN173" s="87"/>
      <c r="AO173" s="87"/>
      <c r="AP173" s="87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A174" s="62"/>
      <c r="B174" s="93"/>
      <c r="C174" s="93"/>
      <c r="D174" s="93"/>
      <c r="E174" s="93"/>
      <c r="F174" s="93"/>
      <c r="G174" s="93"/>
      <c r="H174" s="62"/>
      <c r="I174" s="62"/>
      <c r="J174" s="62"/>
      <c r="K174" s="62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7"/>
      <c r="AM174" s="87"/>
      <c r="AN174" s="87"/>
      <c r="AO174" s="87"/>
      <c r="AP174" s="87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A175" s="62"/>
      <c r="B175" s="65"/>
      <c r="C175" s="93"/>
      <c r="D175" s="114"/>
      <c r="E175" s="114"/>
      <c r="F175" s="93"/>
      <c r="G175" s="93"/>
      <c r="H175" s="62"/>
      <c r="I175" s="114"/>
      <c r="J175" s="114"/>
      <c r="K175" s="113"/>
      <c r="N175" s="25"/>
      <c r="O175" s="26"/>
      <c r="P175" s="115" t="s">
        <v>17</v>
      </c>
      <c r="Q175" s="115"/>
      <c r="R175" s="97"/>
      <c r="S175" s="27"/>
      <c r="U175" s="118" t="s">
        <v>18</v>
      </c>
      <c r="V175" s="119"/>
      <c r="W175" s="116" t="s">
        <v>19</v>
      </c>
      <c r="Z175" s="25"/>
      <c r="AA175" s="26"/>
      <c r="AB175" s="115" t="s">
        <v>17</v>
      </c>
      <c r="AC175" s="115"/>
      <c r="AD175" s="97"/>
      <c r="AE175" s="27"/>
      <c r="AG175" s="118" t="s">
        <v>18</v>
      </c>
      <c r="AH175" s="119"/>
      <c r="AI175" s="116" t="s">
        <v>19</v>
      </c>
      <c r="AK175" s="62"/>
      <c r="AL175" s="87"/>
      <c r="AM175" s="87"/>
      <c r="AN175" s="87"/>
      <c r="AO175" s="87"/>
      <c r="AP175" s="87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A176" s="62"/>
      <c r="B176" s="93"/>
      <c r="C176" s="93"/>
      <c r="D176" s="81"/>
      <c r="E176" s="82"/>
      <c r="F176" s="83"/>
      <c r="G176" s="83"/>
      <c r="H176" s="62"/>
      <c r="I176" s="92"/>
      <c r="J176" s="92"/>
      <c r="K176" s="113"/>
      <c r="N176" s="28" t="s">
        <v>20</v>
      </c>
      <c r="O176" s="28" t="s">
        <v>21</v>
      </c>
      <c r="P176" s="79" t="s">
        <v>22</v>
      </c>
      <c r="Q176" s="80" t="s">
        <v>23</v>
      </c>
      <c r="R176" s="80" t="s">
        <v>32</v>
      </c>
      <c r="S176" s="80" t="s">
        <v>24</v>
      </c>
      <c r="U176" s="29" t="s">
        <v>25</v>
      </c>
      <c r="V176" s="29" t="s">
        <v>26</v>
      </c>
      <c r="W176" s="117"/>
      <c r="Z176" s="28" t="s">
        <v>20</v>
      </c>
      <c r="AA176" s="28" t="s">
        <v>21</v>
      </c>
      <c r="AB176" s="79" t="s">
        <v>22</v>
      </c>
      <c r="AC176" s="80" t="s">
        <v>23</v>
      </c>
      <c r="AD176" s="80" t="s">
        <v>32</v>
      </c>
      <c r="AE176" s="80" t="s">
        <v>24</v>
      </c>
      <c r="AG176" s="29" t="s">
        <v>25</v>
      </c>
      <c r="AH176" s="29" t="s">
        <v>26</v>
      </c>
      <c r="AI176" s="117"/>
      <c r="AK176" s="63"/>
      <c r="AL176" s="87"/>
      <c r="AM176" s="87"/>
      <c r="AN176" s="87"/>
      <c r="AO176" s="87"/>
      <c r="AP176" s="87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62"/>
      <c r="B177" s="66"/>
      <c r="C177" s="94"/>
      <c r="D177" s="60"/>
      <c r="E177" s="60"/>
      <c r="F177" s="60"/>
      <c r="G177" s="60"/>
      <c r="H177" s="61"/>
      <c r="I177" s="61"/>
      <c r="J177" s="61"/>
      <c r="K177" s="61"/>
      <c r="M177" s="10">
        <v>1</v>
      </c>
      <c r="N177" s="30">
        <v>45759</v>
      </c>
      <c r="O177" s="31">
        <v>7617</v>
      </c>
      <c r="P177" s="32">
        <f>8764+614+133</f>
        <v>9511</v>
      </c>
      <c r="Q177" s="32"/>
      <c r="R177" s="32"/>
      <c r="S177" s="32">
        <f>SUM(P177:Q177)</f>
        <v>9511</v>
      </c>
      <c r="T177" s="12"/>
      <c r="U177" s="12"/>
      <c r="V177" s="12">
        <v>-888</v>
      </c>
      <c r="W177" s="12">
        <f>SUM(S177:V177)</f>
        <v>8623</v>
      </c>
      <c r="Y177" s="10">
        <v>1</v>
      </c>
      <c r="Z177" s="30">
        <v>45759</v>
      </c>
      <c r="AA177" s="31">
        <v>7470</v>
      </c>
      <c r="AB177" s="32">
        <f>75120+1175+17880+1102+1374</f>
        <v>96651</v>
      </c>
      <c r="AC177" s="32">
        <v>-912</v>
      </c>
      <c r="AD177" s="32"/>
      <c r="AE177" s="32">
        <f>SUM(AB177:AC177)</f>
        <v>95739</v>
      </c>
      <c r="AF177" s="12"/>
      <c r="AG177" s="12">
        <f>5661+468</f>
        <v>6129</v>
      </c>
      <c r="AH177" s="12"/>
      <c r="AI177" s="12">
        <f>SUM(AE177:AH177)</f>
        <v>101868</v>
      </c>
      <c r="AK177" s="62"/>
      <c r="AL177" s="87"/>
      <c r="AM177" s="87"/>
      <c r="AN177" s="87"/>
      <c r="AO177" s="87"/>
      <c r="AP177" s="87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62"/>
      <c r="B178" s="66"/>
      <c r="C178" s="94"/>
      <c r="D178" s="60"/>
      <c r="E178" s="60"/>
      <c r="F178" s="60"/>
      <c r="G178" s="60"/>
      <c r="H178" s="61"/>
      <c r="I178" s="61"/>
      <c r="J178" s="61"/>
      <c r="K178" s="61"/>
      <c r="M178" s="10">
        <v>2</v>
      </c>
      <c r="N178" s="30">
        <v>45759</v>
      </c>
      <c r="O178" s="31">
        <f>O177+1</f>
        <v>7618</v>
      </c>
      <c r="P178" s="32">
        <f>106420+5001+7050+5960+1175+1102+687+650*10</f>
        <v>133895</v>
      </c>
      <c r="Q178" s="32">
        <v>-1620</v>
      </c>
      <c r="R178" s="32"/>
      <c r="S178" s="32">
        <f t="shared" ref="S178:S209" si="58">SUM(P178:Q178)</f>
        <v>132275</v>
      </c>
      <c r="T178" s="12"/>
      <c r="U178" s="12">
        <v>12432</v>
      </c>
      <c r="V178" s="12">
        <f>-120+-168+-84+-168</f>
        <v>-540</v>
      </c>
      <c r="W178" s="12">
        <f t="shared" ref="W178:W209" si="59">SUM(S178:V178)</f>
        <v>144167</v>
      </c>
      <c r="Y178" s="10">
        <v>2</v>
      </c>
      <c r="Z178" s="30">
        <v>45759</v>
      </c>
      <c r="AA178" s="31">
        <f>AA177+1</f>
        <v>7471</v>
      </c>
      <c r="AB178" s="32">
        <f>169020+17880+3328+2748</f>
        <v>192976</v>
      </c>
      <c r="AC178" s="32">
        <v>-1824</v>
      </c>
      <c r="AD178" s="32"/>
      <c r="AE178" s="32">
        <f t="shared" ref="AE178:AE180" si="60">SUM(AB178:AC178)</f>
        <v>191152</v>
      </c>
      <c r="AF178" s="12"/>
      <c r="AG178" s="12"/>
      <c r="AH178" s="12"/>
      <c r="AI178" s="12">
        <f t="shared" ref="AI178:AI209" si="61">SUM(AE178:AH178)</f>
        <v>191152</v>
      </c>
      <c r="AK178" s="62"/>
      <c r="AL178" s="87"/>
      <c r="AM178" s="87"/>
      <c r="AN178" s="87"/>
      <c r="AO178" s="87"/>
      <c r="AP178" s="87"/>
      <c r="AQ178" s="62"/>
      <c r="AR178" s="84"/>
      <c r="AS178" s="84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62"/>
      <c r="B179" s="66"/>
      <c r="C179" s="94"/>
      <c r="D179" s="60"/>
      <c r="E179" s="60"/>
      <c r="F179" s="60"/>
      <c r="G179" s="60"/>
      <c r="H179" s="61"/>
      <c r="I179" s="61"/>
      <c r="J179" s="61"/>
      <c r="K179" s="61"/>
      <c r="M179" s="10">
        <v>3</v>
      </c>
      <c r="N179" s="30">
        <v>45759</v>
      </c>
      <c r="O179" s="31">
        <f t="shared" ref="O179:O184" si="62">O178+1</f>
        <v>7619</v>
      </c>
      <c r="P179" s="32">
        <f>626+9.5</f>
        <v>635.5</v>
      </c>
      <c r="Q179" s="32"/>
      <c r="R179" s="32"/>
      <c r="S179" s="32">
        <f t="shared" si="58"/>
        <v>635.5</v>
      </c>
      <c r="T179" s="12"/>
      <c r="U179" s="12"/>
      <c r="V179" s="12"/>
      <c r="W179" s="12">
        <f t="shared" si="59"/>
        <v>635.5</v>
      </c>
      <c r="Y179" s="10">
        <v>3</v>
      </c>
      <c r="Z179" s="30">
        <v>45759</v>
      </c>
      <c r="AA179" s="31">
        <f t="shared" ref="AA179" si="63">AA178+1</f>
        <v>7472</v>
      </c>
      <c r="AB179" s="33">
        <f>25040+5960+852</f>
        <v>31852</v>
      </c>
      <c r="AC179" s="33">
        <v>-300</v>
      </c>
      <c r="AD179" s="32"/>
      <c r="AE179" s="32">
        <f t="shared" si="60"/>
        <v>31552</v>
      </c>
      <c r="AF179" s="12"/>
      <c r="AG179" s="12"/>
      <c r="AH179" s="12"/>
      <c r="AI179" s="12">
        <f t="shared" si="61"/>
        <v>31552</v>
      </c>
      <c r="AK179" s="64"/>
      <c r="AL179" s="87"/>
      <c r="AM179" s="87"/>
      <c r="AN179" s="87"/>
      <c r="AO179" s="87"/>
      <c r="AP179" s="87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62"/>
      <c r="B180" s="66"/>
      <c r="C180" s="94"/>
      <c r="D180" s="60"/>
      <c r="E180" s="60"/>
      <c r="F180" s="60"/>
      <c r="G180" s="60"/>
      <c r="H180" s="61"/>
      <c r="I180" s="61"/>
      <c r="J180" s="61"/>
      <c r="K180" s="61"/>
      <c r="M180" s="10">
        <v>4</v>
      </c>
      <c r="N180" s="30">
        <v>45759</v>
      </c>
      <c r="O180" s="31">
        <f t="shared" si="62"/>
        <v>7620</v>
      </c>
      <c r="P180" s="32">
        <f>7512+614+596*3+142.5</f>
        <v>10056.5</v>
      </c>
      <c r="Q180" s="32"/>
      <c r="R180" s="32"/>
      <c r="S180" s="32">
        <f t="shared" si="58"/>
        <v>10056.5</v>
      </c>
      <c r="T180" s="12"/>
      <c r="U180" s="12"/>
      <c r="V180" s="12"/>
      <c r="W180" s="12">
        <f t="shared" si="59"/>
        <v>10056.5</v>
      </c>
      <c r="Y180" s="10">
        <v>4</v>
      </c>
      <c r="Z180" s="30"/>
      <c r="AA180" s="11" t="s">
        <v>27</v>
      </c>
      <c r="AB180" s="32"/>
      <c r="AC180" s="32"/>
      <c r="AD180" s="32"/>
      <c r="AE180" s="32">
        <f t="shared" si="60"/>
        <v>0</v>
      </c>
      <c r="AF180" s="12"/>
      <c r="AH180" s="12"/>
      <c r="AI180" s="12">
        <f t="shared" si="61"/>
        <v>0</v>
      </c>
      <c r="AK180" s="62"/>
      <c r="AL180" s="87"/>
      <c r="AM180" s="87"/>
      <c r="AN180" s="87"/>
      <c r="AO180" s="87"/>
      <c r="AP180" s="87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62"/>
      <c r="B181" s="66"/>
      <c r="C181" s="94"/>
      <c r="D181" s="60"/>
      <c r="E181" s="60"/>
      <c r="F181" s="60"/>
      <c r="G181" s="60"/>
      <c r="H181" s="61"/>
      <c r="I181" s="61"/>
      <c r="J181" s="61"/>
      <c r="K181" s="61"/>
      <c r="M181" s="10">
        <v>5</v>
      </c>
      <c r="N181" s="30">
        <v>45759</v>
      </c>
      <c r="O181" s="31">
        <f t="shared" si="62"/>
        <v>7621</v>
      </c>
      <c r="P181" s="32">
        <f>2504+614+38</f>
        <v>3156</v>
      </c>
      <c r="Q181" s="32"/>
      <c r="R181" s="32"/>
      <c r="S181" s="32">
        <f t="shared" si="58"/>
        <v>3156</v>
      </c>
      <c r="T181" s="12"/>
      <c r="U181" s="12">
        <v>222</v>
      </c>
      <c r="V181" s="12"/>
      <c r="W181" s="12">
        <f t="shared" si="59"/>
        <v>3378</v>
      </c>
      <c r="Y181" s="10">
        <v>5</v>
      </c>
      <c r="Z181" s="30"/>
      <c r="AA181" s="31"/>
      <c r="AB181" s="32"/>
      <c r="AC181" s="32"/>
      <c r="AD181" s="32"/>
      <c r="AE181" s="32">
        <f t="shared" ref="AE181:AE215" si="64">SUM(AB181:AC181)</f>
        <v>0</v>
      </c>
      <c r="AF181" s="12"/>
      <c r="AG181" s="12"/>
      <c r="AH181" s="12"/>
      <c r="AI181" s="12">
        <f t="shared" si="61"/>
        <v>0</v>
      </c>
      <c r="AK181" s="62"/>
      <c r="AL181" s="65"/>
      <c r="AM181" s="87"/>
      <c r="AN181" s="114"/>
      <c r="AO181" s="114"/>
      <c r="AP181" s="87"/>
      <c r="AQ181" s="62"/>
      <c r="AR181" s="114"/>
      <c r="AS181" s="114"/>
      <c r="AT181" s="113"/>
      <c r="AU181" s="62"/>
      <c r="AV181" s="62"/>
      <c r="AW181" s="62"/>
      <c r="AX181" s="62"/>
      <c r="AY181" s="62"/>
      <c r="AZ181" s="62"/>
    </row>
    <row r="182" spans="1:52" x14ac:dyDescent="0.25">
      <c r="A182" s="62"/>
      <c r="B182" s="66"/>
      <c r="C182" s="94"/>
      <c r="D182" s="60"/>
      <c r="E182" s="60"/>
      <c r="F182" s="60"/>
      <c r="G182" s="60"/>
      <c r="H182" s="61"/>
      <c r="I182" s="61"/>
      <c r="J182" s="61"/>
      <c r="K182" s="61"/>
      <c r="M182" s="10">
        <v>6</v>
      </c>
      <c r="N182" s="30">
        <v>45759</v>
      </c>
      <c r="O182" s="31">
        <f t="shared" si="62"/>
        <v>7622</v>
      </c>
      <c r="P182" s="32">
        <f>1252+19+500</f>
        <v>1771</v>
      </c>
      <c r="Q182" s="32"/>
      <c r="R182" s="32"/>
      <c r="S182" s="32">
        <f t="shared" si="58"/>
        <v>1771</v>
      </c>
      <c r="T182" s="12"/>
      <c r="U182" s="12">
        <f>1.5*2</f>
        <v>3</v>
      </c>
      <c r="V182" s="10"/>
      <c r="W182" s="12">
        <f t="shared" si="59"/>
        <v>1774</v>
      </c>
      <c r="Y182" s="10">
        <v>6</v>
      </c>
      <c r="Z182" s="30"/>
      <c r="AB182" s="32"/>
      <c r="AC182" s="32"/>
      <c r="AD182" s="32"/>
      <c r="AE182" s="32">
        <f t="shared" si="64"/>
        <v>0</v>
      </c>
      <c r="AF182" s="12"/>
      <c r="AG182" s="12"/>
      <c r="AH182" s="10"/>
      <c r="AI182" s="12">
        <f t="shared" si="61"/>
        <v>0</v>
      </c>
      <c r="AK182" s="62"/>
      <c r="AL182" s="87"/>
      <c r="AM182" s="87"/>
      <c r="AN182" s="87"/>
      <c r="AO182" s="86"/>
      <c r="AP182" s="86"/>
      <c r="AQ182" s="62"/>
      <c r="AR182" s="85"/>
      <c r="AS182" s="85"/>
      <c r="AT182" s="113"/>
      <c r="AU182" s="62"/>
      <c r="AV182" s="62"/>
      <c r="AW182" s="62"/>
      <c r="AX182" s="62"/>
      <c r="AY182" s="62"/>
      <c r="AZ182" s="62"/>
    </row>
    <row r="183" spans="1:52" x14ac:dyDescent="0.25">
      <c r="A183" s="62"/>
      <c r="B183" s="66"/>
      <c r="C183" s="94"/>
      <c r="D183" s="60"/>
      <c r="E183" s="60"/>
      <c r="F183" s="60"/>
      <c r="G183" s="60"/>
      <c r="H183" s="61"/>
      <c r="I183" s="61"/>
      <c r="J183" s="61"/>
      <c r="K183" s="61"/>
      <c r="M183" s="10">
        <v>7</v>
      </c>
      <c r="N183" s="30">
        <v>45759</v>
      </c>
      <c r="O183" s="31">
        <f t="shared" si="62"/>
        <v>7623</v>
      </c>
      <c r="P183" s="32">
        <f>1878+614+112</f>
        <v>2604</v>
      </c>
      <c r="Q183" s="32"/>
      <c r="R183" s="32"/>
      <c r="S183" s="32">
        <f t="shared" si="58"/>
        <v>2604</v>
      </c>
      <c r="T183" s="12"/>
      <c r="U183" s="12"/>
      <c r="V183" s="12"/>
      <c r="W183" s="12">
        <f t="shared" si="59"/>
        <v>2604</v>
      </c>
      <c r="Y183" s="10">
        <v>7</v>
      </c>
      <c r="Z183" s="30"/>
      <c r="AA183" s="31"/>
      <c r="AB183" s="32"/>
      <c r="AC183" s="32"/>
      <c r="AD183" s="32"/>
      <c r="AE183" s="32">
        <f t="shared" si="64"/>
        <v>0</v>
      </c>
      <c r="AF183" s="12"/>
      <c r="AG183" s="58"/>
      <c r="AH183" s="12"/>
      <c r="AI183" s="12">
        <f t="shared" si="61"/>
        <v>0</v>
      </c>
      <c r="AK183" s="62"/>
      <c r="AL183" s="66"/>
      <c r="AM183" s="87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62"/>
      <c r="B184" s="66"/>
      <c r="C184" s="94"/>
      <c r="D184" s="60"/>
      <c r="E184" s="60"/>
      <c r="F184" s="60"/>
      <c r="G184" s="60"/>
      <c r="H184" s="61"/>
      <c r="I184" s="61"/>
      <c r="J184" s="61"/>
      <c r="K184" s="61"/>
      <c r="M184" s="10">
        <v>8</v>
      </c>
      <c r="N184" s="30">
        <v>45759</v>
      </c>
      <c r="O184" s="31">
        <f t="shared" si="62"/>
        <v>7624</v>
      </c>
      <c r="P184" s="32">
        <f>626+9.5</f>
        <v>635.5</v>
      </c>
      <c r="Q184" s="32"/>
      <c r="R184" s="32"/>
      <c r="S184" s="32">
        <f t="shared" si="58"/>
        <v>635.5</v>
      </c>
      <c r="T184" s="12"/>
      <c r="U184" s="12"/>
      <c r="V184" s="12"/>
      <c r="W184" s="12">
        <f t="shared" si="59"/>
        <v>635.5</v>
      </c>
      <c r="Y184" s="10">
        <v>8</v>
      </c>
      <c r="Z184" s="30"/>
      <c r="AA184" s="31"/>
      <c r="AB184" s="32"/>
      <c r="AC184" s="32"/>
      <c r="AE184" s="32">
        <f t="shared" si="64"/>
        <v>0</v>
      </c>
      <c r="AF184" s="12"/>
      <c r="AG184" s="12"/>
      <c r="AH184" s="12"/>
      <c r="AI184" s="12">
        <f t="shared" si="61"/>
        <v>0</v>
      </c>
      <c r="AK184" s="62"/>
      <c r="AL184" s="66"/>
      <c r="AM184" s="87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62"/>
      <c r="B185" s="66"/>
      <c r="C185" s="94"/>
      <c r="D185" s="60"/>
      <c r="E185" s="60"/>
      <c r="F185" s="60"/>
      <c r="G185" s="60"/>
      <c r="H185" s="61"/>
      <c r="I185" s="61"/>
      <c r="J185" s="61"/>
      <c r="K185" s="61"/>
      <c r="M185" s="10">
        <v>9</v>
      </c>
      <c r="N185" s="30"/>
      <c r="O185" s="11" t="s">
        <v>27</v>
      </c>
      <c r="P185" s="32"/>
      <c r="Q185" s="32"/>
      <c r="R185" s="32"/>
      <c r="S185" s="32">
        <f t="shared" si="58"/>
        <v>0</v>
      </c>
      <c r="T185" s="12"/>
      <c r="U185" s="12"/>
      <c r="V185" s="12"/>
      <c r="W185" s="12">
        <f t="shared" si="59"/>
        <v>0</v>
      </c>
      <c r="Y185" s="10">
        <v>9</v>
      </c>
      <c r="Z185" s="30"/>
      <c r="AA185" s="31"/>
      <c r="AC185" s="32"/>
      <c r="AD185" s="32"/>
      <c r="AE185" s="32">
        <f t="shared" si="64"/>
        <v>0</v>
      </c>
      <c r="AF185" s="12"/>
      <c r="AH185" s="12"/>
      <c r="AI185" s="12">
        <f t="shared" si="61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62"/>
      <c r="B186" s="66"/>
      <c r="C186" s="65"/>
      <c r="D186" s="60"/>
      <c r="E186" s="60"/>
      <c r="F186" s="60"/>
      <c r="G186" s="60"/>
      <c r="H186" s="61"/>
      <c r="I186" s="61"/>
      <c r="J186" s="61"/>
      <c r="K186" s="61"/>
      <c r="M186" s="10">
        <v>10</v>
      </c>
      <c r="N186" s="30"/>
      <c r="O186" s="31"/>
      <c r="P186" s="32"/>
      <c r="Q186" s="32"/>
      <c r="R186" s="32"/>
      <c r="S186" s="32">
        <f t="shared" si="58"/>
        <v>0</v>
      </c>
      <c r="T186" s="12"/>
      <c r="U186" s="12"/>
      <c r="V186" s="12"/>
      <c r="W186" s="12">
        <f t="shared" si="59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4"/>
        <v>0</v>
      </c>
      <c r="AF186" s="12"/>
      <c r="AG186" s="12"/>
      <c r="AH186" s="12"/>
      <c r="AI186" s="12">
        <f t="shared" si="61"/>
        <v>0</v>
      </c>
      <c r="AK186" s="62"/>
      <c r="AL186" s="66"/>
      <c r="AM186" s="87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62"/>
      <c r="B187" s="66"/>
      <c r="C187" s="94"/>
      <c r="D187" s="60"/>
      <c r="E187" s="60"/>
      <c r="F187" s="60"/>
      <c r="G187" s="60"/>
      <c r="H187" s="61"/>
      <c r="I187" s="61"/>
      <c r="J187" s="61"/>
      <c r="K187" s="61"/>
      <c r="M187" s="10">
        <v>11</v>
      </c>
      <c r="N187" s="30"/>
      <c r="O187" s="31"/>
      <c r="P187" s="32"/>
      <c r="Q187" s="32"/>
      <c r="R187" s="32"/>
      <c r="S187" s="32">
        <f t="shared" si="58"/>
        <v>0</v>
      </c>
      <c r="T187" s="12"/>
      <c r="U187" s="12"/>
      <c r="V187" s="12"/>
      <c r="W187" s="12">
        <f t="shared" si="59"/>
        <v>0</v>
      </c>
      <c r="Y187" s="10">
        <v>11</v>
      </c>
      <c r="Z187" s="30"/>
      <c r="AA187" s="11"/>
      <c r="AB187" s="32"/>
      <c r="AC187" s="32"/>
      <c r="AD187" s="32"/>
      <c r="AE187" s="32">
        <f t="shared" si="64"/>
        <v>0</v>
      </c>
      <c r="AF187" s="12"/>
      <c r="AG187" s="12"/>
      <c r="AH187" s="12"/>
      <c r="AI187" s="12">
        <f t="shared" si="61"/>
        <v>0</v>
      </c>
      <c r="AK187" s="62"/>
      <c r="AL187" s="66"/>
      <c r="AM187" s="87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62"/>
      <c r="B188" s="66"/>
      <c r="C188" s="94"/>
      <c r="D188" s="60"/>
      <c r="E188" s="60"/>
      <c r="F188" s="60"/>
      <c r="G188" s="60"/>
      <c r="H188" s="61"/>
      <c r="I188" s="61"/>
      <c r="J188" s="62"/>
      <c r="K188" s="61"/>
      <c r="M188" s="10">
        <v>12</v>
      </c>
      <c r="N188" s="30"/>
      <c r="O188" s="31"/>
      <c r="P188" s="32"/>
      <c r="Q188" s="32"/>
      <c r="R188" s="32"/>
      <c r="S188" s="32">
        <f t="shared" si="58"/>
        <v>0</v>
      </c>
      <c r="T188" s="12"/>
      <c r="U188" s="12"/>
      <c r="V188" s="12"/>
      <c r="W188" s="12">
        <f t="shared" si="59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4"/>
        <v>0</v>
      </c>
      <c r="AF188" s="12"/>
      <c r="AG188" s="12"/>
      <c r="AH188" s="12"/>
      <c r="AI188" s="12">
        <f t="shared" si="61"/>
        <v>0</v>
      </c>
      <c r="AK188" s="62"/>
      <c r="AL188" s="66"/>
      <c r="AM188" s="87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62"/>
      <c r="B189" s="66"/>
      <c r="C189" s="94"/>
      <c r="D189" s="60"/>
      <c r="E189" s="60"/>
      <c r="F189" s="60"/>
      <c r="G189" s="60"/>
      <c r="H189" s="61"/>
      <c r="I189" s="61"/>
      <c r="J189" s="61"/>
      <c r="K189" s="61"/>
      <c r="M189" s="10">
        <v>13</v>
      </c>
      <c r="N189" s="30"/>
      <c r="O189" s="31"/>
      <c r="P189" s="32"/>
      <c r="Q189" s="32"/>
      <c r="R189" s="32"/>
      <c r="S189" s="32">
        <f t="shared" si="58"/>
        <v>0</v>
      </c>
      <c r="T189" s="12"/>
      <c r="U189" s="12"/>
      <c r="V189" s="12"/>
      <c r="W189" s="12">
        <f t="shared" si="59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4"/>
        <v>0</v>
      </c>
      <c r="AF189" s="12"/>
      <c r="AG189" s="12"/>
      <c r="AH189" s="12"/>
      <c r="AI189" s="12">
        <f t="shared" si="61"/>
        <v>0</v>
      </c>
      <c r="AK189" s="62"/>
      <c r="AL189" s="66"/>
      <c r="AM189" s="87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62"/>
      <c r="B190" s="66"/>
      <c r="C190" s="94"/>
      <c r="D190" s="60"/>
      <c r="E190" s="60"/>
      <c r="F190" s="60"/>
      <c r="G190" s="60"/>
      <c r="H190" s="61"/>
      <c r="I190" s="61"/>
      <c r="J190" s="61"/>
      <c r="K190" s="61"/>
      <c r="M190" s="10">
        <v>14</v>
      </c>
      <c r="N190" s="30"/>
      <c r="O190" s="31"/>
      <c r="P190" s="32"/>
      <c r="Q190" s="32"/>
      <c r="R190" s="32"/>
      <c r="S190" s="32">
        <f t="shared" si="58"/>
        <v>0</v>
      </c>
      <c r="T190" s="12"/>
      <c r="U190" s="12"/>
      <c r="V190" s="12"/>
      <c r="W190" s="12">
        <f t="shared" si="59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4"/>
        <v>0</v>
      </c>
      <c r="AF190" s="12"/>
      <c r="AG190" s="12"/>
      <c r="AH190" s="12"/>
      <c r="AI190" s="12">
        <f t="shared" si="61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62"/>
      <c r="B191" s="66"/>
      <c r="C191" s="94"/>
      <c r="D191" s="60"/>
      <c r="E191" s="60"/>
      <c r="F191" s="60"/>
      <c r="G191" s="60"/>
      <c r="H191" s="61"/>
      <c r="I191" s="61"/>
      <c r="J191" s="61"/>
      <c r="K191" s="61"/>
      <c r="M191" s="10">
        <v>15</v>
      </c>
      <c r="N191" s="30"/>
      <c r="O191" s="31"/>
      <c r="P191" s="32"/>
      <c r="Q191" s="32"/>
      <c r="R191" s="32"/>
      <c r="S191" s="32">
        <f t="shared" si="58"/>
        <v>0</v>
      </c>
      <c r="T191" s="12"/>
      <c r="U191" s="12"/>
      <c r="V191" s="12"/>
      <c r="W191" s="12">
        <f t="shared" si="59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4"/>
        <v>0</v>
      </c>
      <c r="AF191" s="12"/>
      <c r="AG191" s="12"/>
      <c r="AH191" s="12"/>
      <c r="AI191" s="12">
        <f t="shared" si="61"/>
        <v>0</v>
      </c>
      <c r="AK191" s="62"/>
      <c r="AL191" s="66"/>
      <c r="AM191" s="87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62"/>
      <c r="B192" s="66"/>
      <c r="C192" s="94"/>
      <c r="D192" s="60"/>
      <c r="E192" s="60"/>
      <c r="F192" s="60"/>
      <c r="G192" s="60"/>
      <c r="H192" s="61"/>
      <c r="I192" s="61"/>
      <c r="J192" s="61"/>
      <c r="K192" s="61"/>
      <c r="M192" s="10">
        <v>16</v>
      </c>
      <c r="N192" s="30"/>
      <c r="P192" s="32"/>
      <c r="Q192" s="32"/>
      <c r="R192" s="32"/>
      <c r="S192" s="32">
        <f t="shared" si="58"/>
        <v>0</v>
      </c>
      <c r="T192" s="12"/>
      <c r="U192" s="12"/>
      <c r="V192" s="12"/>
      <c r="W192" s="12">
        <f t="shared" si="59"/>
        <v>0</v>
      </c>
      <c r="Y192" s="10">
        <v>16</v>
      </c>
      <c r="Z192" s="30"/>
      <c r="AB192" s="32"/>
      <c r="AC192" s="32"/>
      <c r="AD192" s="32"/>
      <c r="AE192" s="32">
        <f t="shared" si="64"/>
        <v>0</v>
      </c>
      <c r="AF192" s="12"/>
      <c r="AG192" s="12"/>
      <c r="AH192" s="12"/>
      <c r="AI192" s="12">
        <f t="shared" si="61"/>
        <v>0</v>
      </c>
      <c r="AK192" s="62"/>
      <c r="AL192" s="66"/>
      <c r="AM192" s="87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62"/>
      <c r="B193" s="66"/>
      <c r="C193" s="94"/>
      <c r="D193" s="60"/>
      <c r="E193" s="60"/>
      <c r="F193" s="60"/>
      <c r="G193" s="60"/>
      <c r="H193" s="61"/>
      <c r="I193" s="61"/>
      <c r="J193" s="61"/>
      <c r="K193" s="61"/>
      <c r="M193" s="10">
        <v>17</v>
      </c>
      <c r="N193" s="30"/>
      <c r="O193" s="31"/>
      <c r="P193" s="35"/>
      <c r="Q193" s="32"/>
      <c r="R193" s="32"/>
      <c r="S193" s="32">
        <f t="shared" si="58"/>
        <v>0</v>
      </c>
      <c r="T193" s="12"/>
      <c r="U193" s="12"/>
      <c r="V193" s="12"/>
      <c r="W193" s="12">
        <f t="shared" si="59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4"/>
        <v>0</v>
      </c>
      <c r="AF193" s="12"/>
      <c r="AG193" s="12"/>
      <c r="AH193" s="12"/>
      <c r="AI193" s="12">
        <f t="shared" si="61"/>
        <v>0</v>
      </c>
      <c r="AK193" s="62"/>
      <c r="AL193" s="66"/>
      <c r="AM193" s="87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62"/>
      <c r="B194" s="66"/>
      <c r="C194" s="94"/>
      <c r="D194" s="60"/>
      <c r="E194" s="60"/>
      <c r="F194" s="60"/>
      <c r="G194" s="60"/>
      <c r="H194" s="61"/>
      <c r="I194" s="61"/>
      <c r="J194" s="61"/>
      <c r="K194" s="61"/>
      <c r="M194" s="10">
        <v>18</v>
      </c>
      <c r="N194" s="30"/>
      <c r="O194" s="31"/>
      <c r="P194" s="32"/>
      <c r="Q194" s="32"/>
      <c r="R194" s="32"/>
      <c r="S194" s="32">
        <f t="shared" si="58"/>
        <v>0</v>
      </c>
      <c r="T194" s="12"/>
      <c r="U194" s="12"/>
      <c r="V194" s="12"/>
      <c r="W194" s="12">
        <f t="shared" si="59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4"/>
        <v>0</v>
      </c>
      <c r="AF194" s="12"/>
      <c r="AG194" s="12"/>
      <c r="AH194" s="12"/>
      <c r="AI194" s="12">
        <f t="shared" si="61"/>
        <v>0</v>
      </c>
      <c r="AK194" s="62"/>
      <c r="AL194" s="66"/>
      <c r="AM194" s="87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62"/>
      <c r="B195" s="66"/>
      <c r="C195" s="94"/>
      <c r="D195" s="60"/>
      <c r="E195" s="60"/>
      <c r="F195" s="60"/>
      <c r="G195" s="60"/>
      <c r="H195" s="61"/>
      <c r="I195" s="61"/>
      <c r="J195" s="61"/>
      <c r="K195" s="61"/>
      <c r="M195" s="10">
        <v>19</v>
      </c>
      <c r="N195" s="30"/>
      <c r="O195" s="31"/>
      <c r="P195" s="32"/>
      <c r="Q195" s="32"/>
      <c r="R195" s="32"/>
      <c r="S195" s="32">
        <f t="shared" si="58"/>
        <v>0</v>
      </c>
      <c r="T195" s="12"/>
      <c r="U195" s="12"/>
      <c r="V195" s="12"/>
      <c r="W195" s="12">
        <f t="shared" si="59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4"/>
        <v>0</v>
      </c>
      <c r="AF195" s="12"/>
      <c r="AG195" s="12"/>
      <c r="AH195" s="12"/>
      <c r="AI195" s="12">
        <f t="shared" si="61"/>
        <v>0</v>
      </c>
      <c r="AK195" s="62"/>
      <c r="AL195" s="66"/>
      <c r="AM195" s="87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62"/>
      <c r="B196" s="66"/>
      <c r="C196" s="94"/>
      <c r="D196" s="60"/>
      <c r="E196" s="60"/>
      <c r="F196" s="60"/>
      <c r="G196" s="60"/>
      <c r="H196" s="61"/>
      <c r="I196" s="61"/>
      <c r="J196" s="61"/>
      <c r="K196" s="61"/>
      <c r="M196" s="10">
        <v>20</v>
      </c>
      <c r="N196" s="30"/>
      <c r="O196" s="31"/>
      <c r="P196" s="32"/>
      <c r="Q196" s="32"/>
      <c r="R196" s="32"/>
      <c r="S196" s="32">
        <f t="shared" si="58"/>
        <v>0</v>
      </c>
      <c r="T196" s="12"/>
      <c r="U196" s="12"/>
      <c r="V196" s="12"/>
      <c r="W196" s="12">
        <f t="shared" si="59"/>
        <v>0</v>
      </c>
      <c r="Y196" s="10">
        <v>20</v>
      </c>
      <c r="Z196" s="30"/>
      <c r="AB196" s="32"/>
      <c r="AC196" s="32"/>
      <c r="AD196" s="32"/>
      <c r="AE196" s="32">
        <f t="shared" si="64"/>
        <v>0</v>
      </c>
      <c r="AF196" s="12"/>
      <c r="AG196" s="12"/>
      <c r="AH196" s="12"/>
      <c r="AI196" s="12">
        <f t="shared" si="61"/>
        <v>0</v>
      </c>
      <c r="AK196" s="62"/>
      <c r="AL196" s="66"/>
      <c r="AM196" s="87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62"/>
      <c r="B197" s="66"/>
      <c r="C197" s="94"/>
      <c r="D197" s="60"/>
      <c r="E197" s="60"/>
      <c r="F197" s="60"/>
      <c r="G197" s="60"/>
      <c r="H197" s="62"/>
      <c r="I197" s="62"/>
      <c r="J197" s="62"/>
      <c r="K197" s="61"/>
      <c r="M197" s="10">
        <v>21</v>
      </c>
      <c r="N197" s="30"/>
      <c r="P197" s="46"/>
      <c r="Q197" s="31"/>
      <c r="R197" s="31"/>
      <c r="S197" s="32">
        <f t="shared" si="58"/>
        <v>0</v>
      </c>
      <c r="T197" s="10"/>
      <c r="U197" s="10"/>
      <c r="V197" s="10"/>
      <c r="W197" s="12">
        <f t="shared" si="59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4"/>
        <v>0</v>
      </c>
      <c r="AF197" s="10"/>
      <c r="AG197" s="10"/>
      <c r="AH197" s="10"/>
      <c r="AI197" s="12">
        <f t="shared" si="61"/>
        <v>0</v>
      </c>
      <c r="AK197" s="62"/>
      <c r="AL197" s="66"/>
      <c r="AM197" s="87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62"/>
      <c r="B198" s="66"/>
      <c r="C198" s="94"/>
      <c r="D198" s="60"/>
      <c r="E198" s="60"/>
      <c r="F198" s="60"/>
      <c r="G198" s="60"/>
      <c r="H198" s="62"/>
      <c r="I198" s="62"/>
      <c r="J198" s="62"/>
      <c r="K198" s="61"/>
      <c r="M198" s="10">
        <v>22</v>
      </c>
      <c r="N198" s="30"/>
      <c r="P198" s="45"/>
      <c r="Q198" s="31"/>
      <c r="R198" s="31"/>
      <c r="S198" s="32">
        <f t="shared" si="58"/>
        <v>0</v>
      </c>
      <c r="T198" s="10"/>
      <c r="U198" s="10"/>
      <c r="V198" s="10"/>
      <c r="W198" s="12">
        <f t="shared" si="59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4"/>
        <v>0</v>
      </c>
      <c r="AF198" s="10"/>
      <c r="AG198" s="10"/>
      <c r="AH198" s="10"/>
      <c r="AI198" s="12">
        <f t="shared" si="61"/>
        <v>0</v>
      </c>
      <c r="AK198" s="62"/>
      <c r="AL198" s="66"/>
      <c r="AM198" s="87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62"/>
      <c r="B199" s="66"/>
      <c r="C199" s="94"/>
      <c r="D199" s="60"/>
      <c r="E199" s="60"/>
      <c r="F199" s="60"/>
      <c r="G199" s="60"/>
      <c r="H199" s="62"/>
      <c r="I199" s="62"/>
      <c r="J199" s="61"/>
      <c r="K199" s="61"/>
      <c r="M199" s="10">
        <v>23</v>
      </c>
      <c r="N199" s="30"/>
      <c r="O199" s="31"/>
      <c r="P199" s="47"/>
      <c r="S199" s="32">
        <f t="shared" si="58"/>
        <v>0</v>
      </c>
      <c r="T199" s="10"/>
      <c r="U199" s="10"/>
      <c r="V199" s="10"/>
      <c r="W199" s="12">
        <f t="shared" si="59"/>
        <v>0</v>
      </c>
      <c r="Y199" s="10">
        <v>23</v>
      </c>
      <c r="Z199" s="30"/>
      <c r="AA199" s="31"/>
      <c r="AB199" s="47"/>
      <c r="AE199" s="32">
        <f t="shared" si="64"/>
        <v>0</v>
      </c>
      <c r="AF199" s="10"/>
      <c r="AG199" s="10"/>
      <c r="AH199" s="10"/>
      <c r="AI199" s="12">
        <f t="shared" si="61"/>
        <v>0</v>
      </c>
      <c r="AK199" s="62"/>
      <c r="AL199" s="66"/>
      <c r="AM199" s="87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62"/>
      <c r="B200" s="66"/>
      <c r="C200" s="94"/>
      <c r="D200" s="60"/>
      <c r="E200" s="60"/>
      <c r="F200" s="60"/>
      <c r="G200" s="60"/>
      <c r="H200" s="62"/>
      <c r="I200" s="62"/>
      <c r="J200" s="62"/>
      <c r="K200" s="61"/>
      <c r="M200" s="10">
        <v>24</v>
      </c>
      <c r="N200" s="30"/>
      <c r="O200" s="11"/>
      <c r="P200" s="47"/>
      <c r="Q200" s="31"/>
      <c r="R200" s="31"/>
      <c r="S200" s="32">
        <f t="shared" si="58"/>
        <v>0</v>
      </c>
      <c r="T200" s="10"/>
      <c r="U200" s="10"/>
      <c r="V200" s="10"/>
      <c r="W200" s="12">
        <f t="shared" si="59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4"/>
        <v>0</v>
      </c>
      <c r="AF200" s="10"/>
      <c r="AG200" s="10"/>
      <c r="AH200" s="10"/>
      <c r="AI200" s="12">
        <f t="shared" si="61"/>
        <v>0</v>
      </c>
      <c r="AK200" s="62"/>
      <c r="AL200" s="66"/>
      <c r="AM200" s="87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62"/>
      <c r="B201" s="66"/>
      <c r="C201" s="93"/>
      <c r="D201" s="60"/>
      <c r="E201" s="60"/>
      <c r="F201" s="60"/>
      <c r="G201" s="60"/>
      <c r="H201" s="62"/>
      <c r="I201" s="62"/>
      <c r="J201" s="62"/>
      <c r="K201" s="61"/>
      <c r="M201" s="10">
        <v>25</v>
      </c>
      <c r="N201" s="30"/>
      <c r="O201" s="31"/>
      <c r="P201" s="47"/>
      <c r="Q201" s="31"/>
      <c r="R201" s="31"/>
      <c r="S201" s="32">
        <f t="shared" si="58"/>
        <v>0</v>
      </c>
      <c r="T201" s="10"/>
      <c r="U201" s="10"/>
      <c r="V201" s="10"/>
      <c r="W201" s="12">
        <f t="shared" si="59"/>
        <v>0</v>
      </c>
      <c r="Y201" s="10">
        <v>25</v>
      </c>
      <c r="Z201" s="30"/>
      <c r="AA201" s="11"/>
      <c r="AB201" s="47"/>
      <c r="AC201" s="31"/>
      <c r="AD201" s="31"/>
      <c r="AE201" s="32">
        <f t="shared" si="64"/>
        <v>0</v>
      </c>
      <c r="AF201" s="10"/>
      <c r="AG201" s="10"/>
      <c r="AH201" s="10"/>
      <c r="AI201" s="12">
        <f t="shared" si="61"/>
        <v>0</v>
      </c>
      <c r="AK201" s="62"/>
      <c r="AL201" s="66"/>
      <c r="AM201" s="87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62"/>
      <c r="B202" s="66"/>
      <c r="C202" s="94"/>
      <c r="D202" s="60"/>
      <c r="E202" s="60"/>
      <c r="F202" s="60"/>
      <c r="G202" s="60"/>
      <c r="H202" s="62"/>
      <c r="I202" s="62"/>
      <c r="J202" s="62"/>
      <c r="K202" s="61"/>
      <c r="M202" s="10">
        <v>26</v>
      </c>
      <c r="N202" s="30"/>
      <c r="O202" s="31"/>
      <c r="P202" s="47"/>
      <c r="Q202" s="31"/>
      <c r="R202" s="31"/>
      <c r="S202" s="32">
        <f t="shared" si="58"/>
        <v>0</v>
      </c>
      <c r="T202" s="10"/>
      <c r="U202" s="10"/>
      <c r="V202" s="10"/>
      <c r="W202" s="12">
        <f t="shared" si="59"/>
        <v>0</v>
      </c>
      <c r="Y202" s="10">
        <v>26</v>
      </c>
      <c r="Z202" s="30"/>
      <c r="AB202" s="47"/>
      <c r="AC202" s="31"/>
      <c r="AD202" s="31"/>
      <c r="AE202" s="32">
        <f t="shared" si="64"/>
        <v>0</v>
      </c>
      <c r="AF202" s="10"/>
      <c r="AG202" s="10"/>
      <c r="AH202" s="10"/>
      <c r="AI202" s="12">
        <f t="shared" si="61"/>
        <v>0</v>
      </c>
      <c r="AK202" s="62"/>
      <c r="AL202" s="66"/>
      <c r="AM202" s="87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62"/>
      <c r="B203" s="66"/>
      <c r="C203" s="94"/>
      <c r="D203" s="60"/>
      <c r="E203" s="60"/>
      <c r="F203" s="60"/>
      <c r="G203" s="60"/>
      <c r="H203" s="62"/>
      <c r="I203" s="62"/>
      <c r="J203" s="62"/>
      <c r="K203" s="61"/>
      <c r="M203" s="10">
        <v>27</v>
      </c>
      <c r="N203" s="30"/>
      <c r="O203" s="31"/>
      <c r="P203" s="47"/>
      <c r="Q203" s="31"/>
      <c r="R203" s="31"/>
      <c r="S203" s="32">
        <f t="shared" si="58"/>
        <v>0</v>
      </c>
      <c r="T203" s="10"/>
      <c r="U203" s="10"/>
      <c r="V203" s="10"/>
      <c r="W203" s="12">
        <f t="shared" si="59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4"/>
        <v>0</v>
      </c>
      <c r="AF203" s="10"/>
      <c r="AG203" s="10"/>
      <c r="AH203" s="10"/>
      <c r="AI203" s="12">
        <f t="shared" si="61"/>
        <v>0</v>
      </c>
      <c r="AK203" s="62"/>
      <c r="AL203" s="66"/>
      <c r="AM203" s="87"/>
      <c r="AN203" s="67"/>
      <c r="AO203" s="87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62"/>
      <c r="B204" s="66"/>
      <c r="C204" s="94"/>
      <c r="D204" s="60"/>
      <c r="E204" s="60"/>
      <c r="F204" s="60"/>
      <c r="G204" s="60"/>
      <c r="H204" s="62"/>
      <c r="I204" s="62"/>
      <c r="J204" s="62"/>
      <c r="K204" s="61"/>
      <c r="M204" s="10">
        <v>28</v>
      </c>
      <c r="N204" s="30"/>
      <c r="O204" s="31"/>
      <c r="P204" s="47"/>
      <c r="Q204" s="31"/>
      <c r="R204" s="31"/>
      <c r="S204" s="32">
        <f t="shared" si="58"/>
        <v>0</v>
      </c>
      <c r="T204" s="10"/>
      <c r="U204" s="10"/>
      <c r="V204" s="10"/>
      <c r="W204" s="12">
        <f t="shared" si="59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4"/>
        <v>0</v>
      </c>
      <c r="AF204" s="10"/>
      <c r="AG204" s="10"/>
      <c r="AH204" s="10"/>
      <c r="AI204" s="12">
        <f t="shared" si="61"/>
        <v>0</v>
      </c>
      <c r="AK204" s="62"/>
      <c r="AL204" s="66"/>
      <c r="AM204" s="87"/>
      <c r="AN204" s="68"/>
      <c r="AO204" s="87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62"/>
      <c r="B205" s="66"/>
      <c r="C205" s="94"/>
      <c r="D205" s="60"/>
      <c r="E205" s="60"/>
      <c r="F205" s="60"/>
      <c r="G205" s="60"/>
      <c r="H205" s="62"/>
      <c r="I205" s="62"/>
      <c r="J205" s="62"/>
      <c r="K205" s="61"/>
      <c r="M205" s="10">
        <v>29</v>
      </c>
      <c r="N205" s="30"/>
      <c r="P205" s="47"/>
      <c r="Q205" s="31"/>
      <c r="R205" s="31"/>
      <c r="S205" s="32">
        <f t="shared" si="58"/>
        <v>0</v>
      </c>
      <c r="T205" s="10"/>
      <c r="U205" s="10"/>
      <c r="V205" s="10"/>
      <c r="W205" s="12">
        <f t="shared" si="59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4"/>
        <v>0</v>
      </c>
      <c r="AF205" s="10"/>
      <c r="AG205" s="10"/>
      <c r="AH205" s="10"/>
      <c r="AI205" s="12">
        <f t="shared" si="61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62"/>
      <c r="B206" s="66"/>
      <c r="C206" s="94"/>
      <c r="D206" s="60"/>
      <c r="E206" s="60"/>
      <c r="F206" s="60"/>
      <c r="G206" s="60"/>
      <c r="H206" s="62"/>
      <c r="I206" s="62"/>
      <c r="J206" s="62"/>
      <c r="K206" s="61"/>
      <c r="M206" s="10">
        <v>30</v>
      </c>
      <c r="N206" s="30"/>
      <c r="P206" s="47"/>
      <c r="Q206" s="31"/>
      <c r="R206" s="31"/>
      <c r="S206" s="32">
        <f t="shared" si="58"/>
        <v>0</v>
      </c>
      <c r="T206" s="10"/>
      <c r="U206" s="10"/>
      <c r="V206" s="10"/>
      <c r="W206" s="12">
        <f t="shared" si="59"/>
        <v>0</v>
      </c>
      <c r="Y206" s="10">
        <v>30</v>
      </c>
      <c r="Z206" s="30"/>
      <c r="AB206" s="47"/>
      <c r="AC206" s="31"/>
      <c r="AD206" s="31"/>
      <c r="AE206" s="32">
        <f t="shared" si="64"/>
        <v>0</v>
      </c>
      <c r="AF206" s="10"/>
      <c r="AG206" s="10"/>
      <c r="AH206" s="10"/>
      <c r="AI206" s="12">
        <f t="shared" si="61"/>
        <v>0</v>
      </c>
      <c r="AK206" s="62"/>
      <c r="AL206" s="66"/>
      <c r="AM206" s="87"/>
      <c r="AN206" s="69"/>
      <c r="AO206" s="87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62"/>
      <c r="B207" s="66"/>
      <c r="C207" s="94"/>
      <c r="D207" s="60"/>
      <c r="E207" s="60"/>
      <c r="F207" s="60"/>
      <c r="G207" s="60"/>
      <c r="H207" s="62"/>
      <c r="I207" s="62"/>
      <c r="J207" s="62"/>
      <c r="K207" s="61"/>
      <c r="M207" s="10">
        <v>31</v>
      </c>
      <c r="N207" s="30"/>
      <c r="O207" s="31"/>
      <c r="P207" s="47"/>
      <c r="Q207" s="31"/>
      <c r="R207" s="31"/>
      <c r="S207" s="32">
        <f t="shared" si="58"/>
        <v>0</v>
      </c>
      <c r="T207" s="10"/>
      <c r="U207" s="10"/>
      <c r="V207" s="10"/>
      <c r="W207" s="12">
        <f t="shared" si="59"/>
        <v>0</v>
      </c>
      <c r="Y207" s="10">
        <v>31</v>
      </c>
      <c r="Z207" s="30"/>
      <c r="AB207" s="47"/>
      <c r="AC207" s="31"/>
      <c r="AD207" s="31"/>
      <c r="AE207" s="32">
        <f t="shared" si="64"/>
        <v>0</v>
      </c>
      <c r="AF207" s="10"/>
      <c r="AG207" s="10"/>
      <c r="AH207" s="10"/>
      <c r="AI207" s="12">
        <f t="shared" si="61"/>
        <v>0</v>
      </c>
      <c r="AK207" s="62"/>
      <c r="AL207" s="66"/>
      <c r="AM207" s="87"/>
      <c r="AN207" s="69"/>
      <c r="AO207" s="87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62"/>
      <c r="B208" s="66"/>
      <c r="C208" s="94"/>
      <c r="D208" s="60"/>
      <c r="E208" s="60"/>
      <c r="F208" s="60"/>
      <c r="G208" s="60"/>
      <c r="H208" s="62"/>
      <c r="I208" s="62"/>
      <c r="J208" s="62"/>
      <c r="K208" s="61"/>
      <c r="M208" s="10">
        <v>32</v>
      </c>
      <c r="N208" s="30"/>
      <c r="P208" s="47"/>
      <c r="Q208" s="31"/>
      <c r="R208" s="31"/>
      <c r="S208" s="32">
        <f t="shared" si="58"/>
        <v>0</v>
      </c>
      <c r="T208" s="10"/>
      <c r="U208" s="10"/>
      <c r="V208" s="10"/>
      <c r="W208" s="12">
        <f t="shared" si="59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4"/>
        <v>0</v>
      </c>
      <c r="AF208" s="10"/>
      <c r="AG208" s="10"/>
      <c r="AH208" s="10"/>
      <c r="AI208" s="12">
        <f t="shared" si="61"/>
        <v>0</v>
      </c>
      <c r="AK208" s="62"/>
      <c r="AL208" s="66"/>
      <c r="AM208" s="62"/>
      <c r="AN208" s="69"/>
      <c r="AO208" s="87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62"/>
      <c r="B209" s="66"/>
      <c r="C209" s="94"/>
      <c r="D209" s="60"/>
      <c r="E209" s="60"/>
      <c r="F209" s="60"/>
      <c r="G209" s="60"/>
      <c r="H209" s="62"/>
      <c r="I209" s="62"/>
      <c r="J209" s="62"/>
      <c r="K209" s="61"/>
      <c r="M209" s="10">
        <v>33</v>
      </c>
      <c r="N209" s="30"/>
      <c r="O209" s="31"/>
      <c r="P209" s="47"/>
      <c r="Q209" s="31"/>
      <c r="R209" s="31"/>
      <c r="S209" s="32">
        <f t="shared" si="58"/>
        <v>0</v>
      </c>
      <c r="T209" s="10"/>
      <c r="U209" s="10"/>
      <c r="V209" s="10"/>
      <c r="W209" s="12">
        <f t="shared" si="59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4"/>
        <v>0</v>
      </c>
      <c r="AF209" s="10"/>
      <c r="AG209" s="10"/>
      <c r="AH209" s="10"/>
      <c r="AI209" s="12">
        <f t="shared" si="61"/>
        <v>0</v>
      </c>
      <c r="AK209" s="62"/>
      <c r="AL209" s="66"/>
      <c r="AM209" s="87"/>
      <c r="AN209" s="69"/>
      <c r="AO209" s="87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62"/>
      <c r="B210" s="66"/>
      <c r="C210" s="94"/>
      <c r="D210" s="60"/>
      <c r="E210" s="60"/>
      <c r="F210" s="60"/>
      <c r="G210" s="60"/>
      <c r="H210" s="62"/>
      <c r="I210" s="62"/>
      <c r="J210" s="62"/>
      <c r="K210" s="61"/>
      <c r="M210" s="10">
        <v>34</v>
      </c>
      <c r="N210" s="30"/>
      <c r="O210" s="31"/>
      <c r="P210" s="47"/>
      <c r="Q210" s="31"/>
      <c r="R210" s="31"/>
      <c r="S210" s="32">
        <f t="shared" ref="S210:S215" si="65">SUM(P210:Q210)</f>
        <v>0</v>
      </c>
      <c r="T210" s="10"/>
      <c r="U210" s="10"/>
      <c r="V210" s="10"/>
      <c r="W210" s="12">
        <f t="shared" ref="W210:W218" si="66">SUM(S210:V210)</f>
        <v>0</v>
      </c>
      <c r="Y210" s="10">
        <v>34</v>
      </c>
      <c r="Z210" s="30"/>
      <c r="AB210" s="47"/>
      <c r="AC210" s="31"/>
      <c r="AD210" s="31"/>
      <c r="AE210" s="32">
        <f t="shared" si="64"/>
        <v>0</v>
      </c>
      <c r="AF210" s="10"/>
      <c r="AG210" s="10"/>
      <c r="AH210" s="10"/>
      <c r="AI210" s="12">
        <f t="shared" ref="AI210:AI218" si="67">SUM(AE210:AH210)</f>
        <v>0</v>
      </c>
      <c r="AK210" s="62"/>
      <c r="AL210" s="66"/>
      <c r="AM210" s="87"/>
      <c r="AN210" s="69"/>
      <c r="AO210" s="87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62"/>
      <c r="B211" s="66"/>
      <c r="C211" s="93"/>
      <c r="D211" s="60"/>
      <c r="E211" s="60"/>
      <c r="F211" s="60"/>
      <c r="G211" s="60"/>
      <c r="H211" s="62"/>
      <c r="I211" s="62"/>
      <c r="J211" s="62"/>
      <c r="K211" s="61"/>
      <c r="M211" s="10">
        <v>35</v>
      </c>
      <c r="N211" s="30"/>
      <c r="O211" s="31"/>
      <c r="P211" s="47"/>
      <c r="Q211" s="31"/>
      <c r="R211" s="31"/>
      <c r="S211" s="32">
        <f t="shared" si="65"/>
        <v>0</v>
      </c>
      <c r="T211" s="10"/>
      <c r="U211" s="10"/>
      <c r="V211" s="10"/>
      <c r="W211" s="12">
        <f t="shared" si="66"/>
        <v>0</v>
      </c>
      <c r="Y211" s="10">
        <v>35</v>
      </c>
      <c r="Z211" s="30"/>
      <c r="AA211" s="31"/>
      <c r="AB211" s="47"/>
      <c r="AC211" s="31"/>
      <c r="AD211" s="31"/>
      <c r="AE211" s="32">
        <f t="shared" si="64"/>
        <v>0</v>
      </c>
      <c r="AF211" s="10"/>
      <c r="AG211" s="10"/>
      <c r="AH211" s="10"/>
      <c r="AI211" s="12">
        <f t="shared" si="67"/>
        <v>0</v>
      </c>
      <c r="AK211" s="62"/>
      <c r="AL211" s="66"/>
      <c r="AM211" s="87"/>
      <c r="AN211" s="69"/>
      <c r="AO211" s="87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62"/>
      <c r="B212" s="66"/>
      <c r="C212" s="93"/>
      <c r="D212" s="60"/>
      <c r="E212" s="60"/>
      <c r="F212" s="60"/>
      <c r="G212" s="60"/>
      <c r="H212" s="62"/>
      <c r="I212" s="62"/>
      <c r="J212" s="62"/>
      <c r="K212" s="61"/>
      <c r="M212" s="10">
        <v>36</v>
      </c>
      <c r="N212" s="30"/>
      <c r="O212" s="31"/>
      <c r="P212" s="47"/>
      <c r="Q212" s="31"/>
      <c r="R212" s="31"/>
      <c r="S212" s="32">
        <f t="shared" si="65"/>
        <v>0</v>
      </c>
      <c r="T212" s="10"/>
      <c r="U212" s="10"/>
      <c r="V212" s="10"/>
      <c r="W212" s="12">
        <f t="shared" si="66"/>
        <v>0</v>
      </c>
      <c r="Y212" s="10">
        <v>36</v>
      </c>
      <c r="Z212" s="30"/>
      <c r="AA212" s="31"/>
      <c r="AB212" s="47"/>
      <c r="AC212" s="31"/>
      <c r="AD212" s="31"/>
      <c r="AE212" s="32">
        <f t="shared" si="64"/>
        <v>0</v>
      </c>
      <c r="AF212" s="10"/>
      <c r="AG212" s="10"/>
      <c r="AH212" s="10"/>
      <c r="AI212" s="12">
        <f t="shared" si="67"/>
        <v>0</v>
      </c>
      <c r="AK212" s="62"/>
      <c r="AL212" s="66"/>
      <c r="AM212" s="87"/>
      <c r="AN212" s="69"/>
      <c r="AO212" s="87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62"/>
      <c r="B213" s="66"/>
      <c r="C213" s="93"/>
      <c r="D213" s="60"/>
      <c r="E213" s="60"/>
      <c r="F213" s="60"/>
      <c r="G213" s="60"/>
      <c r="H213" s="62"/>
      <c r="I213" s="62"/>
      <c r="J213" s="62"/>
      <c r="K213" s="61"/>
      <c r="M213" s="10">
        <v>37</v>
      </c>
      <c r="N213" s="30"/>
      <c r="P213" s="47"/>
      <c r="Q213" s="31"/>
      <c r="R213" s="31"/>
      <c r="S213" s="32">
        <f t="shared" si="65"/>
        <v>0</v>
      </c>
      <c r="T213" s="10"/>
      <c r="U213" s="10"/>
      <c r="V213" s="10"/>
      <c r="W213" s="12">
        <f t="shared" si="66"/>
        <v>0</v>
      </c>
      <c r="Y213" s="10">
        <v>37</v>
      </c>
      <c r="Z213" s="30"/>
      <c r="AA213" s="31"/>
      <c r="AB213" s="47"/>
      <c r="AC213" s="31"/>
      <c r="AD213" s="31"/>
      <c r="AE213" s="32">
        <f t="shared" si="64"/>
        <v>0</v>
      </c>
      <c r="AF213" s="10"/>
      <c r="AG213" s="10"/>
      <c r="AH213" s="10"/>
      <c r="AI213" s="12">
        <f t="shared" si="67"/>
        <v>0</v>
      </c>
      <c r="AK213" s="62"/>
      <c r="AL213" s="66"/>
      <c r="AM213" s="87"/>
      <c r="AN213" s="69"/>
      <c r="AO213" s="87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62"/>
      <c r="B214" s="66"/>
      <c r="C214" s="93"/>
      <c r="D214" s="60"/>
      <c r="E214" s="60"/>
      <c r="F214" s="60"/>
      <c r="G214" s="60"/>
      <c r="H214" s="62"/>
      <c r="I214" s="62"/>
      <c r="J214" s="62"/>
      <c r="K214" s="61"/>
      <c r="M214" s="10">
        <v>38</v>
      </c>
      <c r="N214" s="30"/>
      <c r="O214" s="31"/>
      <c r="P214" s="47"/>
      <c r="Q214" s="31"/>
      <c r="R214" s="31"/>
      <c r="S214" s="32">
        <f t="shared" si="65"/>
        <v>0</v>
      </c>
      <c r="T214" s="10"/>
      <c r="U214" s="10"/>
      <c r="V214" s="10"/>
      <c r="W214" s="12">
        <f t="shared" si="66"/>
        <v>0</v>
      </c>
      <c r="Y214" s="10">
        <v>38</v>
      </c>
      <c r="Z214" s="30"/>
      <c r="AA214" s="31"/>
      <c r="AB214" s="47"/>
      <c r="AC214" s="31"/>
      <c r="AD214" s="31"/>
      <c r="AE214" s="32">
        <f t="shared" si="64"/>
        <v>0</v>
      </c>
      <c r="AF214" s="10"/>
      <c r="AG214" s="10"/>
      <c r="AH214" s="10"/>
      <c r="AI214" s="12">
        <f t="shared" si="67"/>
        <v>0</v>
      </c>
      <c r="AK214" s="62"/>
      <c r="AL214" s="66"/>
      <c r="AM214" s="87"/>
      <c r="AN214" s="69"/>
      <c r="AO214" s="87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62"/>
      <c r="B215" s="66"/>
      <c r="C215" s="93"/>
      <c r="D215" s="60"/>
      <c r="E215" s="60"/>
      <c r="F215" s="60"/>
      <c r="G215" s="60"/>
      <c r="H215" s="62"/>
      <c r="I215" s="62"/>
      <c r="J215" s="62"/>
      <c r="K215" s="61"/>
      <c r="M215" s="10">
        <v>39</v>
      </c>
      <c r="N215" s="30"/>
      <c r="O215" s="31"/>
      <c r="P215" s="47"/>
      <c r="Q215" s="31"/>
      <c r="R215" s="31"/>
      <c r="S215" s="32">
        <f t="shared" si="65"/>
        <v>0</v>
      </c>
      <c r="T215" s="10"/>
      <c r="U215" s="10"/>
      <c r="V215" s="10"/>
      <c r="W215" s="12">
        <f t="shared" si="66"/>
        <v>0</v>
      </c>
      <c r="Y215" s="10">
        <v>39</v>
      </c>
      <c r="Z215" s="30"/>
      <c r="AA215" s="31"/>
      <c r="AB215" s="47"/>
      <c r="AC215" s="31"/>
      <c r="AD215" s="31"/>
      <c r="AE215" s="32">
        <f t="shared" si="64"/>
        <v>0</v>
      </c>
      <c r="AF215" s="10"/>
      <c r="AG215" s="10"/>
      <c r="AH215" s="10"/>
      <c r="AI215" s="12">
        <f t="shared" si="67"/>
        <v>0</v>
      </c>
      <c r="AK215" s="62"/>
      <c r="AL215" s="66"/>
      <c r="AM215" s="87"/>
      <c r="AN215" s="69"/>
      <c r="AO215" s="87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62"/>
      <c r="B216" s="66"/>
      <c r="C216" s="93"/>
      <c r="D216" s="60"/>
      <c r="E216" s="60"/>
      <c r="F216" s="60"/>
      <c r="G216" s="60"/>
      <c r="H216" s="62"/>
      <c r="I216" s="62"/>
      <c r="J216" s="62"/>
      <c r="K216" s="61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66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67"/>
        <v>0</v>
      </c>
      <c r="AK216" s="62"/>
      <c r="AL216" s="66"/>
      <c r="AM216" s="87"/>
      <c r="AN216" s="69"/>
      <c r="AO216" s="87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62"/>
      <c r="B217" s="66"/>
      <c r="C217" s="93"/>
      <c r="D217" s="60"/>
      <c r="E217" s="60"/>
      <c r="F217" s="60"/>
      <c r="G217" s="60"/>
      <c r="H217" s="62"/>
      <c r="I217" s="62"/>
      <c r="J217" s="62"/>
      <c r="K217" s="61"/>
      <c r="M217" s="10"/>
      <c r="N217" s="30"/>
      <c r="O217" s="31"/>
      <c r="P217" s="47"/>
      <c r="Q217" s="31"/>
      <c r="R217" s="31"/>
      <c r="S217" s="32">
        <f t="shared" ref="S217" si="68">SUM(P217:Q217)</f>
        <v>0</v>
      </c>
      <c r="T217" s="10"/>
      <c r="U217" s="10"/>
      <c r="V217" s="10"/>
      <c r="W217" s="12">
        <f t="shared" si="66"/>
        <v>0</v>
      </c>
      <c r="Y217" s="10"/>
      <c r="Z217" s="30"/>
      <c r="AA217" s="31"/>
      <c r="AB217" s="47"/>
      <c r="AC217" s="31"/>
      <c r="AD217" s="31"/>
      <c r="AE217" s="32">
        <f t="shared" ref="AE217" si="69">SUM(AB217:AC217)</f>
        <v>0</v>
      </c>
      <c r="AF217" s="10"/>
      <c r="AG217" s="10"/>
      <c r="AH217" s="10"/>
      <c r="AI217" s="12">
        <f t="shared" si="67"/>
        <v>0</v>
      </c>
      <c r="AK217" s="62"/>
      <c r="AL217" s="66"/>
      <c r="AM217" s="87"/>
      <c r="AN217" s="69"/>
      <c r="AO217" s="87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62"/>
      <c r="B218" s="66"/>
      <c r="C218" s="66"/>
      <c r="D218" s="60"/>
      <c r="E218" s="60"/>
      <c r="F218" s="60"/>
      <c r="G218" s="60"/>
      <c r="H218" s="62"/>
      <c r="I218" s="62"/>
      <c r="J218" s="62"/>
      <c r="K218" s="61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66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67"/>
        <v>0</v>
      </c>
      <c r="AK218" s="62"/>
      <c r="AL218" s="66"/>
      <c r="AM218" s="87"/>
      <c r="AN218" s="69"/>
      <c r="AO218" s="87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A219" s="62"/>
      <c r="B219" s="93"/>
      <c r="C219" s="93"/>
      <c r="D219" s="93"/>
      <c r="E219" s="93"/>
      <c r="F219" s="93"/>
      <c r="G219" s="93"/>
      <c r="H219" s="62"/>
      <c r="I219" s="62"/>
      <c r="J219" s="62"/>
      <c r="K219" s="62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7"/>
      <c r="AN219" s="69"/>
      <c r="AO219" s="87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A220" s="62"/>
      <c r="B220" s="93"/>
      <c r="C220" s="93"/>
      <c r="D220" s="70"/>
      <c r="E220" s="70"/>
      <c r="F220" s="70"/>
      <c r="G220" s="70"/>
      <c r="H220" s="63"/>
      <c r="I220" s="70"/>
      <c r="J220" s="70"/>
      <c r="K220" s="70"/>
      <c r="N220" s="57"/>
      <c r="O220" s="57"/>
      <c r="P220" s="38">
        <f>SUM(P177:P219)</f>
        <v>162264.5</v>
      </c>
      <c r="Q220" s="38">
        <f>SUM(Q177:Q201)</f>
        <v>-1620</v>
      </c>
      <c r="R220" s="38">
        <f>SUM(R177:R201)</f>
        <v>0</v>
      </c>
      <c r="S220" s="38">
        <f>SUM(S177:S219)</f>
        <v>160644.5</v>
      </c>
      <c r="T220" s="4"/>
      <c r="U220" s="41">
        <f>SUM(U177:U219)</f>
        <v>12657</v>
      </c>
      <c r="V220" s="41">
        <f>SUM(V177:V201)</f>
        <v>-1428</v>
      </c>
      <c r="W220" s="42">
        <f>SUM(W177:W219)</f>
        <v>171873.5</v>
      </c>
      <c r="Z220" s="57"/>
      <c r="AA220" s="57"/>
      <c r="AB220" s="38">
        <f>SUM(AB177:AB219)</f>
        <v>321479</v>
      </c>
      <c r="AC220" s="38">
        <f>SUM(AC177:AC201)</f>
        <v>-3036</v>
      </c>
      <c r="AD220" s="38">
        <f>SUM(AD177:AD201)</f>
        <v>0</v>
      </c>
      <c r="AE220" s="38">
        <f>SUM(AE177:AE219)</f>
        <v>318443</v>
      </c>
      <c r="AF220" s="4"/>
      <c r="AG220" s="41">
        <f>SUM(AG177:AG219)</f>
        <v>6129</v>
      </c>
      <c r="AH220" s="41">
        <f>SUM(AH177:AH201)</f>
        <v>0</v>
      </c>
      <c r="AI220" s="42">
        <f>SUM(AI177:AI219)</f>
        <v>324572</v>
      </c>
      <c r="AK220" s="62"/>
      <c r="AL220" s="66"/>
      <c r="AM220" s="87"/>
      <c r="AN220" s="69"/>
      <c r="AO220" s="87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7"/>
      <c r="AN221" s="69"/>
      <c r="AO221" s="87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7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7"/>
      <c r="AN223" s="69"/>
      <c r="AO223" s="87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7"/>
      <c r="AM224" s="87"/>
      <c r="AN224" s="87"/>
      <c r="AO224" s="87"/>
      <c r="AP224" s="87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7"/>
      <c r="AM225" s="87"/>
      <c r="AN225" s="87"/>
      <c r="AO225" s="87"/>
      <c r="AP225" s="87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7"/>
      <c r="AM226" s="87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50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7"/>
      <c r="AM227" s="87"/>
      <c r="AN227" s="72"/>
      <c r="AO227" s="87"/>
      <c r="AP227" s="87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33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37</v>
      </c>
      <c r="W228" s="24"/>
      <c r="Y228" s="21" t="s">
        <v>51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31</v>
      </c>
      <c r="AI228" s="24"/>
      <c r="AK228" s="62"/>
      <c r="AL228" s="87"/>
      <c r="AM228" s="87"/>
      <c r="AN228" s="87"/>
      <c r="AO228" s="87"/>
      <c r="AP228" s="87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5" t="s">
        <v>17</v>
      </c>
      <c r="E230" s="115"/>
      <c r="F230" s="98"/>
      <c r="G230" s="27"/>
      <c r="I230" s="118" t="s">
        <v>18</v>
      </c>
      <c r="J230" s="119"/>
      <c r="K230" s="116" t="s">
        <v>19</v>
      </c>
      <c r="N230" s="25"/>
      <c r="O230" s="26"/>
      <c r="P230" s="115" t="s">
        <v>17</v>
      </c>
      <c r="Q230" s="115"/>
      <c r="R230" s="98"/>
      <c r="S230" s="27"/>
      <c r="U230" s="118" t="s">
        <v>18</v>
      </c>
      <c r="V230" s="119"/>
      <c r="W230" s="116" t="s">
        <v>19</v>
      </c>
      <c r="Z230" s="25"/>
      <c r="AA230" s="26"/>
      <c r="AB230" s="115" t="s">
        <v>17</v>
      </c>
      <c r="AC230" s="115"/>
      <c r="AD230" s="98"/>
      <c r="AE230" s="27"/>
      <c r="AG230" s="118" t="s">
        <v>18</v>
      </c>
      <c r="AH230" s="119"/>
      <c r="AI230" s="116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9" t="s">
        <v>22</v>
      </c>
      <c r="E231" s="78" t="s">
        <v>23</v>
      </c>
      <c r="F231" s="80" t="s">
        <v>32</v>
      </c>
      <c r="G231" s="80" t="s">
        <v>24</v>
      </c>
      <c r="I231" s="29" t="s">
        <v>25</v>
      </c>
      <c r="J231" s="29" t="s">
        <v>26</v>
      </c>
      <c r="K231" s="117"/>
      <c r="N231" s="28" t="s">
        <v>20</v>
      </c>
      <c r="O231" s="28" t="s">
        <v>21</v>
      </c>
      <c r="P231" s="79" t="s">
        <v>22</v>
      </c>
      <c r="Q231" s="80" t="s">
        <v>23</v>
      </c>
      <c r="R231" s="80" t="s">
        <v>32</v>
      </c>
      <c r="S231" s="80" t="s">
        <v>24</v>
      </c>
      <c r="U231" s="29" t="s">
        <v>25</v>
      </c>
      <c r="V231" s="29" t="s">
        <v>26</v>
      </c>
      <c r="W231" s="117"/>
      <c r="Z231" s="28" t="s">
        <v>20</v>
      </c>
      <c r="AA231" s="28" t="s">
        <v>21</v>
      </c>
      <c r="AB231" s="79" t="s">
        <v>22</v>
      </c>
      <c r="AC231" s="80" t="s">
        <v>23</v>
      </c>
      <c r="AD231" s="80" t="s">
        <v>32</v>
      </c>
      <c r="AE231" s="80" t="s">
        <v>24</v>
      </c>
      <c r="AG231" s="29" t="s">
        <v>25</v>
      </c>
      <c r="AH231" s="29" t="s">
        <v>26</v>
      </c>
      <c r="AI231" s="117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45789</v>
      </c>
      <c r="C232" s="91">
        <v>7677</v>
      </c>
      <c r="D232" s="32">
        <f>270432+29800+4580</f>
        <v>304812</v>
      </c>
      <c r="E232" s="32">
        <v>-3012</v>
      </c>
      <c r="F232" s="32"/>
      <c r="G232" s="32">
        <f t="shared" ref="G232:G265" si="70">SUM(D232:E232)</f>
        <v>301800</v>
      </c>
      <c r="H232" s="12"/>
      <c r="I232" s="12">
        <v>858</v>
      </c>
      <c r="J232" s="12">
        <f>-30414+-1932</f>
        <v>-32346</v>
      </c>
      <c r="K232" s="12">
        <f t="shared" ref="K232:K265" si="71">SUM(G232:J232)</f>
        <v>270312</v>
      </c>
      <c r="M232" s="10">
        <v>1</v>
      </c>
      <c r="N232" s="30">
        <v>45789</v>
      </c>
      <c r="O232" s="31">
        <v>7625</v>
      </c>
      <c r="P232" s="32">
        <f>626*6+614+9.5*6</f>
        <v>4427</v>
      </c>
      <c r="Q232" s="32"/>
      <c r="R232" s="32"/>
      <c r="S232" s="32">
        <f>SUM(P232:Q232)</f>
        <v>4427</v>
      </c>
      <c r="T232" s="12"/>
      <c r="U232" s="12"/>
      <c r="V232" s="12"/>
      <c r="W232" s="12">
        <f>SUM(S232:V232)</f>
        <v>4427</v>
      </c>
      <c r="Y232" s="10">
        <v>1</v>
      </c>
      <c r="Z232" s="30">
        <v>45789</v>
      </c>
      <c r="AA232" s="31">
        <v>7473</v>
      </c>
      <c r="AB232" s="32">
        <f>6260+614+5960</f>
        <v>12834</v>
      </c>
      <c r="AC232" s="32"/>
      <c r="AD232" s="32"/>
      <c r="AE232" s="32">
        <f>SUM(AB232:AC232)</f>
        <v>12834</v>
      </c>
      <c r="AF232" s="12"/>
      <c r="AG232" s="12">
        <v>1665</v>
      </c>
      <c r="AH232" s="12"/>
      <c r="AI232" s="12">
        <f>SUM(AE232:AH232)</f>
        <v>14499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45789</v>
      </c>
      <c r="C233" s="91">
        <f>C232+1</f>
        <v>7678</v>
      </c>
      <c r="D233" s="32">
        <f>33804+1228+229</f>
        <v>35261</v>
      </c>
      <c r="E233" s="32"/>
      <c r="F233" s="32"/>
      <c r="G233" s="32">
        <f t="shared" si="70"/>
        <v>35261</v>
      </c>
      <c r="H233" s="12"/>
      <c r="I233" s="12"/>
      <c r="J233" s="12"/>
      <c r="K233" s="12">
        <f t="shared" si="71"/>
        <v>35261</v>
      </c>
      <c r="M233" s="10">
        <v>2</v>
      </c>
      <c r="N233" s="30">
        <v>45789</v>
      </c>
      <c r="O233" s="31">
        <f>O232+1</f>
        <v>7626</v>
      </c>
      <c r="P233" s="32">
        <f>626*12+114</f>
        <v>7626</v>
      </c>
      <c r="Q233" s="32"/>
      <c r="R233" s="32"/>
      <c r="S233" s="32">
        <f t="shared" ref="S233:S264" si="72">SUM(P233:Q233)</f>
        <v>7626</v>
      </c>
      <c r="T233" s="12"/>
      <c r="U233" s="12"/>
      <c r="V233" s="12"/>
      <c r="W233" s="12">
        <f t="shared" ref="W233:W264" si="73">SUM(S233:V233)</f>
        <v>7626</v>
      </c>
      <c r="Y233" s="10">
        <v>2</v>
      </c>
      <c r="Z233" s="30">
        <v>45789</v>
      </c>
      <c r="AA233" s="31">
        <f>AA232+1</f>
        <v>7474</v>
      </c>
      <c r="AB233" s="32">
        <f>1878+28.5</f>
        <v>1906.5</v>
      </c>
      <c r="AC233" s="32"/>
      <c r="AD233" s="32"/>
      <c r="AE233" s="32">
        <f t="shared" ref="AE233:AE235" si="74">SUM(AB233:AC233)</f>
        <v>1906.5</v>
      </c>
      <c r="AF233" s="12"/>
      <c r="AG233" s="12">
        <v>18</v>
      </c>
      <c r="AH233" s="12"/>
      <c r="AI233" s="12">
        <f t="shared" ref="AI233:AI264" si="75">SUM(AE233:AH233)</f>
        <v>1924.5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45789</v>
      </c>
      <c r="C234" s="91">
        <f t="shared" ref="C234:C237" si="76">C233+1</f>
        <v>7679</v>
      </c>
      <c r="D234" s="33">
        <f>6260+614+95</f>
        <v>6969</v>
      </c>
      <c r="E234" s="33"/>
      <c r="F234" s="33"/>
      <c r="G234" s="33">
        <f t="shared" si="70"/>
        <v>6969</v>
      </c>
      <c r="H234" s="34"/>
      <c r="I234" s="34"/>
      <c r="J234" s="34"/>
      <c r="K234" s="34">
        <f t="shared" si="71"/>
        <v>6969</v>
      </c>
      <c r="M234" s="10">
        <v>3</v>
      </c>
      <c r="N234" s="30">
        <v>45789</v>
      </c>
      <c r="O234" s="31">
        <f t="shared" ref="O234:O251" si="77">O233+1</f>
        <v>7627</v>
      </c>
      <c r="P234" s="32">
        <f>626+9.5</f>
        <v>635.5</v>
      </c>
      <c r="Q234" s="32"/>
      <c r="R234" s="32"/>
      <c r="S234" s="32">
        <f t="shared" si="72"/>
        <v>635.5</v>
      </c>
      <c r="T234" s="12"/>
      <c r="U234" s="12"/>
      <c r="V234" s="12">
        <v>-555</v>
      </c>
      <c r="W234" s="12">
        <f t="shared" si="73"/>
        <v>80.5</v>
      </c>
      <c r="Y234" s="10">
        <v>3</v>
      </c>
      <c r="Z234" s="30">
        <v>45789</v>
      </c>
      <c r="AA234" s="31">
        <f t="shared" ref="AA234:AA251" si="78">AA233+1</f>
        <v>7475</v>
      </c>
      <c r="AB234" s="33">
        <f>8764+133</f>
        <v>8897</v>
      </c>
      <c r="AC234" s="33"/>
      <c r="AD234" s="32"/>
      <c r="AE234" s="32">
        <f t="shared" si="74"/>
        <v>8897</v>
      </c>
      <c r="AF234" s="12"/>
      <c r="AG234" s="12"/>
      <c r="AH234" s="12"/>
      <c r="AI234" s="12">
        <f t="shared" si="75"/>
        <v>8897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45789</v>
      </c>
      <c r="C235" s="91">
        <f t="shared" si="76"/>
        <v>7680</v>
      </c>
      <c r="D235" s="32">
        <f>3130</f>
        <v>3130</v>
      </c>
      <c r="E235" s="32"/>
      <c r="F235" s="32"/>
      <c r="G235" s="32">
        <f t="shared" si="70"/>
        <v>3130</v>
      </c>
      <c r="H235" s="12"/>
      <c r="I235" s="12">
        <v>555</v>
      </c>
      <c r="J235" s="12"/>
      <c r="K235" s="12">
        <f t="shared" si="71"/>
        <v>3685</v>
      </c>
      <c r="M235" s="10">
        <v>4</v>
      </c>
      <c r="N235" s="30">
        <v>45789</v>
      </c>
      <c r="O235" s="31">
        <f t="shared" si="77"/>
        <v>7628</v>
      </c>
      <c r="P235" s="32">
        <f>626*48+458</f>
        <v>30506</v>
      </c>
      <c r="Q235" s="32"/>
      <c r="R235" s="32"/>
      <c r="S235" s="32">
        <f t="shared" si="72"/>
        <v>30506</v>
      </c>
      <c r="T235" s="12"/>
      <c r="U235" s="12">
        <v>72</v>
      </c>
      <c r="V235" s="12"/>
      <c r="W235" s="12">
        <f t="shared" si="73"/>
        <v>30578</v>
      </c>
      <c r="Y235" s="10">
        <v>4</v>
      </c>
      <c r="Z235" s="30">
        <v>45789</v>
      </c>
      <c r="AA235" s="31">
        <f t="shared" si="78"/>
        <v>7476</v>
      </c>
      <c r="AB235" s="32">
        <f>3756+2384+95</f>
        <v>6235</v>
      </c>
      <c r="AC235" s="32"/>
      <c r="AD235" s="32"/>
      <c r="AE235" s="32">
        <f t="shared" si="74"/>
        <v>6235</v>
      </c>
      <c r="AF235" s="12"/>
      <c r="AH235" s="12"/>
      <c r="AI235" s="12">
        <f t="shared" si="75"/>
        <v>6235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45789</v>
      </c>
      <c r="C236" s="91">
        <f t="shared" si="76"/>
        <v>7681</v>
      </c>
      <c r="D236" s="32">
        <f>45650</f>
        <v>45650</v>
      </c>
      <c r="E236" s="32"/>
      <c r="F236" s="32"/>
      <c r="G236" s="32">
        <f t="shared" si="70"/>
        <v>45650</v>
      </c>
      <c r="H236" s="12"/>
      <c r="I236" s="12"/>
      <c r="J236" s="12"/>
      <c r="K236" s="12">
        <f t="shared" si="71"/>
        <v>45650</v>
      </c>
      <c r="M236" s="10">
        <v>5</v>
      </c>
      <c r="N236" s="30">
        <v>45789</v>
      </c>
      <c r="O236" s="31">
        <f t="shared" si="77"/>
        <v>7629</v>
      </c>
      <c r="P236" s="32">
        <f>1878+596+38.5</f>
        <v>2512.5</v>
      </c>
      <c r="Q236" s="32"/>
      <c r="R236" s="32"/>
      <c r="S236" s="32">
        <f t="shared" si="72"/>
        <v>2512.5</v>
      </c>
      <c r="T236" s="12"/>
      <c r="U236" s="12"/>
      <c r="V236" s="12"/>
      <c r="W236" s="12">
        <f t="shared" si="73"/>
        <v>2512.5</v>
      </c>
      <c r="Y236" s="10">
        <v>5</v>
      </c>
      <c r="Z236" s="30">
        <v>45789</v>
      </c>
      <c r="AA236" s="31">
        <f t="shared" si="78"/>
        <v>7477</v>
      </c>
      <c r="AB236" s="32">
        <f>6260</f>
        <v>6260</v>
      </c>
      <c r="AC236" s="32"/>
      <c r="AD236" s="32"/>
      <c r="AE236" s="32">
        <f t="shared" ref="AE236:AE270" si="79">SUM(AB236:AC236)</f>
        <v>6260</v>
      </c>
      <c r="AF236" s="12"/>
      <c r="AG236" s="12">
        <v>40.5</v>
      </c>
      <c r="AH236" s="12"/>
      <c r="AI236" s="12">
        <f t="shared" si="75"/>
        <v>6300.5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45789</v>
      </c>
      <c r="C237" s="91">
        <f t="shared" si="76"/>
        <v>7682</v>
      </c>
      <c r="D237" s="32">
        <f>11268+171</f>
        <v>11439</v>
      </c>
      <c r="E237" s="32"/>
      <c r="F237" s="32"/>
      <c r="G237" s="32">
        <f t="shared" si="70"/>
        <v>11439</v>
      </c>
      <c r="H237" s="12"/>
      <c r="I237" s="12">
        <v>27</v>
      </c>
      <c r="J237" s="12"/>
      <c r="K237" s="12">
        <f t="shared" si="71"/>
        <v>11466</v>
      </c>
      <c r="M237" s="10">
        <v>6</v>
      </c>
      <c r="N237" s="30">
        <v>45789</v>
      </c>
      <c r="O237" s="31">
        <f t="shared" si="77"/>
        <v>7630</v>
      </c>
      <c r="P237" s="32">
        <f>1252+614+19</f>
        <v>1885</v>
      </c>
      <c r="Q237" s="32"/>
      <c r="R237" s="32"/>
      <c r="S237" s="32">
        <f t="shared" si="72"/>
        <v>1885</v>
      </c>
      <c r="T237" s="12"/>
      <c r="U237" s="12"/>
      <c r="V237" s="10"/>
      <c r="W237" s="12">
        <f t="shared" si="73"/>
        <v>1885</v>
      </c>
      <c r="Y237" s="10">
        <v>6</v>
      </c>
      <c r="Z237" s="30">
        <v>45789</v>
      </c>
      <c r="AA237" s="31">
        <f t="shared" si="78"/>
        <v>7478</v>
      </c>
      <c r="AB237" s="32">
        <f>1878+28.5</f>
        <v>1906.5</v>
      </c>
      <c r="AC237" s="32"/>
      <c r="AD237" s="32"/>
      <c r="AE237" s="32">
        <f t="shared" si="79"/>
        <v>1906.5</v>
      </c>
      <c r="AF237" s="12"/>
      <c r="AG237" s="12"/>
      <c r="AH237" s="10"/>
      <c r="AI237" s="12">
        <f t="shared" si="75"/>
        <v>1906.5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/>
      <c r="C238" s="11" t="s">
        <v>27</v>
      </c>
      <c r="D238" s="32"/>
      <c r="E238" s="32"/>
      <c r="F238" s="32"/>
      <c r="G238" s="32">
        <f t="shared" si="70"/>
        <v>0</v>
      </c>
      <c r="H238" s="12"/>
      <c r="I238" s="12"/>
      <c r="J238" s="12"/>
      <c r="K238" s="12">
        <f t="shared" si="71"/>
        <v>0</v>
      </c>
      <c r="M238" s="10">
        <v>7</v>
      </c>
      <c r="N238" s="30">
        <v>45789</v>
      </c>
      <c r="O238" s="31">
        <f t="shared" si="77"/>
        <v>7631</v>
      </c>
      <c r="P238" s="32">
        <f>2504+38</f>
        <v>2542</v>
      </c>
      <c r="Q238" s="32"/>
      <c r="R238" s="32"/>
      <c r="S238" s="32">
        <f t="shared" si="72"/>
        <v>2542</v>
      </c>
      <c r="T238" s="12"/>
      <c r="U238" s="12">
        <v>85.5</v>
      </c>
      <c r="V238" s="12"/>
      <c r="W238" s="12">
        <f t="shared" si="73"/>
        <v>2627.5</v>
      </c>
      <c r="Y238" s="10">
        <v>7</v>
      </c>
      <c r="Z238" s="30">
        <v>45789</v>
      </c>
      <c r="AA238" s="31">
        <f t="shared" si="78"/>
        <v>7479</v>
      </c>
      <c r="AB238" s="32">
        <f>1252+19</f>
        <v>1271</v>
      </c>
      <c r="AC238" s="32"/>
      <c r="AD238" s="32"/>
      <c r="AE238" s="32">
        <f t="shared" si="79"/>
        <v>1271</v>
      </c>
      <c r="AF238" s="12"/>
      <c r="AG238" s="58"/>
      <c r="AH238" s="12"/>
      <c r="AI238" s="12">
        <f t="shared" si="75"/>
        <v>1271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/>
      <c r="C239" s="91"/>
      <c r="D239" s="32"/>
      <c r="E239" s="32"/>
      <c r="F239" s="32"/>
      <c r="G239" s="32">
        <f t="shared" si="70"/>
        <v>0</v>
      </c>
      <c r="H239" s="12"/>
      <c r="I239" s="12"/>
      <c r="J239" s="12"/>
      <c r="K239" s="12">
        <f t="shared" si="71"/>
        <v>0</v>
      </c>
      <c r="M239" s="10">
        <v>8</v>
      </c>
      <c r="N239" s="30">
        <v>45789</v>
      </c>
      <c r="O239" s="31">
        <f t="shared" si="77"/>
        <v>7632</v>
      </c>
      <c r="P239" s="32">
        <f>6886+336</f>
        <v>7222</v>
      </c>
      <c r="Q239" s="32"/>
      <c r="R239" s="32"/>
      <c r="S239" s="32">
        <f t="shared" si="72"/>
        <v>7222</v>
      </c>
      <c r="T239" s="12"/>
      <c r="U239" s="12"/>
      <c r="V239" s="12"/>
      <c r="W239" s="12">
        <f t="shared" si="73"/>
        <v>7222</v>
      </c>
      <c r="Y239" s="10">
        <v>8</v>
      </c>
      <c r="Z239" s="30">
        <v>45789</v>
      </c>
      <c r="AA239" s="31">
        <f t="shared" si="78"/>
        <v>7480</v>
      </c>
      <c r="AB239" s="32">
        <f>3130+47.5</f>
        <v>3177.5</v>
      </c>
      <c r="AC239" s="32"/>
      <c r="AE239" s="32">
        <f t="shared" si="79"/>
        <v>3177.5</v>
      </c>
      <c r="AF239" s="12"/>
      <c r="AG239" s="12"/>
      <c r="AH239" s="12"/>
      <c r="AI239" s="12">
        <f t="shared" si="75"/>
        <v>3177.5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/>
      <c r="C240" s="91"/>
      <c r="D240" s="32"/>
      <c r="E240" s="32"/>
      <c r="F240" s="32"/>
      <c r="G240" s="32">
        <f t="shared" si="70"/>
        <v>0</v>
      </c>
      <c r="H240" s="12"/>
      <c r="I240" s="12"/>
      <c r="J240" s="12"/>
      <c r="K240" s="12">
        <f t="shared" si="71"/>
        <v>0</v>
      </c>
      <c r="M240" s="10">
        <v>9</v>
      </c>
      <c r="N240" s="30">
        <v>45789</v>
      </c>
      <c r="O240" s="31">
        <f t="shared" si="77"/>
        <v>7633</v>
      </c>
      <c r="P240" s="32">
        <f>3756+224</f>
        <v>3980</v>
      </c>
      <c r="Q240" s="32"/>
      <c r="R240" s="32"/>
      <c r="S240" s="32">
        <f t="shared" si="72"/>
        <v>3980</v>
      </c>
      <c r="T240" s="12"/>
      <c r="U240" s="12">
        <v>22.5</v>
      </c>
      <c r="V240" s="12"/>
      <c r="W240" s="12">
        <f t="shared" si="73"/>
        <v>4002.5</v>
      </c>
      <c r="Y240" s="10">
        <v>9</v>
      </c>
      <c r="Z240" s="30">
        <v>45789</v>
      </c>
      <c r="AA240" s="31">
        <f t="shared" si="78"/>
        <v>7481</v>
      </c>
      <c r="AB240">
        <f>1228</f>
        <v>1228</v>
      </c>
      <c r="AC240" s="32"/>
      <c r="AD240" s="32"/>
      <c r="AE240" s="32">
        <f t="shared" si="79"/>
        <v>1228</v>
      </c>
      <c r="AF240" s="12"/>
      <c r="AH240" s="12"/>
      <c r="AI240" s="12">
        <f t="shared" si="75"/>
        <v>1228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/>
      <c r="C241" s="91"/>
      <c r="D241" s="32"/>
      <c r="E241" s="32"/>
      <c r="F241" s="32"/>
      <c r="G241" s="32">
        <f t="shared" si="70"/>
        <v>0</v>
      </c>
      <c r="H241" s="12"/>
      <c r="I241" s="12"/>
      <c r="J241" s="12"/>
      <c r="K241" s="12">
        <f t="shared" si="71"/>
        <v>0</v>
      </c>
      <c r="M241" s="10">
        <v>10</v>
      </c>
      <c r="N241" s="30">
        <v>45789</v>
      </c>
      <c r="O241" s="31">
        <f t="shared" si="77"/>
        <v>7634</v>
      </c>
      <c r="P241" s="32">
        <f>1788+28.5</f>
        <v>1816.5</v>
      </c>
      <c r="Q241" s="32"/>
      <c r="R241" s="32"/>
      <c r="S241" s="32">
        <f t="shared" si="72"/>
        <v>1816.5</v>
      </c>
      <c r="T241" s="12"/>
      <c r="U241" s="12"/>
      <c r="V241" s="12"/>
      <c r="W241" s="12">
        <f t="shared" si="73"/>
        <v>1816.5</v>
      </c>
      <c r="Y241" s="10">
        <v>10</v>
      </c>
      <c r="Z241" s="30">
        <v>45789</v>
      </c>
      <c r="AA241" s="31">
        <f t="shared" si="78"/>
        <v>7482</v>
      </c>
      <c r="AB241" s="32">
        <f>1192+852+19</f>
        <v>2063</v>
      </c>
      <c r="AC241" s="32"/>
      <c r="AD241" s="32"/>
      <c r="AE241" s="32">
        <f t="shared" si="79"/>
        <v>2063</v>
      </c>
      <c r="AF241" s="12"/>
      <c r="AG241" s="12"/>
      <c r="AH241" s="12"/>
      <c r="AI241" s="12">
        <f t="shared" si="75"/>
        <v>2063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91"/>
      <c r="D242" s="32"/>
      <c r="E242" s="32"/>
      <c r="F242" s="32"/>
      <c r="G242" s="32">
        <f t="shared" si="70"/>
        <v>0</v>
      </c>
      <c r="H242" s="12"/>
      <c r="I242" s="12"/>
      <c r="J242" s="12"/>
      <c r="K242" s="12">
        <f t="shared" si="71"/>
        <v>0</v>
      </c>
      <c r="M242" s="10">
        <v>11</v>
      </c>
      <c r="N242" s="30">
        <v>45789</v>
      </c>
      <c r="O242" s="31">
        <f t="shared" si="77"/>
        <v>7635</v>
      </c>
      <c r="P242" s="32">
        <f>1878+28.5</f>
        <v>1906.5</v>
      </c>
      <c r="Q242" s="32"/>
      <c r="R242" s="32"/>
      <c r="S242" s="32">
        <f t="shared" si="72"/>
        <v>1906.5</v>
      </c>
      <c r="T242" s="12"/>
      <c r="U242" s="12"/>
      <c r="V242" s="12"/>
      <c r="W242" s="12">
        <f t="shared" si="73"/>
        <v>1906.5</v>
      </c>
      <c r="Y242" s="10">
        <v>11</v>
      </c>
      <c r="Z242" s="30">
        <v>45789</v>
      </c>
      <c r="AA242" s="31">
        <f t="shared" si="78"/>
        <v>7483</v>
      </c>
      <c r="AB242" s="32">
        <f>7512+852+832</f>
        <v>9196</v>
      </c>
      <c r="AC242" s="32"/>
      <c r="AD242" s="32"/>
      <c r="AE242" s="32">
        <f t="shared" si="79"/>
        <v>9196</v>
      </c>
      <c r="AF242" s="12"/>
      <c r="AG242" s="12"/>
      <c r="AH242" s="12"/>
      <c r="AI242" s="12">
        <f t="shared" si="75"/>
        <v>9196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C243" s="91"/>
      <c r="D243" s="32"/>
      <c r="E243" s="32"/>
      <c r="F243" s="32"/>
      <c r="G243" s="32">
        <f t="shared" si="70"/>
        <v>0</v>
      </c>
      <c r="H243" s="12"/>
      <c r="I243" s="12"/>
      <c r="J243" s="10"/>
      <c r="K243" s="12">
        <f t="shared" si="71"/>
        <v>0</v>
      </c>
      <c r="M243" s="10">
        <v>12</v>
      </c>
      <c r="N243" s="30">
        <v>45789</v>
      </c>
      <c r="O243" s="31">
        <f t="shared" si="77"/>
        <v>7636</v>
      </c>
      <c r="P243" s="32">
        <f>3130+47.5</f>
        <v>3177.5</v>
      </c>
      <c r="Q243" s="32"/>
      <c r="R243" s="32"/>
      <c r="S243" s="32">
        <f t="shared" si="72"/>
        <v>3177.5</v>
      </c>
      <c r="T243" s="12"/>
      <c r="U243" s="12">
        <v>13.5</v>
      </c>
      <c r="V243" s="12"/>
      <c r="W243" s="12">
        <f t="shared" si="73"/>
        <v>3191</v>
      </c>
      <c r="Y243" s="10">
        <v>12</v>
      </c>
      <c r="Z243" s="30">
        <v>45789</v>
      </c>
      <c r="AA243" s="31">
        <f t="shared" si="78"/>
        <v>7484</v>
      </c>
      <c r="AB243" s="32">
        <f>3130+596</f>
        <v>3726</v>
      </c>
      <c r="AC243" s="32"/>
      <c r="AD243" s="32"/>
      <c r="AE243" s="32">
        <f t="shared" si="79"/>
        <v>3726</v>
      </c>
      <c r="AF243" s="12"/>
      <c r="AG243" s="12"/>
      <c r="AH243" s="12"/>
      <c r="AI243" s="12">
        <f t="shared" si="75"/>
        <v>3726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91"/>
      <c r="D244" s="32"/>
      <c r="E244" s="32"/>
      <c r="F244" s="32"/>
      <c r="G244" s="32">
        <f t="shared" si="70"/>
        <v>0</v>
      </c>
      <c r="H244" s="12"/>
      <c r="I244" s="12"/>
      <c r="J244" s="12"/>
      <c r="K244" s="12">
        <f t="shared" si="71"/>
        <v>0</v>
      </c>
      <c r="M244" s="10">
        <v>13</v>
      </c>
      <c r="N244" s="30">
        <v>45789</v>
      </c>
      <c r="O244" s="31">
        <f t="shared" si="77"/>
        <v>7637</v>
      </c>
      <c r="P244" s="32">
        <f>1252+19</f>
        <v>1271</v>
      </c>
      <c r="Q244" s="32"/>
      <c r="R244" s="32"/>
      <c r="S244" s="32">
        <f t="shared" si="72"/>
        <v>1271</v>
      </c>
      <c r="T244" s="12"/>
      <c r="U244" s="12"/>
      <c r="V244" s="12"/>
      <c r="W244" s="12">
        <f t="shared" si="73"/>
        <v>1271</v>
      </c>
      <c r="Y244" s="10">
        <v>13</v>
      </c>
      <c r="Z244" s="30">
        <v>45789</v>
      </c>
      <c r="AA244" s="31">
        <f t="shared" si="78"/>
        <v>7485</v>
      </c>
      <c r="AB244" s="32">
        <f>5634</f>
        <v>5634</v>
      </c>
      <c r="AC244" s="32"/>
      <c r="AD244" s="32"/>
      <c r="AE244" s="32">
        <f t="shared" si="79"/>
        <v>5634</v>
      </c>
      <c r="AF244" s="12"/>
      <c r="AG244" s="12"/>
      <c r="AH244" s="12"/>
      <c r="AI244" s="12">
        <f t="shared" si="75"/>
        <v>5634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91"/>
      <c r="D245" s="32"/>
      <c r="E245" s="32"/>
      <c r="F245" s="32"/>
      <c r="G245" s="32">
        <f t="shared" si="70"/>
        <v>0</v>
      </c>
      <c r="H245" s="12"/>
      <c r="I245" s="12"/>
      <c r="J245" s="12"/>
      <c r="K245" s="12">
        <f t="shared" si="71"/>
        <v>0</v>
      </c>
      <c r="M245" s="10">
        <v>14</v>
      </c>
      <c r="N245" s="30">
        <v>45789</v>
      </c>
      <c r="O245" s="31">
        <f t="shared" si="77"/>
        <v>7638</v>
      </c>
      <c r="P245" s="32">
        <f>1252+19</f>
        <v>1271</v>
      </c>
      <c r="Q245" s="32"/>
      <c r="R245" s="32"/>
      <c r="S245" s="32">
        <f t="shared" si="72"/>
        <v>1271</v>
      </c>
      <c r="T245" s="12"/>
      <c r="U245" s="12"/>
      <c r="V245" s="12"/>
      <c r="W245" s="12">
        <f t="shared" si="73"/>
        <v>1271</v>
      </c>
      <c r="Y245" s="10">
        <v>14</v>
      </c>
      <c r="Z245" s="30">
        <v>45789</v>
      </c>
      <c r="AA245" s="31">
        <f t="shared" si="78"/>
        <v>7486</v>
      </c>
      <c r="AB245" s="32">
        <f>3130+614+2022+596+852+1005+832+229+500</f>
        <v>9780</v>
      </c>
      <c r="AC245" s="32"/>
      <c r="AD245" s="32"/>
      <c r="AE245" s="32">
        <f t="shared" si="79"/>
        <v>9780</v>
      </c>
      <c r="AF245" s="12"/>
      <c r="AG245" s="12"/>
      <c r="AH245" s="12"/>
      <c r="AI245" s="12">
        <f t="shared" si="75"/>
        <v>9780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91"/>
      <c r="D246" s="32"/>
      <c r="E246" s="32"/>
      <c r="F246" s="32"/>
      <c r="G246" s="32">
        <f t="shared" si="70"/>
        <v>0</v>
      </c>
      <c r="H246" s="12"/>
      <c r="I246" s="12"/>
      <c r="J246" s="12"/>
      <c r="K246" s="12">
        <f t="shared" si="71"/>
        <v>0</v>
      </c>
      <c r="M246" s="10">
        <v>15</v>
      </c>
      <c r="N246" s="30">
        <v>45789</v>
      </c>
      <c r="O246" s="31">
        <f t="shared" si="77"/>
        <v>7639</v>
      </c>
      <c r="P246" s="32">
        <f>20032</f>
        <v>20032</v>
      </c>
      <c r="Q246" s="32"/>
      <c r="R246" s="32"/>
      <c r="S246" s="32">
        <f t="shared" si="72"/>
        <v>20032</v>
      </c>
      <c r="T246" s="12"/>
      <c r="U246" s="12"/>
      <c r="V246" s="12"/>
      <c r="W246" s="12">
        <f t="shared" si="73"/>
        <v>20032</v>
      </c>
      <c r="Y246" s="10">
        <v>15</v>
      </c>
      <c r="Z246" s="30">
        <v>45789</v>
      </c>
      <c r="AA246" s="31">
        <f t="shared" si="78"/>
        <v>7487</v>
      </c>
      <c r="AB246" s="32">
        <f>6140</f>
        <v>6140</v>
      </c>
      <c r="AC246" s="32"/>
      <c r="AD246" s="32"/>
      <c r="AE246" s="32">
        <f t="shared" si="79"/>
        <v>6140</v>
      </c>
      <c r="AF246" s="12"/>
      <c r="AG246" s="12"/>
      <c r="AH246" s="12"/>
      <c r="AI246" s="12">
        <f t="shared" si="75"/>
        <v>6140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C247" s="91"/>
      <c r="D247" s="32"/>
      <c r="E247" s="32"/>
      <c r="F247" s="32"/>
      <c r="G247" s="32">
        <f t="shared" si="70"/>
        <v>0</v>
      </c>
      <c r="H247" s="12"/>
      <c r="I247" s="12"/>
      <c r="J247" s="12"/>
      <c r="K247" s="12">
        <f t="shared" si="71"/>
        <v>0</v>
      </c>
      <c r="M247" s="10">
        <v>16</v>
      </c>
      <c r="N247" s="30">
        <v>45789</v>
      </c>
      <c r="O247" s="31">
        <f t="shared" si="77"/>
        <v>7640</v>
      </c>
      <c r="P247" s="32">
        <f>626*27+674</f>
        <v>17576</v>
      </c>
      <c r="Q247" s="32"/>
      <c r="R247" s="32"/>
      <c r="S247" s="32">
        <f t="shared" si="72"/>
        <v>17576</v>
      </c>
      <c r="T247" s="12"/>
      <c r="U247" s="12"/>
      <c r="V247" s="12"/>
      <c r="W247" s="12">
        <f t="shared" si="73"/>
        <v>17576</v>
      </c>
      <c r="Y247" s="10">
        <v>16</v>
      </c>
      <c r="Z247" s="30">
        <v>45789</v>
      </c>
      <c r="AA247" s="31">
        <f t="shared" si="78"/>
        <v>7488</v>
      </c>
      <c r="AB247" s="32">
        <f>9390+3070+114</f>
        <v>12574</v>
      </c>
      <c r="AC247" s="32"/>
      <c r="AD247" s="32"/>
      <c r="AE247" s="32">
        <f t="shared" si="79"/>
        <v>12574</v>
      </c>
      <c r="AF247" s="12"/>
      <c r="AG247" s="12"/>
      <c r="AH247" s="12"/>
      <c r="AI247" s="12">
        <f t="shared" si="75"/>
        <v>12574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D248" s="32"/>
      <c r="E248" s="32"/>
      <c r="F248" s="32"/>
      <c r="G248" s="32">
        <f t="shared" si="70"/>
        <v>0</v>
      </c>
      <c r="H248" s="12"/>
      <c r="I248" s="12"/>
      <c r="J248" s="12"/>
      <c r="K248" s="12">
        <f t="shared" si="71"/>
        <v>0</v>
      </c>
      <c r="M248" s="10">
        <v>17</v>
      </c>
      <c r="N248" s="30">
        <v>45789</v>
      </c>
      <c r="O248" s="31">
        <f t="shared" si="77"/>
        <v>7641</v>
      </c>
      <c r="P248" s="35">
        <f>5634+596+9.5*10</f>
        <v>6325</v>
      </c>
      <c r="Q248" s="32"/>
      <c r="R248" s="32"/>
      <c r="S248" s="32">
        <f t="shared" si="72"/>
        <v>6325</v>
      </c>
      <c r="T248" s="12"/>
      <c r="U248" s="12"/>
      <c r="V248" s="12"/>
      <c r="W248" s="12">
        <f t="shared" si="73"/>
        <v>6325</v>
      </c>
      <c r="Y248" s="10">
        <v>17</v>
      </c>
      <c r="Z248" s="30">
        <v>45789</v>
      </c>
      <c r="AA248" s="31">
        <f t="shared" si="78"/>
        <v>7489</v>
      </c>
      <c r="AB248" s="35">
        <f>31300+458</f>
        <v>31758</v>
      </c>
      <c r="AC248" s="32">
        <v>-300</v>
      </c>
      <c r="AD248" s="32"/>
      <c r="AE248" s="32">
        <f t="shared" si="79"/>
        <v>31458</v>
      </c>
      <c r="AF248" s="12"/>
      <c r="AG248" s="12"/>
      <c r="AH248" s="12">
        <v>-234</v>
      </c>
      <c r="AI248" s="12">
        <f t="shared" si="75"/>
        <v>31224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57"/>
      <c r="D249" s="32"/>
      <c r="E249" s="32"/>
      <c r="F249" s="32"/>
      <c r="G249" s="32">
        <f t="shared" si="70"/>
        <v>0</v>
      </c>
      <c r="H249" s="12"/>
      <c r="I249" s="12"/>
      <c r="J249" s="12"/>
      <c r="K249" s="12">
        <f t="shared" si="71"/>
        <v>0</v>
      </c>
      <c r="M249" s="10">
        <v>18</v>
      </c>
      <c r="N249" s="30">
        <v>45789</v>
      </c>
      <c r="O249" s="31">
        <f t="shared" si="77"/>
        <v>7642</v>
      </c>
      <c r="P249" s="32">
        <f>6260+596+104.5</f>
        <v>6960.5</v>
      </c>
      <c r="Q249" s="32"/>
      <c r="R249" s="32"/>
      <c r="S249" s="32">
        <f t="shared" si="72"/>
        <v>6960.5</v>
      </c>
      <c r="T249" s="12"/>
      <c r="U249" s="12"/>
      <c r="V249" s="12"/>
      <c r="W249" s="12">
        <f t="shared" si="73"/>
        <v>6960.5</v>
      </c>
      <c r="Y249" s="10">
        <v>18</v>
      </c>
      <c r="Z249" s="30">
        <v>45789</v>
      </c>
      <c r="AA249" s="31">
        <f t="shared" si="78"/>
        <v>7490</v>
      </c>
      <c r="AB249" s="32">
        <f>6260+9.5*10</f>
        <v>6355</v>
      </c>
      <c r="AC249" s="32"/>
      <c r="AD249" s="32"/>
      <c r="AE249" s="32">
        <f t="shared" si="79"/>
        <v>6355</v>
      </c>
      <c r="AF249" s="12"/>
      <c r="AG249" s="12"/>
      <c r="AH249" s="12"/>
      <c r="AI249" s="12">
        <f t="shared" si="75"/>
        <v>6355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91"/>
      <c r="D250" s="32"/>
      <c r="E250" s="32"/>
      <c r="F250" s="32"/>
      <c r="G250" s="32">
        <f t="shared" si="70"/>
        <v>0</v>
      </c>
      <c r="H250" s="12"/>
      <c r="I250" s="12"/>
      <c r="J250" s="12"/>
      <c r="K250" s="12">
        <f t="shared" si="71"/>
        <v>0</v>
      </c>
      <c r="M250" s="10">
        <v>19</v>
      </c>
      <c r="N250" s="30">
        <v>45789</v>
      </c>
      <c r="O250" s="31">
        <f t="shared" si="77"/>
        <v>7643</v>
      </c>
      <c r="P250" s="32">
        <f>1252+1348+1192+229</f>
        <v>4021</v>
      </c>
      <c r="Q250" s="32"/>
      <c r="R250" s="32"/>
      <c r="S250" s="32">
        <f t="shared" si="72"/>
        <v>4021</v>
      </c>
      <c r="T250" s="12"/>
      <c r="U250" s="12"/>
      <c r="V250" s="12"/>
      <c r="W250" s="12">
        <f t="shared" si="73"/>
        <v>4021</v>
      </c>
      <c r="Y250" s="10">
        <v>19</v>
      </c>
      <c r="Z250" s="30">
        <v>45789</v>
      </c>
      <c r="AA250" s="31">
        <f t="shared" si="78"/>
        <v>7491</v>
      </c>
      <c r="AB250" s="32">
        <f>1252+19</f>
        <v>1271</v>
      </c>
      <c r="AC250" s="32"/>
      <c r="AD250" s="32"/>
      <c r="AE250" s="32">
        <f t="shared" si="79"/>
        <v>1271</v>
      </c>
      <c r="AF250" s="12"/>
      <c r="AG250" s="12"/>
      <c r="AH250" s="12"/>
      <c r="AI250" s="12">
        <f t="shared" si="75"/>
        <v>1271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91"/>
      <c r="D251" s="32"/>
      <c r="E251" s="32"/>
      <c r="F251" s="32"/>
      <c r="G251" s="32">
        <f t="shared" si="70"/>
        <v>0</v>
      </c>
      <c r="H251" s="12"/>
      <c r="I251" s="12"/>
      <c r="J251" s="12"/>
      <c r="K251" s="12">
        <f t="shared" si="71"/>
        <v>0</v>
      </c>
      <c r="M251" s="10">
        <v>20</v>
      </c>
      <c r="N251" s="30">
        <v>45789</v>
      </c>
      <c r="O251" s="31">
        <f t="shared" si="77"/>
        <v>7644</v>
      </c>
      <c r="P251" s="32">
        <f>626</f>
        <v>626</v>
      </c>
      <c r="Q251" s="32"/>
      <c r="R251" s="32"/>
      <c r="S251" s="32">
        <f t="shared" si="72"/>
        <v>626</v>
      </c>
      <c r="T251" s="12"/>
      <c r="U251" s="12"/>
      <c r="V251" s="12"/>
      <c r="W251" s="12">
        <f t="shared" si="73"/>
        <v>626</v>
      </c>
      <c r="Y251" s="10">
        <v>20</v>
      </c>
      <c r="Z251" s="30">
        <v>45789</v>
      </c>
      <c r="AA251" s="31">
        <f t="shared" si="78"/>
        <v>7492</v>
      </c>
      <c r="AB251" s="32">
        <f>8138+614</f>
        <v>8752</v>
      </c>
      <c r="AC251" s="32"/>
      <c r="AD251" s="32"/>
      <c r="AE251" s="32">
        <f t="shared" si="79"/>
        <v>8752</v>
      </c>
      <c r="AF251" s="12"/>
      <c r="AG251" s="12"/>
      <c r="AH251" s="12">
        <v>-666</v>
      </c>
      <c r="AI251" s="12">
        <f t="shared" si="75"/>
        <v>8086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91"/>
      <c r="D252" s="32"/>
      <c r="E252" s="32"/>
      <c r="F252" s="32"/>
      <c r="G252" s="32">
        <f t="shared" si="70"/>
        <v>0</v>
      </c>
      <c r="H252" s="10"/>
      <c r="I252" s="10"/>
      <c r="J252" s="10"/>
      <c r="K252" s="12">
        <f t="shared" si="71"/>
        <v>0</v>
      </c>
      <c r="M252" s="10">
        <v>21</v>
      </c>
      <c r="N252" s="30"/>
      <c r="O252" s="11" t="s">
        <v>27</v>
      </c>
      <c r="P252" s="46"/>
      <c r="Q252" s="31"/>
      <c r="R252" s="31"/>
      <c r="S252" s="32">
        <f t="shared" si="72"/>
        <v>0</v>
      </c>
      <c r="T252" s="10"/>
      <c r="U252" s="10"/>
      <c r="V252" s="10"/>
      <c r="W252" s="12">
        <f t="shared" si="73"/>
        <v>0</v>
      </c>
      <c r="Y252" s="10">
        <v>21</v>
      </c>
      <c r="Z252" s="30"/>
      <c r="AA252" s="11" t="s">
        <v>27</v>
      </c>
      <c r="AB252" s="46"/>
      <c r="AC252" s="31"/>
      <c r="AD252" s="31"/>
      <c r="AE252" s="32">
        <f t="shared" si="79"/>
        <v>0</v>
      </c>
      <c r="AF252" s="10"/>
      <c r="AG252" s="10"/>
      <c r="AH252" s="10"/>
      <c r="AI252" s="12">
        <f t="shared" si="75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91"/>
      <c r="D253" s="32"/>
      <c r="E253" s="32"/>
      <c r="F253" s="32"/>
      <c r="G253" s="32">
        <f t="shared" si="70"/>
        <v>0</v>
      </c>
      <c r="H253" s="10"/>
      <c r="I253" s="10"/>
      <c r="J253" s="10"/>
      <c r="K253" s="12">
        <f t="shared" si="71"/>
        <v>0</v>
      </c>
      <c r="M253" s="10">
        <v>22</v>
      </c>
      <c r="N253" s="30"/>
      <c r="O253" s="31"/>
      <c r="P253" s="45"/>
      <c r="Q253" s="31"/>
      <c r="R253" s="31"/>
      <c r="S253" s="32">
        <f t="shared" si="72"/>
        <v>0</v>
      </c>
      <c r="T253" s="10"/>
      <c r="U253" s="10"/>
      <c r="V253" s="10"/>
      <c r="W253" s="12">
        <f t="shared" si="73"/>
        <v>0</v>
      </c>
      <c r="Y253" s="10">
        <v>22</v>
      </c>
      <c r="Z253" s="30"/>
      <c r="AB253" s="45"/>
      <c r="AC253" s="31"/>
      <c r="AD253" s="31"/>
      <c r="AE253" s="32">
        <f t="shared" si="79"/>
        <v>0</v>
      </c>
      <c r="AF253" s="10"/>
      <c r="AG253" s="10"/>
      <c r="AH253" s="10"/>
      <c r="AI253" s="12">
        <f t="shared" si="75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57"/>
      <c r="D254" s="32"/>
      <c r="E254" s="32"/>
      <c r="F254" s="32"/>
      <c r="G254" s="32">
        <f t="shared" si="70"/>
        <v>0</v>
      </c>
      <c r="H254" s="10"/>
      <c r="I254" s="10"/>
      <c r="J254" s="12"/>
      <c r="K254" s="12">
        <f t="shared" si="71"/>
        <v>0</v>
      </c>
      <c r="M254" s="10">
        <v>23</v>
      </c>
      <c r="N254" s="30"/>
      <c r="O254" s="31"/>
      <c r="P254" s="47"/>
      <c r="S254" s="32">
        <f t="shared" si="72"/>
        <v>0</v>
      </c>
      <c r="T254" s="10"/>
      <c r="U254" s="10"/>
      <c r="V254" s="10"/>
      <c r="W254" s="12">
        <f t="shared" si="73"/>
        <v>0</v>
      </c>
      <c r="Y254" s="10">
        <v>23</v>
      </c>
      <c r="Z254" s="30"/>
      <c r="AA254" s="31"/>
      <c r="AB254" s="47"/>
      <c r="AE254" s="32">
        <f t="shared" si="79"/>
        <v>0</v>
      </c>
      <c r="AF254" s="10"/>
      <c r="AG254" s="10"/>
      <c r="AH254" s="10"/>
      <c r="AI254" s="12">
        <f t="shared" si="75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31"/>
      <c r="D255" s="32"/>
      <c r="E255" s="32"/>
      <c r="F255" s="32"/>
      <c r="G255" s="32">
        <f t="shared" si="70"/>
        <v>0</v>
      </c>
      <c r="H255" s="10"/>
      <c r="I255" s="10"/>
      <c r="J255" s="10"/>
      <c r="K255" s="12">
        <f t="shared" si="71"/>
        <v>0</v>
      </c>
      <c r="M255" s="10">
        <v>24</v>
      </c>
      <c r="N255" s="30"/>
      <c r="O255" s="31"/>
      <c r="P255" s="47"/>
      <c r="Q255" s="31"/>
      <c r="R255" s="31"/>
      <c r="S255" s="32">
        <f t="shared" si="72"/>
        <v>0</v>
      </c>
      <c r="T255" s="10"/>
      <c r="U255" s="10"/>
      <c r="V255" s="10"/>
      <c r="W255" s="12">
        <f t="shared" si="73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9"/>
        <v>0</v>
      </c>
      <c r="AF255" s="10"/>
      <c r="AG255" s="10"/>
      <c r="AH255" s="10"/>
      <c r="AI255" s="12">
        <f t="shared" si="75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31"/>
      <c r="D256" s="32"/>
      <c r="E256" s="32"/>
      <c r="F256" s="32"/>
      <c r="G256" s="32">
        <f t="shared" si="70"/>
        <v>0</v>
      </c>
      <c r="H256" s="10"/>
      <c r="I256" s="10"/>
      <c r="J256" s="10"/>
      <c r="K256" s="12">
        <f t="shared" si="71"/>
        <v>0</v>
      </c>
      <c r="M256" s="10">
        <v>25</v>
      </c>
      <c r="N256" s="30"/>
      <c r="O256" s="31"/>
      <c r="P256" s="47"/>
      <c r="Q256" s="31"/>
      <c r="R256" s="31"/>
      <c r="S256" s="32">
        <f t="shared" si="72"/>
        <v>0</v>
      </c>
      <c r="T256" s="10"/>
      <c r="U256" s="10"/>
      <c r="V256" s="10"/>
      <c r="W256" s="12">
        <f t="shared" si="73"/>
        <v>0</v>
      </c>
      <c r="Y256" s="10">
        <v>25</v>
      </c>
      <c r="Z256" s="30"/>
      <c r="AA256" s="11"/>
      <c r="AB256" s="47"/>
      <c r="AC256" s="31"/>
      <c r="AD256" s="31"/>
      <c r="AE256" s="32">
        <f t="shared" si="79"/>
        <v>0</v>
      </c>
      <c r="AF256" s="10"/>
      <c r="AG256" s="10"/>
      <c r="AH256" s="10"/>
      <c r="AI256" s="12">
        <f t="shared" si="75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11"/>
      <c r="D257" s="32"/>
      <c r="E257" s="32"/>
      <c r="F257" s="32"/>
      <c r="G257" s="32">
        <f t="shared" si="70"/>
        <v>0</v>
      </c>
      <c r="H257" s="10"/>
      <c r="I257" s="10"/>
      <c r="J257" s="10"/>
      <c r="K257" s="12">
        <f t="shared" si="71"/>
        <v>0</v>
      </c>
      <c r="M257" s="10">
        <v>26</v>
      </c>
      <c r="N257" s="30"/>
      <c r="P257" s="47"/>
      <c r="Q257" s="31"/>
      <c r="R257" s="31"/>
      <c r="S257" s="32">
        <f t="shared" si="72"/>
        <v>0</v>
      </c>
      <c r="T257" s="10"/>
      <c r="U257" s="10"/>
      <c r="V257" s="10"/>
      <c r="W257" s="12">
        <f t="shared" si="73"/>
        <v>0</v>
      </c>
      <c r="Y257" s="10">
        <v>26</v>
      </c>
      <c r="Z257" s="30"/>
      <c r="AB257" s="47"/>
      <c r="AC257" s="31"/>
      <c r="AD257" s="31"/>
      <c r="AE257" s="32">
        <f t="shared" si="79"/>
        <v>0</v>
      </c>
      <c r="AF257" s="10"/>
      <c r="AG257" s="10"/>
      <c r="AH257" s="10"/>
      <c r="AI257" s="12">
        <f t="shared" si="75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57"/>
      <c r="D258" s="32"/>
      <c r="E258" s="32"/>
      <c r="F258" s="32"/>
      <c r="G258" s="32">
        <f t="shared" si="70"/>
        <v>0</v>
      </c>
      <c r="H258" s="10"/>
      <c r="I258" s="10"/>
      <c r="J258" s="10"/>
      <c r="K258" s="12">
        <f t="shared" si="71"/>
        <v>0</v>
      </c>
      <c r="M258" s="10">
        <v>27</v>
      </c>
      <c r="N258" s="30"/>
      <c r="O258" s="31"/>
      <c r="P258" s="47"/>
      <c r="Q258" s="31"/>
      <c r="R258" s="31"/>
      <c r="S258" s="32">
        <f t="shared" si="72"/>
        <v>0</v>
      </c>
      <c r="T258" s="10"/>
      <c r="U258" s="10"/>
      <c r="V258" s="10"/>
      <c r="W258" s="12">
        <f t="shared" si="73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9"/>
        <v>0</v>
      </c>
      <c r="AF258" s="10"/>
      <c r="AG258" s="10"/>
      <c r="AH258" s="10"/>
      <c r="AI258" s="12">
        <f t="shared" si="75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31"/>
      <c r="D259" s="32"/>
      <c r="E259" s="32"/>
      <c r="F259" s="32"/>
      <c r="G259" s="32">
        <f t="shared" si="70"/>
        <v>0</v>
      </c>
      <c r="H259" s="10"/>
      <c r="I259" s="10"/>
      <c r="J259" s="10"/>
      <c r="K259" s="12">
        <f t="shared" si="71"/>
        <v>0</v>
      </c>
      <c r="M259" s="10">
        <v>28</v>
      </c>
      <c r="N259" s="30"/>
      <c r="O259" s="31"/>
      <c r="P259" s="47"/>
      <c r="Q259" s="31"/>
      <c r="R259" s="31"/>
      <c r="S259" s="32">
        <f t="shared" si="72"/>
        <v>0</v>
      </c>
      <c r="T259" s="10"/>
      <c r="U259" s="10"/>
      <c r="V259" s="10"/>
      <c r="W259" s="12">
        <f t="shared" si="73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9"/>
        <v>0</v>
      </c>
      <c r="AF259" s="10"/>
      <c r="AG259" s="10"/>
      <c r="AH259" s="10"/>
      <c r="AI259" s="12">
        <f t="shared" si="75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31"/>
      <c r="D260" s="32"/>
      <c r="E260" s="32"/>
      <c r="F260" s="32"/>
      <c r="G260" s="32">
        <f t="shared" si="70"/>
        <v>0</v>
      </c>
      <c r="H260" s="10"/>
      <c r="I260" s="10"/>
      <c r="J260" s="10"/>
      <c r="K260" s="12">
        <f t="shared" si="71"/>
        <v>0</v>
      </c>
      <c r="M260" s="10">
        <v>29</v>
      </c>
      <c r="N260" s="30"/>
      <c r="P260" s="47"/>
      <c r="Q260" s="31"/>
      <c r="R260" s="31"/>
      <c r="S260" s="32">
        <f t="shared" si="72"/>
        <v>0</v>
      </c>
      <c r="T260" s="10"/>
      <c r="U260" s="10"/>
      <c r="V260" s="10"/>
      <c r="W260" s="12">
        <f t="shared" si="73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9"/>
        <v>0</v>
      </c>
      <c r="AF260" s="10"/>
      <c r="AG260" s="10"/>
      <c r="AH260" s="10"/>
      <c r="AI260" s="12">
        <f t="shared" si="75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57"/>
      <c r="D261" s="32"/>
      <c r="E261" s="32"/>
      <c r="F261" s="32"/>
      <c r="G261" s="32">
        <f t="shared" si="70"/>
        <v>0</v>
      </c>
      <c r="H261" s="10"/>
      <c r="I261" s="10"/>
      <c r="J261" s="10"/>
      <c r="K261" s="12">
        <f t="shared" si="71"/>
        <v>0</v>
      </c>
      <c r="M261" s="10">
        <v>30</v>
      </c>
      <c r="N261" s="30"/>
      <c r="P261" s="47"/>
      <c r="Q261" s="31"/>
      <c r="R261" s="31"/>
      <c r="S261" s="32">
        <f t="shared" si="72"/>
        <v>0</v>
      </c>
      <c r="T261" s="10"/>
      <c r="U261" s="10"/>
      <c r="V261" s="10"/>
      <c r="W261" s="12">
        <f t="shared" si="73"/>
        <v>0</v>
      </c>
      <c r="Y261" s="10">
        <v>30</v>
      </c>
      <c r="Z261" s="30"/>
      <c r="AB261" s="47"/>
      <c r="AC261" s="31"/>
      <c r="AD261" s="31"/>
      <c r="AE261" s="32">
        <f t="shared" si="79"/>
        <v>0</v>
      </c>
      <c r="AF261" s="10"/>
      <c r="AG261" s="10"/>
      <c r="AH261" s="10"/>
      <c r="AI261" s="12">
        <f t="shared" si="75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57"/>
      <c r="D262" s="32"/>
      <c r="E262" s="32"/>
      <c r="F262" s="32"/>
      <c r="G262" s="32">
        <f t="shared" si="70"/>
        <v>0</v>
      </c>
      <c r="H262" s="10"/>
      <c r="I262" s="10"/>
      <c r="J262" s="10"/>
      <c r="K262" s="12">
        <f t="shared" si="71"/>
        <v>0</v>
      </c>
      <c r="M262" s="10">
        <v>31</v>
      </c>
      <c r="N262" s="30"/>
      <c r="O262" s="31"/>
      <c r="P262" s="47"/>
      <c r="Q262" s="31"/>
      <c r="R262" s="31"/>
      <c r="S262" s="32">
        <f t="shared" si="72"/>
        <v>0</v>
      </c>
      <c r="T262" s="10"/>
      <c r="U262" s="10"/>
      <c r="V262" s="10"/>
      <c r="W262" s="12">
        <f t="shared" si="73"/>
        <v>0</v>
      </c>
      <c r="Y262" s="10">
        <v>31</v>
      </c>
      <c r="Z262" s="30"/>
      <c r="AB262" s="47"/>
      <c r="AC262" s="31"/>
      <c r="AD262" s="31"/>
      <c r="AE262" s="32">
        <f t="shared" si="79"/>
        <v>0</v>
      </c>
      <c r="AF262" s="10"/>
      <c r="AG262" s="10"/>
      <c r="AH262" s="10"/>
      <c r="AI262" s="12">
        <f t="shared" si="75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31"/>
      <c r="D263" s="32"/>
      <c r="E263" s="32"/>
      <c r="F263" s="32"/>
      <c r="G263" s="32">
        <f t="shared" si="70"/>
        <v>0</v>
      </c>
      <c r="H263" s="10"/>
      <c r="I263" s="10"/>
      <c r="J263" s="10"/>
      <c r="K263" s="12">
        <f t="shared" si="71"/>
        <v>0</v>
      </c>
      <c r="M263" s="10">
        <v>32</v>
      </c>
      <c r="N263" s="30"/>
      <c r="P263" s="47"/>
      <c r="Q263" s="31"/>
      <c r="R263" s="31"/>
      <c r="S263" s="32">
        <f t="shared" si="72"/>
        <v>0</v>
      </c>
      <c r="T263" s="10"/>
      <c r="U263" s="10"/>
      <c r="V263" s="10"/>
      <c r="W263" s="12">
        <f t="shared" si="73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9"/>
        <v>0</v>
      </c>
      <c r="AF263" s="10"/>
      <c r="AG263" s="10"/>
      <c r="AH263" s="10"/>
      <c r="AI263" s="12">
        <f t="shared" si="75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57"/>
      <c r="D264" s="32"/>
      <c r="E264" s="32"/>
      <c r="F264" s="32"/>
      <c r="G264" s="32">
        <f t="shared" si="70"/>
        <v>0</v>
      </c>
      <c r="H264" s="10"/>
      <c r="I264" s="10"/>
      <c r="J264" s="10"/>
      <c r="K264" s="12">
        <f t="shared" si="71"/>
        <v>0</v>
      </c>
      <c r="M264" s="10">
        <v>33</v>
      </c>
      <c r="N264" s="30"/>
      <c r="O264" s="31"/>
      <c r="P264" s="47"/>
      <c r="Q264" s="31"/>
      <c r="R264" s="31"/>
      <c r="S264" s="32">
        <f t="shared" si="72"/>
        <v>0</v>
      </c>
      <c r="T264" s="10"/>
      <c r="U264" s="10"/>
      <c r="V264" s="10"/>
      <c r="W264" s="12">
        <f t="shared" si="73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9"/>
        <v>0</v>
      </c>
      <c r="AF264" s="10"/>
      <c r="AG264" s="10"/>
      <c r="AH264" s="10"/>
      <c r="AI264" s="12">
        <f t="shared" si="75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57"/>
      <c r="D265" s="32"/>
      <c r="E265" s="32"/>
      <c r="F265" s="32"/>
      <c r="G265" s="32">
        <f t="shared" si="70"/>
        <v>0</v>
      </c>
      <c r="H265" s="10"/>
      <c r="I265" s="10"/>
      <c r="J265" s="10"/>
      <c r="K265" s="12">
        <f t="shared" si="71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0">SUM(P265:Q265)</f>
        <v>0</v>
      </c>
      <c r="T265" s="10"/>
      <c r="U265" s="10"/>
      <c r="V265" s="10"/>
      <c r="W265" s="12">
        <f t="shared" ref="W265:W273" si="81">SUM(S265:V265)</f>
        <v>0</v>
      </c>
      <c r="Y265" s="10">
        <v>34</v>
      </c>
      <c r="Z265" s="30"/>
      <c r="AB265" s="47"/>
      <c r="AC265" s="31"/>
      <c r="AD265" s="31"/>
      <c r="AE265" s="32">
        <f t="shared" si="79"/>
        <v>0</v>
      </c>
      <c r="AF265" s="10"/>
      <c r="AG265" s="10"/>
      <c r="AH265" s="10"/>
      <c r="AI265" s="12">
        <f t="shared" ref="AI265:AI273" si="82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0"/>
        <v>0</v>
      </c>
      <c r="T266" s="10"/>
      <c r="U266" s="10"/>
      <c r="V266" s="10"/>
      <c r="W266" s="12">
        <f t="shared" si="81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9"/>
        <v>0</v>
      </c>
      <c r="AF266" s="10"/>
      <c r="AG266" s="10"/>
      <c r="AH266" s="10"/>
      <c r="AI266" s="12">
        <f t="shared" si="82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0"/>
        <v>0</v>
      </c>
      <c r="T267" s="10"/>
      <c r="U267" s="10"/>
      <c r="V267" s="10"/>
      <c r="W267" s="12">
        <f t="shared" si="81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9"/>
        <v>0</v>
      </c>
      <c r="AF267" s="10"/>
      <c r="AG267" s="10"/>
      <c r="AH267" s="10"/>
      <c r="AI267" s="12">
        <f t="shared" si="82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0"/>
        <v>0</v>
      </c>
      <c r="T268" s="10"/>
      <c r="U268" s="10"/>
      <c r="V268" s="10"/>
      <c r="W268" s="12">
        <f t="shared" si="81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9"/>
        <v>0</v>
      </c>
      <c r="AF268" s="10"/>
      <c r="AG268" s="10"/>
      <c r="AH268" s="10"/>
      <c r="AI268" s="12">
        <f t="shared" si="82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0"/>
        <v>0</v>
      </c>
      <c r="T269" s="10"/>
      <c r="U269" s="10"/>
      <c r="V269" s="10"/>
      <c r="W269" s="12">
        <f t="shared" si="81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9"/>
        <v>0</v>
      </c>
      <c r="AF269" s="10"/>
      <c r="AG269" s="10"/>
      <c r="AH269" s="10"/>
      <c r="AI269" s="12">
        <f t="shared" si="82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0"/>
        <v>0</v>
      </c>
      <c r="T270" s="10"/>
      <c r="U270" s="10"/>
      <c r="V270" s="10"/>
      <c r="W270" s="12">
        <f t="shared" si="81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9"/>
        <v>0</v>
      </c>
      <c r="AF270" s="10"/>
      <c r="AG270" s="10"/>
      <c r="AH270" s="10"/>
      <c r="AI270" s="12">
        <f t="shared" si="82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1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82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3">SUM(D272:E272)</f>
        <v>0</v>
      </c>
      <c r="H272" s="10"/>
      <c r="I272" s="10"/>
      <c r="J272" s="10"/>
      <c r="K272" s="12">
        <f t="shared" ref="K272" si="84">SUM(G272:J272)</f>
        <v>0</v>
      </c>
      <c r="M272" s="10"/>
      <c r="N272" s="30"/>
      <c r="O272" s="31"/>
      <c r="P272" s="47"/>
      <c r="Q272" s="31"/>
      <c r="R272" s="31"/>
      <c r="S272" s="32">
        <f t="shared" ref="S272" si="85">SUM(P272:Q272)</f>
        <v>0</v>
      </c>
      <c r="T272" s="10"/>
      <c r="U272" s="10"/>
      <c r="V272" s="10"/>
      <c r="W272" s="12">
        <f t="shared" si="81"/>
        <v>0</v>
      </c>
      <c r="Y272" s="10"/>
      <c r="Z272" s="30"/>
      <c r="AA272" s="31"/>
      <c r="AB272" s="47"/>
      <c r="AC272" s="31"/>
      <c r="AD272" s="31"/>
      <c r="AE272" s="32">
        <f t="shared" ref="AE272" si="86">SUM(AB272:AC272)</f>
        <v>0</v>
      </c>
      <c r="AF272" s="10"/>
      <c r="AG272" s="10"/>
      <c r="AH272" s="10"/>
      <c r="AI272" s="12">
        <f t="shared" si="82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1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82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407261</v>
      </c>
      <c r="E275" s="38">
        <f t="shared" ref="E275:F275" si="87">SUM(E232:E272)</f>
        <v>-3012</v>
      </c>
      <c r="F275" s="38">
        <f t="shared" si="87"/>
        <v>0</v>
      </c>
      <c r="G275" s="38">
        <f>SUM(G232:G274)</f>
        <v>404249</v>
      </c>
      <c r="H275" s="4"/>
      <c r="I275" s="39">
        <f>SUM(I232:I274)</f>
        <v>1440</v>
      </c>
      <c r="J275" s="39">
        <f>SUM(J232:J274)</f>
        <v>-32346</v>
      </c>
      <c r="K275" s="40">
        <f>SUM(K232:K274)</f>
        <v>373343</v>
      </c>
      <c r="N275" s="57"/>
      <c r="O275" s="57"/>
      <c r="P275" s="38">
        <f>SUM(P232:P274)</f>
        <v>126319</v>
      </c>
      <c r="Q275" s="38">
        <f>SUM(Q232:Q256)</f>
        <v>0</v>
      </c>
      <c r="R275" s="38">
        <f>SUM(R232:R256)</f>
        <v>0</v>
      </c>
      <c r="S275" s="38">
        <f>SUM(S232:S274)</f>
        <v>126319</v>
      </c>
      <c r="T275" s="4"/>
      <c r="U275" s="41">
        <f>SUM(U232:U274)</f>
        <v>193.5</v>
      </c>
      <c r="V275" s="41">
        <f>SUM(V232:V256)</f>
        <v>-555</v>
      </c>
      <c r="W275" s="42">
        <f>SUM(W232:W274)</f>
        <v>125957.5</v>
      </c>
      <c r="Z275" s="57"/>
      <c r="AA275" s="57"/>
      <c r="AB275" s="38">
        <f>SUM(AB232:AB274)</f>
        <v>140964.5</v>
      </c>
      <c r="AC275" s="38">
        <f>SUM(AC232:AC256)</f>
        <v>-300</v>
      </c>
      <c r="AD275" s="38">
        <f>SUM(AD232:AD256)</f>
        <v>0</v>
      </c>
      <c r="AE275" s="38">
        <f>SUM(AE232:AE274)</f>
        <v>140664.5</v>
      </c>
      <c r="AF275" s="4"/>
      <c r="AG275" s="41">
        <f>SUM(AG232:AG274)</f>
        <v>1723.5</v>
      </c>
      <c r="AH275" s="41">
        <f>SUM(AH232:AH256)</f>
        <v>-900</v>
      </c>
      <c r="AI275" s="42">
        <f>SUM(AI232:AI274)</f>
        <v>141488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33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37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31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5" t="s">
        <v>17</v>
      </c>
      <c r="E285" s="115"/>
      <c r="F285" s="99"/>
      <c r="G285" s="27"/>
      <c r="I285" s="118" t="s">
        <v>18</v>
      </c>
      <c r="J285" s="119"/>
      <c r="K285" s="116" t="s">
        <v>19</v>
      </c>
      <c r="N285" s="25"/>
      <c r="O285" s="26"/>
      <c r="P285" s="115" t="s">
        <v>17</v>
      </c>
      <c r="Q285" s="115"/>
      <c r="R285" s="99"/>
      <c r="S285" s="27"/>
      <c r="U285" s="118" t="s">
        <v>18</v>
      </c>
      <c r="V285" s="119"/>
      <c r="W285" s="116" t="s">
        <v>19</v>
      </c>
      <c r="Z285" s="25"/>
      <c r="AA285" s="26"/>
      <c r="AB285" s="115" t="s">
        <v>17</v>
      </c>
      <c r="AC285" s="115"/>
      <c r="AD285" s="99"/>
      <c r="AE285" s="27"/>
      <c r="AG285" s="118" t="s">
        <v>18</v>
      </c>
      <c r="AH285" s="119"/>
      <c r="AI285" s="116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9" t="s">
        <v>22</v>
      </c>
      <c r="E286" s="78" t="s">
        <v>23</v>
      </c>
      <c r="F286" s="80" t="s">
        <v>32</v>
      </c>
      <c r="G286" s="80" t="s">
        <v>24</v>
      </c>
      <c r="I286" s="29" t="s">
        <v>25</v>
      </c>
      <c r="J286" s="29" t="s">
        <v>26</v>
      </c>
      <c r="K286" s="117"/>
      <c r="N286" s="28" t="s">
        <v>20</v>
      </c>
      <c r="O286" s="28" t="s">
        <v>21</v>
      </c>
      <c r="P286" s="79" t="s">
        <v>22</v>
      </c>
      <c r="Q286" s="80" t="s">
        <v>23</v>
      </c>
      <c r="R286" s="80" t="s">
        <v>32</v>
      </c>
      <c r="S286" s="80" t="s">
        <v>24</v>
      </c>
      <c r="U286" s="29" t="s">
        <v>25</v>
      </c>
      <c r="V286" s="29" t="s">
        <v>26</v>
      </c>
      <c r="W286" s="117"/>
      <c r="Z286" s="28" t="s">
        <v>20</v>
      </c>
      <c r="AA286" s="28" t="s">
        <v>21</v>
      </c>
      <c r="AB286" s="79" t="s">
        <v>22</v>
      </c>
      <c r="AC286" s="80" t="s">
        <v>23</v>
      </c>
      <c r="AD286" s="80" t="s">
        <v>32</v>
      </c>
      <c r="AE286" s="80" t="s">
        <v>24</v>
      </c>
      <c r="AG286" s="29" t="s">
        <v>25</v>
      </c>
      <c r="AH286" s="29" t="s">
        <v>26</v>
      </c>
      <c r="AI286" s="117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45820</v>
      </c>
      <c r="C287" s="91">
        <v>7683</v>
      </c>
      <c r="D287" s="32">
        <f>3756+57</f>
        <v>3813</v>
      </c>
      <c r="E287" s="32"/>
      <c r="F287" s="32"/>
      <c r="G287" s="32">
        <f t="shared" ref="G287:G320" si="88">SUM(D287:E287)</f>
        <v>3813</v>
      </c>
      <c r="H287" s="12"/>
      <c r="I287" s="12"/>
      <c r="J287" s="12"/>
      <c r="K287" s="12">
        <f t="shared" ref="K287:K320" si="89">SUM(G287:J287)</f>
        <v>3813</v>
      </c>
      <c r="M287" s="10">
        <v>1</v>
      </c>
      <c r="N287" s="30">
        <v>45820</v>
      </c>
      <c r="O287" s="31">
        <v>7645</v>
      </c>
      <c r="P287" s="32">
        <f>5008+336+1192+9.5</f>
        <v>6545.5</v>
      </c>
      <c r="Q287" s="32"/>
      <c r="R287" s="32"/>
      <c r="S287" s="32">
        <f>SUM(P287:Q287)</f>
        <v>6545.5</v>
      </c>
      <c r="T287" s="12"/>
      <c r="U287" s="12">
        <v>444</v>
      </c>
      <c r="V287" s="12"/>
      <c r="W287" s="12">
        <f>SUM(S287:V287)</f>
        <v>6989.5</v>
      </c>
      <c r="Y287" s="10">
        <v>1</v>
      </c>
      <c r="Z287" s="30">
        <v>45820</v>
      </c>
      <c r="AA287" s="31">
        <v>7493</v>
      </c>
      <c r="AB287" s="32">
        <f>62600+1704+916</f>
        <v>65220</v>
      </c>
      <c r="AC287" s="32">
        <v>-612</v>
      </c>
      <c r="AD287" s="32"/>
      <c r="AE287" s="32">
        <f>SUM(AB287:AC287)</f>
        <v>64608</v>
      </c>
      <c r="AF287" s="12"/>
      <c r="AG287" s="12">
        <v>31.5</v>
      </c>
      <c r="AH287" s="12"/>
      <c r="AI287" s="12">
        <f>SUM(AE287:AH287)</f>
        <v>64639.5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45820</v>
      </c>
      <c r="C288" s="91">
        <f>C287+1</f>
        <v>7684</v>
      </c>
      <c r="D288" s="32">
        <f>2504+596+47.5</f>
        <v>3147.5</v>
      </c>
      <c r="E288" s="32"/>
      <c r="F288" s="32"/>
      <c r="G288" s="32">
        <f t="shared" si="88"/>
        <v>3147.5</v>
      </c>
      <c r="H288" s="12"/>
      <c r="I288" s="12"/>
      <c r="J288" s="12"/>
      <c r="K288" s="12">
        <f t="shared" si="89"/>
        <v>3147.5</v>
      </c>
      <c r="M288" s="10">
        <v>2</v>
      </c>
      <c r="N288" s="30">
        <v>45820</v>
      </c>
      <c r="O288" s="31">
        <f>O287+1</f>
        <v>7646</v>
      </c>
      <c r="P288" s="32">
        <f>6260+9.5*10</f>
        <v>6355</v>
      </c>
      <c r="Q288" s="32"/>
      <c r="R288" s="32"/>
      <c r="S288" s="32">
        <f t="shared" ref="S288:S319" si="90">SUM(P288:Q288)</f>
        <v>6355</v>
      </c>
      <c r="T288" s="12"/>
      <c r="U288" s="12"/>
      <c r="V288" s="12"/>
      <c r="W288" s="12">
        <f t="shared" ref="W288:W319" si="91">SUM(S288:V288)</f>
        <v>6355</v>
      </c>
      <c r="Y288" s="10">
        <v>2</v>
      </c>
      <c r="Z288" s="30">
        <v>45820</v>
      </c>
      <c r="AA288" s="31">
        <f>AA287+1</f>
        <v>7494</v>
      </c>
      <c r="AB288" s="32">
        <f>62600+1842+5960+1664+1348</f>
        <v>73414</v>
      </c>
      <c r="AC288" s="32">
        <v>-702</v>
      </c>
      <c r="AD288" s="32"/>
      <c r="AE288" s="32">
        <f t="shared" ref="AE288:AE290" si="92">SUM(AB288:AC288)</f>
        <v>72712</v>
      </c>
      <c r="AF288" s="12"/>
      <c r="AG288" s="12"/>
      <c r="AH288" s="12"/>
      <c r="AI288" s="12">
        <f t="shared" ref="AI288:AI319" si="93">SUM(AE288:AH288)</f>
        <v>72712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45820</v>
      </c>
      <c r="C289" s="91">
        <f t="shared" ref="C289:C296" si="94">C288+1</f>
        <v>7685</v>
      </c>
      <c r="D289" s="33">
        <f>56966+8940+458</f>
        <v>66364</v>
      </c>
      <c r="E289" s="33"/>
      <c r="F289" s="33"/>
      <c r="G289" s="33">
        <f t="shared" si="88"/>
        <v>66364</v>
      </c>
      <c r="H289" s="34"/>
      <c r="I289" s="34"/>
      <c r="J289" s="34"/>
      <c r="K289" s="34">
        <f t="shared" si="89"/>
        <v>66364</v>
      </c>
      <c r="M289" s="10">
        <v>3</v>
      </c>
      <c r="N289" s="30">
        <v>45820</v>
      </c>
      <c r="O289" s="31">
        <f t="shared" ref="O289:O309" si="95">O288+1</f>
        <v>7647</v>
      </c>
      <c r="P289" s="32">
        <f>3756+336+1192</f>
        <v>5284</v>
      </c>
      <c r="Q289" s="32"/>
      <c r="R289" s="32"/>
      <c r="S289" s="32">
        <f t="shared" si="90"/>
        <v>5284</v>
      </c>
      <c r="T289" s="12"/>
      <c r="U289" s="12"/>
      <c r="V289" s="12"/>
      <c r="W289" s="12">
        <f t="shared" si="91"/>
        <v>5284</v>
      </c>
      <c r="Y289" s="10">
        <v>3</v>
      </c>
      <c r="Z289" s="30">
        <v>45820</v>
      </c>
      <c r="AA289" s="31">
        <f t="shared" ref="AA289:AA290" si="96">AA288+1</f>
        <v>7495</v>
      </c>
      <c r="AB289" s="33">
        <f>626*125+1145</f>
        <v>79395</v>
      </c>
      <c r="AC289" s="33">
        <f>-125*6</f>
        <v>-750</v>
      </c>
      <c r="AD289" s="32"/>
      <c r="AE289" s="32">
        <f t="shared" si="92"/>
        <v>78645</v>
      </c>
      <c r="AF289" s="12"/>
      <c r="AG289" s="12"/>
      <c r="AH289" s="12">
        <f>-444+-46</f>
        <v>-490</v>
      </c>
      <c r="AI289" s="12">
        <f t="shared" si="93"/>
        <v>78155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45820</v>
      </c>
      <c r="C290" s="91">
        <f t="shared" si="94"/>
        <v>7686</v>
      </c>
      <c r="D290" s="32">
        <f>1878+28.5</f>
        <v>1906.5</v>
      </c>
      <c r="E290" s="32"/>
      <c r="F290" s="32"/>
      <c r="G290" s="32">
        <f t="shared" si="88"/>
        <v>1906.5</v>
      </c>
      <c r="H290" s="12"/>
      <c r="I290" s="12"/>
      <c r="J290" s="12"/>
      <c r="K290" s="12">
        <f t="shared" si="89"/>
        <v>1906.5</v>
      </c>
      <c r="M290" s="10">
        <v>4</v>
      </c>
      <c r="N290" s="30">
        <v>45820</v>
      </c>
      <c r="O290" s="31">
        <f t="shared" si="95"/>
        <v>7648</v>
      </c>
      <c r="P290" s="32">
        <f>6260+95</f>
        <v>6355</v>
      </c>
      <c r="Q290" s="32"/>
      <c r="R290" s="32"/>
      <c r="S290" s="32">
        <f t="shared" si="90"/>
        <v>6355</v>
      </c>
      <c r="T290" s="12"/>
      <c r="U290" s="12"/>
      <c r="V290" s="12"/>
      <c r="W290" s="12">
        <f t="shared" si="91"/>
        <v>6355</v>
      </c>
      <c r="Y290" s="10">
        <v>4</v>
      </c>
      <c r="Z290" s="30">
        <v>45820</v>
      </c>
      <c r="AA290" s="31">
        <f t="shared" si="96"/>
        <v>7496</v>
      </c>
      <c r="AB290" s="32">
        <f>37560+8940</f>
        <v>46500</v>
      </c>
      <c r="AC290" s="32"/>
      <c r="AD290" s="32"/>
      <c r="AE290" s="32">
        <f t="shared" si="92"/>
        <v>46500</v>
      </c>
      <c r="AF290" s="12"/>
      <c r="AH290" s="12"/>
      <c r="AI290" s="12">
        <f t="shared" si="93"/>
        <v>46500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45820</v>
      </c>
      <c r="C291" s="91">
        <f t="shared" si="94"/>
        <v>7687</v>
      </c>
      <c r="D291" s="32">
        <f>43820+6556</f>
        <v>50376</v>
      </c>
      <c r="E291" s="32"/>
      <c r="F291" s="32"/>
      <c r="G291" s="32">
        <f t="shared" si="88"/>
        <v>50376</v>
      </c>
      <c r="H291" s="12"/>
      <c r="I291" s="12"/>
      <c r="J291" s="12"/>
      <c r="K291" s="12">
        <f t="shared" si="89"/>
        <v>50376</v>
      </c>
      <c r="M291" s="10">
        <v>5</v>
      </c>
      <c r="N291" s="30">
        <v>45820</v>
      </c>
      <c r="O291" s="31">
        <f t="shared" si="95"/>
        <v>7649</v>
      </c>
      <c r="P291" s="32">
        <f>5008+76</f>
        <v>5084</v>
      </c>
      <c r="Q291" s="32"/>
      <c r="R291" s="32"/>
      <c r="S291" s="32">
        <f t="shared" si="90"/>
        <v>5084</v>
      </c>
      <c r="T291" s="12"/>
      <c r="U291" s="12"/>
      <c r="V291" s="12"/>
      <c r="W291" s="12">
        <f t="shared" si="91"/>
        <v>5084</v>
      </c>
      <c r="Y291" s="10">
        <v>5</v>
      </c>
      <c r="Z291" s="30"/>
      <c r="AA291" s="11" t="s">
        <v>27</v>
      </c>
      <c r="AB291" s="32"/>
      <c r="AC291" s="32"/>
      <c r="AD291" s="32"/>
      <c r="AE291" s="32">
        <f t="shared" ref="AE291:AE325" si="97">SUM(AB291:AC291)</f>
        <v>0</v>
      </c>
      <c r="AF291" s="12"/>
      <c r="AG291" s="12"/>
      <c r="AH291" s="12"/>
      <c r="AI291" s="12">
        <f t="shared" si="93"/>
        <v>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45820</v>
      </c>
      <c r="C292" s="91">
        <f t="shared" si="94"/>
        <v>7688</v>
      </c>
      <c r="D292" s="32">
        <f>2504+596+47.5</f>
        <v>3147.5</v>
      </c>
      <c r="E292" s="32"/>
      <c r="F292" s="32"/>
      <c r="G292" s="32">
        <f t="shared" si="88"/>
        <v>3147.5</v>
      </c>
      <c r="H292" s="12"/>
      <c r="I292" s="12"/>
      <c r="J292" s="12"/>
      <c r="K292" s="12">
        <f t="shared" si="89"/>
        <v>3147.5</v>
      </c>
      <c r="M292" s="10">
        <v>6</v>
      </c>
      <c r="N292" s="30">
        <v>45820</v>
      </c>
      <c r="O292" s="31">
        <f t="shared" si="95"/>
        <v>7650</v>
      </c>
      <c r="P292" s="32">
        <f>6260+1192+114</f>
        <v>7566</v>
      </c>
      <c r="Q292" s="32"/>
      <c r="R292" s="32"/>
      <c r="S292" s="32">
        <f t="shared" si="90"/>
        <v>7566</v>
      </c>
      <c r="T292" s="12"/>
      <c r="U292" s="12"/>
      <c r="V292" s="10"/>
      <c r="W292" s="12">
        <f t="shared" si="91"/>
        <v>7566</v>
      </c>
      <c r="Y292" s="10">
        <v>6</v>
      </c>
      <c r="Z292" s="30"/>
      <c r="AA292" s="31"/>
      <c r="AB292" s="32"/>
      <c r="AC292" s="32"/>
      <c r="AD292" s="32"/>
      <c r="AE292" s="32">
        <f t="shared" si="97"/>
        <v>0</v>
      </c>
      <c r="AF292" s="12"/>
      <c r="AG292" s="12"/>
      <c r="AH292" s="10"/>
      <c r="AI292" s="12">
        <f t="shared" si="93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45820</v>
      </c>
      <c r="C293" s="91">
        <f t="shared" si="94"/>
        <v>7689</v>
      </c>
      <c r="D293" s="32">
        <f>1878+28.5</f>
        <v>1906.5</v>
      </c>
      <c r="E293" s="32"/>
      <c r="F293" s="32"/>
      <c r="G293" s="32">
        <f t="shared" si="88"/>
        <v>1906.5</v>
      </c>
      <c r="H293" s="12"/>
      <c r="I293" s="12"/>
      <c r="J293" s="12"/>
      <c r="K293" s="12">
        <f t="shared" si="89"/>
        <v>1906.5</v>
      </c>
      <c r="M293" s="10">
        <v>7</v>
      </c>
      <c r="N293" s="30">
        <v>45820</v>
      </c>
      <c r="O293" s="31">
        <v>7701</v>
      </c>
      <c r="P293" s="32">
        <f>6260+95</f>
        <v>6355</v>
      </c>
      <c r="Q293" s="32"/>
      <c r="R293" s="32"/>
      <c r="S293" s="32">
        <f t="shared" si="90"/>
        <v>6355</v>
      </c>
      <c r="T293" s="12"/>
      <c r="U293" s="12"/>
      <c r="V293" s="12"/>
      <c r="W293" s="12">
        <f t="shared" si="91"/>
        <v>6355</v>
      </c>
      <c r="Y293" s="10">
        <v>7</v>
      </c>
      <c r="Z293" s="30"/>
      <c r="AA293" s="31"/>
      <c r="AB293" s="32"/>
      <c r="AC293" s="32"/>
      <c r="AD293" s="32"/>
      <c r="AE293" s="32">
        <f t="shared" si="97"/>
        <v>0</v>
      </c>
      <c r="AF293" s="12"/>
      <c r="AG293" s="58"/>
      <c r="AH293" s="12"/>
      <c r="AI293" s="12">
        <f t="shared" si="93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45820</v>
      </c>
      <c r="C294" s="91">
        <f t="shared" si="94"/>
        <v>7690</v>
      </c>
      <c r="D294" s="32">
        <f>107672+9536+1145</f>
        <v>118353</v>
      </c>
      <c r="E294" s="32"/>
      <c r="F294" s="32"/>
      <c r="G294" s="32">
        <f t="shared" si="88"/>
        <v>118353</v>
      </c>
      <c r="H294" s="12"/>
      <c r="I294" s="12"/>
      <c r="J294" s="12"/>
      <c r="K294" s="12">
        <f t="shared" si="89"/>
        <v>118353</v>
      </c>
      <c r="M294" s="10">
        <v>8</v>
      </c>
      <c r="N294" s="30">
        <v>45820</v>
      </c>
      <c r="O294" s="31">
        <f t="shared" si="95"/>
        <v>7702</v>
      </c>
      <c r="P294" s="32">
        <f>9390+1192+161.5</f>
        <v>10743.5</v>
      </c>
      <c r="Q294" s="32"/>
      <c r="R294" s="32"/>
      <c r="S294" s="32">
        <f t="shared" si="90"/>
        <v>10743.5</v>
      </c>
      <c r="T294" s="12"/>
      <c r="U294" s="12"/>
      <c r="V294" s="12"/>
      <c r="W294" s="12">
        <f t="shared" si="91"/>
        <v>10743.5</v>
      </c>
      <c r="Y294" s="10">
        <v>8</v>
      </c>
      <c r="Z294" s="30"/>
      <c r="AA294" s="31"/>
      <c r="AB294" s="32"/>
      <c r="AC294" s="32"/>
      <c r="AE294" s="32">
        <f t="shared" si="97"/>
        <v>0</v>
      </c>
      <c r="AF294" s="12"/>
      <c r="AG294" s="12"/>
      <c r="AH294" s="12"/>
      <c r="AI294" s="12">
        <f t="shared" si="93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45820</v>
      </c>
      <c r="C295" s="91">
        <f t="shared" si="94"/>
        <v>7691</v>
      </c>
      <c r="D295" s="32">
        <f>5008+2022</f>
        <v>7030</v>
      </c>
      <c r="E295" s="32"/>
      <c r="F295" s="32"/>
      <c r="G295" s="32">
        <f t="shared" si="88"/>
        <v>7030</v>
      </c>
      <c r="H295" s="12"/>
      <c r="I295" s="12"/>
      <c r="J295" s="12"/>
      <c r="K295" s="12">
        <f t="shared" si="89"/>
        <v>7030</v>
      </c>
      <c r="M295" s="10">
        <v>9</v>
      </c>
      <c r="N295" s="30">
        <v>45820</v>
      </c>
      <c r="O295" s="31">
        <f t="shared" si="95"/>
        <v>7703</v>
      </c>
      <c r="P295" s="32">
        <f>1252+19</f>
        <v>1271</v>
      </c>
      <c r="Q295" s="32"/>
      <c r="R295" s="32"/>
      <c r="S295" s="32">
        <f t="shared" si="90"/>
        <v>1271</v>
      </c>
      <c r="T295" s="12"/>
      <c r="U295" s="12"/>
      <c r="V295" s="12"/>
      <c r="W295" s="12">
        <f t="shared" si="91"/>
        <v>1271</v>
      </c>
      <c r="Y295" s="10">
        <v>9</v>
      </c>
      <c r="Z295" s="30"/>
      <c r="AA295" s="31"/>
      <c r="AC295" s="32"/>
      <c r="AD295" s="32"/>
      <c r="AE295" s="32">
        <f t="shared" si="97"/>
        <v>0</v>
      </c>
      <c r="AF295" s="12"/>
      <c r="AH295" s="12"/>
      <c r="AI295" s="12">
        <f t="shared" si="93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45820</v>
      </c>
      <c r="C296" s="91">
        <f t="shared" si="94"/>
        <v>7692</v>
      </c>
      <c r="D296" s="32">
        <f>2504+38</f>
        <v>2542</v>
      </c>
      <c r="E296" s="32"/>
      <c r="F296" s="32"/>
      <c r="G296" s="32">
        <f t="shared" si="88"/>
        <v>2542</v>
      </c>
      <c r="H296" s="12"/>
      <c r="I296" s="12"/>
      <c r="J296" s="12"/>
      <c r="K296" s="12">
        <f t="shared" si="89"/>
        <v>2542</v>
      </c>
      <c r="M296" s="10">
        <v>10</v>
      </c>
      <c r="N296" s="30">
        <v>45820</v>
      </c>
      <c r="O296" s="31">
        <f t="shared" si="95"/>
        <v>7704</v>
      </c>
      <c r="P296" s="32">
        <f>1252+19</f>
        <v>1271</v>
      </c>
      <c r="Q296" s="32"/>
      <c r="R296" s="32"/>
      <c r="S296" s="32">
        <f t="shared" si="90"/>
        <v>1271</v>
      </c>
      <c r="T296" s="12"/>
      <c r="U296" s="12"/>
      <c r="V296" s="12"/>
      <c r="W296" s="12">
        <f t="shared" si="91"/>
        <v>1271</v>
      </c>
      <c r="Y296" s="10">
        <v>10</v>
      </c>
      <c r="Z296" s="30"/>
      <c r="AA296" s="31"/>
      <c r="AB296" s="32"/>
      <c r="AC296" s="32"/>
      <c r="AD296" s="32"/>
      <c r="AE296" s="32">
        <f t="shared" si="97"/>
        <v>0</v>
      </c>
      <c r="AF296" s="12"/>
      <c r="AG296" s="12"/>
      <c r="AH296" s="12"/>
      <c r="AI296" s="12">
        <f t="shared" si="93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>
        <v>45820</v>
      </c>
      <c r="C297" s="91">
        <v>7694</v>
      </c>
      <c r="D297" s="32">
        <f>25040+5960+229</f>
        <v>31229</v>
      </c>
      <c r="E297" s="32"/>
      <c r="F297" s="32"/>
      <c r="G297" s="32">
        <f t="shared" si="88"/>
        <v>31229</v>
      </c>
      <c r="H297" s="12"/>
      <c r="I297" s="12"/>
      <c r="J297" s="12">
        <v>-31080</v>
      </c>
      <c r="K297" s="12">
        <f t="shared" si="89"/>
        <v>149</v>
      </c>
      <c r="M297" s="10">
        <v>11</v>
      </c>
      <c r="N297" s="30">
        <v>45820</v>
      </c>
      <c r="O297" s="31">
        <f t="shared" si="95"/>
        <v>7705</v>
      </c>
      <c r="P297" s="32">
        <f>3130+47.5</f>
        <v>3177.5</v>
      </c>
      <c r="Q297" s="32"/>
      <c r="R297" s="32"/>
      <c r="S297" s="32">
        <f t="shared" si="90"/>
        <v>3177.5</v>
      </c>
      <c r="T297" s="12"/>
      <c r="U297" s="12">
        <v>18</v>
      </c>
      <c r="V297" s="12"/>
      <c r="W297" s="12">
        <f t="shared" si="91"/>
        <v>3195.5</v>
      </c>
      <c r="Y297" s="10">
        <v>11</v>
      </c>
      <c r="Z297" s="30"/>
      <c r="AA297" s="31"/>
      <c r="AB297" s="32"/>
      <c r="AC297" s="32"/>
      <c r="AD297" s="32"/>
      <c r="AE297" s="32">
        <f t="shared" si="97"/>
        <v>0</v>
      </c>
      <c r="AF297" s="12"/>
      <c r="AG297" s="12"/>
      <c r="AH297" s="12"/>
      <c r="AI297" s="12">
        <f t="shared" si="93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11" t="s">
        <v>27</v>
      </c>
      <c r="D298" s="32"/>
      <c r="E298" s="32"/>
      <c r="F298" s="32"/>
      <c r="G298" s="32">
        <f t="shared" si="88"/>
        <v>0</v>
      </c>
      <c r="H298" s="12"/>
      <c r="I298" s="12"/>
      <c r="J298" s="10"/>
      <c r="K298" s="12">
        <f t="shared" si="89"/>
        <v>0</v>
      </c>
      <c r="M298" s="10">
        <v>12</v>
      </c>
      <c r="N298" s="30">
        <v>45820</v>
      </c>
      <c r="O298" s="31">
        <f t="shared" si="95"/>
        <v>7706</v>
      </c>
      <c r="P298" s="32">
        <f>2504+112</f>
        <v>2616</v>
      </c>
      <c r="Q298" s="32"/>
      <c r="R298" s="32"/>
      <c r="S298" s="32">
        <f t="shared" si="90"/>
        <v>2616</v>
      </c>
      <c r="T298" s="12"/>
      <c r="U298" s="12"/>
      <c r="V298" s="12"/>
      <c r="W298" s="12">
        <f t="shared" si="91"/>
        <v>2616</v>
      </c>
      <c r="Y298" s="10">
        <v>12</v>
      </c>
      <c r="Z298" s="30"/>
      <c r="AA298" s="31"/>
      <c r="AB298" s="32"/>
      <c r="AC298" s="32"/>
      <c r="AD298" s="32"/>
      <c r="AE298" s="32">
        <f t="shared" si="97"/>
        <v>0</v>
      </c>
      <c r="AF298" s="12"/>
      <c r="AG298" s="12"/>
      <c r="AH298" s="12"/>
      <c r="AI298" s="12">
        <f t="shared" si="93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91"/>
      <c r="D299" s="32"/>
      <c r="E299" s="32"/>
      <c r="F299" s="32"/>
      <c r="G299" s="32">
        <f t="shared" si="88"/>
        <v>0</v>
      </c>
      <c r="H299" s="12"/>
      <c r="I299" s="12"/>
      <c r="J299" s="12"/>
      <c r="K299" s="12">
        <f t="shared" si="89"/>
        <v>0</v>
      </c>
      <c r="M299" s="10">
        <v>13</v>
      </c>
      <c r="N299" s="30">
        <v>45820</v>
      </c>
      <c r="O299" s="31">
        <f t="shared" si="95"/>
        <v>7707</v>
      </c>
      <c r="P299" s="32">
        <f>1252+614+19</f>
        <v>1885</v>
      </c>
      <c r="Q299" s="32"/>
      <c r="R299" s="32"/>
      <c r="S299" s="32">
        <f t="shared" si="90"/>
        <v>1885</v>
      </c>
      <c r="T299" s="12"/>
      <c r="U299" s="12"/>
      <c r="V299" s="12"/>
      <c r="W299" s="12">
        <f t="shared" si="91"/>
        <v>1885</v>
      </c>
      <c r="Y299" s="10">
        <v>13</v>
      </c>
      <c r="Z299" s="30"/>
      <c r="AA299" s="31"/>
      <c r="AB299" s="32"/>
      <c r="AC299" s="32"/>
      <c r="AD299" s="32"/>
      <c r="AE299" s="32">
        <f t="shared" si="97"/>
        <v>0</v>
      </c>
      <c r="AF299" s="12"/>
      <c r="AG299" s="12"/>
      <c r="AH299" s="12"/>
      <c r="AI299" s="12">
        <f t="shared" si="93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91"/>
      <c r="D300" s="32"/>
      <c r="E300" s="32"/>
      <c r="F300" s="32"/>
      <c r="G300" s="32">
        <f t="shared" si="88"/>
        <v>0</v>
      </c>
      <c r="H300" s="12"/>
      <c r="I300" s="12"/>
      <c r="J300" s="12"/>
      <c r="K300" s="12">
        <f t="shared" si="89"/>
        <v>0</v>
      </c>
      <c r="M300" s="10">
        <v>14</v>
      </c>
      <c r="N300" s="30">
        <v>45820</v>
      </c>
      <c r="O300" s="31">
        <f t="shared" si="95"/>
        <v>7708</v>
      </c>
      <c r="P300" s="32">
        <f>1878+614+596*2+47.5</f>
        <v>3731.5</v>
      </c>
      <c r="Q300" s="32"/>
      <c r="R300" s="32"/>
      <c r="S300" s="32">
        <f t="shared" si="90"/>
        <v>3731.5</v>
      </c>
      <c r="T300" s="12"/>
      <c r="U300" s="12"/>
      <c r="V300" s="12"/>
      <c r="W300" s="12">
        <f t="shared" si="91"/>
        <v>3731.5</v>
      </c>
      <c r="Y300" s="10">
        <v>14</v>
      </c>
      <c r="Z300" s="30"/>
      <c r="AA300" s="31"/>
      <c r="AB300" s="32"/>
      <c r="AC300" s="32"/>
      <c r="AD300" s="32"/>
      <c r="AE300" s="32">
        <f t="shared" si="97"/>
        <v>0</v>
      </c>
      <c r="AF300" s="12"/>
      <c r="AG300" s="12"/>
      <c r="AH300" s="12"/>
      <c r="AI300" s="12">
        <f t="shared" si="93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91"/>
      <c r="D301" s="32"/>
      <c r="E301" s="32"/>
      <c r="F301" s="32"/>
      <c r="G301" s="32">
        <f t="shared" si="88"/>
        <v>0</v>
      </c>
      <c r="H301" s="12"/>
      <c r="I301" s="12"/>
      <c r="J301" s="12"/>
      <c r="K301" s="12">
        <f t="shared" si="89"/>
        <v>0</v>
      </c>
      <c r="M301" s="10">
        <v>15</v>
      </c>
      <c r="N301" s="30">
        <v>45820</v>
      </c>
      <c r="O301" s="31">
        <f t="shared" si="95"/>
        <v>7709</v>
      </c>
      <c r="P301" s="32">
        <f>1252+596+28.5</f>
        <v>1876.5</v>
      </c>
      <c r="Q301" s="32"/>
      <c r="R301" s="32"/>
      <c r="S301" s="32">
        <f t="shared" si="90"/>
        <v>1876.5</v>
      </c>
      <c r="T301" s="12"/>
      <c r="U301" s="12"/>
      <c r="V301" s="12"/>
      <c r="W301" s="12">
        <f t="shared" si="91"/>
        <v>1876.5</v>
      </c>
      <c r="Y301" s="10">
        <v>15</v>
      </c>
      <c r="Z301" s="30"/>
      <c r="AA301" s="31"/>
      <c r="AB301" s="32"/>
      <c r="AC301" s="32"/>
      <c r="AD301" s="32"/>
      <c r="AE301" s="32">
        <f t="shared" si="97"/>
        <v>0</v>
      </c>
      <c r="AF301" s="12"/>
      <c r="AG301" s="12"/>
      <c r="AH301" s="12"/>
      <c r="AI301" s="12">
        <f t="shared" si="93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11"/>
      <c r="D302" s="32"/>
      <c r="E302" s="32"/>
      <c r="F302" s="32"/>
      <c r="G302" s="32">
        <f t="shared" si="88"/>
        <v>0</v>
      </c>
      <c r="H302" s="12"/>
      <c r="I302" s="12"/>
      <c r="J302" s="12"/>
      <c r="K302" s="12">
        <f t="shared" si="89"/>
        <v>0</v>
      </c>
      <c r="M302" s="10">
        <v>16</v>
      </c>
      <c r="N302" s="30">
        <v>45820</v>
      </c>
      <c r="O302" s="31">
        <f t="shared" si="95"/>
        <v>7710</v>
      </c>
      <c r="P302" s="32">
        <f>50080+4298+913+596*20+852+832+458</f>
        <v>69353</v>
      </c>
      <c r="Q302" s="32"/>
      <c r="R302" s="32"/>
      <c r="S302" s="32">
        <f t="shared" si="90"/>
        <v>69353</v>
      </c>
      <c r="T302" s="12"/>
      <c r="U302" s="12"/>
      <c r="V302" s="12"/>
      <c r="W302" s="12">
        <f t="shared" si="91"/>
        <v>69353</v>
      </c>
      <c r="Y302" s="10">
        <v>16</v>
      </c>
      <c r="Z302" s="30"/>
      <c r="AA302" s="31"/>
      <c r="AB302" s="32"/>
      <c r="AC302" s="32"/>
      <c r="AD302" s="32"/>
      <c r="AE302" s="32">
        <f t="shared" si="97"/>
        <v>0</v>
      </c>
      <c r="AF302" s="12"/>
      <c r="AG302" s="12"/>
      <c r="AH302" s="12"/>
      <c r="AI302" s="12">
        <f t="shared" si="93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11"/>
      <c r="D303" s="32"/>
      <c r="E303" s="32"/>
      <c r="F303" s="32"/>
      <c r="G303" s="32">
        <f t="shared" si="88"/>
        <v>0</v>
      </c>
      <c r="H303" s="12"/>
      <c r="I303" s="12"/>
      <c r="J303" s="12"/>
      <c r="K303" s="12">
        <f t="shared" si="89"/>
        <v>0</v>
      </c>
      <c r="M303" s="10">
        <v>17</v>
      </c>
      <c r="N303" s="30">
        <v>45820</v>
      </c>
      <c r="O303" s="31">
        <f t="shared" si="95"/>
        <v>7711</v>
      </c>
      <c r="P303" s="35">
        <f>3756+57</f>
        <v>3813</v>
      </c>
      <c r="Q303" s="32"/>
      <c r="R303" s="32"/>
      <c r="S303" s="32">
        <f t="shared" si="90"/>
        <v>3813</v>
      </c>
      <c r="T303" s="12"/>
      <c r="U303" s="12"/>
      <c r="V303" s="12"/>
      <c r="W303" s="12">
        <f t="shared" si="91"/>
        <v>3813</v>
      </c>
      <c r="Y303" s="10">
        <v>17</v>
      </c>
      <c r="Z303" s="30"/>
      <c r="AA303" s="31"/>
      <c r="AB303" s="35"/>
      <c r="AC303" s="32"/>
      <c r="AD303" s="32"/>
      <c r="AE303" s="32">
        <f t="shared" si="97"/>
        <v>0</v>
      </c>
      <c r="AF303" s="12"/>
      <c r="AG303" s="12"/>
      <c r="AH303" s="12"/>
      <c r="AI303" s="12">
        <f t="shared" si="93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57"/>
      <c r="D304" s="32"/>
      <c r="E304" s="32"/>
      <c r="F304" s="32"/>
      <c r="G304" s="32">
        <f t="shared" si="88"/>
        <v>0</v>
      </c>
      <c r="H304" s="12"/>
      <c r="I304" s="12"/>
      <c r="J304" s="12"/>
      <c r="K304" s="12">
        <f t="shared" si="89"/>
        <v>0</v>
      </c>
      <c r="M304" s="10">
        <v>18</v>
      </c>
      <c r="N304" s="30">
        <v>45820</v>
      </c>
      <c r="O304" s="31">
        <f t="shared" si="95"/>
        <v>7712</v>
      </c>
      <c r="P304" s="32">
        <f>2504+38</f>
        <v>2542</v>
      </c>
      <c r="Q304" s="32"/>
      <c r="R304" s="32"/>
      <c r="S304" s="32">
        <f t="shared" si="90"/>
        <v>2542</v>
      </c>
      <c r="T304" s="12"/>
      <c r="U304" s="12"/>
      <c r="V304" s="12"/>
      <c r="W304" s="12">
        <f t="shared" si="91"/>
        <v>2542</v>
      </c>
      <c r="Y304" s="10">
        <v>18</v>
      </c>
      <c r="Z304" s="30"/>
      <c r="AA304" s="31"/>
      <c r="AB304" s="32"/>
      <c r="AC304" s="32"/>
      <c r="AD304" s="32"/>
      <c r="AE304" s="32">
        <f t="shared" si="97"/>
        <v>0</v>
      </c>
      <c r="AF304" s="12"/>
      <c r="AG304" s="12"/>
      <c r="AH304" s="12"/>
      <c r="AI304" s="12">
        <f t="shared" si="93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91"/>
      <c r="D305" s="32"/>
      <c r="E305" s="32"/>
      <c r="F305" s="32"/>
      <c r="G305" s="32">
        <f t="shared" si="88"/>
        <v>0</v>
      </c>
      <c r="H305" s="12"/>
      <c r="I305" s="12"/>
      <c r="J305" s="12"/>
      <c r="K305" s="12">
        <f t="shared" si="89"/>
        <v>0</v>
      </c>
      <c r="M305" s="10">
        <v>19</v>
      </c>
      <c r="N305" s="30">
        <v>45820</v>
      </c>
      <c r="O305" s="31">
        <f t="shared" si="95"/>
        <v>7713</v>
      </c>
      <c r="P305" s="32">
        <f>3756+596</f>
        <v>4352</v>
      </c>
      <c r="Q305" s="32"/>
      <c r="R305" s="32"/>
      <c r="S305" s="32">
        <f t="shared" si="90"/>
        <v>4352</v>
      </c>
      <c r="T305" s="12"/>
      <c r="U305" s="12"/>
      <c r="V305" s="12">
        <f>-111+-336</f>
        <v>-447</v>
      </c>
      <c r="W305" s="12">
        <f t="shared" si="91"/>
        <v>3905</v>
      </c>
      <c r="Y305" s="10">
        <v>19</v>
      </c>
      <c r="Z305" s="30"/>
      <c r="AA305" s="31"/>
      <c r="AB305" s="32"/>
      <c r="AC305" s="32"/>
      <c r="AD305" s="32"/>
      <c r="AE305" s="32">
        <f t="shared" si="97"/>
        <v>0</v>
      </c>
      <c r="AF305" s="12"/>
      <c r="AG305" s="12"/>
      <c r="AH305" s="12"/>
      <c r="AI305" s="12">
        <f t="shared" si="93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91"/>
      <c r="D306" s="32"/>
      <c r="E306" s="32"/>
      <c r="F306" s="32"/>
      <c r="G306" s="32">
        <f t="shared" si="88"/>
        <v>0</v>
      </c>
      <c r="H306" s="12"/>
      <c r="I306" s="12"/>
      <c r="J306" s="12"/>
      <c r="K306" s="12">
        <f t="shared" si="89"/>
        <v>0</v>
      </c>
      <c r="M306" s="10">
        <v>20</v>
      </c>
      <c r="N306" s="30">
        <v>45820</v>
      </c>
      <c r="O306" s="31">
        <f t="shared" si="95"/>
        <v>7714</v>
      </c>
      <c r="P306" s="32">
        <f>1878+28.5</f>
        <v>1906.5</v>
      </c>
      <c r="Q306" s="32"/>
      <c r="R306" s="32"/>
      <c r="S306" s="32">
        <f t="shared" si="90"/>
        <v>1906.5</v>
      </c>
      <c r="T306" s="12"/>
      <c r="U306" s="12"/>
      <c r="V306" s="12"/>
      <c r="W306" s="12">
        <f t="shared" si="91"/>
        <v>1906.5</v>
      </c>
      <c r="Y306" s="10">
        <v>20</v>
      </c>
      <c r="Z306" s="30"/>
      <c r="AA306" s="31"/>
      <c r="AB306" s="32"/>
      <c r="AC306" s="32"/>
      <c r="AD306" s="32"/>
      <c r="AE306" s="32">
        <f t="shared" si="97"/>
        <v>0</v>
      </c>
      <c r="AF306" s="12"/>
      <c r="AG306" s="12"/>
      <c r="AH306" s="12"/>
      <c r="AI306" s="12">
        <f t="shared" si="93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91"/>
      <c r="D307" s="32"/>
      <c r="E307" s="32"/>
      <c r="F307" s="32"/>
      <c r="G307" s="32">
        <f t="shared" si="88"/>
        <v>0</v>
      </c>
      <c r="H307" s="10"/>
      <c r="I307" s="10"/>
      <c r="J307" s="10"/>
      <c r="K307" s="12">
        <f t="shared" si="89"/>
        <v>0</v>
      </c>
      <c r="M307" s="10">
        <v>21</v>
      </c>
      <c r="N307" s="30">
        <v>45820</v>
      </c>
      <c r="O307" s="31">
        <f t="shared" si="95"/>
        <v>7715</v>
      </c>
      <c r="P307" s="46">
        <f>1878+1192+47.5</f>
        <v>3117.5</v>
      </c>
      <c r="Q307" s="31"/>
      <c r="R307" s="31"/>
      <c r="S307" s="32">
        <f t="shared" si="90"/>
        <v>3117.5</v>
      </c>
      <c r="T307" s="10"/>
      <c r="U307" s="10"/>
      <c r="V307" s="10"/>
      <c r="W307" s="12">
        <f t="shared" si="91"/>
        <v>3117.5</v>
      </c>
      <c r="Y307" s="10">
        <v>21</v>
      </c>
      <c r="Z307" s="30"/>
      <c r="AB307" s="46"/>
      <c r="AC307" s="31"/>
      <c r="AD307" s="31"/>
      <c r="AE307" s="32">
        <f t="shared" si="97"/>
        <v>0</v>
      </c>
      <c r="AF307" s="10"/>
      <c r="AG307" s="10"/>
      <c r="AH307" s="10"/>
      <c r="AI307" s="12">
        <f t="shared" si="93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91"/>
      <c r="D308" s="32"/>
      <c r="E308" s="32"/>
      <c r="F308" s="32"/>
      <c r="G308" s="32">
        <f t="shared" si="88"/>
        <v>0</v>
      </c>
      <c r="H308" s="10"/>
      <c r="I308" s="10"/>
      <c r="J308" s="10"/>
      <c r="K308" s="12">
        <f t="shared" si="89"/>
        <v>0</v>
      </c>
      <c r="M308" s="10">
        <v>22</v>
      </c>
      <c r="N308" s="30">
        <v>45820</v>
      </c>
      <c r="O308" s="31">
        <f t="shared" si="95"/>
        <v>7716</v>
      </c>
      <c r="P308" s="45">
        <f>626+9.5</f>
        <v>635.5</v>
      </c>
      <c r="Q308" s="31"/>
      <c r="R308" s="31"/>
      <c r="S308" s="32">
        <f t="shared" si="90"/>
        <v>635.5</v>
      </c>
      <c r="T308" s="10"/>
      <c r="U308" s="10"/>
      <c r="V308" s="10"/>
      <c r="W308" s="12">
        <f t="shared" si="91"/>
        <v>635.5</v>
      </c>
      <c r="Y308" s="10">
        <v>22</v>
      </c>
      <c r="Z308" s="30"/>
      <c r="AB308" s="45"/>
      <c r="AC308" s="31"/>
      <c r="AD308" s="31"/>
      <c r="AE308" s="32">
        <f t="shared" si="97"/>
        <v>0</v>
      </c>
      <c r="AF308" s="10"/>
      <c r="AG308" s="10"/>
      <c r="AH308" s="10"/>
      <c r="AI308" s="12">
        <f t="shared" si="93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57"/>
      <c r="D309" s="32"/>
      <c r="E309" s="32"/>
      <c r="F309" s="32"/>
      <c r="G309" s="32">
        <f t="shared" si="88"/>
        <v>0</v>
      </c>
      <c r="H309" s="10"/>
      <c r="I309" s="10"/>
      <c r="J309" s="12"/>
      <c r="K309" s="12">
        <f t="shared" si="89"/>
        <v>0</v>
      </c>
      <c r="M309" s="10">
        <v>23</v>
      </c>
      <c r="N309" s="30">
        <v>45820</v>
      </c>
      <c r="O309" s="31">
        <f t="shared" si="95"/>
        <v>7717</v>
      </c>
      <c r="P309" s="47">
        <f>1252+19</f>
        <v>1271</v>
      </c>
      <c r="S309" s="32">
        <f t="shared" si="90"/>
        <v>1271</v>
      </c>
      <c r="T309" s="10"/>
      <c r="U309" s="10"/>
      <c r="V309" s="10"/>
      <c r="W309" s="12">
        <f t="shared" si="91"/>
        <v>1271</v>
      </c>
      <c r="Y309" s="10">
        <v>23</v>
      </c>
      <c r="Z309" s="30"/>
      <c r="AA309" s="31"/>
      <c r="AB309" s="47"/>
      <c r="AE309" s="32">
        <f t="shared" si="97"/>
        <v>0</v>
      </c>
      <c r="AF309" s="10"/>
      <c r="AG309" s="10"/>
      <c r="AH309" s="10"/>
      <c r="AI309" s="12">
        <f t="shared" si="93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31"/>
      <c r="D310" s="32"/>
      <c r="E310" s="32"/>
      <c r="F310" s="32"/>
      <c r="G310" s="32">
        <f t="shared" si="88"/>
        <v>0</v>
      </c>
      <c r="H310" s="10"/>
      <c r="I310" s="10"/>
      <c r="J310" s="10"/>
      <c r="K310" s="12">
        <f t="shared" si="89"/>
        <v>0</v>
      </c>
      <c r="M310" s="10">
        <v>24</v>
      </c>
      <c r="N310" s="30"/>
      <c r="O310" s="11" t="s">
        <v>27</v>
      </c>
      <c r="P310" s="47"/>
      <c r="Q310" s="31"/>
      <c r="R310" s="31"/>
      <c r="S310" s="32">
        <f t="shared" si="90"/>
        <v>0</v>
      </c>
      <c r="T310" s="10"/>
      <c r="U310" s="10"/>
      <c r="V310" s="10"/>
      <c r="W310" s="12">
        <f t="shared" si="91"/>
        <v>0</v>
      </c>
      <c r="Y310" s="10">
        <v>24</v>
      </c>
      <c r="Z310" s="30"/>
      <c r="AA310" s="31"/>
      <c r="AB310" s="47"/>
      <c r="AC310" s="31"/>
      <c r="AD310" s="31"/>
      <c r="AE310" s="32">
        <f t="shared" si="97"/>
        <v>0</v>
      </c>
      <c r="AF310" s="10"/>
      <c r="AG310" s="10"/>
      <c r="AH310" s="10"/>
      <c r="AI310" s="12">
        <f t="shared" si="93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31"/>
      <c r="D311" s="32"/>
      <c r="E311" s="32"/>
      <c r="F311" s="32"/>
      <c r="G311" s="32">
        <f t="shared" si="88"/>
        <v>0</v>
      </c>
      <c r="H311" s="10"/>
      <c r="I311" s="10"/>
      <c r="J311" s="10"/>
      <c r="K311" s="12">
        <f t="shared" si="89"/>
        <v>0</v>
      </c>
      <c r="M311" s="10">
        <v>25</v>
      </c>
      <c r="N311" s="30"/>
      <c r="O311" s="31"/>
      <c r="P311" s="47"/>
      <c r="Q311" s="31"/>
      <c r="R311" s="31"/>
      <c r="S311" s="32">
        <f t="shared" si="90"/>
        <v>0</v>
      </c>
      <c r="T311" s="10"/>
      <c r="U311" s="10"/>
      <c r="V311" s="10"/>
      <c r="W311" s="12">
        <f t="shared" si="91"/>
        <v>0</v>
      </c>
      <c r="Y311" s="10">
        <v>25</v>
      </c>
      <c r="Z311" s="30"/>
      <c r="AA311" s="11"/>
      <c r="AB311" s="47"/>
      <c r="AC311" s="31"/>
      <c r="AD311" s="31"/>
      <c r="AE311" s="32">
        <f t="shared" si="97"/>
        <v>0</v>
      </c>
      <c r="AF311" s="10"/>
      <c r="AG311" s="10"/>
      <c r="AH311" s="10"/>
      <c r="AI311" s="12">
        <f t="shared" si="93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11"/>
      <c r="D312" s="32"/>
      <c r="E312" s="32"/>
      <c r="F312" s="32"/>
      <c r="G312" s="32">
        <f t="shared" si="88"/>
        <v>0</v>
      </c>
      <c r="H312" s="10"/>
      <c r="I312" s="10"/>
      <c r="J312" s="10"/>
      <c r="K312" s="12">
        <f t="shared" si="89"/>
        <v>0</v>
      </c>
      <c r="M312" s="10">
        <v>26</v>
      </c>
      <c r="N312" s="30"/>
      <c r="P312" s="47"/>
      <c r="Q312" s="31"/>
      <c r="R312" s="31"/>
      <c r="S312" s="32">
        <f t="shared" si="90"/>
        <v>0</v>
      </c>
      <c r="T312" s="10"/>
      <c r="U312" s="10"/>
      <c r="V312" s="10"/>
      <c r="W312" s="12">
        <f t="shared" si="91"/>
        <v>0</v>
      </c>
      <c r="Y312" s="10">
        <v>26</v>
      </c>
      <c r="Z312" s="30"/>
      <c r="AB312" s="47"/>
      <c r="AC312" s="31"/>
      <c r="AD312" s="31"/>
      <c r="AE312" s="32">
        <f t="shared" si="97"/>
        <v>0</v>
      </c>
      <c r="AF312" s="10"/>
      <c r="AG312" s="10"/>
      <c r="AH312" s="10"/>
      <c r="AI312" s="12">
        <f t="shared" si="93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57"/>
      <c r="D313" s="32"/>
      <c r="E313" s="32"/>
      <c r="F313" s="32"/>
      <c r="G313" s="32">
        <f t="shared" si="88"/>
        <v>0</v>
      </c>
      <c r="H313" s="10"/>
      <c r="I313" s="10"/>
      <c r="J313" s="10"/>
      <c r="K313" s="12">
        <f t="shared" si="89"/>
        <v>0</v>
      </c>
      <c r="M313" s="10">
        <v>27</v>
      </c>
      <c r="N313" s="30"/>
      <c r="O313" s="31"/>
      <c r="P313" s="47"/>
      <c r="Q313" s="31"/>
      <c r="R313" s="31"/>
      <c r="S313" s="32">
        <f t="shared" si="90"/>
        <v>0</v>
      </c>
      <c r="T313" s="10"/>
      <c r="U313" s="10"/>
      <c r="V313" s="10"/>
      <c r="W313" s="12">
        <f t="shared" si="91"/>
        <v>0</v>
      </c>
      <c r="Y313" s="10">
        <v>27</v>
      </c>
      <c r="Z313" s="30"/>
      <c r="AA313" s="31"/>
      <c r="AB313" s="47"/>
      <c r="AC313" s="31"/>
      <c r="AD313" s="31"/>
      <c r="AE313" s="32">
        <f t="shared" si="97"/>
        <v>0</v>
      </c>
      <c r="AF313" s="10"/>
      <c r="AG313" s="10"/>
      <c r="AH313" s="10"/>
      <c r="AI313" s="12">
        <f t="shared" si="93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31"/>
      <c r="D314" s="32"/>
      <c r="E314" s="32"/>
      <c r="F314" s="32"/>
      <c r="G314" s="32">
        <f t="shared" si="88"/>
        <v>0</v>
      </c>
      <c r="H314" s="10"/>
      <c r="I314" s="10"/>
      <c r="J314" s="10"/>
      <c r="K314" s="12">
        <f t="shared" si="89"/>
        <v>0</v>
      </c>
      <c r="M314" s="10">
        <v>28</v>
      </c>
      <c r="N314" s="30"/>
      <c r="O314" s="31"/>
      <c r="P314" s="47"/>
      <c r="Q314" s="31"/>
      <c r="R314" s="31"/>
      <c r="S314" s="32">
        <f t="shared" si="90"/>
        <v>0</v>
      </c>
      <c r="T314" s="10"/>
      <c r="U314" s="10"/>
      <c r="V314" s="10"/>
      <c r="W314" s="12">
        <f t="shared" si="91"/>
        <v>0</v>
      </c>
      <c r="Y314" s="10">
        <v>28</v>
      </c>
      <c r="Z314" s="30"/>
      <c r="AA314" s="31"/>
      <c r="AB314" s="47"/>
      <c r="AC314" s="31"/>
      <c r="AD314" s="31"/>
      <c r="AE314" s="32">
        <f t="shared" si="97"/>
        <v>0</v>
      </c>
      <c r="AF314" s="10"/>
      <c r="AG314" s="10"/>
      <c r="AH314" s="10"/>
      <c r="AI314" s="12">
        <f t="shared" si="93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31"/>
      <c r="D315" s="32"/>
      <c r="E315" s="32"/>
      <c r="F315" s="32"/>
      <c r="G315" s="32">
        <f t="shared" si="88"/>
        <v>0</v>
      </c>
      <c r="H315" s="10"/>
      <c r="I315" s="10"/>
      <c r="J315" s="10"/>
      <c r="K315" s="12">
        <f t="shared" si="89"/>
        <v>0</v>
      </c>
      <c r="M315" s="10">
        <v>29</v>
      </c>
      <c r="N315" s="30"/>
      <c r="P315" s="47"/>
      <c r="Q315" s="31"/>
      <c r="R315" s="31"/>
      <c r="S315" s="32">
        <f t="shared" si="90"/>
        <v>0</v>
      </c>
      <c r="T315" s="10"/>
      <c r="U315" s="10"/>
      <c r="V315" s="10"/>
      <c r="W315" s="12">
        <f t="shared" si="91"/>
        <v>0</v>
      </c>
      <c r="Y315" s="10">
        <v>29</v>
      </c>
      <c r="Z315" s="30"/>
      <c r="AA315" s="31"/>
      <c r="AB315" s="47"/>
      <c r="AC315" s="31"/>
      <c r="AD315" s="31"/>
      <c r="AE315" s="32">
        <f t="shared" si="97"/>
        <v>0</v>
      </c>
      <c r="AF315" s="10"/>
      <c r="AG315" s="10"/>
      <c r="AH315" s="10"/>
      <c r="AI315" s="12">
        <f t="shared" si="93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57"/>
      <c r="D316" s="32"/>
      <c r="E316" s="32"/>
      <c r="F316" s="32"/>
      <c r="G316" s="32">
        <f t="shared" si="88"/>
        <v>0</v>
      </c>
      <c r="H316" s="10"/>
      <c r="I316" s="10"/>
      <c r="J316" s="10"/>
      <c r="K316" s="12">
        <f t="shared" si="89"/>
        <v>0</v>
      </c>
      <c r="M316" s="10">
        <v>30</v>
      </c>
      <c r="N316" s="30"/>
      <c r="P316" s="47"/>
      <c r="Q316" s="31"/>
      <c r="R316" s="31"/>
      <c r="S316" s="32">
        <f t="shared" si="90"/>
        <v>0</v>
      </c>
      <c r="T316" s="10"/>
      <c r="U316" s="10"/>
      <c r="V316" s="10"/>
      <c r="W316" s="12">
        <f t="shared" si="91"/>
        <v>0</v>
      </c>
      <c r="Y316" s="10">
        <v>30</v>
      </c>
      <c r="Z316" s="30"/>
      <c r="AB316" s="47"/>
      <c r="AC316" s="31"/>
      <c r="AD316" s="31"/>
      <c r="AE316" s="32">
        <f t="shared" si="97"/>
        <v>0</v>
      </c>
      <c r="AF316" s="10"/>
      <c r="AG316" s="10"/>
      <c r="AH316" s="10"/>
      <c r="AI316" s="12">
        <f t="shared" si="93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57"/>
      <c r="D317" s="32"/>
      <c r="E317" s="32"/>
      <c r="F317" s="32"/>
      <c r="G317" s="32">
        <f t="shared" si="88"/>
        <v>0</v>
      </c>
      <c r="H317" s="10"/>
      <c r="I317" s="10"/>
      <c r="J317" s="10"/>
      <c r="K317" s="12">
        <f t="shared" si="89"/>
        <v>0</v>
      </c>
      <c r="M317" s="10">
        <v>31</v>
      </c>
      <c r="N317" s="30"/>
      <c r="O317" s="31"/>
      <c r="P317" s="47"/>
      <c r="Q317" s="31"/>
      <c r="R317" s="31"/>
      <c r="S317" s="32">
        <f t="shared" si="90"/>
        <v>0</v>
      </c>
      <c r="T317" s="10"/>
      <c r="U317" s="10"/>
      <c r="V317" s="10"/>
      <c r="W317" s="12">
        <f t="shared" si="91"/>
        <v>0</v>
      </c>
      <c r="Y317" s="10">
        <v>31</v>
      </c>
      <c r="Z317" s="30"/>
      <c r="AB317" s="47"/>
      <c r="AC317" s="31"/>
      <c r="AD317" s="31"/>
      <c r="AE317" s="32">
        <f t="shared" si="97"/>
        <v>0</v>
      </c>
      <c r="AF317" s="10"/>
      <c r="AG317" s="10"/>
      <c r="AH317" s="10"/>
      <c r="AI317" s="12">
        <f t="shared" si="93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31"/>
      <c r="D318" s="32"/>
      <c r="E318" s="32"/>
      <c r="F318" s="32"/>
      <c r="G318" s="32">
        <f t="shared" si="88"/>
        <v>0</v>
      </c>
      <c r="H318" s="10"/>
      <c r="I318" s="10"/>
      <c r="J318" s="10"/>
      <c r="K318" s="12">
        <f t="shared" si="89"/>
        <v>0</v>
      </c>
      <c r="M318" s="10">
        <v>32</v>
      </c>
      <c r="N318" s="30"/>
      <c r="P318" s="47"/>
      <c r="Q318" s="31"/>
      <c r="R318" s="31"/>
      <c r="S318" s="32">
        <f t="shared" si="90"/>
        <v>0</v>
      </c>
      <c r="T318" s="10"/>
      <c r="U318" s="10"/>
      <c r="V318" s="10"/>
      <c r="W318" s="12">
        <f t="shared" si="91"/>
        <v>0</v>
      </c>
      <c r="Y318" s="10">
        <v>32</v>
      </c>
      <c r="Z318" s="30"/>
      <c r="AA318" s="31"/>
      <c r="AB318" s="47"/>
      <c r="AC318" s="31"/>
      <c r="AD318" s="31"/>
      <c r="AE318" s="32">
        <f t="shared" si="97"/>
        <v>0</v>
      </c>
      <c r="AF318" s="10"/>
      <c r="AG318" s="10"/>
      <c r="AH318" s="10"/>
      <c r="AI318" s="12">
        <f t="shared" si="93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57"/>
      <c r="D319" s="32"/>
      <c r="E319" s="32"/>
      <c r="F319" s="32"/>
      <c r="G319" s="32">
        <f t="shared" si="88"/>
        <v>0</v>
      </c>
      <c r="H319" s="10"/>
      <c r="I319" s="10"/>
      <c r="J319" s="10"/>
      <c r="K319" s="12">
        <f t="shared" si="89"/>
        <v>0</v>
      </c>
      <c r="M319" s="10">
        <v>33</v>
      </c>
      <c r="N319" s="30"/>
      <c r="O319" s="31"/>
      <c r="P319" s="47"/>
      <c r="Q319" s="31"/>
      <c r="R319" s="31"/>
      <c r="S319" s="32">
        <f t="shared" si="90"/>
        <v>0</v>
      </c>
      <c r="T319" s="10"/>
      <c r="U319" s="10"/>
      <c r="V319" s="10"/>
      <c r="W319" s="12">
        <f t="shared" si="91"/>
        <v>0</v>
      </c>
      <c r="Y319" s="10">
        <v>33</v>
      </c>
      <c r="Z319" s="30"/>
      <c r="AA319" s="31"/>
      <c r="AB319" s="47"/>
      <c r="AC319" s="31"/>
      <c r="AD319" s="31"/>
      <c r="AE319" s="32">
        <f t="shared" si="97"/>
        <v>0</v>
      </c>
      <c r="AF319" s="10"/>
      <c r="AG319" s="10"/>
      <c r="AH319" s="10"/>
      <c r="AI319" s="12">
        <f t="shared" si="93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57"/>
      <c r="D320" s="32"/>
      <c r="E320" s="32"/>
      <c r="F320" s="32"/>
      <c r="G320" s="32">
        <f t="shared" si="88"/>
        <v>0</v>
      </c>
      <c r="H320" s="10"/>
      <c r="I320" s="10"/>
      <c r="J320" s="10"/>
      <c r="K320" s="12">
        <f t="shared" si="89"/>
        <v>0</v>
      </c>
      <c r="M320" s="10">
        <v>34</v>
      </c>
      <c r="N320" s="30"/>
      <c r="O320" s="31"/>
      <c r="P320" s="47"/>
      <c r="Q320" s="31"/>
      <c r="R320" s="31"/>
      <c r="S320" s="32">
        <f t="shared" ref="S320:S325" si="98">SUM(P320:Q320)</f>
        <v>0</v>
      </c>
      <c r="T320" s="10"/>
      <c r="U320" s="10"/>
      <c r="V320" s="10"/>
      <c r="W320" s="12">
        <f t="shared" ref="W320:W328" si="99">SUM(S320:V320)</f>
        <v>0</v>
      </c>
      <c r="Y320" s="10">
        <v>34</v>
      </c>
      <c r="Z320" s="30"/>
      <c r="AB320" s="47"/>
      <c r="AC320" s="31"/>
      <c r="AD320" s="31"/>
      <c r="AE320" s="32">
        <f t="shared" si="97"/>
        <v>0</v>
      </c>
      <c r="AF320" s="10"/>
      <c r="AG320" s="10"/>
      <c r="AH320" s="10"/>
      <c r="AI320" s="12">
        <f t="shared" ref="AI320:AI328" si="100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31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8"/>
        <v>0</v>
      </c>
      <c r="T321" s="10"/>
      <c r="U321" s="10"/>
      <c r="V321" s="10"/>
      <c r="W321" s="12">
        <f t="shared" si="9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97"/>
        <v>0</v>
      </c>
      <c r="AF321" s="10"/>
      <c r="AG321" s="10"/>
      <c r="AH321" s="10"/>
      <c r="AI321" s="12">
        <f t="shared" si="100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31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8"/>
        <v>0</v>
      </c>
      <c r="T322" s="10"/>
      <c r="U322" s="10"/>
      <c r="V322" s="10"/>
      <c r="W322" s="12">
        <f t="shared" si="9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97"/>
        <v>0</v>
      </c>
      <c r="AF322" s="10"/>
      <c r="AG322" s="10"/>
      <c r="AH322" s="10"/>
      <c r="AI322" s="12">
        <f t="shared" si="100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8"/>
        <v>0</v>
      </c>
      <c r="T323" s="10"/>
      <c r="U323" s="10"/>
      <c r="V323" s="10"/>
      <c r="W323" s="12">
        <f t="shared" si="9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97"/>
        <v>0</v>
      </c>
      <c r="AF323" s="10"/>
      <c r="AG323" s="10"/>
      <c r="AH323" s="10"/>
      <c r="AI323" s="12">
        <f t="shared" si="100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8"/>
        <v>0</v>
      </c>
      <c r="T324" s="10"/>
      <c r="U324" s="10"/>
      <c r="V324" s="10"/>
      <c r="W324" s="12">
        <f t="shared" si="9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97"/>
        <v>0</v>
      </c>
      <c r="AF324" s="10"/>
      <c r="AG324" s="10"/>
      <c r="AH324" s="10"/>
      <c r="AI324" s="12">
        <f t="shared" si="100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8"/>
        <v>0</v>
      </c>
      <c r="T325" s="10"/>
      <c r="U325" s="10"/>
      <c r="V325" s="10"/>
      <c r="W325" s="12">
        <f t="shared" si="9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97"/>
        <v>0</v>
      </c>
      <c r="AF325" s="10"/>
      <c r="AG325" s="10"/>
      <c r="AH325" s="10"/>
      <c r="AI325" s="12">
        <f t="shared" si="100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0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1">SUM(D327:E327)</f>
        <v>0</v>
      </c>
      <c r="H327" s="10"/>
      <c r="I327" s="10"/>
      <c r="J327" s="10"/>
      <c r="K327" s="12">
        <f t="shared" ref="K327" si="102">SUM(G327:J327)</f>
        <v>0</v>
      </c>
      <c r="M327" s="10"/>
      <c r="N327" s="30"/>
      <c r="O327" s="31"/>
      <c r="P327" s="47"/>
      <c r="Q327" s="31"/>
      <c r="R327" s="31"/>
      <c r="S327" s="32">
        <f t="shared" ref="S327" si="103">SUM(P327:Q327)</f>
        <v>0</v>
      </c>
      <c r="T327" s="10"/>
      <c r="U327" s="10"/>
      <c r="V327" s="10"/>
      <c r="W327" s="12">
        <f t="shared" si="99"/>
        <v>0</v>
      </c>
      <c r="Y327" s="10"/>
      <c r="Z327" s="30"/>
      <c r="AA327" s="31"/>
      <c r="AB327" s="47"/>
      <c r="AC327" s="31"/>
      <c r="AD327" s="31"/>
      <c r="AE327" s="32">
        <f t="shared" ref="AE327" si="104">SUM(AB327:AC327)</f>
        <v>0</v>
      </c>
      <c r="AF327" s="10"/>
      <c r="AG327" s="10"/>
      <c r="AH327" s="10"/>
      <c r="AI327" s="12">
        <f t="shared" si="100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0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289815</v>
      </c>
      <c r="E330" s="38">
        <f t="shared" ref="E330:F330" si="105">SUM(E287:E327)</f>
        <v>0</v>
      </c>
      <c r="F330" s="38">
        <f t="shared" si="105"/>
        <v>0</v>
      </c>
      <c r="G330" s="38">
        <f>SUM(G287:G329)</f>
        <v>289815</v>
      </c>
      <c r="H330" s="4"/>
      <c r="I330" s="39">
        <f>SUM(I287:I329)</f>
        <v>0</v>
      </c>
      <c r="J330" s="39">
        <f>SUM(J287:J329)</f>
        <v>-31080</v>
      </c>
      <c r="K330" s="40">
        <f>SUM(K287:K329)</f>
        <v>258735</v>
      </c>
      <c r="N330" s="57"/>
      <c r="O330" s="57"/>
      <c r="P330" s="38">
        <f>SUM(P287:P329)</f>
        <v>157107</v>
      </c>
      <c r="Q330" s="38">
        <f>SUM(Q287:Q311)</f>
        <v>0</v>
      </c>
      <c r="R330" s="38">
        <f>SUM(R287:R311)</f>
        <v>0</v>
      </c>
      <c r="S330" s="38">
        <f>SUM(S287:S329)</f>
        <v>157107</v>
      </c>
      <c r="T330" s="4"/>
      <c r="U330" s="41">
        <f>SUM(U287:U329)</f>
        <v>462</v>
      </c>
      <c r="V330" s="41">
        <f>SUM(V287:V311)</f>
        <v>-447</v>
      </c>
      <c r="W330" s="42">
        <f>SUM(W287:W329)</f>
        <v>157122</v>
      </c>
      <c r="Z330" s="57"/>
      <c r="AA330" s="57"/>
      <c r="AB330" s="38">
        <f>SUM(AB287:AB329)</f>
        <v>264529</v>
      </c>
      <c r="AC330" s="38">
        <f>SUM(AC287:AC311)</f>
        <v>-2064</v>
      </c>
      <c r="AD330" s="38">
        <f>SUM(AD287:AD311)</f>
        <v>0</v>
      </c>
      <c r="AE330" s="38">
        <f>SUM(AE287:AE329)</f>
        <v>262465</v>
      </c>
      <c r="AF330" s="4"/>
      <c r="AG330" s="41">
        <f>SUM(AG287:AG329)</f>
        <v>31.5</v>
      </c>
      <c r="AH330" s="41">
        <f>SUM(AH287:AH311)</f>
        <v>-490</v>
      </c>
      <c r="AI330" s="42">
        <f>SUM(AI287:AI329)</f>
        <v>262006.5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33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37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31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5" t="s">
        <v>17</v>
      </c>
      <c r="E340" s="115"/>
      <c r="F340" s="100"/>
      <c r="G340" s="27"/>
      <c r="I340" s="118" t="s">
        <v>18</v>
      </c>
      <c r="J340" s="119"/>
      <c r="K340" s="116" t="s">
        <v>19</v>
      </c>
      <c r="N340" s="25"/>
      <c r="O340" s="26"/>
      <c r="P340" s="115" t="s">
        <v>17</v>
      </c>
      <c r="Q340" s="115"/>
      <c r="R340" s="100"/>
      <c r="S340" s="27"/>
      <c r="U340" s="118" t="s">
        <v>18</v>
      </c>
      <c r="V340" s="119"/>
      <c r="W340" s="116" t="s">
        <v>19</v>
      </c>
      <c r="Z340" s="25"/>
      <c r="AA340" s="26"/>
      <c r="AB340" s="115" t="s">
        <v>17</v>
      </c>
      <c r="AC340" s="115"/>
      <c r="AD340" s="100"/>
      <c r="AE340" s="27"/>
      <c r="AG340" s="118" t="s">
        <v>18</v>
      </c>
      <c r="AH340" s="119"/>
      <c r="AI340" s="116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9" t="s">
        <v>22</v>
      </c>
      <c r="E341" s="78" t="s">
        <v>23</v>
      </c>
      <c r="F341" s="80" t="s">
        <v>32</v>
      </c>
      <c r="G341" s="80" t="s">
        <v>24</v>
      </c>
      <c r="I341" s="29" t="s">
        <v>25</v>
      </c>
      <c r="J341" s="29" t="s">
        <v>26</v>
      </c>
      <c r="K341" s="117"/>
      <c r="N341" s="28" t="s">
        <v>20</v>
      </c>
      <c r="O341" s="28" t="s">
        <v>21</v>
      </c>
      <c r="P341" s="79" t="s">
        <v>22</v>
      </c>
      <c r="Q341" s="80" t="s">
        <v>23</v>
      </c>
      <c r="R341" s="80" t="s">
        <v>32</v>
      </c>
      <c r="S341" s="80" t="s">
        <v>24</v>
      </c>
      <c r="U341" s="29" t="s">
        <v>25</v>
      </c>
      <c r="V341" s="29" t="s">
        <v>26</v>
      </c>
      <c r="W341" s="117"/>
      <c r="Z341" s="28" t="s">
        <v>20</v>
      </c>
      <c r="AA341" s="28" t="s">
        <v>21</v>
      </c>
      <c r="AB341" s="79" t="s">
        <v>22</v>
      </c>
      <c r="AC341" s="80" t="s">
        <v>23</v>
      </c>
      <c r="AD341" s="80" t="s">
        <v>32</v>
      </c>
      <c r="AE341" s="80" t="s">
        <v>24</v>
      </c>
      <c r="AG341" s="29" t="s">
        <v>25</v>
      </c>
      <c r="AH341" s="29" t="s">
        <v>26</v>
      </c>
      <c r="AI341" s="117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45881</v>
      </c>
      <c r="C342" s="91">
        <v>7695</v>
      </c>
      <c r="D342" s="32">
        <f>1252+614+19</f>
        <v>1885</v>
      </c>
      <c r="E342" s="32"/>
      <c r="F342" s="32"/>
      <c r="G342" s="32">
        <f t="shared" ref="G342:G375" si="106">SUM(D342:E342)</f>
        <v>1885</v>
      </c>
      <c r="H342" s="12"/>
      <c r="I342" s="12">
        <v>2.5</v>
      </c>
      <c r="J342" s="12"/>
      <c r="K342" s="12">
        <f t="shared" ref="K342:K375" si="107">SUM(G342:J342)</f>
        <v>1887.5</v>
      </c>
      <c r="M342" s="10">
        <v>1</v>
      </c>
      <c r="N342" s="30">
        <v>45881</v>
      </c>
      <c r="O342" s="31">
        <v>7718</v>
      </c>
      <c r="P342" s="32">
        <f>5634+9.5*9</f>
        <v>5719.5</v>
      </c>
      <c r="Q342" s="32"/>
      <c r="R342" s="32"/>
      <c r="S342" s="32">
        <f>SUM(P342:Q342)</f>
        <v>5719.5</v>
      </c>
      <c r="T342" s="12"/>
      <c r="U342" s="12">
        <v>10.5</v>
      </c>
      <c r="V342" s="12"/>
      <c r="W342" s="12">
        <f>SUM(S342:V342)</f>
        <v>5730</v>
      </c>
      <c r="Y342" s="10">
        <v>1</v>
      </c>
      <c r="Z342" s="30">
        <v>45881</v>
      </c>
      <c r="AA342" s="31">
        <v>7497</v>
      </c>
      <c r="AB342" s="32">
        <f>626*324+614*10+674*10+596*108+852*5+832*5</f>
        <v>288492</v>
      </c>
      <c r="AC342" s="32">
        <f>-452*6</f>
        <v>-2712</v>
      </c>
      <c r="AD342" s="32"/>
      <c r="AE342" s="32">
        <f>SUM(AB342:AC342)</f>
        <v>285780</v>
      </c>
      <c r="AF342" s="12"/>
      <c r="AG342" s="12">
        <f>120*2+170*111</f>
        <v>19110</v>
      </c>
      <c r="AH342" s="12">
        <f>-780+-84+-336</f>
        <v>-1200</v>
      </c>
      <c r="AI342" s="12">
        <f>SUM(AE342:AH342)</f>
        <v>303690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45881</v>
      </c>
      <c r="C343" s="91">
        <f>C342+1</f>
        <v>7696</v>
      </c>
      <c r="D343" s="32">
        <f>21910+1228+2980</f>
        <v>26118</v>
      </c>
      <c r="E343" s="32"/>
      <c r="F343" s="32"/>
      <c r="G343" s="32">
        <f t="shared" si="106"/>
        <v>26118</v>
      </c>
      <c r="H343" s="12"/>
      <c r="I343" s="12">
        <v>54</v>
      </c>
      <c r="J343" s="12"/>
      <c r="K343" s="12">
        <f t="shared" si="107"/>
        <v>26172</v>
      </c>
      <c r="M343" s="10">
        <v>2</v>
      </c>
      <c r="N343" s="30">
        <v>45881</v>
      </c>
      <c r="O343" s="31">
        <f>O342+1</f>
        <v>7719</v>
      </c>
      <c r="P343" s="32">
        <f>1878+28.5</f>
        <v>1906.5</v>
      </c>
      <c r="Q343" s="32"/>
      <c r="R343" s="32"/>
      <c r="S343" s="32">
        <f t="shared" ref="S343:S374" si="108">SUM(P343:Q343)</f>
        <v>1906.5</v>
      </c>
      <c r="T343" s="12"/>
      <c r="U343" s="12"/>
      <c r="V343" s="12">
        <v>-777</v>
      </c>
      <c r="W343" s="12">
        <f t="shared" ref="W343:W374" si="109">SUM(S343:V343)</f>
        <v>1129.5</v>
      </c>
      <c r="Y343" s="10">
        <v>2</v>
      </c>
      <c r="Z343" s="30">
        <v>45881</v>
      </c>
      <c r="AA343" s="31">
        <f>AA342+1</f>
        <v>7498</v>
      </c>
      <c r="AB343" s="32">
        <f>6260+229+3250</f>
        <v>9739</v>
      </c>
      <c r="AC343" s="32"/>
      <c r="AD343" s="32"/>
      <c r="AE343" s="32">
        <f t="shared" ref="AE343:AE345" si="110">SUM(AB343:AC343)</f>
        <v>9739</v>
      </c>
      <c r="AF343" s="12"/>
      <c r="AG343" s="12"/>
      <c r="AH343" s="12"/>
      <c r="AI343" s="12">
        <f t="shared" ref="AI343:AI374" si="111">SUM(AE343:AH343)</f>
        <v>9739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45881</v>
      </c>
      <c r="C344" s="91">
        <f t="shared" ref="C344:C358" si="112">C343+1</f>
        <v>7697</v>
      </c>
      <c r="D344" s="33">
        <f>2504+614+38</f>
        <v>3156</v>
      </c>
      <c r="E344" s="33"/>
      <c r="F344" s="33"/>
      <c r="G344" s="33">
        <f t="shared" si="106"/>
        <v>3156</v>
      </c>
      <c r="H344" s="34"/>
      <c r="I344" s="34"/>
      <c r="J344" s="34"/>
      <c r="K344" s="34">
        <f t="shared" si="107"/>
        <v>3156</v>
      </c>
      <c r="M344" s="10">
        <v>3</v>
      </c>
      <c r="N344" s="30">
        <v>45881</v>
      </c>
      <c r="O344" s="31">
        <f t="shared" ref="O344:O357" si="113">O343+1</f>
        <v>7720</v>
      </c>
      <c r="P344" s="32">
        <f>62600+458</f>
        <v>63058</v>
      </c>
      <c r="Q344" s="32">
        <v>-600</v>
      </c>
      <c r="R344" s="32"/>
      <c r="S344" s="32">
        <f t="shared" si="108"/>
        <v>62458</v>
      </c>
      <c r="T344" s="12"/>
      <c r="U344" s="12"/>
      <c r="V344" s="12"/>
      <c r="W344" s="12">
        <f t="shared" si="109"/>
        <v>62458</v>
      </c>
      <c r="Y344" s="10">
        <v>3</v>
      </c>
      <c r="Z344" s="30"/>
      <c r="AA344" s="11" t="s">
        <v>27</v>
      </c>
      <c r="AB344" s="33"/>
      <c r="AC344" s="33"/>
      <c r="AD344" s="32"/>
      <c r="AE344" s="32">
        <f t="shared" si="110"/>
        <v>0</v>
      </c>
      <c r="AF344" s="12"/>
      <c r="AG344" s="12"/>
      <c r="AH344" s="12"/>
      <c r="AI344" s="12">
        <f t="shared" si="111"/>
        <v>0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45881</v>
      </c>
      <c r="C345" s="91">
        <f t="shared" si="112"/>
        <v>7698</v>
      </c>
      <c r="D345" s="32">
        <f>5634+1228+596+95</f>
        <v>7553</v>
      </c>
      <c r="E345" s="32"/>
      <c r="F345" s="32"/>
      <c r="G345" s="32">
        <f t="shared" si="106"/>
        <v>7553</v>
      </c>
      <c r="H345" s="12"/>
      <c r="I345" s="12">
        <v>20</v>
      </c>
      <c r="J345" s="12"/>
      <c r="K345" s="12">
        <f t="shared" si="107"/>
        <v>7573</v>
      </c>
      <c r="M345" s="10">
        <v>4</v>
      </c>
      <c r="N345" s="30">
        <v>45881</v>
      </c>
      <c r="O345" s="31">
        <f t="shared" si="113"/>
        <v>7721</v>
      </c>
      <c r="P345" s="32">
        <f>15024</f>
        <v>15024</v>
      </c>
      <c r="Q345" s="32"/>
      <c r="R345" s="32"/>
      <c r="S345" s="32">
        <f t="shared" si="108"/>
        <v>15024</v>
      </c>
      <c r="T345" s="12"/>
      <c r="U345" s="12"/>
      <c r="V345" s="12"/>
      <c r="W345" s="12">
        <f t="shared" si="109"/>
        <v>15024</v>
      </c>
      <c r="Y345" s="10">
        <v>4</v>
      </c>
      <c r="Z345" s="30"/>
      <c r="AA345" s="31"/>
      <c r="AB345" s="32"/>
      <c r="AC345" s="32"/>
      <c r="AD345" s="32"/>
      <c r="AE345" s="32">
        <f t="shared" si="110"/>
        <v>0</v>
      </c>
      <c r="AF345" s="12"/>
      <c r="AH345" s="12"/>
      <c r="AI345" s="12">
        <f t="shared" si="111"/>
        <v>0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45881</v>
      </c>
      <c r="C346" s="91">
        <f t="shared" si="112"/>
        <v>7699</v>
      </c>
      <c r="D346" s="32">
        <f>5634+1842+4172+152</f>
        <v>11800</v>
      </c>
      <c r="E346" s="32"/>
      <c r="F346" s="32"/>
      <c r="G346" s="32">
        <f t="shared" si="106"/>
        <v>11800</v>
      </c>
      <c r="H346" s="12"/>
      <c r="I346" s="12"/>
      <c r="J346" s="12"/>
      <c r="K346" s="12">
        <f t="shared" si="107"/>
        <v>11800</v>
      </c>
      <c r="M346" s="10">
        <v>5</v>
      </c>
      <c r="N346" s="30">
        <v>45881</v>
      </c>
      <c r="O346" s="31">
        <f t="shared" si="113"/>
        <v>7722</v>
      </c>
      <c r="P346" s="32">
        <f>15650+674</f>
        <v>16324</v>
      </c>
      <c r="Q346" s="32"/>
      <c r="R346" s="32"/>
      <c r="S346" s="32">
        <f t="shared" si="108"/>
        <v>16324</v>
      </c>
      <c r="T346" s="12"/>
      <c r="U346" s="12"/>
      <c r="V346" s="12"/>
      <c r="W346" s="12">
        <f t="shared" si="109"/>
        <v>16324</v>
      </c>
      <c r="Y346" s="10">
        <v>5</v>
      </c>
      <c r="Z346" s="30"/>
      <c r="AA346" s="31"/>
      <c r="AB346" s="32"/>
      <c r="AC346" s="32"/>
      <c r="AD346" s="32"/>
      <c r="AE346" s="32">
        <f t="shared" ref="AE346:AE380" si="114">SUM(AB346:AC346)</f>
        <v>0</v>
      </c>
      <c r="AF346" s="12"/>
      <c r="AG346" s="12"/>
      <c r="AH346" s="12"/>
      <c r="AI346" s="12">
        <f t="shared" si="111"/>
        <v>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45881</v>
      </c>
      <c r="C347" s="91">
        <f t="shared" si="112"/>
        <v>7700</v>
      </c>
      <c r="D347" s="32">
        <f>1878+596+38</f>
        <v>2512</v>
      </c>
      <c r="E347" s="32"/>
      <c r="F347" s="32"/>
      <c r="G347" s="32">
        <f t="shared" si="106"/>
        <v>2512</v>
      </c>
      <c r="H347" s="12"/>
      <c r="I347" s="12">
        <v>13</v>
      </c>
      <c r="J347" s="12"/>
      <c r="K347" s="12">
        <f t="shared" si="107"/>
        <v>2525</v>
      </c>
      <c r="M347" s="10">
        <v>6</v>
      </c>
      <c r="N347" s="30">
        <v>45881</v>
      </c>
      <c r="O347" s="31">
        <f t="shared" si="113"/>
        <v>7723</v>
      </c>
      <c r="P347" s="32">
        <f>7512+1228+448+1192</f>
        <v>10380</v>
      </c>
      <c r="Q347" s="32"/>
      <c r="R347" s="32"/>
      <c r="S347" s="32">
        <f t="shared" si="108"/>
        <v>10380</v>
      </c>
      <c r="T347" s="12"/>
      <c r="U347" s="12">
        <f>72+27</f>
        <v>99</v>
      </c>
      <c r="V347" s="10"/>
      <c r="W347" s="12">
        <f t="shared" si="109"/>
        <v>10479</v>
      </c>
      <c r="Y347" s="10">
        <v>6</v>
      </c>
      <c r="Z347" s="30"/>
      <c r="AA347" s="31"/>
      <c r="AB347" s="32"/>
      <c r="AC347" s="32"/>
      <c r="AD347" s="32"/>
      <c r="AE347" s="32">
        <f t="shared" si="114"/>
        <v>0</v>
      </c>
      <c r="AF347" s="12"/>
      <c r="AG347" s="12"/>
      <c r="AH347" s="10"/>
      <c r="AI347" s="12">
        <f t="shared" si="111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45881</v>
      </c>
      <c r="C348" s="91">
        <v>7801</v>
      </c>
      <c r="D348" s="32">
        <f>1878+1192+47</f>
        <v>3117</v>
      </c>
      <c r="E348" s="32"/>
      <c r="F348" s="32"/>
      <c r="G348" s="32">
        <f t="shared" si="106"/>
        <v>3117</v>
      </c>
      <c r="H348" s="12"/>
      <c r="I348" s="12"/>
      <c r="J348" s="12"/>
      <c r="K348" s="12">
        <f t="shared" si="107"/>
        <v>3117</v>
      </c>
      <c r="M348" s="10">
        <v>7</v>
      </c>
      <c r="N348" s="30">
        <v>45881</v>
      </c>
      <c r="O348" s="31">
        <f t="shared" si="113"/>
        <v>7724</v>
      </c>
      <c r="P348" s="32">
        <f>626+614+9.5</f>
        <v>1249.5</v>
      </c>
      <c r="Q348" s="32"/>
      <c r="R348" s="32"/>
      <c r="S348" s="32">
        <f t="shared" si="108"/>
        <v>1249.5</v>
      </c>
      <c r="T348" s="12"/>
      <c r="U348" s="12"/>
      <c r="V348" s="12"/>
      <c r="W348" s="12">
        <f t="shared" si="109"/>
        <v>1249.5</v>
      </c>
      <c r="Y348" s="10">
        <v>7</v>
      </c>
      <c r="Z348" s="30"/>
      <c r="AA348" s="31"/>
      <c r="AB348" s="32"/>
      <c r="AC348" s="32"/>
      <c r="AD348" s="32"/>
      <c r="AE348" s="32">
        <f t="shared" si="114"/>
        <v>0</v>
      </c>
      <c r="AF348" s="12"/>
      <c r="AG348" s="58"/>
      <c r="AH348" s="12"/>
      <c r="AI348" s="12">
        <f t="shared" si="111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45881</v>
      </c>
      <c r="C349" s="91">
        <f t="shared" si="112"/>
        <v>7802</v>
      </c>
      <c r="D349" s="32">
        <f>3756+614+596+66</f>
        <v>5032</v>
      </c>
      <c r="E349" s="32"/>
      <c r="F349" s="32"/>
      <c r="G349" s="32">
        <f t="shared" si="106"/>
        <v>5032</v>
      </c>
      <c r="H349" s="12"/>
      <c r="I349" s="12">
        <v>27</v>
      </c>
      <c r="J349" s="12"/>
      <c r="K349" s="12">
        <f t="shared" si="107"/>
        <v>5059</v>
      </c>
      <c r="M349" s="10">
        <v>8</v>
      </c>
      <c r="N349" s="30">
        <v>45881</v>
      </c>
      <c r="O349" s="31">
        <f t="shared" si="113"/>
        <v>7725</v>
      </c>
      <c r="P349" s="32">
        <f>10016+614+2980+2496+9.5*10</f>
        <v>16201</v>
      </c>
      <c r="Q349" s="32"/>
      <c r="R349" s="32"/>
      <c r="S349" s="32">
        <f t="shared" si="108"/>
        <v>16201</v>
      </c>
      <c r="T349" s="12"/>
      <c r="U349" s="12">
        <f>555+72+24.75</f>
        <v>651.75</v>
      </c>
      <c r="V349" s="12"/>
      <c r="W349" s="12">
        <f t="shared" si="109"/>
        <v>16852.75</v>
      </c>
      <c r="Y349" s="10">
        <v>8</v>
      </c>
      <c r="Z349" s="30"/>
      <c r="AA349" s="31"/>
      <c r="AB349" s="32"/>
      <c r="AC349" s="32"/>
      <c r="AE349" s="32">
        <f t="shared" si="114"/>
        <v>0</v>
      </c>
      <c r="AF349" s="12"/>
      <c r="AG349" s="12"/>
      <c r="AH349" s="12"/>
      <c r="AI349" s="12">
        <f t="shared" si="111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45881</v>
      </c>
      <c r="C350" s="91">
        <f t="shared" si="112"/>
        <v>7803</v>
      </c>
      <c r="D350" s="32">
        <f>6260+95</f>
        <v>6355</v>
      </c>
      <c r="E350" s="32"/>
      <c r="F350" s="32"/>
      <c r="G350" s="32">
        <f t="shared" si="106"/>
        <v>6355</v>
      </c>
      <c r="H350" s="12"/>
      <c r="I350" s="12"/>
      <c r="J350" s="12"/>
      <c r="K350" s="12">
        <f t="shared" si="107"/>
        <v>6355</v>
      </c>
      <c r="M350" s="10">
        <v>9</v>
      </c>
      <c r="N350" s="30">
        <v>45881</v>
      </c>
      <c r="O350" s="31">
        <f t="shared" si="113"/>
        <v>7726</v>
      </c>
      <c r="P350" s="32">
        <f>9390</f>
        <v>9390</v>
      </c>
      <c r="Q350" s="32"/>
      <c r="R350" s="32"/>
      <c r="S350" s="32">
        <f t="shared" si="108"/>
        <v>9390</v>
      </c>
      <c r="T350" s="12"/>
      <c r="U350" s="12"/>
      <c r="V350" s="12"/>
      <c r="W350" s="12">
        <f t="shared" si="109"/>
        <v>9390</v>
      </c>
      <c r="Y350" s="10">
        <v>9</v>
      </c>
      <c r="Z350" s="30"/>
      <c r="AA350" s="31"/>
      <c r="AC350" s="32"/>
      <c r="AD350" s="32"/>
      <c r="AE350" s="32">
        <f t="shared" si="114"/>
        <v>0</v>
      </c>
      <c r="AF350" s="12"/>
      <c r="AH350" s="12"/>
      <c r="AI350" s="12">
        <f t="shared" si="111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45881</v>
      </c>
      <c r="C351" s="91">
        <f t="shared" si="112"/>
        <v>7804</v>
      </c>
      <c r="D351" s="32">
        <f>3130+596+57</f>
        <v>3783</v>
      </c>
      <c r="E351" s="32"/>
      <c r="F351" s="32"/>
      <c r="G351" s="32">
        <f t="shared" si="106"/>
        <v>3783</v>
      </c>
      <c r="H351" s="12"/>
      <c r="I351" s="12">
        <v>37</v>
      </c>
      <c r="J351" s="12"/>
      <c r="K351" s="12">
        <f t="shared" si="107"/>
        <v>3820</v>
      </c>
      <c r="M351" s="10">
        <v>10</v>
      </c>
      <c r="N351" s="30">
        <v>45881</v>
      </c>
      <c r="O351" s="31">
        <f t="shared" si="113"/>
        <v>7727</v>
      </c>
      <c r="P351" s="32">
        <f>1878+2384+66.5</f>
        <v>4328.5</v>
      </c>
      <c r="Q351" s="32"/>
      <c r="R351" s="32"/>
      <c r="S351" s="32">
        <f t="shared" si="108"/>
        <v>4328.5</v>
      </c>
      <c r="T351" s="12"/>
      <c r="U351" s="12"/>
      <c r="V351" s="12"/>
      <c r="W351" s="12">
        <f t="shared" si="109"/>
        <v>4328.5</v>
      </c>
      <c r="Y351" s="10">
        <v>10</v>
      </c>
      <c r="Z351" s="30"/>
      <c r="AA351" s="31"/>
      <c r="AB351" s="32"/>
      <c r="AC351" s="32"/>
      <c r="AD351" s="32"/>
      <c r="AE351" s="32">
        <f t="shared" si="114"/>
        <v>0</v>
      </c>
      <c r="AF351" s="12"/>
      <c r="AG351" s="12"/>
      <c r="AH351" s="12"/>
      <c r="AI351" s="12">
        <f t="shared" si="111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45881</v>
      </c>
      <c r="C352" s="91">
        <f t="shared" si="112"/>
        <v>7805</v>
      </c>
      <c r="D352" s="32">
        <f>3756+57</f>
        <v>3813</v>
      </c>
      <c r="E352" s="32"/>
      <c r="F352" s="32"/>
      <c r="G352" s="32">
        <f t="shared" si="106"/>
        <v>3813</v>
      </c>
      <c r="H352" s="12"/>
      <c r="I352" s="12"/>
      <c r="J352" s="12"/>
      <c r="K352" s="12">
        <f t="shared" si="107"/>
        <v>3813</v>
      </c>
      <c r="M352" s="10">
        <v>11</v>
      </c>
      <c r="N352" s="30">
        <v>45881</v>
      </c>
      <c r="O352" s="31">
        <f t="shared" si="113"/>
        <v>7728</v>
      </c>
      <c r="P352" s="32">
        <f>3130+614+1192+9.5*7</f>
        <v>5002.5</v>
      </c>
      <c r="Q352" s="32"/>
      <c r="R352" s="32"/>
      <c r="S352" s="32">
        <f t="shared" si="108"/>
        <v>5002.5</v>
      </c>
      <c r="T352" s="12"/>
      <c r="U352" s="12">
        <v>27</v>
      </c>
      <c r="V352" s="12"/>
      <c r="W352" s="12">
        <f t="shared" si="109"/>
        <v>5029.5</v>
      </c>
      <c r="Y352" s="10">
        <v>11</v>
      </c>
      <c r="Z352" s="30"/>
      <c r="AA352" s="31"/>
      <c r="AB352" s="32"/>
      <c r="AC352" s="32"/>
      <c r="AD352" s="32"/>
      <c r="AE352" s="32">
        <f t="shared" si="114"/>
        <v>0</v>
      </c>
      <c r="AF352" s="12"/>
      <c r="AG352" s="12"/>
      <c r="AH352" s="12"/>
      <c r="AI352" s="12">
        <f t="shared" si="111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45881</v>
      </c>
      <c r="C353" s="91">
        <f t="shared" si="112"/>
        <v>7806</v>
      </c>
      <c r="D353" s="32">
        <f>2504+596+47</f>
        <v>3147</v>
      </c>
      <c r="E353" s="32"/>
      <c r="F353" s="32"/>
      <c r="G353" s="32">
        <f t="shared" si="106"/>
        <v>3147</v>
      </c>
      <c r="H353" s="12"/>
      <c r="I353" s="12"/>
      <c r="J353" s="10"/>
      <c r="K353" s="12">
        <f t="shared" si="107"/>
        <v>3147</v>
      </c>
      <c r="M353" s="10">
        <v>12</v>
      </c>
      <c r="N353" s="30">
        <v>45881</v>
      </c>
      <c r="O353" s="31">
        <f t="shared" si="113"/>
        <v>7729</v>
      </c>
      <c r="P353" s="32">
        <f>852</f>
        <v>852</v>
      </c>
      <c r="Q353" s="32"/>
      <c r="R353" s="32"/>
      <c r="S353" s="32">
        <f t="shared" si="108"/>
        <v>852</v>
      </c>
      <c r="T353" s="12"/>
      <c r="U353" s="12"/>
      <c r="V353" s="12"/>
      <c r="W353" s="12">
        <f t="shared" si="109"/>
        <v>852</v>
      </c>
      <c r="Y353" s="10">
        <v>12</v>
      </c>
      <c r="Z353" s="30"/>
      <c r="AA353" s="31"/>
      <c r="AB353" s="32"/>
      <c r="AC353" s="32"/>
      <c r="AD353" s="32"/>
      <c r="AE353" s="32">
        <f t="shared" si="114"/>
        <v>0</v>
      </c>
      <c r="AF353" s="12"/>
      <c r="AG353" s="12"/>
      <c r="AH353" s="12"/>
      <c r="AI353" s="12">
        <f t="shared" si="111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>
        <v>45881</v>
      </c>
      <c r="C354" s="91">
        <f t="shared" si="112"/>
        <v>7807</v>
      </c>
      <c r="D354" s="32">
        <f>3130+47</f>
        <v>3177</v>
      </c>
      <c r="E354" s="32"/>
      <c r="F354" s="32"/>
      <c r="G354" s="32">
        <f t="shared" si="106"/>
        <v>3177</v>
      </c>
      <c r="H354" s="12"/>
      <c r="I354" s="12"/>
      <c r="J354" s="12"/>
      <c r="K354" s="12">
        <f t="shared" si="107"/>
        <v>3177</v>
      </c>
      <c r="M354" s="10">
        <v>13</v>
      </c>
      <c r="N354" s="30">
        <v>45881</v>
      </c>
      <c r="O354" s="31">
        <f t="shared" si="113"/>
        <v>7730</v>
      </c>
      <c r="P354" s="32">
        <f>596</f>
        <v>596</v>
      </c>
      <c r="Q354" s="32"/>
      <c r="R354" s="32"/>
      <c r="S354" s="32">
        <f t="shared" si="108"/>
        <v>596</v>
      </c>
      <c r="T354" s="12"/>
      <c r="U354" s="12"/>
      <c r="V354" s="12"/>
      <c r="W354" s="12">
        <f t="shared" si="109"/>
        <v>596</v>
      </c>
      <c r="Y354" s="10">
        <v>13</v>
      </c>
      <c r="Z354" s="30"/>
      <c r="AA354" s="31"/>
      <c r="AB354" s="32"/>
      <c r="AC354" s="32"/>
      <c r="AD354" s="32"/>
      <c r="AE354" s="32">
        <f t="shared" si="114"/>
        <v>0</v>
      </c>
      <c r="AF354" s="12"/>
      <c r="AG354" s="12"/>
      <c r="AH354" s="12"/>
      <c r="AI354" s="12">
        <f t="shared" si="111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>
        <v>45881</v>
      </c>
      <c r="C355" s="91">
        <f t="shared" si="112"/>
        <v>7808</v>
      </c>
      <c r="D355" s="32">
        <f>3130+1788+76</f>
        <v>4994</v>
      </c>
      <c r="E355" s="32"/>
      <c r="F355" s="32"/>
      <c r="G355" s="32">
        <f t="shared" si="106"/>
        <v>4994</v>
      </c>
      <c r="H355" s="12"/>
      <c r="I355" s="12"/>
      <c r="J355" s="12"/>
      <c r="K355" s="12">
        <f t="shared" si="107"/>
        <v>4994</v>
      </c>
      <c r="M355" s="10">
        <v>14</v>
      </c>
      <c r="N355" s="30">
        <v>45881</v>
      </c>
      <c r="O355" s="31">
        <f t="shared" si="113"/>
        <v>7731</v>
      </c>
      <c r="P355" s="32">
        <f>1228</f>
        <v>1228</v>
      </c>
      <c r="Q355" s="32"/>
      <c r="R355" s="32"/>
      <c r="S355" s="32">
        <f t="shared" si="108"/>
        <v>1228</v>
      </c>
      <c r="T355" s="12"/>
      <c r="U355" s="12"/>
      <c r="V355" s="12"/>
      <c r="W355" s="12">
        <f t="shared" si="109"/>
        <v>1228</v>
      </c>
      <c r="Y355" s="10">
        <v>14</v>
      </c>
      <c r="Z355" s="30"/>
      <c r="AA355" s="31"/>
      <c r="AB355" s="32"/>
      <c r="AC355" s="32"/>
      <c r="AD355" s="32"/>
      <c r="AE355" s="32">
        <f t="shared" si="114"/>
        <v>0</v>
      </c>
      <c r="AF355" s="12"/>
      <c r="AG355" s="12"/>
      <c r="AH355" s="12"/>
      <c r="AI355" s="12">
        <f t="shared" si="111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>
        <v>45881</v>
      </c>
      <c r="C356" s="91">
        <f t="shared" si="112"/>
        <v>7809</v>
      </c>
      <c r="D356" s="32">
        <f>3756+1348+57</f>
        <v>5161</v>
      </c>
      <c r="E356" s="32"/>
      <c r="F356" s="32"/>
      <c r="G356" s="32">
        <f t="shared" si="106"/>
        <v>5161</v>
      </c>
      <c r="H356" s="12"/>
      <c r="I356" s="12">
        <v>222</v>
      </c>
      <c r="J356" s="12"/>
      <c r="K356" s="12">
        <f t="shared" si="107"/>
        <v>5383</v>
      </c>
      <c r="M356" s="10">
        <v>15</v>
      </c>
      <c r="N356" s="30">
        <v>45881</v>
      </c>
      <c r="O356" s="31">
        <f t="shared" si="113"/>
        <v>7732</v>
      </c>
      <c r="P356" s="32">
        <f>626+66.5</f>
        <v>692.5</v>
      </c>
      <c r="Q356" s="32"/>
      <c r="R356" s="32"/>
      <c r="S356" s="32">
        <f t="shared" si="108"/>
        <v>692.5</v>
      </c>
      <c r="T356" s="12"/>
      <c r="U356" s="12"/>
      <c r="V356" s="12"/>
      <c r="W356" s="12">
        <f t="shared" si="109"/>
        <v>692.5</v>
      </c>
      <c r="Y356" s="10">
        <v>15</v>
      </c>
      <c r="Z356" s="30"/>
      <c r="AA356" s="31"/>
      <c r="AB356" s="32"/>
      <c r="AC356" s="32"/>
      <c r="AD356" s="32"/>
      <c r="AE356" s="32">
        <f t="shared" si="114"/>
        <v>0</v>
      </c>
      <c r="AF356" s="12"/>
      <c r="AG356" s="12"/>
      <c r="AH356" s="12"/>
      <c r="AI356" s="12">
        <f t="shared" si="111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>
        <v>45881</v>
      </c>
      <c r="C357" s="91">
        <f t="shared" si="112"/>
        <v>7810</v>
      </c>
      <c r="D357" s="32">
        <f>12520+2980</f>
        <v>15500</v>
      </c>
      <c r="E357" s="32"/>
      <c r="F357" s="32"/>
      <c r="G357" s="32">
        <f t="shared" si="106"/>
        <v>15500</v>
      </c>
      <c r="H357" s="12"/>
      <c r="I357" s="12"/>
      <c r="J357" s="12"/>
      <c r="K357" s="12">
        <f t="shared" si="107"/>
        <v>15500</v>
      </c>
      <c r="M357" s="10">
        <v>16</v>
      </c>
      <c r="N357" s="30">
        <v>45881</v>
      </c>
      <c r="O357" s="31">
        <f t="shared" si="113"/>
        <v>7733</v>
      </c>
      <c r="P357" s="32">
        <f>12520+3070+5960+229</f>
        <v>21779</v>
      </c>
      <c r="Q357" s="32"/>
      <c r="R357" s="32"/>
      <c r="S357" s="32">
        <f t="shared" si="108"/>
        <v>21779</v>
      </c>
      <c r="T357" s="12"/>
      <c r="U357" s="12"/>
      <c r="V357" s="12"/>
      <c r="W357" s="12">
        <f t="shared" si="109"/>
        <v>21779</v>
      </c>
      <c r="Y357" s="10">
        <v>16</v>
      </c>
      <c r="Z357" s="30"/>
      <c r="AB357" s="32"/>
      <c r="AC357" s="32"/>
      <c r="AD357" s="32"/>
      <c r="AE357" s="32">
        <f t="shared" si="114"/>
        <v>0</v>
      </c>
      <c r="AF357" s="12"/>
      <c r="AG357" s="12"/>
      <c r="AH357" s="12"/>
      <c r="AI357" s="12">
        <f t="shared" si="111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>
        <v>45881</v>
      </c>
      <c r="C358" s="91">
        <f t="shared" si="112"/>
        <v>7811</v>
      </c>
      <c r="D358" s="32">
        <f>1878+28</f>
        <v>1906</v>
      </c>
      <c r="E358" s="32"/>
      <c r="F358" s="32"/>
      <c r="G358" s="32">
        <f t="shared" si="106"/>
        <v>1906</v>
      </c>
      <c r="H358" s="12"/>
      <c r="I358" s="12"/>
      <c r="J358" s="12"/>
      <c r="K358" s="12">
        <f t="shared" si="107"/>
        <v>1906</v>
      </c>
      <c r="M358" s="10">
        <v>17</v>
      </c>
      <c r="N358" s="30"/>
      <c r="O358" s="11" t="s">
        <v>27</v>
      </c>
      <c r="P358" s="35"/>
      <c r="Q358" s="32"/>
      <c r="R358" s="32"/>
      <c r="S358" s="32">
        <f t="shared" si="108"/>
        <v>0</v>
      </c>
      <c r="T358" s="12"/>
      <c r="U358" s="12"/>
      <c r="V358" s="12"/>
      <c r="W358" s="12">
        <f t="shared" si="109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4"/>
        <v>0</v>
      </c>
      <c r="AF358" s="12"/>
      <c r="AG358" s="12"/>
      <c r="AH358" s="12"/>
      <c r="AI358" s="12">
        <f t="shared" si="111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11" t="s">
        <v>27</v>
      </c>
      <c r="D359" s="32"/>
      <c r="E359" s="32"/>
      <c r="F359" s="32"/>
      <c r="G359" s="32">
        <f t="shared" si="106"/>
        <v>0</v>
      </c>
      <c r="H359" s="12"/>
      <c r="I359" s="12"/>
      <c r="J359" s="12"/>
      <c r="K359" s="12">
        <f t="shared" si="107"/>
        <v>0</v>
      </c>
      <c r="M359" s="10">
        <v>18</v>
      </c>
      <c r="N359" s="30"/>
      <c r="O359" s="31"/>
      <c r="P359" s="32"/>
      <c r="Q359" s="32"/>
      <c r="R359" s="32"/>
      <c r="S359" s="32">
        <f t="shared" si="108"/>
        <v>0</v>
      </c>
      <c r="T359" s="12"/>
      <c r="U359" s="12"/>
      <c r="V359" s="12"/>
      <c r="W359" s="12">
        <f t="shared" si="109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4"/>
        <v>0</v>
      </c>
      <c r="AF359" s="12"/>
      <c r="AG359" s="12"/>
      <c r="AH359" s="12"/>
      <c r="AI359" s="12">
        <f t="shared" si="111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D360" s="32"/>
      <c r="E360" s="32"/>
      <c r="F360" s="32"/>
      <c r="G360" s="32">
        <f t="shared" si="106"/>
        <v>0</v>
      </c>
      <c r="H360" s="12"/>
      <c r="I360" s="12"/>
      <c r="J360" s="12"/>
      <c r="K360" s="12">
        <f t="shared" si="107"/>
        <v>0</v>
      </c>
      <c r="M360" s="10">
        <v>19</v>
      </c>
      <c r="N360" s="30"/>
      <c r="O360" s="31"/>
      <c r="P360" s="32"/>
      <c r="Q360" s="32"/>
      <c r="R360" s="32"/>
      <c r="S360" s="32">
        <f t="shared" si="108"/>
        <v>0</v>
      </c>
      <c r="T360" s="12"/>
      <c r="U360" s="12"/>
      <c r="V360" s="12"/>
      <c r="W360" s="12">
        <f t="shared" si="109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4"/>
        <v>0</v>
      </c>
      <c r="AF360" s="12"/>
      <c r="AG360" s="12"/>
      <c r="AH360" s="12"/>
      <c r="AI360" s="12">
        <f t="shared" si="111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91"/>
      <c r="D361" s="32"/>
      <c r="E361" s="32"/>
      <c r="F361" s="32"/>
      <c r="G361" s="32">
        <f t="shared" si="106"/>
        <v>0</v>
      </c>
      <c r="H361" s="12"/>
      <c r="I361" s="12"/>
      <c r="J361" s="12"/>
      <c r="K361" s="12">
        <f t="shared" si="107"/>
        <v>0</v>
      </c>
      <c r="M361" s="10">
        <v>20</v>
      </c>
      <c r="N361" s="30"/>
      <c r="O361" s="31"/>
      <c r="P361" s="32"/>
      <c r="Q361" s="32"/>
      <c r="R361" s="32"/>
      <c r="S361" s="32">
        <f t="shared" si="108"/>
        <v>0</v>
      </c>
      <c r="T361" s="12"/>
      <c r="U361" s="12"/>
      <c r="V361" s="12"/>
      <c r="W361" s="12">
        <f t="shared" si="109"/>
        <v>0</v>
      </c>
      <c r="Y361" s="10">
        <v>20</v>
      </c>
      <c r="Z361" s="30"/>
      <c r="AA361" s="31"/>
      <c r="AB361" s="32"/>
      <c r="AC361" s="32"/>
      <c r="AD361" s="32"/>
      <c r="AE361" s="32">
        <f t="shared" si="114"/>
        <v>0</v>
      </c>
      <c r="AF361" s="12"/>
      <c r="AG361" s="12"/>
      <c r="AH361" s="12"/>
      <c r="AI361" s="12">
        <f t="shared" si="111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91"/>
      <c r="D362" s="32"/>
      <c r="E362" s="32"/>
      <c r="F362" s="32"/>
      <c r="G362" s="32">
        <f t="shared" si="106"/>
        <v>0</v>
      </c>
      <c r="H362" s="10"/>
      <c r="I362" s="10"/>
      <c r="J362" s="10"/>
      <c r="K362" s="12">
        <f t="shared" si="107"/>
        <v>0</v>
      </c>
      <c r="M362" s="10">
        <v>21</v>
      </c>
      <c r="N362" s="30"/>
      <c r="O362" s="31"/>
      <c r="P362" s="46"/>
      <c r="Q362" s="31"/>
      <c r="R362" s="31"/>
      <c r="S362" s="32">
        <f t="shared" si="108"/>
        <v>0</v>
      </c>
      <c r="T362" s="10"/>
      <c r="U362" s="10"/>
      <c r="V362" s="10"/>
      <c r="W362" s="12">
        <f t="shared" si="109"/>
        <v>0</v>
      </c>
      <c r="Y362" s="10">
        <v>21</v>
      </c>
      <c r="Z362" s="30"/>
      <c r="AB362" s="46"/>
      <c r="AC362" s="31"/>
      <c r="AD362" s="31"/>
      <c r="AE362" s="32">
        <f t="shared" si="114"/>
        <v>0</v>
      </c>
      <c r="AF362" s="10"/>
      <c r="AG362" s="10"/>
      <c r="AH362" s="10"/>
      <c r="AI362" s="12">
        <f t="shared" si="111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91"/>
      <c r="D363" s="32"/>
      <c r="E363" s="32"/>
      <c r="F363" s="32"/>
      <c r="G363" s="32">
        <f t="shared" si="106"/>
        <v>0</v>
      </c>
      <c r="H363" s="10"/>
      <c r="I363" s="10"/>
      <c r="J363" s="10"/>
      <c r="K363" s="12">
        <f t="shared" si="107"/>
        <v>0</v>
      </c>
      <c r="M363" s="10">
        <v>22</v>
      </c>
      <c r="N363" s="30"/>
      <c r="O363" s="31"/>
      <c r="P363" s="45"/>
      <c r="Q363" s="31"/>
      <c r="R363" s="31"/>
      <c r="S363" s="32">
        <f t="shared" si="108"/>
        <v>0</v>
      </c>
      <c r="T363" s="10"/>
      <c r="U363" s="10"/>
      <c r="V363" s="10"/>
      <c r="W363" s="12">
        <f t="shared" si="109"/>
        <v>0</v>
      </c>
      <c r="Y363" s="10">
        <v>22</v>
      </c>
      <c r="Z363" s="30"/>
      <c r="AB363" s="45"/>
      <c r="AC363" s="31"/>
      <c r="AD363" s="31"/>
      <c r="AE363" s="32">
        <f t="shared" si="114"/>
        <v>0</v>
      </c>
      <c r="AF363" s="10"/>
      <c r="AG363" s="10"/>
      <c r="AH363" s="10"/>
      <c r="AI363" s="12">
        <f t="shared" si="111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57"/>
      <c r="D364" s="32"/>
      <c r="E364" s="32"/>
      <c r="F364" s="32"/>
      <c r="G364" s="32">
        <f t="shared" si="106"/>
        <v>0</v>
      </c>
      <c r="H364" s="10"/>
      <c r="I364" s="10"/>
      <c r="J364" s="12"/>
      <c r="K364" s="12">
        <f t="shared" si="107"/>
        <v>0</v>
      </c>
      <c r="M364" s="10">
        <v>23</v>
      </c>
      <c r="N364" s="30"/>
      <c r="O364" s="31"/>
      <c r="P364" s="47"/>
      <c r="S364" s="32">
        <f t="shared" si="108"/>
        <v>0</v>
      </c>
      <c r="T364" s="10"/>
      <c r="U364" s="10"/>
      <c r="V364" s="10"/>
      <c r="W364" s="12">
        <f t="shared" si="109"/>
        <v>0</v>
      </c>
      <c r="Y364" s="10">
        <v>23</v>
      </c>
      <c r="Z364" s="30"/>
      <c r="AA364" s="31"/>
      <c r="AB364" s="47"/>
      <c r="AE364" s="32">
        <f t="shared" si="114"/>
        <v>0</v>
      </c>
      <c r="AF364" s="10"/>
      <c r="AG364" s="10"/>
      <c r="AH364" s="10"/>
      <c r="AI364" s="12">
        <f t="shared" si="111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31"/>
      <c r="D365" s="32"/>
      <c r="E365" s="32"/>
      <c r="F365" s="32"/>
      <c r="G365" s="32">
        <f t="shared" si="106"/>
        <v>0</v>
      </c>
      <c r="H365" s="10"/>
      <c r="I365" s="10"/>
      <c r="J365" s="10"/>
      <c r="K365" s="12">
        <f t="shared" si="107"/>
        <v>0</v>
      </c>
      <c r="M365" s="10">
        <v>24</v>
      </c>
      <c r="N365" s="30"/>
      <c r="P365" s="47"/>
      <c r="Q365" s="31"/>
      <c r="R365" s="31"/>
      <c r="S365" s="32">
        <f t="shared" si="108"/>
        <v>0</v>
      </c>
      <c r="T365" s="10"/>
      <c r="U365" s="10"/>
      <c r="V365" s="10"/>
      <c r="W365" s="12">
        <f t="shared" si="109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4"/>
        <v>0</v>
      </c>
      <c r="AF365" s="10"/>
      <c r="AG365" s="10"/>
      <c r="AH365" s="10"/>
      <c r="AI365" s="12">
        <f t="shared" si="111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31"/>
      <c r="D366" s="32"/>
      <c r="E366" s="32"/>
      <c r="F366" s="32"/>
      <c r="G366" s="32">
        <f t="shared" si="106"/>
        <v>0</v>
      </c>
      <c r="H366" s="10"/>
      <c r="I366" s="10"/>
      <c r="J366" s="10"/>
      <c r="K366" s="12">
        <f t="shared" si="107"/>
        <v>0</v>
      </c>
      <c r="M366" s="10">
        <v>25</v>
      </c>
      <c r="N366" s="30"/>
      <c r="O366" s="31"/>
      <c r="P366" s="47"/>
      <c r="Q366" s="31"/>
      <c r="R366" s="31"/>
      <c r="S366" s="32">
        <f t="shared" si="108"/>
        <v>0</v>
      </c>
      <c r="T366" s="10"/>
      <c r="U366" s="10"/>
      <c r="V366" s="10"/>
      <c r="W366" s="12">
        <f t="shared" si="109"/>
        <v>0</v>
      </c>
      <c r="Y366" s="10">
        <v>25</v>
      </c>
      <c r="Z366" s="30"/>
      <c r="AA366" s="11"/>
      <c r="AB366" s="47"/>
      <c r="AC366" s="31"/>
      <c r="AD366" s="31"/>
      <c r="AE366" s="32">
        <f t="shared" si="114"/>
        <v>0</v>
      </c>
      <c r="AF366" s="10"/>
      <c r="AG366" s="10"/>
      <c r="AH366" s="10"/>
      <c r="AI366" s="12">
        <f t="shared" si="111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11"/>
      <c r="D367" s="32"/>
      <c r="E367" s="32"/>
      <c r="F367" s="32"/>
      <c r="G367" s="32">
        <f t="shared" si="106"/>
        <v>0</v>
      </c>
      <c r="H367" s="10"/>
      <c r="I367" s="10"/>
      <c r="J367" s="10"/>
      <c r="K367" s="12">
        <f t="shared" si="107"/>
        <v>0</v>
      </c>
      <c r="M367" s="10">
        <v>26</v>
      </c>
      <c r="N367" s="30"/>
      <c r="P367" s="47"/>
      <c r="Q367" s="31"/>
      <c r="R367" s="31"/>
      <c r="S367" s="32">
        <f t="shared" si="108"/>
        <v>0</v>
      </c>
      <c r="T367" s="10"/>
      <c r="U367" s="10"/>
      <c r="V367" s="10"/>
      <c r="W367" s="12">
        <f t="shared" si="109"/>
        <v>0</v>
      </c>
      <c r="Y367" s="10">
        <v>26</v>
      </c>
      <c r="Z367" s="30"/>
      <c r="AB367" s="47"/>
      <c r="AC367" s="31"/>
      <c r="AD367" s="31"/>
      <c r="AE367" s="32">
        <f t="shared" si="114"/>
        <v>0</v>
      </c>
      <c r="AF367" s="10"/>
      <c r="AG367" s="10"/>
      <c r="AH367" s="10"/>
      <c r="AI367" s="12">
        <f t="shared" si="111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57"/>
      <c r="D368" s="32"/>
      <c r="E368" s="32"/>
      <c r="F368" s="32"/>
      <c r="G368" s="32">
        <f t="shared" si="106"/>
        <v>0</v>
      </c>
      <c r="H368" s="10"/>
      <c r="I368" s="10"/>
      <c r="J368" s="10"/>
      <c r="K368" s="12">
        <f t="shared" si="107"/>
        <v>0</v>
      </c>
      <c r="M368" s="10">
        <v>27</v>
      </c>
      <c r="N368" s="30"/>
      <c r="O368" s="31"/>
      <c r="P368" s="47"/>
      <c r="Q368" s="31"/>
      <c r="R368" s="31"/>
      <c r="S368" s="32">
        <f t="shared" si="108"/>
        <v>0</v>
      </c>
      <c r="T368" s="10"/>
      <c r="U368" s="10"/>
      <c r="V368" s="10"/>
      <c r="W368" s="12">
        <f t="shared" si="109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4"/>
        <v>0</v>
      </c>
      <c r="AF368" s="10"/>
      <c r="AG368" s="10"/>
      <c r="AH368" s="10"/>
      <c r="AI368" s="12">
        <f t="shared" si="111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31"/>
      <c r="D369" s="32"/>
      <c r="E369" s="32"/>
      <c r="F369" s="32"/>
      <c r="G369" s="32">
        <f t="shared" si="106"/>
        <v>0</v>
      </c>
      <c r="H369" s="10"/>
      <c r="I369" s="10"/>
      <c r="J369" s="10"/>
      <c r="K369" s="12">
        <f t="shared" si="107"/>
        <v>0</v>
      </c>
      <c r="M369" s="10">
        <v>28</v>
      </c>
      <c r="N369" s="30"/>
      <c r="O369" s="31"/>
      <c r="P369" s="47"/>
      <c r="Q369" s="31"/>
      <c r="R369" s="31"/>
      <c r="S369" s="32">
        <f t="shared" si="108"/>
        <v>0</v>
      </c>
      <c r="T369" s="10"/>
      <c r="U369" s="10"/>
      <c r="V369" s="10"/>
      <c r="W369" s="12">
        <f t="shared" si="109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4"/>
        <v>0</v>
      </c>
      <c r="AF369" s="10"/>
      <c r="AG369" s="10"/>
      <c r="AH369" s="10"/>
      <c r="AI369" s="12">
        <f t="shared" si="111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31"/>
      <c r="D370" s="32"/>
      <c r="E370" s="32"/>
      <c r="F370" s="32"/>
      <c r="G370" s="32">
        <f t="shared" si="106"/>
        <v>0</v>
      </c>
      <c r="H370" s="10"/>
      <c r="I370" s="10"/>
      <c r="J370" s="10"/>
      <c r="K370" s="12">
        <f t="shared" si="107"/>
        <v>0</v>
      </c>
      <c r="M370" s="10">
        <v>29</v>
      </c>
      <c r="N370" s="30"/>
      <c r="P370" s="47"/>
      <c r="Q370" s="31"/>
      <c r="R370" s="31"/>
      <c r="S370" s="32">
        <f t="shared" si="108"/>
        <v>0</v>
      </c>
      <c r="T370" s="10"/>
      <c r="U370" s="10"/>
      <c r="V370" s="10"/>
      <c r="W370" s="12">
        <f t="shared" si="109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4"/>
        <v>0</v>
      </c>
      <c r="AF370" s="10"/>
      <c r="AG370" s="10"/>
      <c r="AH370" s="10"/>
      <c r="AI370" s="12">
        <f t="shared" si="111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57"/>
      <c r="D371" s="32"/>
      <c r="E371" s="32"/>
      <c r="F371" s="32"/>
      <c r="G371" s="32">
        <f t="shared" si="106"/>
        <v>0</v>
      </c>
      <c r="H371" s="10"/>
      <c r="I371" s="10"/>
      <c r="J371" s="10"/>
      <c r="K371" s="12">
        <f t="shared" si="107"/>
        <v>0</v>
      </c>
      <c r="M371" s="10">
        <v>30</v>
      </c>
      <c r="N371" s="30"/>
      <c r="P371" s="47"/>
      <c r="Q371" s="31"/>
      <c r="R371" s="31"/>
      <c r="S371" s="32">
        <f t="shared" si="108"/>
        <v>0</v>
      </c>
      <c r="T371" s="10"/>
      <c r="U371" s="10"/>
      <c r="V371" s="10"/>
      <c r="W371" s="12">
        <f t="shared" si="109"/>
        <v>0</v>
      </c>
      <c r="Y371" s="10">
        <v>30</v>
      </c>
      <c r="Z371" s="30"/>
      <c r="AB371" s="47"/>
      <c r="AC371" s="31"/>
      <c r="AD371" s="31"/>
      <c r="AE371" s="32">
        <f t="shared" si="114"/>
        <v>0</v>
      </c>
      <c r="AF371" s="10"/>
      <c r="AG371" s="10"/>
      <c r="AH371" s="10"/>
      <c r="AI371" s="12">
        <f t="shared" si="111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57"/>
      <c r="D372" s="32"/>
      <c r="E372" s="32"/>
      <c r="F372" s="32"/>
      <c r="G372" s="32">
        <f t="shared" si="106"/>
        <v>0</v>
      </c>
      <c r="H372" s="10"/>
      <c r="I372" s="10"/>
      <c r="J372" s="10"/>
      <c r="K372" s="12">
        <f t="shared" si="107"/>
        <v>0</v>
      </c>
      <c r="M372" s="10">
        <v>31</v>
      </c>
      <c r="N372" s="30"/>
      <c r="O372" s="31"/>
      <c r="P372" s="47"/>
      <c r="Q372" s="31"/>
      <c r="R372" s="31"/>
      <c r="S372" s="32">
        <f t="shared" si="108"/>
        <v>0</v>
      </c>
      <c r="T372" s="10"/>
      <c r="U372" s="10"/>
      <c r="V372" s="10"/>
      <c r="W372" s="12">
        <f t="shared" si="109"/>
        <v>0</v>
      </c>
      <c r="Y372" s="10">
        <v>31</v>
      </c>
      <c r="Z372" s="30"/>
      <c r="AB372" s="47"/>
      <c r="AC372" s="31"/>
      <c r="AD372" s="31"/>
      <c r="AE372" s="32">
        <f t="shared" si="114"/>
        <v>0</v>
      </c>
      <c r="AF372" s="10"/>
      <c r="AG372" s="10"/>
      <c r="AH372" s="10"/>
      <c r="AI372" s="12">
        <f t="shared" si="111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31"/>
      <c r="D373" s="32"/>
      <c r="E373" s="32"/>
      <c r="F373" s="32"/>
      <c r="G373" s="32">
        <f t="shared" si="106"/>
        <v>0</v>
      </c>
      <c r="H373" s="10"/>
      <c r="I373" s="10"/>
      <c r="J373" s="10"/>
      <c r="K373" s="12">
        <f t="shared" si="107"/>
        <v>0</v>
      </c>
      <c r="M373" s="10">
        <v>32</v>
      </c>
      <c r="N373" s="30"/>
      <c r="P373" s="47"/>
      <c r="Q373" s="31"/>
      <c r="R373" s="31"/>
      <c r="S373" s="32">
        <f t="shared" si="108"/>
        <v>0</v>
      </c>
      <c r="T373" s="10"/>
      <c r="U373" s="10"/>
      <c r="V373" s="10"/>
      <c r="W373" s="12">
        <f t="shared" si="109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4"/>
        <v>0</v>
      </c>
      <c r="AF373" s="10"/>
      <c r="AG373" s="10"/>
      <c r="AH373" s="10"/>
      <c r="AI373" s="12">
        <f t="shared" si="111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57"/>
      <c r="D374" s="32"/>
      <c r="E374" s="32"/>
      <c r="F374" s="32"/>
      <c r="G374" s="32">
        <f t="shared" si="106"/>
        <v>0</v>
      </c>
      <c r="H374" s="10"/>
      <c r="I374" s="10"/>
      <c r="J374" s="10"/>
      <c r="K374" s="12">
        <f t="shared" si="107"/>
        <v>0</v>
      </c>
      <c r="M374" s="10">
        <v>33</v>
      </c>
      <c r="N374" s="30"/>
      <c r="O374" s="31"/>
      <c r="P374" s="47"/>
      <c r="Q374" s="31"/>
      <c r="R374" s="31"/>
      <c r="S374" s="32">
        <f t="shared" si="108"/>
        <v>0</v>
      </c>
      <c r="T374" s="10"/>
      <c r="U374" s="10"/>
      <c r="V374" s="10"/>
      <c r="W374" s="12">
        <f t="shared" si="109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4"/>
        <v>0</v>
      </c>
      <c r="AF374" s="10"/>
      <c r="AG374" s="10"/>
      <c r="AH374" s="10"/>
      <c r="AI374" s="12">
        <f t="shared" si="111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57"/>
      <c r="D375" s="32"/>
      <c r="E375" s="32"/>
      <c r="F375" s="32"/>
      <c r="G375" s="32">
        <f t="shared" si="106"/>
        <v>0</v>
      </c>
      <c r="H375" s="10"/>
      <c r="I375" s="10"/>
      <c r="J375" s="10"/>
      <c r="K375" s="12">
        <f t="shared" si="107"/>
        <v>0</v>
      </c>
      <c r="M375" s="10">
        <v>34</v>
      </c>
      <c r="N375" s="30"/>
      <c r="O375" s="31"/>
      <c r="P375" s="47"/>
      <c r="Q375" s="31"/>
      <c r="R375" s="31"/>
      <c r="S375" s="32">
        <f t="shared" ref="S375:S380" si="115">SUM(P375:Q375)</f>
        <v>0</v>
      </c>
      <c r="T375" s="10"/>
      <c r="U375" s="10"/>
      <c r="V375" s="10"/>
      <c r="W375" s="12">
        <f t="shared" ref="W375:W383" si="116">SUM(S375:V375)</f>
        <v>0</v>
      </c>
      <c r="Y375" s="10">
        <v>34</v>
      </c>
      <c r="Z375" s="30"/>
      <c r="AB375" s="47"/>
      <c r="AC375" s="31"/>
      <c r="AD375" s="31"/>
      <c r="AE375" s="32">
        <f t="shared" si="114"/>
        <v>0</v>
      </c>
      <c r="AF375" s="10"/>
      <c r="AG375" s="10"/>
      <c r="AH375" s="10"/>
      <c r="AI375" s="12">
        <f t="shared" ref="AI375:AI383" si="117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5"/>
        <v>0</v>
      </c>
      <c r="T376" s="10"/>
      <c r="U376" s="10"/>
      <c r="V376" s="10"/>
      <c r="W376" s="12">
        <f t="shared" si="116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4"/>
        <v>0</v>
      </c>
      <c r="AF376" s="10"/>
      <c r="AG376" s="10"/>
      <c r="AH376" s="10"/>
      <c r="AI376" s="12">
        <f t="shared" si="117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5"/>
        <v>0</v>
      </c>
      <c r="T377" s="10"/>
      <c r="U377" s="10"/>
      <c r="V377" s="10"/>
      <c r="W377" s="12">
        <f t="shared" si="116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4"/>
        <v>0</v>
      </c>
      <c r="AF377" s="10"/>
      <c r="AG377" s="10"/>
      <c r="AH377" s="10"/>
      <c r="AI377" s="12">
        <f t="shared" si="117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5"/>
        <v>0</v>
      </c>
      <c r="T378" s="10"/>
      <c r="U378" s="10"/>
      <c r="V378" s="10"/>
      <c r="W378" s="12">
        <f t="shared" si="116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4"/>
        <v>0</v>
      </c>
      <c r="AF378" s="10"/>
      <c r="AG378" s="10"/>
      <c r="AH378" s="10"/>
      <c r="AI378" s="12">
        <f t="shared" si="117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5"/>
        <v>0</v>
      </c>
      <c r="T379" s="10"/>
      <c r="U379" s="10"/>
      <c r="V379" s="10"/>
      <c r="W379" s="12">
        <f t="shared" si="116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4"/>
        <v>0</v>
      </c>
      <c r="AF379" s="10"/>
      <c r="AG379" s="10"/>
      <c r="AH379" s="10"/>
      <c r="AI379" s="12">
        <f t="shared" si="117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5"/>
        <v>0</v>
      </c>
      <c r="T380" s="10"/>
      <c r="U380" s="10"/>
      <c r="V380" s="10"/>
      <c r="W380" s="12">
        <f t="shared" si="116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4"/>
        <v>0</v>
      </c>
      <c r="AF380" s="10"/>
      <c r="AG380" s="10"/>
      <c r="AH380" s="10"/>
      <c r="AI380" s="12">
        <f t="shared" si="117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6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17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18">SUM(D382:E382)</f>
        <v>0</v>
      </c>
      <c r="H382" s="10"/>
      <c r="I382" s="10"/>
      <c r="J382" s="10"/>
      <c r="K382" s="12">
        <f t="shared" ref="K382" si="119">SUM(G382:J382)</f>
        <v>0</v>
      </c>
      <c r="M382" s="10"/>
      <c r="N382" s="30"/>
      <c r="O382" s="31"/>
      <c r="P382" s="47"/>
      <c r="Q382" s="31"/>
      <c r="R382" s="31"/>
      <c r="S382" s="32">
        <f t="shared" ref="S382" si="120">SUM(P382:Q382)</f>
        <v>0</v>
      </c>
      <c r="T382" s="10"/>
      <c r="U382" s="10"/>
      <c r="V382" s="10"/>
      <c r="W382" s="12">
        <f t="shared" si="116"/>
        <v>0</v>
      </c>
      <c r="Y382" s="10"/>
      <c r="Z382" s="30"/>
      <c r="AA382" s="31"/>
      <c r="AB382" s="47"/>
      <c r="AC382" s="31"/>
      <c r="AD382" s="31"/>
      <c r="AE382" s="32">
        <f t="shared" ref="AE382" si="121">SUM(AB382:AC382)</f>
        <v>0</v>
      </c>
      <c r="AF382" s="10"/>
      <c r="AG382" s="10"/>
      <c r="AH382" s="10"/>
      <c r="AI382" s="12">
        <f t="shared" si="117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6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17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109009</v>
      </c>
      <c r="E385" s="38">
        <f t="shared" ref="E385:F385" si="122">SUM(E342:E382)</f>
        <v>0</v>
      </c>
      <c r="F385" s="38">
        <f t="shared" si="122"/>
        <v>0</v>
      </c>
      <c r="G385" s="38">
        <f>SUM(G342:G384)</f>
        <v>109009</v>
      </c>
      <c r="H385" s="4"/>
      <c r="I385" s="39">
        <f>SUM(I342:I384)</f>
        <v>375.5</v>
      </c>
      <c r="J385" s="39">
        <f>SUM(J342:J384)</f>
        <v>0</v>
      </c>
      <c r="K385" s="40">
        <f>SUM(K342:K384)</f>
        <v>109384.5</v>
      </c>
      <c r="N385" s="57"/>
      <c r="O385" s="57"/>
      <c r="P385" s="38">
        <f>SUM(P342:P384)</f>
        <v>173731</v>
      </c>
      <c r="Q385" s="38">
        <f>SUM(Q342:Q366)</f>
        <v>-600</v>
      </c>
      <c r="R385" s="38">
        <f>SUM(R342:R366)</f>
        <v>0</v>
      </c>
      <c r="S385" s="38">
        <f>SUM(S342:S384)</f>
        <v>173131</v>
      </c>
      <c r="T385" s="4"/>
      <c r="U385" s="41">
        <f>SUM(U342:U384)</f>
        <v>788.25</v>
      </c>
      <c r="V385" s="41">
        <f>SUM(V342:V366)</f>
        <v>-777</v>
      </c>
      <c r="W385" s="42">
        <f>SUM(W342:W384)</f>
        <v>173142.25</v>
      </c>
      <c r="Z385" s="57"/>
      <c r="AA385" s="57"/>
      <c r="AB385" s="38">
        <f>SUM(AB342:AB384)</f>
        <v>298231</v>
      </c>
      <c r="AC385" s="38">
        <f>SUM(AC342:AC366)</f>
        <v>-2712</v>
      </c>
      <c r="AD385" s="38">
        <f>SUM(AD342:AD366)</f>
        <v>0</v>
      </c>
      <c r="AE385" s="38">
        <f>SUM(AE342:AE384)</f>
        <v>295519</v>
      </c>
      <c r="AF385" s="4"/>
      <c r="AG385" s="41">
        <f>SUM(AG342:AG384)</f>
        <v>19110</v>
      </c>
      <c r="AH385" s="41">
        <f>SUM(AH342:AH366)</f>
        <v>-1200</v>
      </c>
      <c r="AI385" s="42">
        <f>SUM(AI342:AI384)</f>
        <v>313429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41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41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41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33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37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31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5" t="s">
        <v>17</v>
      </c>
      <c r="E395" s="115"/>
      <c r="F395" s="101"/>
      <c r="G395" s="27"/>
      <c r="I395" s="118" t="s">
        <v>18</v>
      </c>
      <c r="J395" s="119"/>
      <c r="K395" s="116" t="s">
        <v>19</v>
      </c>
      <c r="N395" s="25"/>
      <c r="O395" s="26"/>
      <c r="P395" s="115" t="s">
        <v>17</v>
      </c>
      <c r="Q395" s="115"/>
      <c r="R395" s="101"/>
      <c r="S395" s="27"/>
      <c r="U395" s="118" t="s">
        <v>18</v>
      </c>
      <c r="V395" s="119"/>
      <c r="W395" s="116" t="s">
        <v>19</v>
      </c>
      <c r="Z395" s="25"/>
      <c r="AA395" s="26"/>
      <c r="AB395" s="115" t="s">
        <v>17</v>
      </c>
      <c r="AC395" s="115"/>
      <c r="AD395" s="101"/>
      <c r="AE395" s="27"/>
      <c r="AG395" s="118" t="s">
        <v>18</v>
      </c>
      <c r="AH395" s="119"/>
      <c r="AI395" s="116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9" t="s">
        <v>22</v>
      </c>
      <c r="E396" s="78" t="s">
        <v>23</v>
      </c>
      <c r="F396" s="80" t="s">
        <v>32</v>
      </c>
      <c r="G396" s="80" t="s">
        <v>24</v>
      </c>
      <c r="I396" s="29" t="s">
        <v>25</v>
      </c>
      <c r="J396" s="29" t="s">
        <v>26</v>
      </c>
      <c r="K396" s="117"/>
      <c r="N396" s="28" t="s">
        <v>20</v>
      </c>
      <c r="O396" s="28" t="s">
        <v>21</v>
      </c>
      <c r="P396" s="79" t="s">
        <v>22</v>
      </c>
      <c r="Q396" s="80" t="s">
        <v>23</v>
      </c>
      <c r="R396" s="80" t="s">
        <v>32</v>
      </c>
      <c r="S396" s="80" t="s">
        <v>24</v>
      </c>
      <c r="U396" s="29" t="s">
        <v>25</v>
      </c>
      <c r="V396" s="29" t="s">
        <v>26</v>
      </c>
      <c r="W396" s="117"/>
      <c r="Z396" s="28" t="s">
        <v>20</v>
      </c>
      <c r="AA396" s="28" t="s">
        <v>21</v>
      </c>
      <c r="AB396" s="79" t="s">
        <v>22</v>
      </c>
      <c r="AC396" s="80" t="s">
        <v>23</v>
      </c>
      <c r="AD396" s="80" t="s">
        <v>32</v>
      </c>
      <c r="AE396" s="80" t="s">
        <v>24</v>
      </c>
      <c r="AG396" s="29" t="s">
        <v>25</v>
      </c>
      <c r="AH396" s="29" t="s">
        <v>26</v>
      </c>
      <c r="AI396" s="117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45912</v>
      </c>
      <c r="C397" s="91">
        <v>7812</v>
      </c>
      <c r="D397" s="32">
        <f>6260+1842+674+596</f>
        <v>9372</v>
      </c>
      <c r="E397" s="32"/>
      <c r="F397" s="32"/>
      <c r="G397" s="32">
        <f t="shared" ref="G397:G430" si="123">SUM(D397:E397)</f>
        <v>9372</v>
      </c>
      <c r="H397" s="12"/>
      <c r="I397" s="12"/>
      <c r="J397" s="12"/>
      <c r="K397" s="12">
        <f t="shared" ref="K397:K430" si="124">SUM(G397:J397)</f>
        <v>9372</v>
      </c>
      <c r="M397" s="10">
        <v>1</v>
      </c>
      <c r="N397" s="30">
        <v>45912</v>
      </c>
      <c r="O397" s="31">
        <v>7734</v>
      </c>
      <c r="P397" s="32">
        <f>187800+4260+2010+1664+2748+1950</f>
        <v>200432</v>
      </c>
      <c r="Q397" s="32">
        <v>-1854</v>
      </c>
      <c r="R397" s="32"/>
      <c r="S397" s="32">
        <f>SUM(P397:Q397)</f>
        <v>198578</v>
      </c>
      <c r="T397" s="12"/>
      <c r="U397" s="12">
        <f>312+288</f>
        <v>600</v>
      </c>
      <c r="V397" s="12"/>
      <c r="W397" s="12">
        <f>SUM(S397:V397)</f>
        <v>199178</v>
      </c>
      <c r="Y397" s="10">
        <v>1</v>
      </c>
      <c r="Z397" s="30">
        <v>45912</v>
      </c>
      <c r="AA397" s="31">
        <v>7499</v>
      </c>
      <c r="AB397" s="32">
        <f>31300+2980</f>
        <v>34280</v>
      </c>
      <c r="AC397" s="32"/>
      <c r="AD397" s="32"/>
      <c r="AE397" s="32">
        <f>SUM(AB397:AC397)</f>
        <v>34280</v>
      </c>
      <c r="AF397" s="12"/>
      <c r="AG397" s="12">
        <f>-111*10</f>
        <v>-1110</v>
      </c>
      <c r="AH397" s="12"/>
      <c r="AI397" s="12">
        <f>SUM(AE397:AH397)</f>
        <v>33170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45912</v>
      </c>
      <c r="C398" s="91">
        <f>C397+1</f>
        <v>7813</v>
      </c>
      <c r="D398" s="32">
        <f>9390+142.5</f>
        <v>9532.5</v>
      </c>
      <c r="E398" s="32"/>
      <c r="F398" s="32"/>
      <c r="G398" s="32">
        <f t="shared" si="123"/>
        <v>9532.5</v>
      </c>
      <c r="H398" s="12"/>
      <c r="I398" s="12"/>
      <c r="J398" s="12"/>
      <c r="K398" s="12">
        <f t="shared" si="124"/>
        <v>9532.5</v>
      </c>
      <c r="M398" s="10">
        <v>2</v>
      </c>
      <c r="N398" s="30">
        <v>45912</v>
      </c>
      <c r="O398" s="31">
        <f>O397+1</f>
        <v>7735</v>
      </c>
      <c r="P398" s="32">
        <v>3813</v>
      </c>
      <c r="Q398" s="32"/>
      <c r="R398" s="32"/>
      <c r="S398" s="32">
        <f t="shared" ref="S398:S429" si="125">SUM(P398:Q398)</f>
        <v>3813</v>
      </c>
      <c r="T398" s="12"/>
      <c r="U398" s="12">
        <v>3</v>
      </c>
      <c r="V398" s="12"/>
      <c r="W398" s="12">
        <f t="shared" ref="W398:W429" si="126">SUM(S398:V398)</f>
        <v>3816</v>
      </c>
      <c r="Y398" s="10">
        <v>2</v>
      </c>
      <c r="Z398" s="30">
        <v>45912</v>
      </c>
      <c r="AA398" s="31">
        <f>AA397+1</f>
        <v>7500</v>
      </c>
      <c r="AB398" s="32">
        <f>30048+1348+674+5960+832</f>
        <v>38862</v>
      </c>
      <c r="AC398" s="32">
        <v>-342</v>
      </c>
      <c r="AD398" s="32"/>
      <c r="AE398" s="32">
        <f t="shared" ref="AE398:AE435" si="127">SUM(AB398:AC398)</f>
        <v>38520</v>
      </c>
      <c r="AF398" s="12"/>
      <c r="AG398" s="12"/>
      <c r="AH398" s="12"/>
      <c r="AI398" s="12">
        <f t="shared" ref="AI398:AI429" si="128">SUM(AE398:AH398)</f>
        <v>38520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45912</v>
      </c>
      <c r="C399" s="91">
        <f t="shared" ref="C399:C411" si="129">C398+1</f>
        <v>7814</v>
      </c>
      <c r="D399" s="33">
        <f>626+596+19</f>
        <v>1241</v>
      </c>
      <c r="E399" s="33"/>
      <c r="F399" s="33"/>
      <c r="G399" s="33">
        <f t="shared" si="123"/>
        <v>1241</v>
      </c>
      <c r="H399" s="34"/>
      <c r="I399" s="34"/>
      <c r="J399" s="34"/>
      <c r="K399" s="34">
        <f t="shared" si="124"/>
        <v>1241</v>
      </c>
      <c r="M399" s="10">
        <v>3</v>
      </c>
      <c r="N399" s="30">
        <v>45912</v>
      </c>
      <c r="O399" s="31">
        <f t="shared" ref="O399:O401" si="130">O398+1</f>
        <v>7736</v>
      </c>
      <c r="P399" s="32">
        <f>6260</f>
        <v>6260</v>
      </c>
      <c r="Q399" s="32"/>
      <c r="R399" s="32"/>
      <c r="S399" s="32">
        <f t="shared" si="125"/>
        <v>6260</v>
      </c>
      <c r="T399" s="12"/>
      <c r="U399" s="12">
        <v>13.5</v>
      </c>
      <c r="V399" s="12"/>
      <c r="W399" s="12">
        <f t="shared" si="126"/>
        <v>6273.5</v>
      </c>
      <c r="Y399" s="10">
        <v>3</v>
      </c>
      <c r="Z399" s="30">
        <v>45912</v>
      </c>
      <c r="AA399" s="31">
        <v>7751</v>
      </c>
      <c r="AB399" s="33">
        <f>626+614*3+229</f>
        <v>2697</v>
      </c>
      <c r="AC399" s="33"/>
      <c r="AD399" s="32"/>
      <c r="AE399" s="32">
        <f t="shared" si="127"/>
        <v>2697</v>
      </c>
      <c r="AF399" s="12"/>
      <c r="AG399" s="12"/>
      <c r="AH399" s="12"/>
      <c r="AI399" s="12">
        <f t="shared" si="128"/>
        <v>2697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45912</v>
      </c>
      <c r="C400" s="91">
        <f t="shared" si="129"/>
        <v>7815</v>
      </c>
      <c r="D400" s="32">
        <f>2504+38</f>
        <v>2542</v>
      </c>
      <c r="E400" s="32"/>
      <c r="F400" s="32"/>
      <c r="G400" s="32">
        <f t="shared" si="123"/>
        <v>2542</v>
      </c>
      <c r="H400" s="12"/>
      <c r="I400" s="12"/>
      <c r="J400" s="12"/>
      <c r="K400" s="12">
        <f t="shared" si="124"/>
        <v>2542</v>
      </c>
      <c r="M400" s="10">
        <v>4</v>
      </c>
      <c r="N400" s="30">
        <v>45912</v>
      </c>
      <c r="O400" s="31">
        <f t="shared" si="130"/>
        <v>7737</v>
      </c>
      <c r="P400" s="32">
        <f>1252+19</f>
        <v>1271</v>
      </c>
      <c r="Q400" s="32"/>
      <c r="R400" s="32"/>
      <c r="S400" s="32">
        <f t="shared" si="125"/>
        <v>1271</v>
      </c>
      <c r="T400" s="12"/>
      <c r="U400" s="12"/>
      <c r="V400" s="12"/>
      <c r="W400" s="12">
        <f t="shared" si="126"/>
        <v>1271</v>
      </c>
      <c r="Y400" s="10">
        <v>4</v>
      </c>
      <c r="Z400" s="30">
        <v>45912</v>
      </c>
      <c r="AA400" s="31">
        <f t="shared" ref="AA400:AA401" si="131">AA399+1</f>
        <v>7752</v>
      </c>
      <c r="AB400" s="32">
        <f>56340+12280+674</f>
        <v>69294</v>
      </c>
      <c r="AC400" s="32"/>
      <c r="AD400" s="32"/>
      <c r="AE400" s="32">
        <f t="shared" si="127"/>
        <v>69294</v>
      </c>
      <c r="AF400" s="12"/>
      <c r="AG400">
        <v>8769</v>
      </c>
      <c r="AH400" s="12"/>
      <c r="AI400" s="12">
        <f t="shared" si="128"/>
        <v>78063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45912</v>
      </c>
      <c r="C401" s="91">
        <f t="shared" si="129"/>
        <v>7816</v>
      </c>
      <c r="D401" s="32">
        <f>2504+38</f>
        <v>2542</v>
      </c>
      <c r="E401" s="32"/>
      <c r="F401" s="32"/>
      <c r="G401" s="32">
        <f t="shared" si="123"/>
        <v>2542</v>
      </c>
      <c r="H401" s="12"/>
      <c r="I401" s="12"/>
      <c r="J401" s="12"/>
      <c r="K401" s="12">
        <f t="shared" si="124"/>
        <v>2542</v>
      </c>
      <c r="M401" s="10">
        <v>5</v>
      </c>
      <c r="N401" s="30">
        <v>45912</v>
      </c>
      <c r="O401" s="31">
        <f t="shared" si="130"/>
        <v>7738</v>
      </c>
      <c r="P401" s="32">
        <f>8138+1788+152</f>
        <v>10078</v>
      </c>
      <c r="Q401" s="32"/>
      <c r="R401" s="32"/>
      <c r="S401" s="32">
        <f t="shared" si="125"/>
        <v>10078</v>
      </c>
      <c r="T401" s="12"/>
      <c r="U401" s="12"/>
      <c r="V401" s="12">
        <f>-333+-84+-168</f>
        <v>-585</v>
      </c>
      <c r="W401" s="12">
        <f t="shared" si="126"/>
        <v>9493</v>
      </c>
      <c r="Y401" s="10">
        <v>5</v>
      </c>
      <c r="Z401" s="30">
        <v>45912</v>
      </c>
      <c r="AA401" s="31">
        <f t="shared" si="131"/>
        <v>7753</v>
      </c>
      <c r="AB401" s="32">
        <f>148988+64368+1664+3435</f>
        <v>218455</v>
      </c>
      <c r="AC401" s="32">
        <v>-2178</v>
      </c>
      <c r="AD401" s="32"/>
      <c r="AE401" s="32">
        <f t="shared" si="127"/>
        <v>216277</v>
      </c>
      <c r="AF401" s="12"/>
      <c r="AG401" s="12">
        <v>1110</v>
      </c>
      <c r="AH401" s="12"/>
      <c r="AI401" s="12">
        <f t="shared" si="128"/>
        <v>217387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45912</v>
      </c>
      <c r="C402" s="91">
        <f t="shared" si="129"/>
        <v>7817</v>
      </c>
      <c r="D402" s="32">
        <f>5634+1788+9.5*12</f>
        <v>7536</v>
      </c>
      <c r="E402" s="32"/>
      <c r="F402" s="32"/>
      <c r="G402" s="32">
        <f t="shared" si="123"/>
        <v>7536</v>
      </c>
      <c r="H402" s="12"/>
      <c r="I402" s="12">
        <v>49</v>
      </c>
      <c r="J402" s="12"/>
      <c r="K402" s="12">
        <f t="shared" si="124"/>
        <v>7585</v>
      </c>
      <c r="M402" s="10">
        <v>6</v>
      </c>
      <c r="N402" s="30"/>
      <c r="O402" s="11" t="s">
        <v>27</v>
      </c>
      <c r="P402" s="32"/>
      <c r="Q402" s="32"/>
      <c r="R402" s="32"/>
      <c r="S402" s="32">
        <f t="shared" si="125"/>
        <v>0</v>
      </c>
      <c r="T402" s="12"/>
      <c r="U402" s="12"/>
      <c r="V402" s="10"/>
      <c r="W402" s="12">
        <f t="shared" si="126"/>
        <v>0</v>
      </c>
      <c r="Y402" s="10">
        <v>6</v>
      </c>
      <c r="Z402" s="30"/>
      <c r="AA402" s="11" t="s">
        <v>27</v>
      </c>
      <c r="AB402" s="32"/>
      <c r="AC402" s="32"/>
      <c r="AD402" s="32"/>
      <c r="AE402" s="32">
        <f t="shared" si="127"/>
        <v>0</v>
      </c>
      <c r="AF402" s="12"/>
      <c r="AG402" s="12"/>
      <c r="AH402" s="10"/>
      <c r="AI402" s="12">
        <f t="shared" si="12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45912</v>
      </c>
      <c r="C403" s="91">
        <f t="shared" si="129"/>
        <v>7818</v>
      </c>
      <c r="D403" s="32">
        <f>2504+38</f>
        <v>2542</v>
      </c>
      <c r="E403" s="32"/>
      <c r="F403" s="32"/>
      <c r="G403" s="32">
        <f t="shared" si="123"/>
        <v>2542</v>
      </c>
      <c r="H403" s="12"/>
      <c r="I403" s="12"/>
      <c r="J403" s="12"/>
      <c r="K403" s="12">
        <f t="shared" si="124"/>
        <v>2542</v>
      </c>
      <c r="M403" s="10">
        <v>7</v>
      </c>
      <c r="N403" s="30"/>
      <c r="O403" s="31"/>
      <c r="P403" s="32"/>
      <c r="Q403" s="32"/>
      <c r="R403" s="32"/>
      <c r="S403" s="32">
        <f t="shared" si="125"/>
        <v>0</v>
      </c>
      <c r="T403" s="12"/>
      <c r="U403" s="12"/>
      <c r="V403" s="12"/>
      <c r="W403" s="12">
        <f t="shared" si="126"/>
        <v>0</v>
      </c>
      <c r="Y403" s="10">
        <v>7</v>
      </c>
      <c r="Z403" s="30"/>
      <c r="AA403" s="31"/>
      <c r="AB403" s="32"/>
      <c r="AC403" s="32"/>
      <c r="AD403" s="32"/>
      <c r="AE403" s="32">
        <f t="shared" si="127"/>
        <v>0</v>
      </c>
      <c r="AF403" s="12"/>
      <c r="AG403" s="58"/>
      <c r="AH403" s="12"/>
      <c r="AI403" s="12">
        <f t="shared" si="12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>
        <v>45912</v>
      </c>
      <c r="C404" s="91">
        <f t="shared" si="129"/>
        <v>7819</v>
      </c>
      <c r="D404" s="32">
        <f>2504+38</f>
        <v>2542</v>
      </c>
      <c r="E404" s="32"/>
      <c r="F404" s="32"/>
      <c r="G404" s="32">
        <f t="shared" si="123"/>
        <v>2542</v>
      </c>
      <c r="H404" s="12"/>
      <c r="I404" s="12"/>
      <c r="J404" s="12"/>
      <c r="K404" s="12">
        <f t="shared" si="124"/>
        <v>2542</v>
      </c>
      <c r="M404" s="10">
        <v>8</v>
      </c>
      <c r="N404" s="30"/>
      <c r="O404" s="31"/>
      <c r="P404" s="32"/>
      <c r="Q404" s="32"/>
      <c r="R404" s="32"/>
      <c r="S404" s="32">
        <f t="shared" si="125"/>
        <v>0</v>
      </c>
      <c r="T404" s="12"/>
      <c r="U404" s="12"/>
      <c r="V404" s="12"/>
      <c r="W404" s="12">
        <f t="shared" si="126"/>
        <v>0</v>
      </c>
      <c r="Y404" s="10">
        <v>8</v>
      </c>
      <c r="Z404" s="30"/>
      <c r="AA404" s="31"/>
      <c r="AB404" s="32"/>
      <c r="AC404" s="32"/>
      <c r="AE404" s="32">
        <f t="shared" si="127"/>
        <v>0</v>
      </c>
      <c r="AF404" s="12"/>
      <c r="AG404" s="12"/>
      <c r="AH404" s="12"/>
      <c r="AI404" s="12">
        <f t="shared" si="12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>
        <v>45912</v>
      </c>
      <c r="C405" s="91">
        <f t="shared" si="129"/>
        <v>7820</v>
      </c>
      <c r="D405" s="32">
        <f>3130+614+47.5</f>
        <v>3791.5</v>
      </c>
      <c r="E405" s="32"/>
      <c r="F405" s="32"/>
      <c r="G405" s="32">
        <f t="shared" si="123"/>
        <v>3791.5</v>
      </c>
      <c r="H405" s="12"/>
      <c r="I405" s="12"/>
      <c r="J405" s="12"/>
      <c r="K405" s="12">
        <f t="shared" si="124"/>
        <v>3791.5</v>
      </c>
      <c r="M405" s="10">
        <v>9</v>
      </c>
      <c r="N405" s="30"/>
      <c r="O405" s="31"/>
      <c r="P405" s="32"/>
      <c r="Q405" s="32"/>
      <c r="R405" s="32"/>
      <c r="S405" s="32">
        <f t="shared" si="125"/>
        <v>0</v>
      </c>
      <c r="T405" s="12"/>
      <c r="U405" s="12"/>
      <c r="V405" s="12"/>
      <c r="W405" s="12">
        <f t="shared" si="126"/>
        <v>0</v>
      </c>
      <c r="Y405" s="10">
        <v>9</v>
      </c>
      <c r="Z405" s="30"/>
      <c r="AA405" s="31"/>
      <c r="AC405" s="32"/>
      <c r="AD405" s="32"/>
      <c r="AE405" s="32">
        <f t="shared" si="127"/>
        <v>0</v>
      </c>
      <c r="AF405" s="12"/>
      <c r="AH405" s="12"/>
      <c r="AI405" s="12">
        <f t="shared" si="12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>
        <v>45912</v>
      </c>
      <c r="C406" s="91">
        <f t="shared" si="129"/>
        <v>7821</v>
      </c>
      <c r="D406" s="32">
        <f>30674+832+229</f>
        <v>31735</v>
      </c>
      <c r="E406" s="32"/>
      <c r="F406" s="32"/>
      <c r="G406" s="32">
        <f t="shared" si="123"/>
        <v>31735</v>
      </c>
      <c r="H406" s="12"/>
      <c r="I406" s="12"/>
      <c r="J406" s="12"/>
      <c r="K406" s="12">
        <f t="shared" si="124"/>
        <v>31735</v>
      </c>
      <c r="M406" s="10">
        <v>10</v>
      </c>
      <c r="N406" s="30"/>
      <c r="O406" s="31"/>
      <c r="P406" s="32"/>
      <c r="Q406" s="32"/>
      <c r="R406" s="32"/>
      <c r="S406" s="32">
        <f t="shared" si="125"/>
        <v>0</v>
      </c>
      <c r="T406" s="12"/>
      <c r="U406" s="12"/>
      <c r="V406" s="12"/>
      <c r="W406" s="12">
        <f t="shared" si="126"/>
        <v>0</v>
      </c>
      <c r="Y406" s="10">
        <v>10</v>
      </c>
      <c r="Z406" s="30"/>
      <c r="AA406" s="31"/>
      <c r="AB406" s="32"/>
      <c r="AC406" s="32"/>
      <c r="AD406" s="32"/>
      <c r="AE406" s="32">
        <f t="shared" si="127"/>
        <v>0</v>
      </c>
      <c r="AF406" s="12"/>
      <c r="AG406" s="12"/>
      <c r="AH406" s="12"/>
      <c r="AI406" s="12">
        <f t="shared" si="12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>
        <v>45912</v>
      </c>
      <c r="C407" s="91">
        <f t="shared" si="129"/>
        <v>7822</v>
      </c>
      <c r="D407" s="32">
        <f>10642+1192</f>
        <v>11834</v>
      </c>
      <c r="E407" s="32"/>
      <c r="F407" s="32"/>
      <c r="G407" s="32">
        <f t="shared" si="123"/>
        <v>11834</v>
      </c>
      <c r="H407" s="12"/>
      <c r="I407" s="12">
        <v>13.5</v>
      </c>
      <c r="J407" s="12"/>
      <c r="K407" s="12">
        <f t="shared" si="124"/>
        <v>11847.5</v>
      </c>
      <c r="M407" s="10">
        <v>11</v>
      </c>
      <c r="N407" s="30"/>
      <c r="O407" s="31"/>
      <c r="P407" s="32"/>
      <c r="Q407" s="32"/>
      <c r="R407" s="32"/>
      <c r="S407" s="32">
        <f t="shared" si="125"/>
        <v>0</v>
      </c>
      <c r="T407" s="12"/>
      <c r="U407" s="12"/>
      <c r="V407" s="12"/>
      <c r="W407" s="12">
        <f t="shared" si="126"/>
        <v>0</v>
      </c>
      <c r="Y407" s="10">
        <v>11</v>
      </c>
      <c r="Z407" s="30"/>
      <c r="AB407" s="32"/>
      <c r="AC407" s="32"/>
      <c r="AD407" s="32"/>
      <c r="AE407" s="32">
        <f t="shared" si="127"/>
        <v>0</v>
      </c>
      <c r="AF407" s="12"/>
      <c r="AG407" s="12"/>
      <c r="AH407" s="12"/>
      <c r="AI407" s="12">
        <f t="shared" si="12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>
        <v>45912</v>
      </c>
      <c r="C408" s="91">
        <f t="shared" si="129"/>
        <v>7823</v>
      </c>
      <c r="D408" s="32">
        <f>1878+28.5</f>
        <v>1906.5</v>
      </c>
      <c r="E408" s="32"/>
      <c r="F408" s="32"/>
      <c r="G408" s="32">
        <f t="shared" si="123"/>
        <v>1906.5</v>
      </c>
      <c r="H408" s="12"/>
      <c r="I408" s="12"/>
      <c r="J408" s="10"/>
      <c r="K408" s="12">
        <f t="shared" si="124"/>
        <v>1906.5</v>
      </c>
      <c r="M408" s="10">
        <v>12</v>
      </c>
      <c r="N408" s="30"/>
      <c r="O408" s="31"/>
      <c r="P408" s="32"/>
      <c r="Q408" s="32"/>
      <c r="R408" s="32"/>
      <c r="S408" s="32">
        <f t="shared" si="125"/>
        <v>0</v>
      </c>
      <c r="T408" s="12"/>
      <c r="U408" s="12"/>
      <c r="V408" s="12"/>
      <c r="W408" s="12">
        <f t="shared" si="126"/>
        <v>0</v>
      </c>
      <c r="Y408" s="10">
        <v>12</v>
      </c>
      <c r="Z408" s="30"/>
      <c r="AA408" s="31"/>
      <c r="AB408" s="32"/>
      <c r="AC408" s="32"/>
      <c r="AD408" s="32"/>
      <c r="AE408" s="32">
        <f t="shared" si="127"/>
        <v>0</v>
      </c>
      <c r="AF408" s="12"/>
      <c r="AG408" s="12"/>
      <c r="AH408" s="12"/>
      <c r="AI408" s="12">
        <f t="shared" si="12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>
        <v>45912</v>
      </c>
      <c r="C409" s="91">
        <f t="shared" si="129"/>
        <v>7824</v>
      </c>
      <c r="D409" s="32">
        <f>4382</f>
        <v>4382</v>
      </c>
      <c r="E409" s="32"/>
      <c r="F409" s="32"/>
      <c r="G409" s="32">
        <f t="shared" si="123"/>
        <v>4382</v>
      </c>
      <c r="H409" s="12"/>
      <c r="I409" s="12"/>
      <c r="J409" s="12"/>
      <c r="K409" s="12">
        <f t="shared" si="124"/>
        <v>4382</v>
      </c>
      <c r="M409" s="10">
        <v>13</v>
      </c>
      <c r="N409" s="30"/>
      <c r="O409" s="31"/>
      <c r="P409" s="32"/>
      <c r="Q409" s="32"/>
      <c r="R409" s="32"/>
      <c r="S409" s="32">
        <f t="shared" si="125"/>
        <v>0</v>
      </c>
      <c r="T409" s="12"/>
      <c r="U409" s="12"/>
      <c r="V409" s="12"/>
      <c r="W409" s="12">
        <f t="shared" si="126"/>
        <v>0</v>
      </c>
      <c r="Y409" s="10">
        <v>13</v>
      </c>
      <c r="Z409" s="30"/>
      <c r="AA409" s="31"/>
      <c r="AB409" s="32"/>
      <c r="AC409" s="32"/>
      <c r="AD409" s="32"/>
      <c r="AE409" s="32">
        <f t="shared" si="127"/>
        <v>0</v>
      </c>
      <c r="AF409" s="12"/>
      <c r="AG409" s="12"/>
      <c r="AH409" s="12"/>
      <c r="AI409" s="12">
        <f t="shared" si="12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>
        <v>45912</v>
      </c>
      <c r="C410" s="91">
        <f t="shared" si="129"/>
        <v>7825</v>
      </c>
      <c r="D410" s="32">
        <f>68860+1842+5960</f>
        <v>76662</v>
      </c>
      <c r="E410" s="32"/>
      <c r="F410" s="32"/>
      <c r="G410" s="32">
        <f t="shared" si="123"/>
        <v>76662</v>
      </c>
      <c r="H410" s="12"/>
      <c r="I410" s="12">
        <f>444+2.5+270</f>
        <v>716.5</v>
      </c>
      <c r="J410" s="12"/>
      <c r="K410" s="12">
        <f t="shared" si="124"/>
        <v>77378.5</v>
      </c>
      <c r="M410" s="10">
        <v>14</v>
      </c>
      <c r="N410" s="30"/>
      <c r="O410" s="31"/>
      <c r="P410" s="32"/>
      <c r="Q410" s="32"/>
      <c r="R410" s="32"/>
      <c r="S410" s="32">
        <f t="shared" si="125"/>
        <v>0</v>
      </c>
      <c r="T410" s="12"/>
      <c r="U410" s="12"/>
      <c r="V410" s="12"/>
      <c r="W410" s="12">
        <f t="shared" si="126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27"/>
        <v>0</v>
      </c>
      <c r="AF410" s="12"/>
      <c r="AG410" s="12"/>
      <c r="AH410" s="12"/>
      <c r="AI410" s="12">
        <f t="shared" si="12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>
        <v>45912</v>
      </c>
      <c r="C411" s="91">
        <f t="shared" si="129"/>
        <v>7826</v>
      </c>
      <c r="D411" s="32">
        <f>12520+2980+832+229+500</f>
        <v>17061</v>
      </c>
      <c r="E411" s="32"/>
      <c r="F411" s="32"/>
      <c r="G411" s="32">
        <f t="shared" si="123"/>
        <v>17061</v>
      </c>
      <c r="H411" s="12"/>
      <c r="I411" s="12"/>
      <c r="J411" s="12"/>
      <c r="K411" s="12">
        <f t="shared" si="124"/>
        <v>17061</v>
      </c>
      <c r="M411" s="10">
        <v>15</v>
      </c>
      <c r="N411" s="30"/>
      <c r="O411" s="31"/>
      <c r="P411" s="32"/>
      <c r="Q411" s="32"/>
      <c r="R411" s="32"/>
      <c r="S411" s="32">
        <f t="shared" si="125"/>
        <v>0</v>
      </c>
      <c r="T411" s="12"/>
      <c r="U411" s="12"/>
      <c r="V411" s="12"/>
      <c r="W411" s="12">
        <f t="shared" si="126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27"/>
        <v>0</v>
      </c>
      <c r="AF411" s="12"/>
      <c r="AG411" s="12"/>
      <c r="AH411" s="12"/>
      <c r="AI411" s="12">
        <f t="shared" si="12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 t="s">
        <v>27</v>
      </c>
      <c r="D412" s="32"/>
      <c r="E412" s="32"/>
      <c r="F412" s="32"/>
      <c r="G412" s="32">
        <f t="shared" si="123"/>
        <v>0</v>
      </c>
      <c r="H412" s="12"/>
      <c r="I412" s="12"/>
      <c r="J412" s="12"/>
      <c r="K412" s="12">
        <f t="shared" si="124"/>
        <v>0</v>
      </c>
      <c r="M412" s="10">
        <v>16</v>
      </c>
      <c r="N412" s="30"/>
      <c r="O412" s="31"/>
      <c r="P412" s="32"/>
      <c r="Q412" s="32"/>
      <c r="R412" s="32"/>
      <c r="S412" s="32">
        <f t="shared" si="125"/>
        <v>0</v>
      </c>
      <c r="T412" s="12"/>
      <c r="U412" s="12"/>
      <c r="V412" s="12"/>
      <c r="W412" s="12">
        <f t="shared" si="126"/>
        <v>0</v>
      </c>
      <c r="Y412" s="10">
        <v>16</v>
      </c>
      <c r="Z412" s="30"/>
      <c r="AB412" s="32"/>
      <c r="AC412" s="32"/>
      <c r="AD412" s="32"/>
      <c r="AE412" s="32">
        <f t="shared" si="127"/>
        <v>0</v>
      </c>
      <c r="AF412" s="12"/>
      <c r="AG412" s="12"/>
      <c r="AH412" s="12"/>
      <c r="AI412" s="12">
        <f t="shared" si="12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91"/>
      <c r="D413" s="32"/>
      <c r="E413" s="32"/>
      <c r="F413" s="32"/>
      <c r="G413" s="32">
        <f t="shared" si="123"/>
        <v>0</v>
      </c>
      <c r="H413" s="12"/>
      <c r="I413" s="12"/>
      <c r="J413" s="12"/>
      <c r="K413" s="12">
        <f t="shared" si="124"/>
        <v>0</v>
      </c>
      <c r="M413" s="10">
        <v>17</v>
      </c>
      <c r="N413" s="30"/>
      <c r="P413" s="35"/>
      <c r="Q413" s="32"/>
      <c r="R413" s="32"/>
      <c r="S413" s="32">
        <f t="shared" si="125"/>
        <v>0</v>
      </c>
      <c r="T413" s="12"/>
      <c r="U413" s="12"/>
      <c r="V413" s="12"/>
      <c r="W413" s="12">
        <f t="shared" si="126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27"/>
        <v>0</v>
      </c>
      <c r="AF413" s="12"/>
      <c r="AG413" s="12"/>
      <c r="AH413" s="12"/>
      <c r="AI413" s="12">
        <f t="shared" si="12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D414" s="32"/>
      <c r="E414" s="32"/>
      <c r="F414" s="32"/>
      <c r="G414" s="32">
        <f t="shared" si="123"/>
        <v>0</v>
      </c>
      <c r="H414" s="12"/>
      <c r="I414" s="12"/>
      <c r="J414" s="12"/>
      <c r="K414" s="12">
        <f t="shared" si="124"/>
        <v>0</v>
      </c>
      <c r="M414" s="10">
        <v>18</v>
      </c>
      <c r="N414" s="30"/>
      <c r="O414" s="31"/>
      <c r="P414" s="32"/>
      <c r="Q414" s="32"/>
      <c r="R414" s="32"/>
      <c r="S414" s="32">
        <f t="shared" si="125"/>
        <v>0</v>
      </c>
      <c r="T414" s="12"/>
      <c r="U414" s="12"/>
      <c r="V414" s="12"/>
      <c r="W414" s="12">
        <f t="shared" si="126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27"/>
        <v>0</v>
      </c>
      <c r="AF414" s="12"/>
      <c r="AG414" s="12"/>
      <c r="AH414" s="12"/>
      <c r="AI414" s="12">
        <f t="shared" si="12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57"/>
      <c r="D415" s="32"/>
      <c r="E415" s="32"/>
      <c r="F415" s="32"/>
      <c r="G415" s="32">
        <f t="shared" si="123"/>
        <v>0</v>
      </c>
      <c r="H415" s="12"/>
      <c r="I415" s="12"/>
      <c r="J415" s="12"/>
      <c r="K415" s="12">
        <f t="shared" si="124"/>
        <v>0</v>
      </c>
      <c r="M415" s="10">
        <v>19</v>
      </c>
      <c r="N415" s="30"/>
      <c r="O415" s="31"/>
      <c r="P415" s="32"/>
      <c r="Q415" s="32"/>
      <c r="R415" s="32"/>
      <c r="S415" s="32">
        <f t="shared" si="125"/>
        <v>0</v>
      </c>
      <c r="T415" s="12"/>
      <c r="U415" s="12"/>
      <c r="V415" s="12"/>
      <c r="W415" s="12">
        <f t="shared" si="126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27"/>
        <v>0</v>
      </c>
      <c r="AF415" s="12"/>
      <c r="AG415" s="12"/>
      <c r="AH415" s="12"/>
      <c r="AI415" s="12">
        <f t="shared" si="12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91"/>
      <c r="D416" s="32"/>
      <c r="E416" s="32"/>
      <c r="F416" s="32"/>
      <c r="G416" s="32">
        <f t="shared" si="123"/>
        <v>0</v>
      </c>
      <c r="H416" s="12"/>
      <c r="I416" s="12"/>
      <c r="J416" s="12"/>
      <c r="K416" s="12">
        <f t="shared" si="124"/>
        <v>0</v>
      </c>
      <c r="M416" s="10">
        <v>20</v>
      </c>
      <c r="N416" s="30"/>
      <c r="O416" s="31"/>
      <c r="P416" s="32"/>
      <c r="Q416" s="32"/>
      <c r="R416" s="32"/>
      <c r="S416" s="32">
        <f t="shared" si="125"/>
        <v>0</v>
      </c>
      <c r="T416" s="12"/>
      <c r="U416" s="12"/>
      <c r="V416" s="12"/>
      <c r="W416" s="12">
        <f t="shared" si="126"/>
        <v>0</v>
      </c>
      <c r="Y416" s="10">
        <v>20</v>
      </c>
      <c r="Z416" s="30"/>
      <c r="AA416" s="31"/>
      <c r="AB416" s="32"/>
      <c r="AC416" s="32"/>
      <c r="AD416" s="32"/>
      <c r="AE416" s="32">
        <f t="shared" si="127"/>
        <v>0</v>
      </c>
      <c r="AF416" s="12"/>
      <c r="AG416" s="12"/>
      <c r="AH416" s="12"/>
      <c r="AI416" s="12">
        <f t="shared" si="12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91"/>
      <c r="D417" s="32"/>
      <c r="E417" s="32"/>
      <c r="F417" s="32"/>
      <c r="G417" s="32">
        <f t="shared" si="123"/>
        <v>0</v>
      </c>
      <c r="H417" s="10"/>
      <c r="I417" s="10"/>
      <c r="J417" s="10"/>
      <c r="K417" s="12">
        <f t="shared" si="124"/>
        <v>0</v>
      </c>
      <c r="M417" s="10">
        <v>21</v>
      </c>
      <c r="N417" s="30"/>
      <c r="O417" s="31"/>
      <c r="P417" s="46"/>
      <c r="Q417" s="31"/>
      <c r="R417" s="31"/>
      <c r="S417" s="32">
        <f t="shared" si="125"/>
        <v>0</v>
      </c>
      <c r="T417" s="10"/>
      <c r="U417" s="10"/>
      <c r="V417" s="10"/>
      <c r="W417" s="12">
        <f t="shared" si="126"/>
        <v>0</v>
      </c>
      <c r="Y417" s="10">
        <v>21</v>
      </c>
      <c r="Z417" s="30"/>
      <c r="AB417" s="46"/>
      <c r="AC417" s="31"/>
      <c r="AD417" s="31"/>
      <c r="AE417" s="32">
        <f t="shared" si="127"/>
        <v>0</v>
      </c>
      <c r="AF417" s="10"/>
      <c r="AG417" s="10"/>
      <c r="AH417" s="10"/>
      <c r="AI417" s="12">
        <f t="shared" si="12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91"/>
      <c r="D418" s="32"/>
      <c r="E418" s="32"/>
      <c r="F418" s="32"/>
      <c r="G418" s="32">
        <f t="shared" si="123"/>
        <v>0</v>
      </c>
      <c r="H418" s="10"/>
      <c r="I418" s="10"/>
      <c r="J418" s="10"/>
      <c r="K418" s="12">
        <f t="shared" si="124"/>
        <v>0</v>
      </c>
      <c r="M418" s="10">
        <v>22</v>
      </c>
      <c r="N418" s="30"/>
      <c r="O418" s="31"/>
      <c r="P418" s="45"/>
      <c r="Q418" s="31"/>
      <c r="R418" s="31"/>
      <c r="S418" s="32">
        <f t="shared" si="125"/>
        <v>0</v>
      </c>
      <c r="T418" s="10"/>
      <c r="U418" s="10"/>
      <c r="V418" s="10"/>
      <c r="W418" s="12">
        <f t="shared" si="126"/>
        <v>0</v>
      </c>
      <c r="Y418" s="10">
        <v>22</v>
      </c>
      <c r="Z418" s="30"/>
      <c r="AB418" s="45"/>
      <c r="AC418" s="31"/>
      <c r="AD418" s="31"/>
      <c r="AE418" s="32">
        <f t="shared" si="127"/>
        <v>0</v>
      </c>
      <c r="AF418" s="10"/>
      <c r="AG418" s="10"/>
      <c r="AH418" s="10"/>
      <c r="AI418" s="12">
        <f t="shared" si="12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57"/>
      <c r="D419" s="32"/>
      <c r="E419" s="32"/>
      <c r="F419" s="32"/>
      <c r="G419" s="32">
        <f t="shared" si="123"/>
        <v>0</v>
      </c>
      <c r="H419" s="10"/>
      <c r="I419" s="10"/>
      <c r="J419" s="12"/>
      <c r="K419" s="12">
        <f t="shared" si="124"/>
        <v>0</v>
      </c>
      <c r="M419" s="10">
        <v>23</v>
      </c>
      <c r="N419" s="30"/>
      <c r="O419" s="31"/>
      <c r="P419" s="47"/>
      <c r="S419" s="32">
        <f t="shared" si="125"/>
        <v>0</v>
      </c>
      <c r="T419" s="10"/>
      <c r="U419" s="10"/>
      <c r="V419" s="10"/>
      <c r="W419" s="12">
        <f t="shared" si="126"/>
        <v>0</v>
      </c>
      <c r="Y419" s="10">
        <v>23</v>
      </c>
      <c r="Z419" s="30"/>
      <c r="AA419" s="31"/>
      <c r="AB419" s="47"/>
      <c r="AE419" s="32">
        <f t="shared" si="127"/>
        <v>0</v>
      </c>
      <c r="AF419" s="10"/>
      <c r="AG419" s="10"/>
      <c r="AH419" s="10"/>
      <c r="AI419" s="12">
        <f t="shared" si="12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31"/>
      <c r="D420" s="32"/>
      <c r="E420" s="32"/>
      <c r="F420" s="32"/>
      <c r="G420" s="32">
        <f t="shared" si="123"/>
        <v>0</v>
      </c>
      <c r="H420" s="10"/>
      <c r="I420" s="10"/>
      <c r="J420" s="10"/>
      <c r="K420" s="12">
        <f t="shared" si="124"/>
        <v>0</v>
      </c>
      <c r="M420" s="10">
        <v>24</v>
      </c>
      <c r="N420" s="30"/>
      <c r="P420" s="47"/>
      <c r="Q420" s="31"/>
      <c r="R420" s="31"/>
      <c r="S420" s="32">
        <f t="shared" si="125"/>
        <v>0</v>
      </c>
      <c r="T420" s="10"/>
      <c r="U420" s="10"/>
      <c r="V420" s="10"/>
      <c r="W420" s="12">
        <f t="shared" si="126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27"/>
        <v>0</v>
      </c>
      <c r="AF420" s="10"/>
      <c r="AG420" s="10"/>
      <c r="AH420" s="10"/>
      <c r="AI420" s="12">
        <f t="shared" si="12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31"/>
      <c r="D421" s="32"/>
      <c r="E421" s="32"/>
      <c r="F421" s="32"/>
      <c r="G421" s="32">
        <f t="shared" si="123"/>
        <v>0</v>
      </c>
      <c r="H421" s="10"/>
      <c r="I421" s="10"/>
      <c r="J421" s="10"/>
      <c r="K421" s="12">
        <f t="shared" si="124"/>
        <v>0</v>
      </c>
      <c r="M421" s="10">
        <v>25</v>
      </c>
      <c r="N421" s="30"/>
      <c r="O421" s="31"/>
      <c r="P421" s="47"/>
      <c r="Q421" s="31"/>
      <c r="R421" s="31"/>
      <c r="S421" s="32">
        <f t="shared" si="125"/>
        <v>0</v>
      </c>
      <c r="T421" s="10"/>
      <c r="U421" s="10"/>
      <c r="V421" s="10"/>
      <c r="W421" s="12">
        <f t="shared" si="126"/>
        <v>0</v>
      </c>
      <c r="Y421" s="10">
        <v>25</v>
      </c>
      <c r="Z421" s="30"/>
      <c r="AA421" s="11"/>
      <c r="AB421" s="47"/>
      <c r="AC421" s="31"/>
      <c r="AD421" s="31"/>
      <c r="AE421" s="32">
        <f t="shared" si="127"/>
        <v>0</v>
      </c>
      <c r="AF421" s="10"/>
      <c r="AG421" s="10"/>
      <c r="AH421" s="10"/>
      <c r="AI421" s="12">
        <f t="shared" si="12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11"/>
      <c r="D422" s="32"/>
      <c r="E422" s="32"/>
      <c r="F422" s="32"/>
      <c r="G422" s="32">
        <f t="shared" si="123"/>
        <v>0</v>
      </c>
      <c r="H422" s="10"/>
      <c r="I422" s="10"/>
      <c r="J422" s="10"/>
      <c r="K422" s="12">
        <f t="shared" si="124"/>
        <v>0</v>
      </c>
      <c r="M422" s="10">
        <v>26</v>
      </c>
      <c r="N422" s="30"/>
      <c r="P422" s="47"/>
      <c r="Q422" s="31"/>
      <c r="R422" s="31"/>
      <c r="S422" s="32">
        <f t="shared" si="125"/>
        <v>0</v>
      </c>
      <c r="T422" s="10"/>
      <c r="U422" s="10"/>
      <c r="V422" s="10"/>
      <c r="W422" s="12">
        <f t="shared" si="126"/>
        <v>0</v>
      </c>
      <c r="Y422" s="10">
        <v>26</v>
      </c>
      <c r="Z422" s="30"/>
      <c r="AB422" s="47"/>
      <c r="AC422" s="31"/>
      <c r="AD422" s="31"/>
      <c r="AE422" s="32">
        <f t="shared" si="127"/>
        <v>0</v>
      </c>
      <c r="AF422" s="10"/>
      <c r="AG422" s="10"/>
      <c r="AH422" s="10"/>
      <c r="AI422" s="12">
        <f t="shared" si="12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57"/>
      <c r="D423" s="32"/>
      <c r="E423" s="32"/>
      <c r="F423" s="32"/>
      <c r="G423" s="32">
        <f t="shared" si="123"/>
        <v>0</v>
      </c>
      <c r="H423" s="10"/>
      <c r="I423" s="10"/>
      <c r="J423" s="10"/>
      <c r="K423" s="12">
        <f t="shared" si="124"/>
        <v>0</v>
      </c>
      <c r="M423" s="10">
        <v>27</v>
      </c>
      <c r="N423" s="30"/>
      <c r="O423" s="31"/>
      <c r="P423" s="47"/>
      <c r="Q423" s="31"/>
      <c r="R423" s="31"/>
      <c r="S423" s="32">
        <f t="shared" si="125"/>
        <v>0</v>
      </c>
      <c r="T423" s="10"/>
      <c r="U423" s="10"/>
      <c r="V423" s="10"/>
      <c r="W423" s="12">
        <f t="shared" si="12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27"/>
        <v>0</v>
      </c>
      <c r="AF423" s="10"/>
      <c r="AG423" s="10"/>
      <c r="AH423" s="10"/>
      <c r="AI423" s="12">
        <f t="shared" si="12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31"/>
      <c r="D424" s="32"/>
      <c r="E424" s="32"/>
      <c r="F424" s="32"/>
      <c r="G424" s="32">
        <f t="shared" si="123"/>
        <v>0</v>
      </c>
      <c r="H424" s="10"/>
      <c r="I424" s="10"/>
      <c r="J424" s="10"/>
      <c r="K424" s="12">
        <f t="shared" si="124"/>
        <v>0</v>
      </c>
      <c r="M424" s="10">
        <v>28</v>
      </c>
      <c r="N424" s="30"/>
      <c r="O424" s="31"/>
      <c r="P424" s="47"/>
      <c r="Q424" s="31"/>
      <c r="R424" s="31"/>
      <c r="S424" s="32">
        <f t="shared" si="125"/>
        <v>0</v>
      </c>
      <c r="T424" s="10"/>
      <c r="U424" s="10"/>
      <c r="V424" s="10"/>
      <c r="W424" s="12">
        <f t="shared" si="12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27"/>
        <v>0</v>
      </c>
      <c r="AF424" s="10"/>
      <c r="AG424" s="10"/>
      <c r="AH424" s="10"/>
      <c r="AI424" s="12">
        <f t="shared" si="12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31"/>
      <c r="D425" s="32"/>
      <c r="E425" s="32"/>
      <c r="F425" s="32"/>
      <c r="G425" s="32">
        <f t="shared" si="123"/>
        <v>0</v>
      </c>
      <c r="H425" s="10"/>
      <c r="I425" s="10"/>
      <c r="J425" s="10"/>
      <c r="K425" s="12">
        <f t="shared" si="124"/>
        <v>0</v>
      </c>
      <c r="M425" s="10">
        <v>29</v>
      </c>
      <c r="N425" s="30"/>
      <c r="P425" s="47"/>
      <c r="Q425" s="31"/>
      <c r="R425" s="31"/>
      <c r="S425" s="32">
        <f t="shared" si="125"/>
        <v>0</v>
      </c>
      <c r="T425" s="10"/>
      <c r="U425" s="10"/>
      <c r="V425" s="10"/>
      <c r="W425" s="12">
        <f t="shared" si="12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27"/>
        <v>0</v>
      </c>
      <c r="AF425" s="10"/>
      <c r="AG425" s="10"/>
      <c r="AH425" s="10"/>
      <c r="AI425" s="12">
        <f t="shared" si="12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57"/>
      <c r="D426" s="32"/>
      <c r="E426" s="32"/>
      <c r="F426" s="32"/>
      <c r="G426" s="32">
        <f t="shared" si="123"/>
        <v>0</v>
      </c>
      <c r="H426" s="10"/>
      <c r="I426" s="10"/>
      <c r="J426" s="10"/>
      <c r="K426" s="12">
        <f t="shared" si="124"/>
        <v>0</v>
      </c>
      <c r="M426" s="10">
        <v>30</v>
      </c>
      <c r="N426" s="30"/>
      <c r="P426" s="47"/>
      <c r="Q426" s="31"/>
      <c r="R426" s="31"/>
      <c r="S426" s="32">
        <f t="shared" si="125"/>
        <v>0</v>
      </c>
      <c r="T426" s="10"/>
      <c r="U426" s="10"/>
      <c r="V426" s="10"/>
      <c r="W426" s="12">
        <f t="shared" si="126"/>
        <v>0</v>
      </c>
      <c r="Y426" s="10">
        <v>30</v>
      </c>
      <c r="Z426" s="30"/>
      <c r="AB426" s="47"/>
      <c r="AC426" s="31"/>
      <c r="AD426" s="31"/>
      <c r="AE426" s="32">
        <f t="shared" si="127"/>
        <v>0</v>
      </c>
      <c r="AF426" s="10"/>
      <c r="AG426" s="10"/>
      <c r="AH426" s="10"/>
      <c r="AI426" s="12">
        <f t="shared" si="12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57"/>
      <c r="D427" s="32"/>
      <c r="E427" s="32"/>
      <c r="F427" s="32"/>
      <c r="G427" s="32">
        <f t="shared" si="123"/>
        <v>0</v>
      </c>
      <c r="H427" s="10"/>
      <c r="I427" s="10"/>
      <c r="J427" s="10"/>
      <c r="K427" s="12">
        <f t="shared" si="124"/>
        <v>0</v>
      </c>
      <c r="M427" s="10">
        <v>31</v>
      </c>
      <c r="N427" s="30"/>
      <c r="O427" s="31"/>
      <c r="P427" s="47"/>
      <c r="Q427" s="31"/>
      <c r="R427" s="31"/>
      <c r="S427" s="32">
        <f t="shared" si="125"/>
        <v>0</v>
      </c>
      <c r="T427" s="10"/>
      <c r="U427" s="10"/>
      <c r="V427" s="10"/>
      <c r="W427" s="12">
        <f t="shared" si="126"/>
        <v>0</v>
      </c>
      <c r="Y427" s="10">
        <v>31</v>
      </c>
      <c r="Z427" s="30"/>
      <c r="AB427" s="47"/>
      <c r="AC427" s="31"/>
      <c r="AD427" s="31"/>
      <c r="AE427" s="32">
        <f t="shared" si="127"/>
        <v>0</v>
      </c>
      <c r="AF427" s="10"/>
      <c r="AG427" s="10"/>
      <c r="AH427" s="10"/>
      <c r="AI427" s="12">
        <f t="shared" si="12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31"/>
      <c r="D428" s="32"/>
      <c r="E428" s="32"/>
      <c r="F428" s="32"/>
      <c r="G428" s="32">
        <f t="shared" si="123"/>
        <v>0</v>
      </c>
      <c r="H428" s="10"/>
      <c r="I428" s="10"/>
      <c r="J428" s="10"/>
      <c r="K428" s="12">
        <f t="shared" si="124"/>
        <v>0</v>
      </c>
      <c r="M428" s="10">
        <v>32</v>
      </c>
      <c r="N428" s="30"/>
      <c r="P428" s="47"/>
      <c r="Q428" s="31"/>
      <c r="R428" s="31"/>
      <c r="S428" s="32">
        <f t="shared" si="125"/>
        <v>0</v>
      </c>
      <c r="T428" s="10"/>
      <c r="U428" s="10"/>
      <c r="V428" s="10"/>
      <c r="W428" s="12">
        <f t="shared" si="12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27"/>
        <v>0</v>
      </c>
      <c r="AF428" s="10"/>
      <c r="AG428" s="10"/>
      <c r="AH428" s="10"/>
      <c r="AI428" s="12">
        <f t="shared" si="12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57"/>
      <c r="D429" s="32"/>
      <c r="E429" s="32"/>
      <c r="F429" s="32"/>
      <c r="G429" s="32">
        <f t="shared" si="123"/>
        <v>0</v>
      </c>
      <c r="H429" s="10"/>
      <c r="I429" s="10"/>
      <c r="J429" s="10"/>
      <c r="K429" s="12">
        <f t="shared" si="124"/>
        <v>0</v>
      </c>
      <c r="M429" s="10">
        <v>33</v>
      </c>
      <c r="N429" s="30"/>
      <c r="O429" s="31"/>
      <c r="P429" s="47"/>
      <c r="Q429" s="31"/>
      <c r="R429" s="31"/>
      <c r="S429" s="32">
        <f t="shared" si="125"/>
        <v>0</v>
      </c>
      <c r="T429" s="10"/>
      <c r="U429" s="10"/>
      <c r="V429" s="10"/>
      <c r="W429" s="12">
        <f t="shared" si="12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27"/>
        <v>0</v>
      </c>
      <c r="AF429" s="10"/>
      <c r="AG429" s="10"/>
      <c r="AH429" s="10"/>
      <c r="AI429" s="12">
        <f t="shared" si="12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57"/>
      <c r="D430" s="32"/>
      <c r="E430" s="32"/>
      <c r="F430" s="32"/>
      <c r="G430" s="32">
        <f t="shared" si="123"/>
        <v>0</v>
      </c>
      <c r="H430" s="10"/>
      <c r="I430" s="10"/>
      <c r="J430" s="10"/>
      <c r="K430" s="12">
        <f t="shared" si="124"/>
        <v>0</v>
      </c>
      <c r="M430" s="10">
        <v>34</v>
      </c>
      <c r="N430" s="30"/>
      <c r="O430" s="31"/>
      <c r="P430" s="47"/>
      <c r="Q430" s="31"/>
      <c r="R430" s="31"/>
      <c r="S430" s="32">
        <f t="shared" ref="S430:S435" si="132">SUM(P430:Q430)</f>
        <v>0</v>
      </c>
      <c r="T430" s="10"/>
      <c r="U430" s="10"/>
      <c r="V430" s="10"/>
      <c r="W430" s="12">
        <f t="shared" ref="W430:W438" si="133">SUM(S430:V430)</f>
        <v>0</v>
      </c>
      <c r="Y430" s="10">
        <v>34</v>
      </c>
      <c r="Z430" s="30"/>
      <c r="AB430" s="47"/>
      <c r="AC430" s="31"/>
      <c r="AD430" s="31"/>
      <c r="AE430" s="32">
        <f t="shared" si="127"/>
        <v>0</v>
      </c>
      <c r="AF430" s="10"/>
      <c r="AG430" s="10"/>
      <c r="AH430" s="10"/>
      <c r="AI430" s="12">
        <f t="shared" ref="AI430:AI438" si="134">SUM(AE430:AH430)</f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31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32"/>
        <v>0</v>
      </c>
      <c r="T431" s="10"/>
      <c r="U431" s="10"/>
      <c r="V431" s="10"/>
      <c r="W431" s="12">
        <f t="shared" si="133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27"/>
        <v>0</v>
      </c>
      <c r="AF431" s="10"/>
      <c r="AG431" s="10"/>
      <c r="AH431" s="10"/>
      <c r="AI431" s="12">
        <f t="shared" si="134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31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32"/>
        <v>0</v>
      </c>
      <c r="T432" s="10"/>
      <c r="U432" s="10"/>
      <c r="V432" s="10"/>
      <c r="W432" s="12">
        <f t="shared" si="133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27"/>
        <v>0</v>
      </c>
      <c r="AF432" s="10"/>
      <c r="AG432" s="10"/>
      <c r="AH432" s="10"/>
      <c r="AI432" s="12">
        <f t="shared" si="134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32"/>
        <v>0</v>
      </c>
      <c r="T433" s="10"/>
      <c r="U433" s="10"/>
      <c r="V433" s="10"/>
      <c r="W433" s="12">
        <f t="shared" si="133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27"/>
        <v>0</v>
      </c>
      <c r="AF433" s="10"/>
      <c r="AG433" s="10"/>
      <c r="AH433" s="10"/>
      <c r="AI433" s="12">
        <f t="shared" si="134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32"/>
        <v>0</v>
      </c>
      <c r="T434" s="10"/>
      <c r="U434" s="10"/>
      <c r="V434" s="10"/>
      <c r="W434" s="12">
        <f t="shared" si="133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27"/>
        <v>0</v>
      </c>
      <c r="AF434" s="10"/>
      <c r="AG434" s="10"/>
      <c r="AH434" s="10"/>
      <c r="AI434" s="12">
        <f t="shared" si="134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32"/>
        <v>0</v>
      </c>
      <c r="T435" s="10"/>
      <c r="U435" s="10"/>
      <c r="V435" s="10"/>
      <c r="W435" s="12">
        <f t="shared" si="133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27"/>
        <v>0</v>
      </c>
      <c r="AF435" s="10"/>
      <c r="AG435" s="10"/>
      <c r="AH435" s="10"/>
      <c r="AI435" s="12">
        <f t="shared" si="134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33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4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5">SUM(D437:E437)</f>
        <v>0</v>
      </c>
      <c r="H437" s="10"/>
      <c r="I437" s="10"/>
      <c r="J437" s="10"/>
      <c r="K437" s="12">
        <f t="shared" ref="K437" si="136">SUM(G437:J437)</f>
        <v>0</v>
      </c>
      <c r="M437" s="10"/>
      <c r="N437" s="30"/>
      <c r="O437" s="31"/>
      <c r="P437" s="47"/>
      <c r="Q437" s="31"/>
      <c r="R437" s="31"/>
      <c r="S437" s="32">
        <f t="shared" ref="S437" si="137">SUM(P437:Q437)</f>
        <v>0</v>
      </c>
      <c r="T437" s="10"/>
      <c r="U437" s="10"/>
      <c r="V437" s="10"/>
      <c r="W437" s="12">
        <f t="shared" si="133"/>
        <v>0</v>
      </c>
      <c r="Y437" s="10"/>
      <c r="Z437" s="30"/>
      <c r="AA437" s="31"/>
      <c r="AB437" s="47"/>
      <c r="AC437" s="31"/>
      <c r="AD437" s="31"/>
      <c r="AE437" s="32">
        <f t="shared" ref="AE437" si="138">SUM(AB437:AC437)</f>
        <v>0</v>
      </c>
      <c r="AF437" s="10"/>
      <c r="AG437" s="10"/>
      <c r="AH437" s="10"/>
      <c r="AI437" s="12">
        <f t="shared" si="134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33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4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185221.5</v>
      </c>
      <c r="E440" s="38">
        <f t="shared" ref="E440:F440" si="139">SUM(E397:E437)</f>
        <v>0</v>
      </c>
      <c r="F440" s="38">
        <f t="shared" si="139"/>
        <v>0</v>
      </c>
      <c r="G440" s="38">
        <f>SUM(G397:G439)</f>
        <v>185221.5</v>
      </c>
      <c r="H440" s="4"/>
      <c r="I440" s="39">
        <f>SUM(I397:I439)</f>
        <v>779</v>
      </c>
      <c r="J440" s="39">
        <f>SUM(J397:J439)</f>
        <v>0</v>
      </c>
      <c r="K440" s="40">
        <f>SUM(K397:K439)</f>
        <v>186000.5</v>
      </c>
      <c r="N440" s="57"/>
      <c r="O440" s="57"/>
      <c r="P440" s="38">
        <f>SUM(P397:P439)</f>
        <v>221854</v>
      </c>
      <c r="Q440" s="38">
        <f>SUM(Q397:Q421)</f>
        <v>-1854</v>
      </c>
      <c r="R440" s="38">
        <f>SUM(R397:R421)</f>
        <v>0</v>
      </c>
      <c r="S440" s="38">
        <f>SUM(S397:S439)</f>
        <v>220000</v>
      </c>
      <c r="T440" s="4"/>
      <c r="U440" s="41">
        <f>SUM(U397:U439)</f>
        <v>616.5</v>
      </c>
      <c r="V440" s="41">
        <f>SUM(V397:V421)</f>
        <v>-585</v>
      </c>
      <c r="W440" s="42">
        <f>SUM(W397:W439)</f>
        <v>220031.5</v>
      </c>
      <c r="Z440" s="57"/>
      <c r="AA440" s="57"/>
      <c r="AB440" s="38">
        <f>SUM(AB397:AB439)</f>
        <v>363588</v>
      </c>
      <c r="AC440" s="38">
        <f>SUM(AC397:AC421)</f>
        <v>-2520</v>
      </c>
      <c r="AD440" s="38">
        <f>SUM(AD397:AD421)</f>
        <v>0</v>
      </c>
      <c r="AE440" s="38">
        <f>SUM(AE397:AE439)</f>
        <v>361068</v>
      </c>
      <c r="AF440" s="4"/>
      <c r="AG440" s="41">
        <f>SUM(AG397:AG439)</f>
        <v>8769</v>
      </c>
      <c r="AH440" s="41">
        <f>SUM(AH397:AH421)</f>
        <v>0</v>
      </c>
      <c r="AI440" s="42">
        <f>SUM(AI397:AI439)</f>
        <v>369837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3"/>
      <c r="C442" s="93"/>
      <c r="D442" s="93"/>
      <c r="E442" s="93"/>
      <c r="F442" s="93"/>
      <c r="G442" s="93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3"/>
      <c r="C443" s="93"/>
      <c r="D443" s="93"/>
      <c r="E443" s="93"/>
      <c r="F443" s="93"/>
      <c r="G443" s="93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3"/>
      <c r="C444" s="93"/>
      <c r="D444" s="93"/>
      <c r="E444" s="93"/>
      <c r="F444" s="93"/>
      <c r="G444" s="93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3"/>
      <c r="C445" s="93"/>
      <c r="D445" s="93"/>
      <c r="E445" s="93"/>
      <c r="F445" s="93"/>
      <c r="G445" s="93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3"/>
      <c r="C446" s="93"/>
      <c r="D446" s="93"/>
      <c r="E446" s="93"/>
      <c r="F446" s="93"/>
      <c r="G446" s="93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3"/>
      <c r="C447" s="93"/>
      <c r="D447" s="93"/>
      <c r="E447" s="93"/>
      <c r="F447" s="93"/>
      <c r="G447" s="93"/>
      <c r="H447" s="62"/>
      <c r="I447" s="93"/>
      <c r="J447" s="74"/>
      <c r="K447" s="62"/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3"/>
      <c r="C448" s="93"/>
      <c r="D448" s="93"/>
      <c r="E448" s="93"/>
      <c r="F448" s="93"/>
      <c r="G448" s="93"/>
      <c r="H448" s="62"/>
      <c r="I448" s="65"/>
      <c r="J448" s="65"/>
      <c r="K448" s="62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37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31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3"/>
      <c r="C449" s="93"/>
      <c r="D449" s="93"/>
      <c r="E449" s="93"/>
      <c r="F449" s="93"/>
      <c r="G449" s="93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3"/>
      <c r="D450" s="114"/>
      <c r="E450" s="114"/>
      <c r="F450" s="93"/>
      <c r="G450" s="93"/>
      <c r="H450" s="62"/>
      <c r="I450" s="114"/>
      <c r="J450" s="114"/>
      <c r="K450" s="113"/>
      <c r="N450" s="25"/>
      <c r="O450" s="26"/>
      <c r="P450" s="115" t="s">
        <v>17</v>
      </c>
      <c r="Q450" s="115"/>
      <c r="R450" s="102"/>
      <c r="S450" s="27"/>
      <c r="U450" s="118" t="s">
        <v>18</v>
      </c>
      <c r="V450" s="119"/>
      <c r="W450" s="116" t="s">
        <v>19</v>
      </c>
      <c r="Z450" s="25"/>
      <c r="AA450" s="26"/>
      <c r="AB450" s="115" t="s">
        <v>17</v>
      </c>
      <c r="AC450" s="115"/>
      <c r="AD450" s="102"/>
      <c r="AE450" s="27"/>
      <c r="AG450" s="118" t="s">
        <v>18</v>
      </c>
      <c r="AH450" s="119"/>
      <c r="AI450" s="116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3"/>
      <c r="C451" s="93"/>
      <c r="D451" s="81"/>
      <c r="E451" s="82"/>
      <c r="F451" s="83"/>
      <c r="G451" s="83"/>
      <c r="H451" s="62"/>
      <c r="I451" s="92"/>
      <c r="J451" s="92"/>
      <c r="K451" s="113"/>
      <c r="N451" s="28" t="s">
        <v>20</v>
      </c>
      <c r="O451" s="28" t="s">
        <v>21</v>
      </c>
      <c r="P451" s="79" t="s">
        <v>22</v>
      </c>
      <c r="Q451" s="80" t="s">
        <v>23</v>
      </c>
      <c r="R451" s="80" t="s">
        <v>32</v>
      </c>
      <c r="S451" s="80" t="s">
        <v>24</v>
      </c>
      <c r="U451" s="29" t="s">
        <v>25</v>
      </c>
      <c r="V451" s="29" t="s">
        <v>26</v>
      </c>
      <c r="W451" s="117"/>
      <c r="Z451" s="28" t="s">
        <v>20</v>
      </c>
      <c r="AA451" s="28" t="s">
        <v>21</v>
      </c>
      <c r="AB451" s="79" t="s">
        <v>22</v>
      </c>
      <c r="AC451" s="80" t="s">
        <v>23</v>
      </c>
      <c r="AD451" s="80" t="s">
        <v>32</v>
      </c>
      <c r="AE451" s="80" t="s">
        <v>24</v>
      </c>
      <c r="AG451" s="29" t="s">
        <v>25</v>
      </c>
      <c r="AH451" s="29" t="s">
        <v>26</v>
      </c>
      <c r="AI451" s="117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9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45942</v>
      </c>
      <c r="O452" s="31">
        <v>7739</v>
      </c>
      <c r="P452" s="32">
        <f>22536</f>
        <v>22536</v>
      </c>
      <c r="Q452" s="32"/>
      <c r="R452" s="32"/>
      <c r="S452" s="32">
        <f>SUM(P452:Q452)</f>
        <v>22536</v>
      </c>
      <c r="T452" s="12"/>
      <c r="U452" s="12"/>
      <c r="V452" s="12">
        <f>-32*111</f>
        <v>-3552</v>
      </c>
      <c r="W452" s="12">
        <f>SUM(S452:V452)</f>
        <v>18984</v>
      </c>
      <c r="Y452" s="10">
        <v>1</v>
      </c>
      <c r="Z452" s="30">
        <v>45942</v>
      </c>
      <c r="AA452" s="31">
        <v>7851</v>
      </c>
      <c r="AB452" s="32">
        <f>25040+5960+832+650</f>
        <v>32482</v>
      </c>
      <c r="AC452" s="32"/>
      <c r="AD452" s="32"/>
      <c r="AE452" s="32">
        <f>SUM(AB452:AC452)</f>
        <v>32482</v>
      </c>
      <c r="AF452" s="12"/>
      <c r="AG452" s="12">
        <v>297</v>
      </c>
      <c r="AH452" s="12"/>
      <c r="AI452" s="12">
        <f>SUM(AE452:AH452)</f>
        <v>32779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9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45942</v>
      </c>
      <c r="O453" s="31">
        <f>O452+1</f>
        <v>7740</v>
      </c>
      <c r="P453" s="32">
        <f>626*170+614*5+596*20+852*2+832*2+229*7+650*2</f>
        <v>127681</v>
      </c>
      <c r="Q453" s="32">
        <v>-1194</v>
      </c>
      <c r="R453" s="32"/>
      <c r="S453" s="32">
        <f t="shared" ref="S453:S484" si="140">SUM(P453:Q453)</f>
        <v>126487</v>
      </c>
      <c r="T453" s="12"/>
      <c r="U453" s="12">
        <f>240+468</f>
        <v>708</v>
      </c>
      <c r="V453" s="12">
        <f>-111*66+-42*9</f>
        <v>-7704</v>
      </c>
      <c r="W453" s="12">
        <f t="shared" ref="W453:W484" si="141">SUM(S453:V453)</f>
        <v>119491</v>
      </c>
      <c r="Y453" s="10">
        <v>2</v>
      </c>
      <c r="Z453" s="30">
        <v>45942</v>
      </c>
      <c r="AA453" s="31">
        <f>AA452+1</f>
        <v>7852</v>
      </c>
      <c r="AB453" s="32">
        <f>31300+14900+1005+687+650</f>
        <v>48542</v>
      </c>
      <c r="AC453" s="32">
        <v>-456</v>
      </c>
      <c r="AD453" s="32"/>
      <c r="AE453" s="32">
        <f t="shared" ref="AE453:AE490" si="142">SUM(AB453:AC453)</f>
        <v>48086</v>
      </c>
      <c r="AF453" s="12"/>
      <c r="AG453" s="12">
        <v>54</v>
      </c>
      <c r="AH453" s="12"/>
      <c r="AI453" s="12">
        <f t="shared" ref="AI453:AI484" si="143">SUM(AE453:AH453)</f>
        <v>48140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9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45942</v>
      </c>
      <c r="O454" s="31">
        <f t="shared" ref="O454" si="144">O453+1</f>
        <v>7741</v>
      </c>
      <c r="P454" s="32">
        <f>135216+53640+2977</f>
        <v>191833</v>
      </c>
      <c r="Q454" s="32">
        <v>-1836</v>
      </c>
      <c r="R454" s="32"/>
      <c r="S454" s="32">
        <f t="shared" si="140"/>
        <v>189997</v>
      </c>
      <c r="T454" s="12"/>
      <c r="U454" s="12">
        <v>546</v>
      </c>
      <c r="V454" s="12">
        <f>-240+-17427+-2100+-84</f>
        <v>-19851</v>
      </c>
      <c r="W454" s="12">
        <f t="shared" si="141"/>
        <v>170692</v>
      </c>
      <c r="Y454" s="10">
        <v>3</v>
      </c>
      <c r="Z454" s="30">
        <v>45942</v>
      </c>
      <c r="AA454" s="31">
        <f t="shared" ref="AA454:AA455" si="145">AA453+1</f>
        <v>7853</v>
      </c>
      <c r="AB454" s="33">
        <f>626*70+596*30+229*3</f>
        <v>62387</v>
      </c>
      <c r="AC454" s="33"/>
      <c r="AD454" s="32"/>
      <c r="AE454" s="32">
        <f t="shared" si="142"/>
        <v>62387</v>
      </c>
      <c r="AF454" s="12"/>
      <c r="AG454" s="12">
        <f>8214+324</f>
        <v>8538</v>
      </c>
      <c r="AH454" s="12"/>
      <c r="AI454" s="12">
        <f t="shared" si="143"/>
        <v>70925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9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/>
      <c r="O455" s="11" t="s">
        <v>27</v>
      </c>
      <c r="P455" s="32"/>
      <c r="Q455" s="32"/>
      <c r="R455" s="32"/>
      <c r="S455" s="32">
        <f t="shared" si="140"/>
        <v>0</v>
      </c>
      <c r="T455" s="12"/>
      <c r="U455" s="12"/>
      <c r="V455" s="12"/>
      <c r="W455" s="12">
        <f t="shared" si="141"/>
        <v>0</v>
      </c>
      <c r="Y455" s="10">
        <v>4</v>
      </c>
      <c r="Z455" s="30">
        <v>45942</v>
      </c>
      <c r="AA455" s="31">
        <f t="shared" si="145"/>
        <v>7854</v>
      </c>
      <c r="AB455" s="32">
        <v>8764</v>
      </c>
      <c r="AC455" s="32"/>
      <c r="AD455" s="32"/>
      <c r="AE455" s="32">
        <f t="shared" si="142"/>
        <v>8764</v>
      </c>
      <c r="AF455" s="12"/>
      <c r="AH455" s="12"/>
      <c r="AI455" s="12">
        <f t="shared" si="143"/>
        <v>8764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9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/>
      <c r="O456" s="31"/>
      <c r="P456" s="32"/>
      <c r="Q456" s="32"/>
      <c r="R456" s="32"/>
      <c r="S456" s="32">
        <f t="shared" si="140"/>
        <v>0</v>
      </c>
      <c r="T456" s="12"/>
      <c r="U456" s="12"/>
      <c r="V456" s="12"/>
      <c r="W456" s="12">
        <f t="shared" si="141"/>
        <v>0</v>
      </c>
      <c r="Y456" s="10">
        <v>5</v>
      </c>
      <c r="Z456" s="30"/>
      <c r="AA456" s="11" t="s">
        <v>27</v>
      </c>
      <c r="AB456" s="32"/>
      <c r="AC456" s="32"/>
      <c r="AD456" s="32"/>
      <c r="AE456" s="32">
        <f t="shared" si="142"/>
        <v>0</v>
      </c>
      <c r="AF456" s="12"/>
      <c r="AG456" s="12"/>
      <c r="AH456" s="12"/>
      <c r="AI456" s="12">
        <f t="shared" si="143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94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P457" s="32"/>
      <c r="Q457" s="32"/>
      <c r="R457" s="32"/>
      <c r="S457" s="32">
        <f t="shared" si="140"/>
        <v>0</v>
      </c>
      <c r="T457" s="12"/>
      <c r="U457" s="12"/>
      <c r="V457" s="10"/>
      <c r="W457" s="12">
        <f t="shared" si="141"/>
        <v>0</v>
      </c>
      <c r="Y457" s="10">
        <v>6</v>
      </c>
      <c r="Z457" s="30"/>
      <c r="AB457" s="32"/>
      <c r="AC457" s="32"/>
      <c r="AD457" s="32"/>
      <c r="AE457" s="32">
        <f t="shared" si="142"/>
        <v>0</v>
      </c>
      <c r="AF457" s="12"/>
      <c r="AG457" s="12"/>
      <c r="AH457" s="10"/>
      <c r="AI457" s="12">
        <f t="shared" si="143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9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40"/>
        <v>0</v>
      </c>
      <c r="T458" s="12"/>
      <c r="U458" s="12"/>
      <c r="V458" s="12"/>
      <c r="W458" s="12">
        <f t="shared" si="141"/>
        <v>0</v>
      </c>
      <c r="Y458" s="10">
        <v>7</v>
      </c>
      <c r="Z458" s="30"/>
      <c r="AA458" s="31"/>
      <c r="AB458" s="32"/>
      <c r="AC458" s="32"/>
      <c r="AD458" s="32"/>
      <c r="AE458" s="32">
        <f t="shared" si="142"/>
        <v>0</v>
      </c>
      <c r="AF458" s="12"/>
      <c r="AG458" s="58"/>
      <c r="AH458" s="12"/>
      <c r="AI458" s="12">
        <f t="shared" si="143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9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40"/>
        <v>0</v>
      </c>
      <c r="T459" s="12"/>
      <c r="U459" s="12"/>
      <c r="V459" s="12"/>
      <c r="W459" s="12">
        <f t="shared" si="141"/>
        <v>0</v>
      </c>
      <c r="Y459" s="10">
        <v>8</v>
      </c>
      <c r="Z459" s="30"/>
      <c r="AA459" s="31"/>
      <c r="AB459" s="32"/>
      <c r="AC459" s="32"/>
      <c r="AE459" s="32">
        <f t="shared" si="142"/>
        <v>0</v>
      </c>
      <c r="AF459" s="12"/>
      <c r="AG459" s="12"/>
      <c r="AH459" s="12"/>
      <c r="AI459" s="12">
        <f t="shared" si="143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9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40"/>
        <v>0</v>
      </c>
      <c r="T460" s="12"/>
      <c r="U460" s="12"/>
      <c r="V460" s="12"/>
      <c r="W460" s="12">
        <f t="shared" si="141"/>
        <v>0</v>
      </c>
      <c r="Y460" s="10">
        <v>9</v>
      </c>
      <c r="Z460" s="30"/>
      <c r="AA460" s="31"/>
      <c r="AC460" s="32"/>
      <c r="AD460" s="32"/>
      <c r="AE460" s="32">
        <f t="shared" si="142"/>
        <v>0</v>
      </c>
      <c r="AF460" s="12"/>
      <c r="AH460" s="12"/>
      <c r="AI460" s="12">
        <f t="shared" si="143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9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40"/>
        <v>0</v>
      </c>
      <c r="T461" s="12"/>
      <c r="U461" s="12"/>
      <c r="V461" s="12"/>
      <c r="W461" s="12">
        <f t="shared" si="141"/>
        <v>0</v>
      </c>
      <c r="Y461" s="10">
        <v>10</v>
      </c>
      <c r="Z461" s="30"/>
      <c r="AA461" s="31"/>
      <c r="AB461" s="32"/>
      <c r="AC461" s="32"/>
      <c r="AD461" s="32"/>
      <c r="AE461" s="32">
        <f t="shared" si="142"/>
        <v>0</v>
      </c>
      <c r="AF461" s="12"/>
      <c r="AG461" s="12"/>
      <c r="AH461" s="12"/>
      <c r="AI461" s="12">
        <f t="shared" si="143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4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40"/>
        <v>0</v>
      </c>
      <c r="T462" s="12"/>
      <c r="U462" s="12"/>
      <c r="V462" s="12"/>
      <c r="W462" s="12">
        <f t="shared" si="141"/>
        <v>0</v>
      </c>
      <c r="Y462" s="10">
        <v>11</v>
      </c>
      <c r="Z462" s="30"/>
      <c r="AB462" s="32"/>
      <c r="AC462" s="32"/>
      <c r="AD462" s="32"/>
      <c r="AE462" s="32">
        <f t="shared" si="142"/>
        <v>0</v>
      </c>
      <c r="AF462" s="12"/>
      <c r="AG462" s="12"/>
      <c r="AH462" s="12"/>
      <c r="AI462" s="12">
        <f t="shared" si="143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9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40"/>
        <v>0</v>
      </c>
      <c r="T463" s="12"/>
      <c r="U463" s="12"/>
      <c r="V463" s="12"/>
      <c r="W463" s="12">
        <f t="shared" si="141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42"/>
        <v>0</v>
      </c>
      <c r="AF463" s="12"/>
      <c r="AG463" s="12"/>
      <c r="AH463" s="12"/>
      <c r="AI463" s="12">
        <f t="shared" si="143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9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40"/>
        <v>0</v>
      </c>
      <c r="T464" s="12"/>
      <c r="U464" s="12"/>
      <c r="V464" s="12"/>
      <c r="W464" s="12">
        <f t="shared" si="141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42"/>
        <v>0</v>
      </c>
      <c r="AF464" s="12"/>
      <c r="AG464" s="12"/>
      <c r="AH464" s="12"/>
      <c r="AI464" s="12">
        <f t="shared" si="143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9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40"/>
        <v>0</v>
      </c>
      <c r="T465" s="12"/>
      <c r="U465" s="12"/>
      <c r="V465" s="12"/>
      <c r="W465" s="12">
        <f t="shared" si="141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42"/>
        <v>0</v>
      </c>
      <c r="AF465" s="12"/>
      <c r="AG465" s="12"/>
      <c r="AH465" s="12"/>
      <c r="AI465" s="12">
        <f t="shared" si="143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9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40"/>
        <v>0</v>
      </c>
      <c r="T466" s="12"/>
      <c r="U466" s="12"/>
      <c r="V466" s="12"/>
      <c r="W466" s="12">
        <f t="shared" si="141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42"/>
        <v>0</v>
      </c>
      <c r="AF466" s="12"/>
      <c r="AG466" s="12"/>
      <c r="AH466" s="12"/>
      <c r="AI466" s="12">
        <f t="shared" si="143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94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31"/>
      <c r="P467" s="32"/>
      <c r="Q467" s="32"/>
      <c r="R467" s="32"/>
      <c r="S467" s="32">
        <f t="shared" si="140"/>
        <v>0</v>
      </c>
      <c r="T467" s="12"/>
      <c r="U467" s="12"/>
      <c r="V467" s="12"/>
      <c r="W467" s="12">
        <f t="shared" si="141"/>
        <v>0</v>
      </c>
      <c r="Y467" s="10">
        <v>16</v>
      </c>
      <c r="Z467" s="30"/>
      <c r="AB467" s="32"/>
      <c r="AC467" s="32"/>
      <c r="AD467" s="32"/>
      <c r="AE467" s="32">
        <f t="shared" si="142"/>
        <v>0</v>
      </c>
      <c r="AF467" s="12"/>
      <c r="AG467" s="12"/>
      <c r="AH467" s="12"/>
      <c r="AI467" s="12">
        <f t="shared" si="143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9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P468" s="35"/>
      <c r="Q468" s="32"/>
      <c r="R468" s="32"/>
      <c r="S468" s="32">
        <f t="shared" si="140"/>
        <v>0</v>
      </c>
      <c r="T468" s="12"/>
      <c r="U468" s="12"/>
      <c r="V468" s="12"/>
      <c r="W468" s="12">
        <f t="shared" si="141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42"/>
        <v>0</v>
      </c>
      <c r="AF468" s="12"/>
      <c r="AG468" s="12"/>
      <c r="AH468" s="12"/>
      <c r="AI468" s="12">
        <f t="shared" si="143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4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40"/>
        <v>0</v>
      </c>
      <c r="T469" s="12"/>
      <c r="U469" s="12"/>
      <c r="V469" s="12"/>
      <c r="W469" s="12">
        <f t="shared" si="141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42"/>
        <v>0</v>
      </c>
      <c r="AF469" s="12"/>
      <c r="AG469" s="12"/>
      <c r="AH469" s="12"/>
      <c r="AI469" s="12">
        <f t="shared" si="143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65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40"/>
        <v>0</v>
      </c>
      <c r="T470" s="12"/>
      <c r="U470" s="12"/>
      <c r="V470" s="12"/>
      <c r="W470" s="12">
        <f t="shared" si="141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42"/>
        <v>0</v>
      </c>
      <c r="AF470" s="12"/>
      <c r="AG470" s="12"/>
      <c r="AH470" s="12"/>
      <c r="AI470" s="12">
        <f t="shared" si="143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9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40"/>
        <v>0</v>
      </c>
      <c r="T471" s="12"/>
      <c r="U471" s="12"/>
      <c r="V471" s="12"/>
      <c r="W471" s="12">
        <f t="shared" si="141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42"/>
        <v>0</v>
      </c>
      <c r="AF471" s="12"/>
      <c r="AG471" s="12"/>
      <c r="AH471" s="12"/>
      <c r="AI471" s="12">
        <f t="shared" si="143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9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40"/>
        <v>0</v>
      </c>
      <c r="T472" s="10"/>
      <c r="U472" s="10"/>
      <c r="V472" s="10"/>
      <c r="W472" s="12">
        <f t="shared" si="141"/>
        <v>0</v>
      </c>
      <c r="Y472" s="10">
        <v>21</v>
      </c>
      <c r="Z472" s="30"/>
      <c r="AB472" s="46"/>
      <c r="AC472" s="31"/>
      <c r="AD472" s="31"/>
      <c r="AE472" s="32">
        <f t="shared" si="142"/>
        <v>0</v>
      </c>
      <c r="AF472" s="10"/>
      <c r="AG472" s="10"/>
      <c r="AH472" s="10"/>
      <c r="AI472" s="12">
        <f t="shared" si="143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9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40"/>
        <v>0</v>
      </c>
      <c r="T473" s="10"/>
      <c r="U473" s="10"/>
      <c r="V473" s="10"/>
      <c r="W473" s="12">
        <f t="shared" si="141"/>
        <v>0</v>
      </c>
      <c r="Y473" s="10">
        <v>22</v>
      </c>
      <c r="Z473" s="30"/>
      <c r="AB473" s="45"/>
      <c r="AC473" s="31"/>
      <c r="AD473" s="31"/>
      <c r="AE473" s="32">
        <f t="shared" si="142"/>
        <v>0</v>
      </c>
      <c r="AF473" s="10"/>
      <c r="AG473" s="10"/>
      <c r="AH473" s="10"/>
      <c r="AI473" s="12">
        <f t="shared" si="143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93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S474" s="32">
        <f t="shared" si="140"/>
        <v>0</v>
      </c>
      <c r="T474" s="10"/>
      <c r="U474" s="10"/>
      <c r="V474" s="10"/>
      <c r="W474" s="12">
        <f t="shared" si="141"/>
        <v>0</v>
      </c>
      <c r="Y474" s="10">
        <v>23</v>
      </c>
      <c r="Z474" s="30"/>
      <c r="AA474" s="31"/>
      <c r="AB474" s="47"/>
      <c r="AE474" s="32">
        <f t="shared" si="142"/>
        <v>0</v>
      </c>
      <c r="AF474" s="10"/>
      <c r="AG474" s="10"/>
      <c r="AH474" s="10"/>
      <c r="AI474" s="12">
        <f t="shared" si="143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9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P475" s="47"/>
      <c r="Q475" s="31"/>
      <c r="R475" s="31"/>
      <c r="S475" s="32">
        <f t="shared" si="140"/>
        <v>0</v>
      </c>
      <c r="T475" s="10"/>
      <c r="U475" s="10"/>
      <c r="V475" s="10"/>
      <c r="W475" s="12">
        <f t="shared" si="141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42"/>
        <v>0</v>
      </c>
      <c r="AF475" s="10"/>
      <c r="AG475" s="10"/>
      <c r="AH475" s="10"/>
      <c r="AI475" s="12">
        <f t="shared" si="143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9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40"/>
        <v>0</v>
      </c>
      <c r="T476" s="10"/>
      <c r="U476" s="10"/>
      <c r="V476" s="10"/>
      <c r="W476" s="12">
        <f t="shared" si="141"/>
        <v>0</v>
      </c>
      <c r="Y476" s="10">
        <v>25</v>
      </c>
      <c r="Z476" s="30"/>
      <c r="AA476" s="11"/>
      <c r="AB476" s="47"/>
      <c r="AC476" s="31"/>
      <c r="AD476" s="31"/>
      <c r="AE476" s="32">
        <f t="shared" si="142"/>
        <v>0</v>
      </c>
      <c r="AF476" s="10"/>
      <c r="AG476" s="10"/>
      <c r="AH476" s="10"/>
      <c r="AI476" s="12">
        <f t="shared" si="143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9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P477" s="47"/>
      <c r="Q477" s="31"/>
      <c r="R477" s="31"/>
      <c r="S477" s="32">
        <f t="shared" si="140"/>
        <v>0</v>
      </c>
      <c r="T477" s="10"/>
      <c r="U477" s="10"/>
      <c r="V477" s="10"/>
      <c r="W477" s="12">
        <f t="shared" si="141"/>
        <v>0</v>
      </c>
      <c r="Y477" s="10">
        <v>26</v>
      </c>
      <c r="Z477" s="30"/>
      <c r="AB477" s="47"/>
      <c r="AC477" s="31"/>
      <c r="AD477" s="31"/>
      <c r="AE477" s="32">
        <f t="shared" si="142"/>
        <v>0</v>
      </c>
      <c r="AF477" s="10"/>
      <c r="AG477" s="10"/>
      <c r="AH477" s="10"/>
      <c r="AI477" s="12">
        <f t="shared" si="143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9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40"/>
        <v>0</v>
      </c>
      <c r="T478" s="10"/>
      <c r="U478" s="10"/>
      <c r="V478" s="10"/>
      <c r="W478" s="12">
        <f t="shared" si="141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42"/>
        <v>0</v>
      </c>
      <c r="AF478" s="10"/>
      <c r="AG478" s="10"/>
      <c r="AH478" s="10"/>
      <c r="AI478" s="12">
        <f t="shared" si="143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9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40"/>
        <v>0</v>
      </c>
      <c r="T479" s="10"/>
      <c r="U479" s="10"/>
      <c r="V479" s="10"/>
      <c r="W479" s="12">
        <f t="shared" si="141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42"/>
        <v>0</v>
      </c>
      <c r="AF479" s="10"/>
      <c r="AG479" s="10"/>
      <c r="AH479" s="10"/>
      <c r="AI479" s="12">
        <f t="shared" si="143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9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P480" s="47"/>
      <c r="Q480" s="31"/>
      <c r="R480" s="31"/>
      <c r="S480" s="32">
        <f t="shared" si="140"/>
        <v>0</v>
      </c>
      <c r="T480" s="10"/>
      <c r="U480" s="10"/>
      <c r="V480" s="10"/>
      <c r="W480" s="12">
        <f t="shared" si="141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42"/>
        <v>0</v>
      </c>
      <c r="AF480" s="10"/>
      <c r="AG480" s="10"/>
      <c r="AH480" s="10"/>
      <c r="AI480" s="12">
        <f t="shared" si="143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93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P481" s="47"/>
      <c r="Q481" s="31"/>
      <c r="R481" s="31"/>
      <c r="S481" s="32">
        <f t="shared" si="140"/>
        <v>0</v>
      </c>
      <c r="T481" s="10"/>
      <c r="U481" s="10"/>
      <c r="V481" s="10"/>
      <c r="W481" s="12">
        <f t="shared" si="141"/>
        <v>0</v>
      </c>
      <c r="Y481" s="10">
        <v>30</v>
      </c>
      <c r="Z481" s="30"/>
      <c r="AB481" s="47"/>
      <c r="AC481" s="31"/>
      <c r="AD481" s="31"/>
      <c r="AE481" s="32">
        <f t="shared" si="142"/>
        <v>0</v>
      </c>
      <c r="AF481" s="10"/>
      <c r="AG481" s="10"/>
      <c r="AH481" s="10"/>
      <c r="AI481" s="12">
        <f t="shared" si="143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9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40"/>
        <v>0</v>
      </c>
      <c r="T482" s="10"/>
      <c r="U482" s="10"/>
      <c r="V482" s="10"/>
      <c r="W482" s="12">
        <f t="shared" si="141"/>
        <v>0</v>
      </c>
      <c r="Y482" s="10">
        <v>31</v>
      </c>
      <c r="Z482" s="30"/>
      <c r="AB482" s="47"/>
      <c r="AC482" s="31"/>
      <c r="AD482" s="31"/>
      <c r="AE482" s="32">
        <f t="shared" si="142"/>
        <v>0</v>
      </c>
      <c r="AF482" s="10"/>
      <c r="AG482" s="10"/>
      <c r="AH482" s="10"/>
      <c r="AI482" s="12">
        <f t="shared" si="143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9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P483" s="47"/>
      <c r="Q483" s="31"/>
      <c r="R483" s="31"/>
      <c r="S483" s="32">
        <f t="shared" si="140"/>
        <v>0</v>
      </c>
      <c r="T483" s="10"/>
      <c r="U483" s="10"/>
      <c r="V483" s="10"/>
      <c r="W483" s="12">
        <f t="shared" si="141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42"/>
        <v>0</v>
      </c>
      <c r="AF483" s="10"/>
      <c r="AG483" s="10"/>
      <c r="AH483" s="10"/>
      <c r="AI483" s="12">
        <f t="shared" si="143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9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40"/>
        <v>0</v>
      </c>
      <c r="T484" s="10"/>
      <c r="U484" s="10"/>
      <c r="V484" s="10"/>
      <c r="W484" s="12">
        <f t="shared" si="141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42"/>
        <v>0</v>
      </c>
      <c r="AF484" s="10"/>
      <c r="AG484" s="10"/>
      <c r="AH484" s="10"/>
      <c r="AI484" s="12">
        <f t="shared" si="143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9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ref="S485:S490" si="146">SUM(P485:Q485)</f>
        <v>0</v>
      </c>
      <c r="T485" s="10"/>
      <c r="U485" s="10"/>
      <c r="V485" s="10"/>
      <c r="W485" s="12">
        <f t="shared" ref="W485:W493" si="147">SUM(S485:V485)</f>
        <v>0</v>
      </c>
      <c r="Y485" s="10">
        <v>34</v>
      </c>
      <c r="Z485" s="30"/>
      <c r="AB485" s="47"/>
      <c r="AC485" s="31"/>
      <c r="AD485" s="31"/>
      <c r="AE485" s="32">
        <f t="shared" si="142"/>
        <v>0</v>
      </c>
      <c r="AF485" s="10"/>
      <c r="AG485" s="10"/>
      <c r="AH485" s="10"/>
      <c r="AI485" s="12">
        <f t="shared" ref="AI485:AI493" si="148">SUM(AE485:AH485)</f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93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46"/>
        <v>0</v>
      </c>
      <c r="T486" s="10"/>
      <c r="U486" s="10"/>
      <c r="V486" s="10"/>
      <c r="W486" s="12">
        <f t="shared" si="14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42"/>
        <v>0</v>
      </c>
      <c r="AF486" s="10"/>
      <c r="AG486" s="10"/>
      <c r="AH486" s="10"/>
      <c r="AI486" s="12">
        <f t="shared" si="148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93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46"/>
        <v>0</v>
      </c>
      <c r="T487" s="10"/>
      <c r="U487" s="10"/>
      <c r="V487" s="10"/>
      <c r="W487" s="12">
        <f t="shared" si="14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42"/>
        <v>0</v>
      </c>
      <c r="AF487" s="10"/>
      <c r="AG487" s="10"/>
      <c r="AH487" s="10"/>
      <c r="AI487" s="12">
        <f t="shared" si="148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3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46"/>
        <v>0</v>
      </c>
      <c r="T488" s="10"/>
      <c r="U488" s="10"/>
      <c r="V488" s="10"/>
      <c r="W488" s="12">
        <f t="shared" si="14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42"/>
        <v>0</v>
      </c>
      <c r="AF488" s="10"/>
      <c r="AG488" s="10"/>
      <c r="AH488" s="10"/>
      <c r="AI488" s="12">
        <f t="shared" si="148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3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46"/>
        <v>0</v>
      </c>
      <c r="T489" s="10"/>
      <c r="U489" s="10"/>
      <c r="V489" s="10"/>
      <c r="W489" s="12">
        <f t="shared" si="14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42"/>
        <v>0</v>
      </c>
      <c r="AF489" s="10"/>
      <c r="AG489" s="10"/>
      <c r="AH489" s="10"/>
      <c r="AI489" s="12">
        <f t="shared" si="148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3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46"/>
        <v>0</v>
      </c>
      <c r="T490" s="10"/>
      <c r="U490" s="10"/>
      <c r="V490" s="10"/>
      <c r="W490" s="12">
        <f t="shared" si="14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42"/>
        <v>0</v>
      </c>
      <c r="AF490" s="10"/>
      <c r="AG490" s="10"/>
      <c r="AH490" s="10"/>
      <c r="AI490" s="12">
        <f t="shared" si="148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3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48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3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49">SUM(P492:Q492)</f>
        <v>0</v>
      </c>
      <c r="T492" s="10"/>
      <c r="U492" s="10"/>
      <c r="V492" s="10"/>
      <c r="W492" s="12">
        <f t="shared" si="147"/>
        <v>0</v>
      </c>
      <c r="Y492" s="10"/>
      <c r="Z492" s="30"/>
      <c r="AA492" s="31"/>
      <c r="AB492" s="47"/>
      <c r="AC492" s="31"/>
      <c r="AD492" s="31"/>
      <c r="AE492" s="32">
        <f t="shared" ref="AE492" si="150">SUM(AB492:AC492)</f>
        <v>0</v>
      </c>
      <c r="AF492" s="10"/>
      <c r="AG492" s="10"/>
      <c r="AH492" s="10"/>
      <c r="AI492" s="12">
        <f t="shared" si="148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48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3"/>
      <c r="C494" s="93"/>
      <c r="D494" s="93"/>
      <c r="E494" s="93"/>
      <c r="F494" s="93"/>
      <c r="G494" s="93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3"/>
      <c r="C495" s="93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342050</v>
      </c>
      <c r="Q495" s="38">
        <f>SUM(Q452:Q476)</f>
        <v>-3030</v>
      </c>
      <c r="R495" s="38">
        <f>SUM(R452:R476)</f>
        <v>0</v>
      </c>
      <c r="S495" s="38">
        <f>SUM(S452:S494)</f>
        <v>339020</v>
      </c>
      <c r="T495" s="4"/>
      <c r="U495" s="41">
        <f>SUM(U452:U494)</f>
        <v>1254</v>
      </c>
      <c r="V495" s="41">
        <f>SUM(V452:V476)</f>
        <v>-31107</v>
      </c>
      <c r="W495" s="42">
        <f>SUM(W452:W494)</f>
        <v>309167</v>
      </c>
      <c r="Z495" s="57"/>
      <c r="AA495" s="57"/>
      <c r="AB495" s="38">
        <f>SUM(AB452:AB494)</f>
        <v>152175</v>
      </c>
      <c r="AC495" s="38">
        <f>SUM(AC452:AC476)</f>
        <v>-456</v>
      </c>
      <c r="AD495" s="38">
        <f>SUM(AD452:AD476)</f>
        <v>0</v>
      </c>
      <c r="AE495" s="38">
        <f>SUM(AE452:AE494)</f>
        <v>151719</v>
      </c>
      <c r="AF495" s="4"/>
      <c r="AG495" s="41">
        <f>SUM(AG452:AG494)</f>
        <v>8889</v>
      </c>
      <c r="AH495" s="41">
        <f>SUM(AH452:AH476)</f>
        <v>0</v>
      </c>
      <c r="AI495" s="42">
        <f>SUM(AI452:AI494)</f>
        <v>160608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33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37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31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5" t="s">
        <v>17</v>
      </c>
      <c r="E505" s="115"/>
      <c r="F505" s="103"/>
      <c r="G505" s="27"/>
      <c r="I505" s="118" t="s">
        <v>18</v>
      </c>
      <c r="J505" s="119"/>
      <c r="K505" s="116" t="s">
        <v>19</v>
      </c>
      <c r="N505" s="25"/>
      <c r="O505" s="26"/>
      <c r="P505" s="115" t="s">
        <v>17</v>
      </c>
      <c r="Q505" s="115"/>
      <c r="R505" s="103"/>
      <c r="S505" s="27"/>
      <c r="U505" s="118" t="s">
        <v>18</v>
      </c>
      <c r="V505" s="119"/>
      <c r="W505" s="116" t="s">
        <v>19</v>
      </c>
      <c r="Z505" s="25"/>
      <c r="AA505" s="26"/>
      <c r="AB505" s="115" t="s">
        <v>17</v>
      </c>
      <c r="AC505" s="115"/>
      <c r="AD505" s="103"/>
      <c r="AE505" s="27"/>
      <c r="AG505" s="118" t="s">
        <v>18</v>
      </c>
      <c r="AH505" s="119"/>
      <c r="AI505" s="116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9" t="s">
        <v>22</v>
      </c>
      <c r="E506" s="78" t="s">
        <v>23</v>
      </c>
      <c r="F506" s="80" t="s">
        <v>32</v>
      </c>
      <c r="G506" s="80" t="s">
        <v>24</v>
      </c>
      <c r="I506" s="29" t="s">
        <v>25</v>
      </c>
      <c r="J506" s="29" t="s">
        <v>26</v>
      </c>
      <c r="K506" s="117"/>
      <c r="N506" s="28" t="s">
        <v>20</v>
      </c>
      <c r="O506" s="28" t="s">
        <v>21</v>
      </c>
      <c r="P506" s="79" t="s">
        <v>22</v>
      </c>
      <c r="Q506" s="80" t="s">
        <v>23</v>
      </c>
      <c r="R506" s="80" t="s">
        <v>32</v>
      </c>
      <c r="S506" s="80" t="s">
        <v>24</v>
      </c>
      <c r="U506" s="29" t="s">
        <v>25</v>
      </c>
      <c r="V506" s="29" t="s">
        <v>26</v>
      </c>
      <c r="W506" s="117"/>
      <c r="Z506" s="28" t="s">
        <v>20</v>
      </c>
      <c r="AA506" s="28" t="s">
        <v>21</v>
      </c>
      <c r="AB506" s="79" t="s">
        <v>22</v>
      </c>
      <c r="AC506" s="80" t="s">
        <v>23</v>
      </c>
      <c r="AD506" s="80" t="s">
        <v>32</v>
      </c>
      <c r="AE506" s="80" t="s">
        <v>24</v>
      </c>
      <c r="AG506" s="29" t="s">
        <v>25</v>
      </c>
      <c r="AH506" s="29" t="s">
        <v>26</v>
      </c>
      <c r="AI506" s="117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45973</v>
      </c>
      <c r="C507" s="91">
        <v>7827</v>
      </c>
      <c r="D507" s="32">
        <f>405648+6140+1664+6183</f>
        <v>419635</v>
      </c>
      <c r="E507" s="32">
        <v>-3960</v>
      </c>
      <c r="F507" s="32"/>
      <c r="G507" s="32">
        <f t="shared" ref="G507:G540" si="151">SUM(D507:E507)</f>
        <v>415675</v>
      </c>
      <c r="H507" s="12"/>
      <c r="I507" s="12">
        <f>120+6216+1794+444</f>
        <v>8574</v>
      </c>
      <c r="J507" s="12">
        <f>-84+-756+-378</f>
        <v>-1218</v>
      </c>
      <c r="K507" s="12">
        <f t="shared" ref="K507:K540" si="152">SUM(G507:J507)</f>
        <v>423031</v>
      </c>
      <c r="M507" s="10">
        <v>1</v>
      </c>
      <c r="N507" s="30">
        <v>45973</v>
      </c>
      <c r="O507" s="31">
        <v>7742</v>
      </c>
      <c r="P507" s="32">
        <f>1878+614</f>
        <v>2492</v>
      </c>
      <c r="Q507" s="32"/>
      <c r="R507" s="32"/>
      <c r="S507" s="32">
        <f>SUM(P507:Q507)</f>
        <v>2492</v>
      </c>
      <c r="T507" s="12"/>
      <c r="U507" s="12">
        <v>121.5</v>
      </c>
      <c r="V507" s="12"/>
      <c r="W507" s="12">
        <f>SUM(S507:V507)</f>
        <v>2613.5</v>
      </c>
      <c r="Y507" s="10">
        <v>1</v>
      </c>
      <c r="Z507" s="30">
        <v>45973</v>
      </c>
      <c r="AA507" s="31">
        <v>7855</v>
      </c>
      <c r="AB507" s="32">
        <f>75120+41720+1832</f>
        <v>118672</v>
      </c>
      <c r="AC507" s="32"/>
      <c r="AD507" s="32"/>
      <c r="AE507" s="32">
        <f>SUM(AB507:AC507)</f>
        <v>118672</v>
      </c>
      <c r="AF507" s="12"/>
      <c r="AG507" s="12"/>
      <c r="AH507" s="12">
        <v>-312</v>
      </c>
      <c r="AI507" s="12">
        <f>SUM(AE507:AH507)</f>
        <v>118360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45973</v>
      </c>
      <c r="C508" s="91">
        <f>C507+1</f>
        <v>7828</v>
      </c>
      <c r="D508" s="32">
        <f>4382+596+76</f>
        <v>5054</v>
      </c>
      <c r="E508" s="32"/>
      <c r="F508" s="32"/>
      <c r="G508" s="32">
        <f t="shared" si="151"/>
        <v>5054</v>
      </c>
      <c r="H508" s="12"/>
      <c r="I508" s="12">
        <v>12</v>
      </c>
      <c r="J508" s="12"/>
      <c r="K508" s="12">
        <f t="shared" si="152"/>
        <v>5066</v>
      </c>
      <c r="M508" s="10">
        <v>2</v>
      </c>
      <c r="N508" s="30">
        <v>45973</v>
      </c>
      <c r="O508" s="31">
        <f>O507+1</f>
        <v>7743</v>
      </c>
      <c r="P508" s="32">
        <f>1252+1192+38</f>
        <v>2482</v>
      </c>
      <c r="Q508" s="32"/>
      <c r="R508" s="32"/>
      <c r="S508" s="32">
        <f t="shared" ref="S508:S539" si="153">SUM(P508:Q508)</f>
        <v>2482</v>
      </c>
      <c r="T508" s="12"/>
      <c r="U508" s="12"/>
      <c r="V508" s="12"/>
      <c r="W508" s="12">
        <f t="shared" ref="W508:W548" si="154">SUM(S508:V508)</f>
        <v>2482</v>
      </c>
      <c r="Y508" s="10">
        <v>2</v>
      </c>
      <c r="Z508" s="30">
        <v>45973</v>
      </c>
      <c r="AA508" s="31">
        <f>AA507+1</f>
        <v>7856</v>
      </c>
      <c r="AB508" s="32">
        <f>4382+1842+2980</f>
        <v>9204</v>
      </c>
      <c r="AC508" s="32"/>
      <c r="AD508" s="32"/>
      <c r="AE508" s="32">
        <f t="shared" ref="AE508:AE545" si="155">SUM(AB508:AC508)</f>
        <v>9204</v>
      </c>
      <c r="AF508" s="12"/>
      <c r="AG508" s="12"/>
      <c r="AH508" s="12"/>
      <c r="AI508" s="12">
        <f t="shared" ref="AI508:AI539" si="156">SUM(AE508:AH508)</f>
        <v>9204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45973</v>
      </c>
      <c r="C509" s="91">
        <f t="shared" ref="C509:C510" si="157">C508+1</f>
        <v>7829</v>
      </c>
      <c r="D509" s="33">
        <f>456.5+426+502.5+416+650</f>
        <v>2451</v>
      </c>
      <c r="E509" s="33"/>
      <c r="F509" s="33"/>
      <c r="G509" s="33">
        <f t="shared" si="151"/>
        <v>2451</v>
      </c>
      <c r="H509" s="34"/>
      <c r="I509" s="34"/>
      <c r="J509" s="34"/>
      <c r="K509" s="34">
        <f t="shared" si="152"/>
        <v>2451</v>
      </c>
      <c r="M509" s="10">
        <v>3</v>
      </c>
      <c r="N509" s="30">
        <v>45973</v>
      </c>
      <c r="O509" s="31">
        <f t="shared" ref="O509:O518" si="158">O508+1</f>
        <v>7744</v>
      </c>
      <c r="P509" s="32">
        <f>1252+596+28.5</f>
        <v>1876.5</v>
      </c>
      <c r="Q509" s="32"/>
      <c r="R509" s="32"/>
      <c r="S509" s="32">
        <f t="shared" si="153"/>
        <v>1876.5</v>
      </c>
      <c r="T509" s="12"/>
      <c r="U509" s="12">
        <v>3</v>
      </c>
      <c r="V509" s="12"/>
      <c r="W509" s="12">
        <f t="shared" si="154"/>
        <v>1879.5</v>
      </c>
      <c r="Y509" s="10">
        <v>3</v>
      </c>
      <c r="Z509" s="30">
        <v>45973</v>
      </c>
      <c r="AA509" s="31">
        <f t="shared" ref="AA509:AA517" si="159">AA508+1</f>
        <v>7857</v>
      </c>
      <c r="AB509" s="33">
        <f>6260+95</f>
        <v>6355</v>
      </c>
      <c r="AC509" s="33"/>
      <c r="AD509" s="32"/>
      <c r="AE509" s="32">
        <f t="shared" si="155"/>
        <v>6355</v>
      </c>
      <c r="AF509" s="12"/>
      <c r="AG509" s="12"/>
      <c r="AH509" s="12"/>
      <c r="AI509" s="12">
        <f t="shared" si="156"/>
        <v>6355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45973</v>
      </c>
      <c r="C510" s="91">
        <f t="shared" si="157"/>
        <v>7830</v>
      </c>
      <c r="D510" s="32">
        <f>52584+4298+6740+5960+1145</f>
        <v>70727</v>
      </c>
      <c r="E510" s="32"/>
      <c r="F510" s="32"/>
      <c r="G510" s="32">
        <f t="shared" si="151"/>
        <v>70727</v>
      </c>
      <c r="H510" s="12"/>
      <c r="I510" s="12"/>
      <c r="J510" s="12"/>
      <c r="K510" s="12">
        <f t="shared" si="152"/>
        <v>70727</v>
      </c>
      <c r="M510" s="10">
        <v>4</v>
      </c>
      <c r="N510" s="30">
        <v>45973</v>
      </c>
      <c r="O510" s="31">
        <f t="shared" si="158"/>
        <v>7745</v>
      </c>
      <c r="P510" s="32">
        <f>1878+28.5</f>
        <v>1906.5</v>
      </c>
      <c r="Q510" s="32"/>
      <c r="R510" s="32"/>
      <c r="S510" s="32">
        <f t="shared" si="153"/>
        <v>1906.5</v>
      </c>
      <c r="T510" s="12"/>
      <c r="U510" s="12"/>
      <c r="V510" s="12"/>
      <c r="W510" s="12">
        <f t="shared" si="154"/>
        <v>1906.5</v>
      </c>
      <c r="Y510" s="10">
        <v>4</v>
      </c>
      <c r="Z510" s="30">
        <v>45973</v>
      </c>
      <c r="AA510" s="31">
        <f t="shared" si="159"/>
        <v>7858</v>
      </c>
      <c r="AB510" s="32">
        <f>15650+1842+2980+229</f>
        <v>20701</v>
      </c>
      <c r="AC510" s="32"/>
      <c r="AD510" s="32"/>
      <c r="AE510" s="32">
        <f t="shared" si="155"/>
        <v>20701</v>
      </c>
      <c r="AF510" s="12"/>
      <c r="AG510">
        <v>1221</v>
      </c>
      <c r="AH510" s="12"/>
      <c r="AI510" s="12">
        <f t="shared" si="156"/>
        <v>21922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1"/>
        <v>0</v>
      </c>
      <c r="H511" s="12"/>
      <c r="I511" s="12"/>
      <c r="J511" s="12"/>
      <c r="K511" s="12">
        <f t="shared" si="152"/>
        <v>0</v>
      </c>
      <c r="M511" s="10">
        <v>5</v>
      </c>
      <c r="N511" s="30">
        <v>45973</v>
      </c>
      <c r="O511" s="31">
        <f t="shared" si="158"/>
        <v>7746</v>
      </c>
      <c r="P511" s="32">
        <f>1252+1192+38</f>
        <v>2482</v>
      </c>
      <c r="Q511" s="32"/>
      <c r="R511" s="32"/>
      <c r="S511" s="32">
        <f t="shared" si="153"/>
        <v>2482</v>
      </c>
      <c r="T511" s="12"/>
      <c r="U511" s="12"/>
      <c r="V511" s="12"/>
      <c r="W511" s="12">
        <f t="shared" si="154"/>
        <v>2482</v>
      </c>
      <c r="Y511" s="10">
        <v>5</v>
      </c>
      <c r="Z511" s="30">
        <v>45973</v>
      </c>
      <c r="AA511" s="31">
        <f t="shared" si="159"/>
        <v>7859</v>
      </c>
      <c r="AB511" s="32">
        <f>34430+229</f>
        <v>34659</v>
      </c>
      <c r="AC511" s="32">
        <v>-330</v>
      </c>
      <c r="AD511" s="32"/>
      <c r="AE511" s="32">
        <f t="shared" si="155"/>
        <v>34329</v>
      </c>
      <c r="AF511" s="12"/>
      <c r="AG511" s="12"/>
      <c r="AH511" s="12">
        <v>-390</v>
      </c>
      <c r="AI511" s="12">
        <f t="shared" si="156"/>
        <v>33939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91"/>
      <c r="D512" s="32"/>
      <c r="E512" s="32"/>
      <c r="F512" s="32"/>
      <c r="G512" s="32">
        <f t="shared" si="151"/>
        <v>0</v>
      </c>
      <c r="H512" s="12"/>
      <c r="I512" s="12"/>
      <c r="J512" s="12"/>
      <c r="K512" s="12">
        <f t="shared" si="152"/>
        <v>0</v>
      </c>
      <c r="M512" s="10">
        <v>6</v>
      </c>
      <c r="N512" s="30">
        <v>45973</v>
      </c>
      <c r="O512" s="31">
        <f t="shared" si="158"/>
        <v>7747</v>
      </c>
      <c r="P512" s="32">
        <f>626*2+596*8</f>
        <v>6020</v>
      </c>
      <c r="Q512" s="32"/>
      <c r="R512" s="32"/>
      <c r="S512" s="32">
        <f t="shared" si="153"/>
        <v>6020</v>
      </c>
      <c r="T512" s="12"/>
      <c r="U512" s="12"/>
      <c r="V512" s="10"/>
      <c r="W512" s="12">
        <f t="shared" si="154"/>
        <v>6020</v>
      </c>
      <c r="Y512" s="10">
        <v>6</v>
      </c>
      <c r="Z512" s="30">
        <v>45973</v>
      </c>
      <c r="AA512" s="31">
        <f t="shared" si="159"/>
        <v>7860</v>
      </c>
      <c r="AB512" s="32">
        <f>6886+5960+199.5</f>
        <v>13045.5</v>
      </c>
      <c r="AC512" s="32"/>
      <c r="AD512" s="32"/>
      <c r="AE512" s="32">
        <f t="shared" si="155"/>
        <v>13045.5</v>
      </c>
      <c r="AF512" s="12"/>
      <c r="AG512" s="12"/>
      <c r="AH512" s="10"/>
      <c r="AI512" s="12">
        <f t="shared" si="156"/>
        <v>13045.5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91"/>
      <c r="D513" s="32"/>
      <c r="E513" s="32"/>
      <c r="F513" s="32"/>
      <c r="G513" s="32">
        <f t="shared" si="151"/>
        <v>0</v>
      </c>
      <c r="H513" s="12"/>
      <c r="I513" s="12"/>
      <c r="J513" s="12"/>
      <c r="K513" s="12">
        <f t="shared" si="152"/>
        <v>0</v>
      </c>
      <c r="M513" s="10">
        <v>7</v>
      </c>
      <c r="N513" s="30">
        <v>45973</v>
      </c>
      <c r="O513" s="31">
        <f t="shared" si="158"/>
        <v>7748</v>
      </c>
      <c r="P513" s="32">
        <f>1252+19</f>
        <v>1271</v>
      </c>
      <c r="Q513" s="32"/>
      <c r="R513" s="32"/>
      <c r="S513" s="32">
        <f t="shared" si="153"/>
        <v>1271</v>
      </c>
      <c r="T513" s="12"/>
      <c r="U513" s="12"/>
      <c r="V513" s="12"/>
      <c r="W513" s="12">
        <f t="shared" si="154"/>
        <v>1271</v>
      </c>
      <c r="Y513" s="10">
        <v>7</v>
      </c>
      <c r="Z513" s="30">
        <v>45973</v>
      </c>
      <c r="AA513" s="31">
        <f t="shared" si="159"/>
        <v>7861</v>
      </c>
      <c r="AB513" s="32">
        <f>18780+1228+229</f>
        <v>20237</v>
      </c>
      <c r="AC513" s="32"/>
      <c r="AD513" s="32"/>
      <c r="AE513" s="32">
        <f t="shared" si="155"/>
        <v>20237</v>
      </c>
      <c r="AF513" s="12"/>
      <c r="AG513" s="58"/>
      <c r="AH513" s="12"/>
      <c r="AI513" s="12">
        <f t="shared" si="156"/>
        <v>20237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C514" s="91"/>
      <c r="D514" s="32"/>
      <c r="E514" s="32"/>
      <c r="F514" s="32"/>
      <c r="G514" s="32">
        <f t="shared" si="151"/>
        <v>0</v>
      </c>
      <c r="H514" s="12"/>
      <c r="I514" s="12"/>
      <c r="J514" s="12"/>
      <c r="K514" s="12">
        <f t="shared" si="152"/>
        <v>0</v>
      </c>
      <c r="M514" s="10">
        <v>8</v>
      </c>
      <c r="N514" s="30">
        <v>45973</v>
      </c>
      <c r="O514" s="31">
        <f t="shared" si="158"/>
        <v>7749</v>
      </c>
      <c r="P514" s="32">
        <f>1878+1192+47.5</f>
        <v>3117.5</v>
      </c>
      <c r="Q514" s="32"/>
      <c r="R514" s="32"/>
      <c r="S514" s="32">
        <f t="shared" si="153"/>
        <v>3117.5</v>
      </c>
      <c r="T514" s="12"/>
      <c r="U514" s="12"/>
      <c r="V514" s="12"/>
      <c r="W514" s="12">
        <f t="shared" si="154"/>
        <v>3117.5</v>
      </c>
      <c r="Y514" s="10">
        <v>8</v>
      </c>
      <c r="Z514" s="30">
        <v>45973</v>
      </c>
      <c r="AA514" s="31">
        <f t="shared" si="159"/>
        <v>7862</v>
      </c>
      <c r="AB514" s="32">
        <f>8138+2980+171</f>
        <v>11289</v>
      </c>
      <c r="AC514" s="32"/>
      <c r="AE514" s="32">
        <f t="shared" si="155"/>
        <v>11289</v>
      </c>
      <c r="AF514" s="12"/>
      <c r="AG514" s="12"/>
      <c r="AH514" s="12"/>
      <c r="AI514" s="12">
        <f t="shared" si="156"/>
        <v>11289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91"/>
      <c r="D515" s="32"/>
      <c r="E515" s="32"/>
      <c r="F515" s="32"/>
      <c r="G515" s="32">
        <f t="shared" si="151"/>
        <v>0</v>
      </c>
      <c r="H515" s="12"/>
      <c r="I515" s="12"/>
      <c r="J515" s="12"/>
      <c r="K515" s="12">
        <f t="shared" si="152"/>
        <v>0</v>
      </c>
      <c r="M515" s="10">
        <v>9</v>
      </c>
      <c r="N515" s="30">
        <v>45973</v>
      </c>
      <c r="O515" s="31">
        <f t="shared" si="158"/>
        <v>7750</v>
      </c>
      <c r="P515" s="32">
        <f>2504+38</f>
        <v>2542</v>
      </c>
      <c r="Q515" s="32"/>
      <c r="R515" s="32"/>
      <c r="S515" s="32">
        <f t="shared" si="153"/>
        <v>2542</v>
      </c>
      <c r="T515" s="12"/>
      <c r="U515" s="12"/>
      <c r="V515" s="12"/>
      <c r="W515" s="12">
        <f t="shared" si="154"/>
        <v>2542</v>
      </c>
      <c r="Y515" s="10">
        <v>9</v>
      </c>
      <c r="Z515" s="30">
        <v>45973</v>
      </c>
      <c r="AA515" s="31">
        <f t="shared" si="159"/>
        <v>7863</v>
      </c>
      <c r="AB515">
        <f>18780+913+596*4+832*2+1704+458+1000</f>
        <v>26903</v>
      </c>
      <c r="AC515" s="32"/>
      <c r="AD515" s="32"/>
      <c r="AE515" s="32">
        <f t="shared" si="155"/>
        <v>26903</v>
      </c>
      <c r="AF515" s="12"/>
      <c r="AH515" s="12"/>
      <c r="AI515" s="12">
        <f t="shared" si="156"/>
        <v>26903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91"/>
      <c r="D516" s="32"/>
      <c r="E516" s="32"/>
      <c r="F516" s="32"/>
      <c r="G516" s="32">
        <f t="shared" si="151"/>
        <v>0</v>
      </c>
      <c r="H516" s="12"/>
      <c r="I516" s="12"/>
      <c r="J516" s="12"/>
      <c r="K516" s="12">
        <f t="shared" si="152"/>
        <v>0</v>
      </c>
      <c r="M516" s="10">
        <v>10</v>
      </c>
      <c r="N516" s="30">
        <v>45973</v>
      </c>
      <c r="O516" s="31">
        <v>7901</v>
      </c>
      <c r="P516" s="32">
        <f>2504+38</f>
        <v>2542</v>
      </c>
      <c r="Q516" s="32"/>
      <c r="R516" s="32"/>
      <c r="S516" s="32">
        <f t="shared" si="153"/>
        <v>2542</v>
      </c>
      <c r="T516" s="12"/>
      <c r="U516" s="12"/>
      <c r="V516" s="12"/>
      <c r="W516" s="12">
        <f t="shared" si="154"/>
        <v>2542</v>
      </c>
      <c r="Y516" s="10">
        <v>10</v>
      </c>
      <c r="Z516" s="30">
        <v>45973</v>
      </c>
      <c r="AA516" s="31">
        <f t="shared" si="159"/>
        <v>7864</v>
      </c>
      <c r="AB516" s="32">
        <f>6260+2980+142.5</f>
        <v>9382.5</v>
      </c>
      <c r="AC516" s="32"/>
      <c r="AD516" s="32"/>
      <c r="AE516" s="32">
        <f t="shared" si="155"/>
        <v>9382.5</v>
      </c>
      <c r="AF516" s="12"/>
      <c r="AG516" s="12"/>
      <c r="AH516" s="12"/>
      <c r="AI516" s="12">
        <f t="shared" si="156"/>
        <v>9382.5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91"/>
      <c r="D517" s="32"/>
      <c r="E517" s="32"/>
      <c r="F517" s="32"/>
      <c r="G517" s="32">
        <f t="shared" si="151"/>
        <v>0</v>
      </c>
      <c r="H517" s="12"/>
      <c r="I517" s="12"/>
      <c r="J517" s="12"/>
      <c r="K517" s="12">
        <f t="shared" si="152"/>
        <v>0</v>
      </c>
      <c r="M517" s="10">
        <v>11</v>
      </c>
      <c r="N517" s="30">
        <v>45973</v>
      </c>
      <c r="O517" s="31">
        <f t="shared" si="158"/>
        <v>7902</v>
      </c>
      <c r="P517" s="32">
        <f>3756+114</f>
        <v>3870</v>
      </c>
      <c r="Q517" s="32"/>
      <c r="R517" s="32"/>
      <c r="S517" s="32">
        <f t="shared" si="153"/>
        <v>3870</v>
      </c>
      <c r="T517" s="12"/>
      <c r="U517" s="12"/>
      <c r="V517" s="12">
        <v>-1110</v>
      </c>
      <c r="W517" s="12">
        <f t="shared" si="154"/>
        <v>2760</v>
      </c>
      <c r="Y517" s="10">
        <v>11</v>
      </c>
      <c r="Z517" s="30">
        <v>45973</v>
      </c>
      <c r="AA517" s="31">
        <f t="shared" si="159"/>
        <v>7865</v>
      </c>
      <c r="AB517" s="32">
        <f>8138+2384+852+2496</f>
        <v>13870</v>
      </c>
      <c r="AC517" s="32"/>
      <c r="AD517" s="32"/>
      <c r="AE517" s="32">
        <f t="shared" si="155"/>
        <v>13870</v>
      </c>
      <c r="AF517" s="12"/>
      <c r="AG517" s="12"/>
      <c r="AH517" s="12"/>
      <c r="AI517" s="12">
        <f t="shared" si="156"/>
        <v>13870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91"/>
      <c r="D518" s="32"/>
      <c r="E518" s="32"/>
      <c r="F518" s="32"/>
      <c r="G518" s="32">
        <f t="shared" si="151"/>
        <v>0</v>
      </c>
      <c r="H518" s="12"/>
      <c r="I518" s="12"/>
      <c r="J518" s="10"/>
      <c r="K518" s="12">
        <f t="shared" si="152"/>
        <v>0</v>
      </c>
      <c r="M518" s="10">
        <v>12</v>
      </c>
      <c r="N518" s="30">
        <v>45973</v>
      </c>
      <c r="O518" s="31">
        <f t="shared" si="158"/>
        <v>7903</v>
      </c>
      <c r="P518" s="32">
        <f>135216+2061</f>
        <v>137277</v>
      </c>
      <c r="Q518" s="32">
        <v>-1296</v>
      </c>
      <c r="R518" s="32"/>
      <c r="S518" s="32">
        <f t="shared" si="153"/>
        <v>135981</v>
      </c>
      <c r="T518" s="12"/>
      <c r="U518" s="12">
        <f>14763+700</f>
        <v>15463</v>
      </c>
      <c r="V518" s="12">
        <v>-210</v>
      </c>
      <c r="W518" s="12">
        <f t="shared" si="154"/>
        <v>151234</v>
      </c>
      <c r="Y518" s="10">
        <v>12</v>
      </c>
      <c r="Z518" s="30"/>
      <c r="AA518" s="11" t="s">
        <v>27</v>
      </c>
      <c r="AB518" s="32"/>
      <c r="AC518" s="32"/>
      <c r="AD518" s="32"/>
      <c r="AE518" s="32">
        <f t="shared" si="155"/>
        <v>0</v>
      </c>
      <c r="AF518" s="12"/>
      <c r="AG518" s="12"/>
      <c r="AH518" s="12"/>
      <c r="AI518" s="12">
        <f t="shared" si="156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91"/>
      <c r="D519" s="32"/>
      <c r="E519" s="32"/>
      <c r="F519" s="32"/>
      <c r="G519" s="32">
        <f t="shared" si="151"/>
        <v>0</v>
      </c>
      <c r="H519" s="12"/>
      <c r="I519" s="12"/>
      <c r="J519" s="12"/>
      <c r="K519" s="12">
        <f t="shared" si="152"/>
        <v>0</v>
      </c>
      <c r="M519" s="10">
        <v>13</v>
      </c>
      <c r="N519" s="30"/>
      <c r="O519" s="11" t="s">
        <v>27</v>
      </c>
      <c r="P519" s="32"/>
      <c r="Q519" s="32"/>
      <c r="R519" s="32"/>
      <c r="S519" s="32">
        <f t="shared" si="153"/>
        <v>0</v>
      </c>
      <c r="T519" s="12"/>
      <c r="U519" s="12"/>
      <c r="V519" s="12"/>
      <c r="W519" s="12">
        <f t="shared" si="154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55"/>
        <v>0</v>
      </c>
      <c r="AF519" s="12"/>
      <c r="AG519" s="12"/>
      <c r="AH519" s="12"/>
      <c r="AI519" s="12">
        <f t="shared" si="156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91"/>
      <c r="D520" s="32"/>
      <c r="E520" s="32"/>
      <c r="F520" s="32"/>
      <c r="G520" s="32">
        <f t="shared" si="151"/>
        <v>0</v>
      </c>
      <c r="H520" s="12"/>
      <c r="I520" s="12"/>
      <c r="J520" s="12"/>
      <c r="K520" s="12">
        <f t="shared" si="152"/>
        <v>0</v>
      </c>
      <c r="M520" s="10">
        <v>14</v>
      </c>
      <c r="N520" s="30"/>
      <c r="O520" s="31"/>
      <c r="P520" s="32"/>
      <c r="Q520" s="32"/>
      <c r="R520" s="32"/>
      <c r="S520" s="32">
        <f t="shared" si="153"/>
        <v>0</v>
      </c>
      <c r="T520" s="12"/>
      <c r="U520" s="12"/>
      <c r="V520" s="12"/>
      <c r="W520" s="12">
        <f t="shared" si="154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55"/>
        <v>0</v>
      </c>
      <c r="AF520" s="12"/>
      <c r="AG520" s="12"/>
      <c r="AH520" s="12"/>
      <c r="AI520" s="12">
        <f t="shared" si="156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91"/>
      <c r="D521" s="32"/>
      <c r="E521" s="32"/>
      <c r="F521" s="32"/>
      <c r="G521" s="32">
        <f t="shared" si="151"/>
        <v>0</v>
      </c>
      <c r="H521" s="12"/>
      <c r="I521" s="12"/>
      <c r="J521" s="12"/>
      <c r="K521" s="12">
        <f t="shared" si="152"/>
        <v>0</v>
      </c>
      <c r="M521" s="10">
        <v>15</v>
      </c>
      <c r="N521" s="30"/>
      <c r="O521" s="31"/>
      <c r="P521" s="32"/>
      <c r="Q521" s="32"/>
      <c r="R521" s="32"/>
      <c r="S521" s="32">
        <f t="shared" si="153"/>
        <v>0</v>
      </c>
      <c r="T521" s="12"/>
      <c r="U521" s="12"/>
      <c r="V521" s="12"/>
      <c r="W521" s="12">
        <f t="shared" si="154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55"/>
        <v>0</v>
      </c>
      <c r="AF521" s="12"/>
      <c r="AG521" s="12"/>
      <c r="AH521" s="12"/>
      <c r="AI521" s="12">
        <f t="shared" si="156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1"/>
        <v>0</v>
      </c>
      <c r="H522" s="12"/>
      <c r="I522" s="12"/>
      <c r="J522" s="12"/>
      <c r="K522" s="12">
        <f t="shared" si="152"/>
        <v>0</v>
      </c>
      <c r="M522" s="10">
        <v>16</v>
      </c>
      <c r="N522" s="30"/>
      <c r="O522" s="31"/>
      <c r="P522" s="32"/>
      <c r="Q522" s="32"/>
      <c r="R522" s="32"/>
      <c r="S522" s="32">
        <f t="shared" si="153"/>
        <v>0</v>
      </c>
      <c r="T522" s="12"/>
      <c r="U522" s="12"/>
      <c r="V522" s="12"/>
      <c r="W522" s="12">
        <f t="shared" si="154"/>
        <v>0</v>
      </c>
      <c r="Y522" s="10">
        <v>16</v>
      </c>
      <c r="Z522" s="30"/>
      <c r="AA522" s="31"/>
      <c r="AB522" s="32"/>
      <c r="AC522" s="32"/>
      <c r="AD522" s="32"/>
      <c r="AE522" s="32">
        <f t="shared" si="155"/>
        <v>0</v>
      </c>
      <c r="AF522" s="12"/>
      <c r="AG522" s="12"/>
      <c r="AH522" s="12"/>
      <c r="AI522" s="12">
        <f t="shared" si="156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91"/>
      <c r="D523" s="32"/>
      <c r="E523" s="32"/>
      <c r="F523" s="32"/>
      <c r="G523" s="32">
        <f t="shared" si="151"/>
        <v>0</v>
      </c>
      <c r="H523" s="12"/>
      <c r="I523" s="12"/>
      <c r="J523" s="12"/>
      <c r="K523" s="12">
        <f t="shared" si="152"/>
        <v>0</v>
      </c>
      <c r="M523" s="10">
        <v>17</v>
      </c>
      <c r="N523" s="30"/>
      <c r="O523" s="31"/>
      <c r="P523" s="35"/>
      <c r="Q523" s="32"/>
      <c r="R523" s="32"/>
      <c r="S523" s="32">
        <f t="shared" si="153"/>
        <v>0</v>
      </c>
      <c r="T523" s="12"/>
      <c r="U523" s="12"/>
      <c r="V523" s="12"/>
      <c r="W523" s="12">
        <f t="shared" si="154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55"/>
        <v>0</v>
      </c>
      <c r="AF523" s="12"/>
      <c r="AG523" s="12"/>
      <c r="AH523" s="12"/>
      <c r="AI523" s="12">
        <f t="shared" si="156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57"/>
      <c r="D524" s="32"/>
      <c r="E524" s="32"/>
      <c r="F524" s="32"/>
      <c r="G524" s="32">
        <f t="shared" si="151"/>
        <v>0</v>
      </c>
      <c r="H524" s="12"/>
      <c r="I524" s="12"/>
      <c r="J524" s="12"/>
      <c r="K524" s="12">
        <f t="shared" si="152"/>
        <v>0</v>
      </c>
      <c r="M524" s="10">
        <v>18</v>
      </c>
      <c r="N524" s="30"/>
      <c r="O524" s="31"/>
      <c r="P524" s="32"/>
      <c r="Q524" s="32"/>
      <c r="R524" s="32"/>
      <c r="S524" s="32">
        <f t="shared" si="153"/>
        <v>0</v>
      </c>
      <c r="T524" s="12"/>
      <c r="U524" s="12"/>
      <c r="V524" s="12"/>
      <c r="W524" s="12">
        <f t="shared" si="154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55"/>
        <v>0</v>
      </c>
      <c r="AF524" s="12"/>
      <c r="AG524" s="12"/>
      <c r="AH524" s="12"/>
      <c r="AI524" s="12">
        <f t="shared" si="156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57"/>
      <c r="D525" s="32"/>
      <c r="E525" s="32"/>
      <c r="F525" s="32"/>
      <c r="G525" s="32">
        <f t="shared" si="151"/>
        <v>0</v>
      </c>
      <c r="H525" s="12"/>
      <c r="I525" s="12"/>
      <c r="J525" s="12"/>
      <c r="K525" s="12">
        <f t="shared" si="152"/>
        <v>0</v>
      </c>
      <c r="M525" s="10">
        <v>19</v>
      </c>
      <c r="N525" s="30"/>
      <c r="O525" s="31"/>
      <c r="P525" s="32"/>
      <c r="Q525" s="32"/>
      <c r="R525" s="32"/>
      <c r="S525" s="32">
        <f t="shared" si="153"/>
        <v>0</v>
      </c>
      <c r="T525" s="12"/>
      <c r="U525" s="12"/>
      <c r="V525" s="12"/>
      <c r="W525" s="12">
        <f t="shared" si="154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55"/>
        <v>0</v>
      </c>
      <c r="AF525" s="12"/>
      <c r="AG525" s="12"/>
      <c r="AH525" s="12"/>
      <c r="AI525" s="12">
        <f t="shared" si="156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91"/>
      <c r="D526" s="32"/>
      <c r="E526" s="32"/>
      <c r="F526" s="32"/>
      <c r="G526" s="32">
        <f t="shared" si="151"/>
        <v>0</v>
      </c>
      <c r="H526" s="12"/>
      <c r="I526" s="12"/>
      <c r="J526" s="12"/>
      <c r="K526" s="12">
        <f t="shared" si="152"/>
        <v>0</v>
      </c>
      <c r="M526" s="10">
        <v>20</v>
      </c>
      <c r="N526" s="30"/>
      <c r="O526" s="31"/>
      <c r="P526" s="32"/>
      <c r="Q526" s="32"/>
      <c r="R526" s="32"/>
      <c r="S526" s="32">
        <f t="shared" si="153"/>
        <v>0</v>
      </c>
      <c r="T526" s="12"/>
      <c r="U526" s="12"/>
      <c r="V526" s="12"/>
      <c r="W526" s="12">
        <f t="shared" si="154"/>
        <v>0</v>
      </c>
      <c r="Y526" s="10">
        <v>20</v>
      </c>
      <c r="Z526" s="30"/>
      <c r="AB526" s="32"/>
      <c r="AC526" s="32"/>
      <c r="AD526" s="32"/>
      <c r="AE526" s="32">
        <f t="shared" si="155"/>
        <v>0</v>
      </c>
      <c r="AF526" s="12"/>
      <c r="AG526" s="12"/>
      <c r="AH526" s="12"/>
      <c r="AI526" s="12">
        <f t="shared" si="156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91"/>
      <c r="D527" s="32"/>
      <c r="E527" s="32"/>
      <c r="F527" s="32"/>
      <c r="G527" s="32">
        <f t="shared" si="151"/>
        <v>0</v>
      </c>
      <c r="H527" s="10"/>
      <c r="I527" s="10"/>
      <c r="J527" s="10"/>
      <c r="K527" s="12">
        <f t="shared" si="152"/>
        <v>0</v>
      </c>
      <c r="M527" s="10">
        <v>21</v>
      </c>
      <c r="N527" s="30"/>
      <c r="P527" s="46"/>
      <c r="Q527" s="31"/>
      <c r="R527" s="31"/>
      <c r="S527" s="32">
        <f t="shared" si="153"/>
        <v>0</v>
      </c>
      <c r="T527" s="10"/>
      <c r="U527" s="10"/>
      <c r="V527" s="10"/>
      <c r="W527" s="12">
        <f t="shared" si="154"/>
        <v>0</v>
      </c>
      <c r="Y527" s="10">
        <v>21</v>
      </c>
      <c r="Z527" s="30"/>
      <c r="AB527" s="46"/>
      <c r="AC527" s="31"/>
      <c r="AD527" s="31"/>
      <c r="AE527" s="32">
        <f t="shared" si="155"/>
        <v>0</v>
      </c>
      <c r="AF527" s="10"/>
      <c r="AG527" s="10"/>
      <c r="AH527" s="10"/>
      <c r="AI527" s="12">
        <f t="shared" si="156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91"/>
      <c r="D528" s="32"/>
      <c r="E528" s="32"/>
      <c r="F528" s="32"/>
      <c r="G528" s="32">
        <f t="shared" si="151"/>
        <v>0</v>
      </c>
      <c r="H528" s="10"/>
      <c r="I528" s="10"/>
      <c r="J528" s="10"/>
      <c r="K528" s="12">
        <f t="shared" si="152"/>
        <v>0</v>
      </c>
      <c r="M528" s="10">
        <v>22</v>
      </c>
      <c r="N528" s="30"/>
      <c r="O528" s="31"/>
      <c r="P528" s="45"/>
      <c r="Q528" s="31"/>
      <c r="R528" s="31"/>
      <c r="S528" s="32">
        <f t="shared" si="153"/>
        <v>0</v>
      </c>
      <c r="T528" s="10"/>
      <c r="U528" s="10"/>
      <c r="V528" s="10"/>
      <c r="W528" s="12">
        <f t="shared" si="154"/>
        <v>0</v>
      </c>
      <c r="Y528" s="10">
        <v>22</v>
      </c>
      <c r="Z528" s="30"/>
      <c r="AB528" s="45"/>
      <c r="AC528" s="31"/>
      <c r="AD528" s="31"/>
      <c r="AE528" s="32">
        <f t="shared" si="155"/>
        <v>0</v>
      </c>
      <c r="AF528" s="10"/>
      <c r="AG528" s="10"/>
      <c r="AH528" s="10"/>
      <c r="AI528" s="12">
        <f t="shared" si="156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57"/>
      <c r="D529" s="32"/>
      <c r="E529" s="32"/>
      <c r="F529" s="32"/>
      <c r="G529" s="32">
        <f t="shared" si="151"/>
        <v>0</v>
      </c>
      <c r="H529" s="10"/>
      <c r="I529" s="10"/>
      <c r="J529" s="12"/>
      <c r="K529" s="12">
        <f t="shared" si="152"/>
        <v>0</v>
      </c>
      <c r="M529" s="10">
        <v>23</v>
      </c>
      <c r="N529" s="30"/>
      <c r="O529" s="31"/>
      <c r="P529" s="47"/>
      <c r="S529" s="32">
        <f t="shared" si="153"/>
        <v>0</v>
      </c>
      <c r="T529" s="10"/>
      <c r="U529" s="10"/>
      <c r="V529" s="10"/>
      <c r="W529" s="12">
        <f t="shared" si="154"/>
        <v>0</v>
      </c>
      <c r="Y529" s="10">
        <v>23</v>
      </c>
      <c r="Z529" s="30"/>
      <c r="AA529" s="31"/>
      <c r="AB529" s="47"/>
      <c r="AE529" s="32">
        <f t="shared" si="155"/>
        <v>0</v>
      </c>
      <c r="AF529" s="10"/>
      <c r="AG529" s="10"/>
      <c r="AH529" s="10"/>
      <c r="AI529" s="12">
        <f t="shared" si="156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51"/>
        <v>0</v>
      </c>
      <c r="H530" s="10"/>
      <c r="I530" s="10"/>
      <c r="J530" s="10"/>
      <c r="K530" s="12">
        <f t="shared" si="152"/>
        <v>0</v>
      </c>
      <c r="M530" s="10">
        <v>24</v>
      </c>
      <c r="N530" s="30"/>
      <c r="P530" s="47"/>
      <c r="Q530" s="31"/>
      <c r="R530" s="31"/>
      <c r="S530" s="32">
        <f t="shared" si="153"/>
        <v>0</v>
      </c>
      <c r="T530" s="10"/>
      <c r="U530" s="10"/>
      <c r="V530" s="10"/>
      <c r="W530" s="12">
        <f t="shared" si="154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55"/>
        <v>0</v>
      </c>
      <c r="AF530" s="10"/>
      <c r="AG530" s="10"/>
      <c r="AH530" s="10"/>
      <c r="AI530" s="12">
        <f t="shared" si="156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31"/>
      <c r="D531" s="32"/>
      <c r="E531" s="32"/>
      <c r="F531" s="32"/>
      <c r="G531" s="32">
        <f t="shared" si="151"/>
        <v>0</v>
      </c>
      <c r="H531" s="10"/>
      <c r="I531" s="10"/>
      <c r="J531" s="10"/>
      <c r="K531" s="12">
        <f t="shared" si="152"/>
        <v>0</v>
      </c>
      <c r="M531" s="10">
        <v>25</v>
      </c>
      <c r="N531" s="30"/>
      <c r="O531" s="31"/>
      <c r="P531" s="47"/>
      <c r="Q531" s="31"/>
      <c r="R531" s="31"/>
      <c r="S531" s="32">
        <f t="shared" si="153"/>
        <v>0</v>
      </c>
      <c r="T531" s="10"/>
      <c r="U531" s="10"/>
      <c r="V531" s="10"/>
      <c r="W531" s="12">
        <f t="shared" si="154"/>
        <v>0</v>
      </c>
      <c r="Y531" s="10">
        <v>25</v>
      </c>
      <c r="Z531" s="30"/>
      <c r="AA531" s="11"/>
      <c r="AB531" s="47"/>
      <c r="AC531" s="31"/>
      <c r="AD531" s="31"/>
      <c r="AE531" s="32">
        <f t="shared" si="155"/>
        <v>0</v>
      </c>
      <c r="AF531" s="10"/>
      <c r="AG531" s="10"/>
      <c r="AH531" s="10"/>
      <c r="AI531" s="12">
        <f t="shared" si="156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11"/>
      <c r="D532" s="32"/>
      <c r="E532" s="32"/>
      <c r="F532" s="32"/>
      <c r="G532" s="32">
        <f t="shared" si="151"/>
        <v>0</v>
      </c>
      <c r="H532" s="10"/>
      <c r="I532" s="10"/>
      <c r="J532" s="10"/>
      <c r="K532" s="12">
        <f t="shared" si="152"/>
        <v>0</v>
      </c>
      <c r="M532" s="10">
        <v>26</v>
      </c>
      <c r="N532" s="30"/>
      <c r="P532" s="47"/>
      <c r="Q532" s="31"/>
      <c r="R532" s="31"/>
      <c r="S532" s="32">
        <f t="shared" si="153"/>
        <v>0</v>
      </c>
      <c r="T532" s="10"/>
      <c r="U532" s="10"/>
      <c r="V532" s="10"/>
      <c r="W532" s="12">
        <f t="shared" si="154"/>
        <v>0</v>
      </c>
      <c r="Y532" s="10">
        <v>26</v>
      </c>
      <c r="Z532" s="30"/>
      <c r="AB532" s="47"/>
      <c r="AC532" s="31"/>
      <c r="AD532" s="31"/>
      <c r="AE532" s="32">
        <f t="shared" si="155"/>
        <v>0</v>
      </c>
      <c r="AF532" s="10"/>
      <c r="AG532" s="10"/>
      <c r="AH532" s="10"/>
      <c r="AI532" s="12">
        <f t="shared" si="156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57"/>
      <c r="D533" s="32"/>
      <c r="E533" s="32"/>
      <c r="F533" s="32"/>
      <c r="G533" s="32">
        <f t="shared" si="151"/>
        <v>0</v>
      </c>
      <c r="H533" s="10"/>
      <c r="I533" s="10"/>
      <c r="J533" s="10"/>
      <c r="K533" s="12">
        <f t="shared" si="152"/>
        <v>0</v>
      </c>
      <c r="M533" s="10">
        <v>27</v>
      </c>
      <c r="N533" s="30"/>
      <c r="O533" s="31"/>
      <c r="P533" s="47"/>
      <c r="Q533" s="31"/>
      <c r="R533" s="31"/>
      <c r="S533" s="32">
        <f t="shared" si="153"/>
        <v>0</v>
      </c>
      <c r="T533" s="10"/>
      <c r="U533" s="10"/>
      <c r="V533" s="10"/>
      <c r="W533" s="12">
        <f t="shared" si="154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55"/>
        <v>0</v>
      </c>
      <c r="AF533" s="10"/>
      <c r="AG533" s="10"/>
      <c r="AH533" s="10"/>
      <c r="AI533" s="12">
        <f t="shared" si="156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31"/>
      <c r="D534" s="32"/>
      <c r="E534" s="32"/>
      <c r="F534" s="32"/>
      <c r="G534" s="32">
        <f t="shared" si="151"/>
        <v>0</v>
      </c>
      <c r="H534" s="10"/>
      <c r="I534" s="10"/>
      <c r="J534" s="10"/>
      <c r="K534" s="12">
        <f t="shared" si="152"/>
        <v>0</v>
      </c>
      <c r="M534" s="10">
        <v>28</v>
      </c>
      <c r="N534" s="30"/>
      <c r="O534" s="31"/>
      <c r="P534" s="47"/>
      <c r="Q534" s="31"/>
      <c r="R534" s="31"/>
      <c r="S534" s="32">
        <f t="shared" si="153"/>
        <v>0</v>
      </c>
      <c r="T534" s="10"/>
      <c r="U534" s="10"/>
      <c r="V534" s="10"/>
      <c r="W534" s="12">
        <f t="shared" si="154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55"/>
        <v>0</v>
      </c>
      <c r="AF534" s="10"/>
      <c r="AG534" s="10"/>
      <c r="AH534" s="10"/>
      <c r="AI534" s="12">
        <f t="shared" si="156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31"/>
      <c r="D535" s="32"/>
      <c r="E535" s="32"/>
      <c r="F535" s="32"/>
      <c r="G535" s="32">
        <f t="shared" si="151"/>
        <v>0</v>
      </c>
      <c r="H535" s="10"/>
      <c r="I535" s="10"/>
      <c r="J535" s="10"/>
      <c r="K535" s="12">
        <f t="shared" si="152"/>
        <v>0</v>
      </c>
      <c r="M535" s="10">
        <v>29</v>
      </c>
      <c r="N535" s="30"/>
      <c r="P535" s="47"/>
      <c r="Q535" s="31"/>
      <c r="R535" s="31"/>
      <c r="S535" s="32">
        <f t="shared" si="153"/>
        <v>0</v>
      </c>
      <c r="T535" s="10"/>
      <c r="U535" s="10"/>
      <c r="V535" s="10"/>
      <c r="W535" s="12">
        <f t="shared" si="154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55"/>
        <v>0</v>
      </c>
      <c r="AF535" s="10"/>
      <c r="AG535" s="10"/>
      <c r="AH535" s="10"/>
      <c r="AI535" s="12">
        <f t="shared" si="156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57"/>
      <c r="D536" s="32"/>
      <c r="E536" s="32"/>
      <c r="F536" s="32"/>
      <c r="G536" s="32">
        <f t="shared" si="151"/>
        <v>0</v>
      </c>
      <c r="H536" s="10"/>
      <c r="I536" s="10"/>
      <c r="J536" s="10"/>
      <c r="K536" s="12">
        <f t="shared" si="152"/>
        <v>0</v>
      </c>
      <c r="M536" s="10">
        <v>30</v>
      </c>
      <c r="N536" s="30"/>
      <c r="P536" s="47"/>
      <c r="Q536" s="31"/>
      <c r="R536" s="31"/>
      <c r="S536" s="32">
        <f t="shared" si="153"/>
        <v>0</v>
      </c>
      <c r="T536" s="10"/>
      <c r="U536" s="10"/>
      <c r="V536" s="10"/>
      <c r="W536" s="12">
        <f t="shared" si="154"/>
        <v>0</v>
      </c>
      <c r="Y536" s="10">
        <v>30</v>
      </c>
      <c r="Z536" s="30"/>
      <c r="AB536" s="47"/>
      <c r="AC536" s="31"/>
      <c r="AD536" s="31"/>
      <c r="AE536" s="32">
        <f t="shared" si="155"/>
        <v>0</v>
      </c>
      <c r="AF536" s="10"/>
      <c r="AG536" s="10"/>
      <c r="AH536" s="10"/>
      <c r="AI536" s="12">
        <f t="shared" si="156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57"/>
      <c r="D537" s="32"/>
      <c r="E537" s="32"/>
      <c r="F537" s="32"/>
      <c r="G537" s="32">
        <f t="shared" si="151"/>
        <v>0</v>
      </c>
      <c r="H537" s="10"/>
      <c r="I537" s="10"/>
      <c r="J537" s="10"/>
      <c r="K537" s="12">
        <f t="shared" si="152"/>
        <v>0</v>
      </c>
      <c r="M537" s="10">
        <v>31</v>
      </c>
      <c r="N537" s="30"/>
      <c r="O537" s="31"/>
      <c r="P537" s="47"/>
      <c r="Q537" s="31"/>
      <c r="R537" s="31"/>
      <c r="S537" s="32">
        <f t="shared" si="153"/>
        <v>0</v>
      </c>
      <c r="T537" s="10"/>
      <c r="U537" s="10"/>
      <c r="V537" s="10"/>
      <c r="W537" s="12">
        <f t="shared" si="154"/>
        <v>0</v>
      </c>
      <c r="Y537" s="10">
        <v>31</v>
      </c>
      <c r="Z537" s="30"/>
      <c r="AB537" s="47"/>
      <c r="AC537" s="31"/>
      <c r="AD537" s="31"/>
      <c r="AE537" s="32">
        <f t="shared" si="155"/>
        <v>0</v>
      </c>
      <c r="AF537" s="10"/>
      <c r="AG537" s="10"/>
      <c r="AH537" s="10"/>
      <c r="AI537" s="12">
        <f t="shared" si="156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31"/>
      <c r="D538" s="32"/>
      <c r="E538" s="32"/>
      <c r="F538" s="32"/>
      <c r="G538" s="32">
        <f t="shared" si="151"/>
        <v>0</v>
      </c>
      <c r="H538" s="10"/>
      <c r="I538" s="10"/>
      <c r="J538" s="10"/>
      <c r="K538" s="12">
        <f t="shared" si="152"/>
        <v>0</v>
      </c>
      <c r="M538" s="10">
        <v>32</v>
      </c>
      <c r="N538" s="30"/>
      <c r="P538" s="47"/>
      <c r="Q538" s="31"/>
      <c r="R538" s="31"/>
      <c r="S538" s="32">
        <f t="shared" si="153"/>
        <v>0</v>
      </c>
      <c r="T538" s="10"/>
      <c r="U538" s="10"/>
      <c r="V538" s="10"/>
      <c r="W538" s="12">
        <f t="shared" si="154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55"/>
        <v>0</v>
      </c>
      <c r="AF538" s="10"/>
      <c r="AG538" s="10"/>
      <c r="AH538" s="10"/>
      <c r="AI538" s="12">
        <f t="shared" si="156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57"/>
      <c r="D539" s="32"/>
      <c r="E539" s="32"/>
      <c r="F539" s="32"/>
      <c r="G539" s="32">
        <f t="shared" si="151"/>
        <v>0</v>
      </c>
      <c r="H539" s="10"/>
      <c r="I539" s="10"/>
      <c r="J539" s="10"/>
      <c r="K539" s="12">
        <f t="shared" si="152"/>
        <v>0</v>
      </c>
      <c r="M539" s="10">
        <v>33</v>
      </c>
      <c r="N539" s="30"/>
      <c r="O539" s="31"/>
      <c r="P539" s="47"/>
      <c r="Q539" s="31"/>
      <c r="R539" s="31"/>
      <c r="S539" s="32">
        <f t="shared" si="153"/>
        <v>0</v>
      </c>
      <c r="T539" s="10"/>
      <c r="U539" s="10"/>
      <c r="V539" s="10"/>
      <c r="W539" s="12">
        <f t="shared" si="154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55"/>
        <v>0</v>
      </c>
      <c r="AF539" s="10"/>
      <c r="AG539" s="10"/>
      <c r="AH539" s="10"/>
      <c r="AI539" s="12">
        <f t="shared" si="156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57"/>
      <c r="D540" s="32"/>
      <c r="E540" s="32"/>
      <c r="F540" s="32"/>
      <c r="G540" s="32">
        <f t="shared" si="151"/>
        <v>0</v>
      </c>
      <c r="H540" s="10"/>
      <c r="I540" s="10"/>
      <c r="J540" s="10"/>
      <c r="K540" s="12">
        <f t="shared" si="152"/>
        <v>0</v>
      </c>
      <c r="M540" s="10">
        <v>34</v>
      </c>
      <c r="N540" s="30"/>
      <c r="O540" s="31"/>
      <c r="P540" s="47"/>
      <c r="Q540" s="31"/>
      <c r="R540" s="31"/>
      <c r="S540" s="32">
        <f t="shared" ref="S540:S545" si="160">SUM(P540:Q540)</f>
        <v>0</v>
      </c>
      <c r="T540" s="10"/>
      <c r="U540" s="10"/>
      <c r="V540" s="10"/>
      <c r="W540" s="12">
        <f t="shared" si="154"/>
        <v>0</v>
      </c>
      <c r="Y540" s="10">
        <v>34</v>
      </c>
      <c r="Z540" s="30"/>
      <c r="AB540" s="47"/>
      <c r="AC540" s="31"/>
      <c r="AD540" s="31"/>
      <c r="AE540" s="32">
        <f t="shared" si="155"/>
        <v>0</v>
      </c>
      <c r="AF540" s="10"/>
      <c r="AG540" s="10"/>
      <c r="AH540" s="10"/>
      <c r="AI540" s="12">
        <f t="shared" ref="AI540:AI548" si="161">SUM(AE540:AH540)</f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3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54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55"/>
        <v>0</v>
      </c>
      <c r="AF541" s="10"/>
      <c r="AG541" s="10"/>
      <c r="AH541" s="10"/>
      <c r="AI541" s="12">
        <f t="shared" si="161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3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54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55"/>
        <v>0</v>
      </c>
      <c r="AF542" s="10"/>
      <c r="AG542" s="10"/>
      <c r="AH542" s="10"/>
      <c r="AI542" s="12">
        <f t="shared" si="161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54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55"/>
        <v>0</v>
      </c>
      <c r="AF543" s="10"/>
      <c r="AG543" s="10"/>
      <c r="AH543" s="10"/>
      <c r="AI543" s="12">
        <f t="shared" si="161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54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55"/>
        <v>0</v>
      </c>
      <c r="AF544" s="10"/>
      <c r="AG544" s="10"/>
      <c r="AH544" s="10"/>
      <c r="AI544" s="12">
        <f t="shared" si="161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54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55"/>
        <v>0</v>
      </c>
      <c r="AF545" s="10"/>
      <c r="AG545" s="10"/>
      <c r="AH545" s="10"/>
      <c r="AI545" s="12">
        <f t="shared" si="161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54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1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2">SUM(D547:E547)</f>
        <v>0</v>
      </c>
      <c r="H547" s="10"/>
      <c r="I547" s="10"/>
      <c r="J547" s="10"/>
      <c r="K547" s="12">
        <f t="shared" ref="K547" si="163">SUM(G547:J547)</f>
        <v>0</v>
      </c>
      <c r="M547" s="10"/>
      <c r="N547" s="30"/>
      <c r="O547" s="31"/>
      <c r="P547" s="47"/>
      <c r="Q547" s="31"/>
      <c r="R547" s="31"/>
      <c r="S547" s="32">
        <f t="shared" ref="S547" si="164">SUM(P547:Q547)</f>
        <v>0</v>
      </c>
      <c r="T547" s="10"/>
      <c r="U547" s="10"/>
      <c r="V547" s="10"/>
      <c r="W547" s="12">
        <f t="shared" si="154"/>
        <v>0</v>
      </c>
      <c r="Y547" s="10"/>
      <c r="Z547" s="30"/>
      <c r="AA547" s="31"/>
      <c r="AB547" s="47"/>
      <c r="AC547" s="31"/>
      <c r="AD547" s="31"/>
      <c r="AE547" s="32">
        <f t="shared" ref="AE547" si="165">SUM(AB547:AC547)</f>
        <v>0</v>
      </c>
      <c r="AF547" s="10"/>
      <c r="AG547" s="10"/>
      <c r="AH547" s="10"/>
      <c r="AI547" s="12">
        <f t="shared" si="161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54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1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497867</v>
      </c>
      <c r="E550" s="38">
        <f t="shared" ref="E550:F550" si="166">SUM(E507:E547)</f>
        <v>-3960</v>
      </c>
      <c r="F550" s="38">
        <f t="shared" si="166"/>
        <v>0</v>
      </c>
      <c r="G550" s="38">
        <f>SUM(G507:G549)</f>
        <v>493907</v>
      </c>
      <c r="H550" s="4"/>
      <c r="I550" s="39">
        <f>SUM(I507:I549)</f>
        <v>8586</v>
      </c>
      <c r="J550" s="39">
        <f>SUM(J507:J549)</f>
        <v>-1218</v>
      </c>
      <c r="K550" s="40">
        <f>SUM(K507:K549)</f>
        <v>501275</v>
      </c>
      <c r="N550" s="57"/>
      <c r="O550" s="57"/>
      <c r="P550" s="38">
        <f>SUM(P507:P549)</f>
        <v>167878.5</v>
      </c>
      <c r="Q550" s="38">
        <f>SUM(Q507:Q531)</f>
        <v>-1296</v>
      </c>
      <c r="R550" s="38">
        <f>SUM(R507:R531)</f>
        <v>0</v>
      </c>
      <c r="S550" s="38">
        <f>SUM(S507:S549)</f>
        <v>166582.5</v>
      </c>
      <c r="T550" s="4"/>
      <c r="U550" s="41">
        <f>SUM(U507:U549)</f>
        <v>15587.5</v>
      </c>
      <c r="V550" s="41">
        <f>SUM(V507:V531)</f>
        <v>-1320</v>
      </c>
      <c r="W550" s="42">
        <f>SUM(W507:W549)</f>
        <v>180850</v>
      </c>
      <c r="Z550" s="57"/>
      <c r="AA550" s="57"/>
      <c r="AB550" s="38">
        <f>SUM(AB507:AB549)</f>
        <v>284318</v>
      </c>
      <c r="AC550" s="38">
        <f>SUM(AC507:AC531)</f>
        <v>-330</v>
      </c>
      <c r="AD550" s="38">
        <f>SUM(AD507:AD531)</f>
        <v>0</v>
      </c>
      <c r="AE550" s="38">
        <f>SUM(AE507:AE549)</f>
        <v>283988</v>
      </c>
      <c r="AF550" s="4"/>
      <c r="AG550" s="41">
        <f>SUM(AG507:AG549)</f>
        <v>1221</v>
      </c>
      <c r="AH550" s="41">
        <f>SUM(AH507:AH531)</f>
        <v>-702</v>
      </c>
      <c r="AI550" s="42">
        <f>SUM(AI507:AI549)</f>
        <v>284507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28</v>
      </c>
      <c r="B553" s="57"/>
      <c r="C553" s="57"/>
      <c r="D553" s="57"/>
      <c r="E553" s="57"/>
      <c r="G553" s="57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14</v>
      </c>
      <c r="B555" s="57"/>
      <c r="C555" s="57"/>
      <c r="D555" s="57"/>
      <c r="E555" s="57"/>
      <c r="G555" s="57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50</v>
      </c>
      <c r="B557" s="57"/>
      <c r="C557" s="57"/>
      <c r="D557" s="57"/>
      <c r="E557" s="57"/>
      <c r="G557" s="57"/>
      <c r="I557" s="57" t="s">
        <v>15</v>
      </c>
      <c r="J557" s="19">
        <v>1</v>
      </c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64</v>
      </c>
      <c r="B558" s="20"/>
      <c r="C558" s="57"/>
      <c r="D558" s="57"/>
      <c r="E558" s="57"/>
      <c r="G558" s="57"/>
      <c r="I558" s="22" t="s">
        <v>16</v>
      </c>
      <c r="J558" s="23" t="s">
        <v>33</v>
      </c>
      <c r="K558" s="24"/>
      <c r="M558" s="21" t="s">
        <v>64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37</v>
      </c>
      <c r="W558" s="24"/>
      <c r="Y558" s="21" t="s">
        <v>64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31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15" t="s">
        <v>17</v>
      </c>
      <c r="E560" s="115"/>
      <c r="F560" s="104"/>
      <c r="G560" s="27"/>
      <c r="I560" s="118" t="s">
        <v>18</v>
      </c>
      <c r="J560" s="119"/>
      <c r="K560" s="116" t="s">
        <v>19</v>
      </c>
      <c r="N560" s="25"/>
      <c r="O560" s="26"/>
      <c r="P560" s="115" t="s">
        <v>17</v>
      </c>
      <c r="Q560" s="115"/>
      <c r="R560" s="104"/>
      <c r="S560" s="27"/>
      <c r="U560" s="118" t="s">
        <v>18</v>
      </c>
      <c r="V560" s="119"/>
      <c r="W560" s="116" t="s">
        <v>19</v>
      </c>
      <c r="Z560" s="25"/>
      <c r="AA560" s="26"/>
      <c r="AB560" s="115" t="s">
        <v>17</v>
      </c>
      <c r="AC560" s="115"/>
      <c r="AD560" s="104"/>
      <c r="AE560" s="27"/>
      <c r="AG560" s="118" t="s">
        <v>18</v>
      </c>
      <c r="AH560" s="119"/>
      <c r="AI560" s="116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20</v>
      </c>
      <c r="C561" s="28" t="s">
        <v>21</v>
      </c>
      <c r="D561" s="79" t="s">
        <v>22</v>
      </c>
      <c r="E561" s="78" t="s">
        <v>23</v>
      </c>
      <c r="F561" s="80" t="s">
        <v>32</v>
      </c>
      <c r="G561" s="80" t="s">
        <v>24</v>
      </c>
      <c r="I561" s="29" t="s">
        <v>25</v>
      </c>
      <c r="J561" s="29" t="s">
        <v>26</v>
      </c>
      <c r="K561" s="117"/>
      <c r="N561" s="28" t="s">
        <v>20</v>
      </c>
      <c r="O561" s="28" t="s">
        <v>21</v>
      </c>
      <c r="P561" s="79" t="s">
        <v>22</v>
      </c>
      <c r="Q561" s="80" t="s">
        <v>23</v>
      </c>
      <c r="R561" s="80" t="s">
        <v>32</v>
      </c>
      <c r="S561" s="80" t="s">
        <v>24</v>
      </c>
      <c r="U561" s="29" t="s">
        <v>25</v>
      </c>
      <c r="V561" s="29" t="s">
        <v>26</v>
      </c>
      <c r="W561" s="117"/>
      <c r="Z561" s="28" t="s">
        <v>20</v>
      </c>
      <c r="AA561" s="28" t="s">
        <v>21</v>
      </c>
      <c r="AB561" s="79" t="s">
        <v>22</v>
      </c>
      <c r="AC561" s="80" t="s">
        <v>23</v>
      </c>
      <c r="AD561" s="80" t="s">
        <v>32</v>
      </c>
      <c r="AE561" s="80" t="s">
        <v>24</v>
      </c>
      <c r="AG561" s="29" t="s">
        <v>25</v>
      </c>
      <c r="AH561" s="29" t="s">
        <v>26</v>
      </c>
      <c r="AI561" s="117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>
        <v>46003</v>
      </c>
      <c r="C562" s="91">
        <v>7831</v>
      </c>
      <c r="D562" s="32">
        <f>6260+4565</f>
        <v>10825</v>
      </c>
      <c r="E562" s="32"/>
      <c r="F562" s="32"/>
      <c r="G562" s="32">
        <f t="shared" ref="G562:G595" si="167">SUM(D562:E562)</f>
        <v>10825</v>
      </c>
      <c r="H562" s="12"/>
      <c r="I562" s="12"/>
      <c r="J562" s="12"/>
      <c r="K562" s="12">
        <f t="shared" ref="K562:K595" si="168">SUM(G562:J562)</f>
        <v>10825</v>
      </c>
      <c r="M562" s="10">
        <v>1</v>
      </c>
      <c r="N562" s="30">
        <v>46003</v>
      </c>
      <c r="O562" s="31">
        <v>7904</v>
      </c>
      <c r="P562" s="32">
        <f>56340+4298+8940+458</f>
        <v>70036</v>
      </c>
      <c r="Q562" s="32">
        <v>-672</v>
      </c>
      <c r="R562" s="32"/>
      <c r="S562" s="32">
        <f>SUM(P562:Q562)</f>
        <v>69364</v>
      </c>
      <c r="T562" s="12"/>
      <c r="U562" s="12"/>
      <c r="V562" s="12"/>
      <c r="W562" s="12">
        <f>SUM(S562:V562)</f>
        <v>69364</v>
      </c>
      <c r="Y562" s="10">
        <v>1</v>
      </c>
      <c r="Z562" s="30">
        <v>46003</v>
      </c>
      <c r="AA562" s="31">
        <v>7756</v>
      </c>
      <c r="AB562" s="32">
        <f>626*5+9.5*5</f>
        <v>3177.5</v>
      </c>
      <c r="AC562" s="32"/>
      <c r="AD562" s="32"/>
      <c r="AE562" s="32">
        <f>SUM(AB562:AC562)</f>
        <v>3177.5</v>
      </c>
      <c r="AF562" s="12"/>
      <c r="AG562" s="12"/>
      <c r="AH562" s="12"/>
      <c r="AI562" s="12">
        <f>SUM(AE562:AH562)</f>
        <v>3177.5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>
        <v>46003</v>
      </c>
      <c r="C563" s="91">
        <f>C562+1</f>
        <v>7832</v>
      </c>
      <c r="D563" s="32">
        <f>31300+1228+2980</f>
        <v>35508</v>
      </c>
      <c r="E563" s="32"/>
      <c r="F563" s="32"/>
      <c r="G563" s="32">
        <f t="shared" si="167"/>
        <v>35508</v>
      </c>
      <c r="H563" s="12"/>
      <c r="I563" s="12"/>
      <c r="J563" s="12"/>
      <c r="K563" s="12">
        <f t="shared" si="168"/>
        <v>35508</v>
      </c>
      <c r="M563" s="10">
        <v>2</v>
      </c>
      <c r="N563" s="30">
        <v>46003</v>
      </c>
      <c r="O563" s="31">
        <f>O562+1</f>
        <v>7905</v>
      </c>
      <c r="P563" s="32">
        <f>1252+19</f>
        <v>1271</v>
      </c>
      <c r="Q563" s="32"/>
      <c r="R563" s="32"/>
      <c r="S563" s="32">
        <f t="shared" ref="S563:S594" si="169">SUM(P563:Q563)</f>
        <v>1271</v>
      </c>
      <c r="T563" s="12"/>
      <c r="U563" s="12"/>
      <c r="V563" s="12"/>
      <c r="W563" s="12">
        <f t="shared" ref="W563:W603" si="170">SUM(S563:V563)</f>
        <v>1271</v>
      </c>
      <c r="Y563" s="10">
        <v>2</v>
      </c>
      <c r="Z563" s="30">
        <v>46003</v>
      </c>
      <c r="AA563" s="31">
        <f>AA562+1</f>
        <v>7757</v>
      </c>
      <c r="AB563" s="32">
        <f>626*23+614*3+596*10</f>
        <v>22200</v>
      </c>
      <c r="AC563" s="32"/>
      <c r="AD563" s="32"/>
      <c r="AE563" s="32">
        <f t="shared" ref="AE563:AE600" si="171">SUM(AB563:AC563)</f>
        <v>22200</v>
      </c>
      <c r="AF563" s="12"/>
      <c r="AG563" s="12"/>
      <c r="AH563" s="12"/>
      <c r="AI563" s="12">
        <f t="shared" ref="AI563:AI594" si="172">SUM(AE563:AH563)</f>
        <v>22200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>
        <v>46003</v>
      </c>
      <c r="C564" s="91">
        <f t="shared" ref="C564" si="173">C563+1</f>
        <v>7833</v>
      </c>
      <c r="D564" s="33">
        <f>430688+58944+3370+128736+10050+8320+3435</f>
        <v>643543</v>
      </c>
      <c r="E564" s="33">
        <v>-6150</v>
      </c>
      <c r="F564" s="33"/>
      <c r="G564" s="33">
        <f t="shared" si="167"/>
        <v>637393</v>
      </c>
      <c r="H564" s="34"/>
      <c r="I564" s="34">
        <f>1200+15651+1170+1200</f>
        <v>19221</v>
      </c>
      <c r="J564" s="34"/>
      <c r="K564" s="34">
        <f t="shared" si="168"/>
        <v>656614</v>
      </c>
      <c r="M564" s="10">
        <v>3</v>
      </c>
      <c r="N564" s="30">
        <v>46003</v>
      </c>
      <c r="O564" s="31">
        <f t="shared" ref="O564:O579" si="174">O563+1</f>
        <v>7906</v>
      </c>
      <c r="P564" s="32">
        <f>6260+9.5*10</f>
        <v>6355</v>
      </c>
      <c r="Q564" s="32"/>
      <c r="R564" s="32"/>
      <c r="S564" s="32">
        <f t="shared" si="169"/>
        <v>6355</v>
      </c>
      <c r="T564" s="12"/>
      <c r="U564" s="12"/>
      <c r="V564" s="12"/>
      <c r="W564" s="12">
        <f t="shared" si="170"/>
        <v>6355</v>
      </c>
      <c r="Y564" s="10">
        <v>3</v>
      </c>
      <c r="Z564" s="30">
        <v>46003</v>
      </c>
      <c r="AA564" s="31">
        <f t="shared" ref="AA564:AA567" si="175">AA563+1</f>
        <v>7758</v>
      </c>
      <c r="AB564" s="33">
        <f>28170+5960</f>
        <v>34130</v>
      </c>
      <c r="AC564" s="33">
        <v>-330</v>
      </c>
      <c r="AD564" s="32"/>
      <c r="AE564" s="32">
        <f t="shared" si="171"/>
        <v>33800</v>
      </c>
      <c r="AF564" s="12"/>
      <c r="AG564" s="12"/>
      <c r="AH564" s="12"/>
      <c r="AI564" s="12">
        <f t="shared" si="172"/>
        <v>33800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/>
      <c r="C565" s="11" t="s">
        <v>27</v>
      </c>
      <c r="D565" s="32"/>
      <c r="E565" s="32"/>
      <c r="F565" s="32"/>
      <c r="G565" s="32">
        <f t="shared" si="167"/>
        <v>0</v>
      </c>
      <c r="H565" s="12"/>
      <c r="I565" s="12"/>
      <c r="J565" s="12"/>
      <c r="K565" s="12">
        <f t="shared" si="168"/>
        <v>0</v>
      </c>
      <c r="M565" s="10">
        <v>4</v>
      </c>
      <c r="N565" s="30">
        <v>46003</v>
      </c>
      <c r="O565" s="31">
        <f t="shared" si="174"/>
        <v>7907</v>
      </c>
      <c r="P565" s="32">
        <f>6260+9.5*10</f>
        <v>6355</v>
      </c>
      <c r="Q565" s="32"/>
      <c r="R565" s="32"/>
      <c r="S565" s="32">
        <f t="shared" si="169"/>
        <v>6355</v>
      </c>
      <c r="T565" s="12"/>
      <c r="U565" s="12"/>
      <c r="V565" s="12"/>
      <c r="W565" s="12">
        <f t="shared" si="170"/>
        <v>6355</v>
      </c>
      <c r="Y565" s="10">
        <v>4</v>
      </c>
      <c r="Z565" s="30">
        <v>46003</v>
      </c>
      <c r="AA565" s="31">
        <f t="shared" si="175"/>
        <v>7759</v>
      </c>
      <c r="AB565" s="32">
        <f>110176+26820+832+1832</f>
        <v>139660</v>
      </c>
      <c r="AC565" s="32">
        <v>-1332</v>
      </c>
      <c r="AD565" s="32"/>
      <c r="AE565" s="32">
        <f t="shared" si="171"/>
        <v>138328</v>
      </c>
      <c r="AF565" s="12"/>
      <c r="AG565">
        <f>8103+546</f>
        <v>8649</v>
      </c>
      <c r="AH565" s="12"/>
      <c r="AI565" s="12">
        <f t="shared" si="172"/>
        <v>146977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/>
      <c r="D566" s="32"/>
      <c r="E566" s="32"/>
      <c r="F566" s="32"/>
      <c r="G566" s="32">
        <f t="shared" si="167"/>
        <v>0</v>
      </c>
      <c r="H566" s="12"/>
      <c r="I566" s="12"/>
      <c r="J566" s="12"/>
      <c r="K566" s="12">
        <f t="shared" si="168"/>
        <v>0</v>
      </c>
      <c r="M566" s="10">
        <v>5</v>
      </c>
      <c r="N566" s="30">
        <v>46003</v>
      </c>
      <c r="O566" s="31">
        <f t="shared" si="174"/>
        <v>7908</v>
      </c>
      <c r="P566" s="32">
        <f>3130+47.5</f>
        <v>3177.5</v>
      </c>
      <c r="Q566" s="32"/>
      <c r="R566" s="32"/>
      <c r="S566" s="32">
        <f t="shared" si="169"/>
        <v>3177.5</v>
      </c>
      <c r="T566" s="12"/>
      <c r="U566" s="12"/>
      <c r="V566" s="12">
        <v>-444</v>
      </c>
      <c r="W566" s="12">
        <f t="shared" si="170"/>
        <v>2733.5</v>
      </c>
      <c r="Y566" s="10">
        <v>5</v>
      </c>
      <c r="Z566" s="30">
        <v>46003</v>
      </c>
      <c r="AA566" s="31">
        <f t="shared" si="175"/>
        <v>7760</v>
      </c>
      <c r="AB566" s="32">
        <f>46950+687</f>
        <v>47637</v>
      </c>
      <c r="AC566" s="32">
        <v>-450</v>
      </c>
      <c r="AD566" s="32"/>
      <c r="AE566" s="32">
        <f t="shared" si="171"/>
        <v>47187</v>
      </c>
      <c r="AF566" s="12"/>
      <c r="AG566" s="12">
        <v>888</v>
      </c>
      <c r="AH566" s="12"/>
      <c r="AI566" s="12">
        <f t="shared" si="172"/>
        <v>48075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/>
      <c r="C567" s="91"/>
      <c r="D567" s="32"/>
      <c r="E567" s="32"/>
      <c r="F567" s="32"/>
      <c r="G567" s="32">
        <f t="shared" si="167"/>
        <v>0</v>
      </c>
      <c r="H567" s="12"/>
      <c r="I567" s="12"/>
      <c r="J567" s="12"/>
      <c r="K567" s="12">
        <f t="shared" si="168"/>
        <v>0</v>
      </c>
      <c r="M567" s="10">
        <v>6</v>
      </c>
      <c r="N567" s="30">
        <v>46003</v>
      </c>
      <c r="O567" s="31">
        <f t="shared" si="174"/>
        <v>7909</v>
      </c>
      <c r="P567" s="32">
        <f>5008</f>
        <v>5008</v>
      </c>
      <c r="Q567" s="32"/>
      <c r="R567" s="32"/>
      <c r="S567" s="32">
        <f t="shared" si="169"/>
        <v>5008</v>
      </c>
      <c r="T567" s="12"/>
      <c r="U567" s="12"/>
      <c r="V567" s="10"/>
      <c r="W567" s="12">
        <f t="shared" si="170"/>
        <v>5008</v>
      </c>
      <c r="Y567" s="10">
        <v>6</v>
      </c>
      <c r="Z567" s="30">
        <v>46003</v>
      </c>
      <c r="AA567" s="31">
        <f t="shared" si="175"/>
        <v>7761</v>
      </c>
      <c r="AB567" s="32">
        <f>192808+18420+29800+8520+8320+3435</f>
        <v>261303</v>
      </c>
      <c r="AC567" s="32">
        <v>-2448</v>
      </c>
      <c r="AD567" s="32"/>
      <c r="AE567" s="32">
        <f t="shared" si="171"/>
        <v>258855</v>
      </c>
      <c r="AF567" s="12"/>
      <c r="AG567" s="12"/>
      <c r="AH567" s="10"/>
      <c r="AI567" s="12">
        <f t="shared" si="172"/>
        <v>258855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/>
      <c r="C568" s="91"/>
      <c r="D568" s="32"/>
      <c r="E568" s="32"/>
      <c r="F568" s="32"/>
      <c r="G568" s="32">
        <f t="shared" si="167"/>
        <v>0</v>
      </c>
      <c r="H568" s="12"/>
      <c r="I568" s="12"/>
      <c r="J568" s="12"/>
      <c r="K568" s="12">
        <f t="shared" si="168"/>
        <v>0</v>
      </c>
      <c r="M568" s="10">
        <v>7</v>
      </c>
      <c r="N568" s="30">
        <v>46003</v>
      </c>
      <c r="O568" s="31">
        <f t="shared" si="174"/>
        <v>7910</v>
      </c>
      <c r="P568" s="32">
        <f>1192+19</f>
        <v>1211</v>
      </c>
      <c r="Q568" s="32"/>
      <c r="R568" s="32"/>
      <c r="S568" s="32">
        <f t="shared" si="169"/>
        <v>1211</v>
      </c>
      <c r="T568" s="12"/>
      <c r="U568" s="12"/>
      <c r="V568" s="12"/>
      <c r="W568" s="12">
        <f t="shared" si="170"/>
        <v>1211</v>
      </c>
      <c r="Y568" s="10">
        <v>7</v>
      </c>
      <c r="Z568" s="30"/>
      <c r="AA568" s="11" t="s">
        <v>27</v>
      </c>
      <c r="AB568" s="32"/>
      <c r="AC568" s="32"/>
      <c r="AD568" s="32"/>
      <c r="AE568" s="32">
        <f t="shared" si="171"/>
        <v>0</v>
      </c>
      <c r="AF568" s="12"/>
      <c r="AG568" s="58"/>
      <c r="AH568" s="12"/>
      <c r="AI568" s="12">
        <f t="shared" si="172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/>
      <c r="C569" s="91"/>
      <c r="D569" s="32"/>
      <c r="E569" s="32"/>
      <c r="F569" s="32"/>
      <c r="G569" s="32">
        <f t="shared" si="167"/>
        <v>0</v>
      </c>
      <c r="H569" s="12"/>
      <c r="I569" s="12"/>
      <c r="J569" s="12"/>
      <c r="K569" s="12">
        <f t="shared" si="168"/>
        <v>0</v>
      </c>
      <c r="M569" s="10">
        <v>8</v>
      </c>
      <c r="N569" s="30">
        <v>46003</v>
      </c>
      <c r="O569" s="31">
        <f t="shared" si="174"/>
        <v>7911</v>
      </c>
      <c r="P569" s="32">
        <f>1252+596+28.5</f>
        <v>1876.5</v>
      </c>
      <c r="Q569" s="32"/>
      <c r="R569" s="32"/>
      <c r="S569" s="32">
        <f t="shared" si="169"/>
        <v>1876.5</v>
      </c>
      <c r="T569" s="12"/>
      <c r="U569" s="12"/>
      <c r="V569" s="12"/>
      <c r="W569" s="12">
        <f t="shared" si="170"/>
        <v>1876.5</v>
      </c>
      <c r="Y569" s="10">
        <v>8</v>
      </c>
      <c r="Z569" s="30"/>
      <c r="AA569" s="31"/>
      <c r="AB569" s="32"/>
      <c r="AC569" s="32"/>
      <c r="AE569" s="32">
        <f t="shared" si="171"/>
        <v>0</v>
      </c>
      <c r="AF569" s="12"/>
      <c r="AG569" s="12"/>
      <c r="AH569" s="12"/>
      <c r="AI569" s="12">
        <f t="shared" si="172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/>
      <c r="C570" s="91"/>
      <c r="D570" s="32"/>
      <c r="E570" s="32"/>
      <c r="F570" s="32"/>
      <c r="G570" s="32">
        <f t="shared" si="167"/>
        <v>0</v>
      </c>
      <c r="H570" s="12"/>
      <c r="I570" s="12"/>
      <c r="J570" s="12"/>
      <c r="K570" s="12">
        <f t="shared" si="168"/>
        <v>0</v>
      </c>
      <c r="M570" s="10">
        <v>9</v>
      </c>
      <c r="N570" s="30">
        <v>46003</v>
      </c>
      <c r="O570" s="31">
        <f t="shared" si="174"/>
        <v>7912</v>
      </c>
      <c r="P570" s="32">
        <f>626*5+224+852</f>
        <v>4206</v>
      </c>
      <c r="Q570" s="32"/>
      <c r="R570" s="32"/>
      <c r="S570" s="32">
        <f t="shared" si="169"/>
        <v>4206</v>
      </c>
      <c r="T570" s="12"/>
      <c r="U570" s="12">
        <v>120</v>
      </c>
      <c r="V570" s="12"/>
      <c r="W570" s="12">
        <f t="shared" si="170"/>
        <v>4326</v>
      </c>
      <c r="Y570" s="10">
        <v>9</v>
      </c>
      <c r="Z570" s="30"/>
      <c r="AA570" s="31"/>
      <c r="AC570" s="32"/>
      <c r="AD570" s="32"/>
      <c r="AE570" s="32">
        <f t="shared" si="171"/>
        <v>0</v>
      </c>
      <c r="AF570" s="12"/>
      <c r="AH570" s="12"/>
      <c r="AI570" s="12">
        <f t="shared" si="172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/>
      <c r="C571" s="91"/>
      <c r="D571" s="32"/>
      <c r="E571" s="32"/>
      <c r="F571" s="32"/>
      <c r="G571" s="32">
        <f t="shared" si="167"/>
        <v>0</v>
      </c>
      <c r="H571" s="12"/>
      <c r="I571" s="12"/>
      <c r="J571" s="12"/>
      <c r="K571" s="12">
        <f t="shared" si="168"/>
        <v>0</v>
      </c>
      <c r="M571" s="10">
        <v>10</v>
      </c>
      <c r="N571" s="30">
        <v>46003</v>
      </c>
      <c r="O571" s="31">
        <f t="shared" si="174"/>
        <v>7913</v>
      </c>
      <c r="P571" s="32">
        <f>1252+19</f>
        <v>1271</v>
      </c>
      <c r="Q571" s="32"/>
      <c r="R571" s="32"/>
      <c r="S571" s="32">
        <f t="shared" si="169"/>
        <v>1271</v>
      </c>
      <c r="T571" s="12"/>
      <c r="U571" s="12"/>
      <c r="V571" s="12"/>
      <c r="W571" s="12">
        <f t="shared" si="170"/>
        <v>1271</v>
      </c>
      <c r="Y571" s="10">
        <v>10</v>
      </c>
      <c r="Z571" s="30"/>
      <c r="AA571" s="31"/>
      <c r="AB571" s="32"/>
      <c r="AC571" s="32"/>
      <c r="AD571" s="32"/>
      <c r="AE571" s="32">
        <f t="shared" si="171"/>
        <v>0</v>
      </c>
      <c r="AF571" s="12"/>
      <c r="AG571" s="12"/>
      <c r="AH571" s="12"/>
      <c r="AI571" s="12">
        <f t="shared" si="172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/>
      <c r="D572" s="32"/>
      <c r="E572" s="32"/>
      <c r="F572" s="32"/>
      <c r="G572" s="32">
        <f t="shared" si="167"/>
        <v>0</v>
      </c>
      <c r="H572" s="12"/>
      <c r="I572" s="12"/>
      <c r="J572" s="12"/>
      <c r="K572" s="12">
        <f t="shared" si="168"/>
        <v>0</v>
      </c>
      <c r="M572" s="10">
        <v>11</v>
      </c>
      <c r="N572" s="30">
        <v>46003</v>
      </c>
      <c r="O572" s="31">
        <f t="shared" si="174"/>
        <v>7914</v>
      </c>
      <c r="P572" s="32">
        <f>1252+19</f>
        <v>1271</v>
      </c>
      <c r="Q572" s="32"/>
      <c r="R572" s="32"/>
      <c r="S572" s="32">
        <f t="shared" si="169"/>
        <v>1271</v>
      </c>
      <c r="T572" s="12"/>
      <c r="U572" s="12"/>
      <c r="V572" s="12"/>
      <c r="W572" s="12">
        <f t="shared" si="170"/>
        <v>1271</v>
      </c>
      <c r="Y572" s="10">
        <v>11</v>
      </c>
      <c r="Z572" s="30"/>
      <c r="AA572" s="31"/>
      <c r="AB572" s="32"/>
      <c r="AC572" s="32"/>
      <c r="AD572" s="32"/>
      <c r="AE572" s="32">
        <f t="shared" si="171"/>
        <v>0</v>
      </c>
      <c r="AF572" s="12"/>
      <c r="AG572" s="12"/>
      <c r="AH572" s="12"/>
      <c r="AI572" s="12">
        <f t="shared" si="172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/>
      <c r="C573" s="91"/>
      <c r="D573" s="32"/>
      <c r="E573" s="32"/>
      <c r="F573" s="32"/>
      <c r="G573" s="32">
        <f t="shared" si="167"/>
        <v>0</v>
      </c>
      <c r="H573" s="12"/>
      <c r="I573" s="12"/>
      <c r="J573" s="10"/>
      <c r="K573" s="12">
        <f t="shared" si="168"/>
        <v>0</v>
      </c>
      <c r="M573" s="10">
        <v>12</v>
      </c>
      <c r="N573" s="30">
        <v>46003</v>
      </c>
      <c r="O573" s="31">
        <f t="shared" si="174"/>
        <v>7915</v>
      </c>
      <c r="P573" s="32">
        <f>3756+596+66.5</f>
        <v>4418.5</v>
      </c>
      <c r="Q573" s="32"/>
      <c r="R573" s="32"/>
      <c r="S573" s="32">
        <f t="shared" si="169"/>
        <v>4418.5</v>
      </c>
      <c r="T573" s="12"/>
      <c r="U573" s="12"/>
      <c r="V573" s="12"/>
      <c r="W573" s="12">
        <f t="shared" si="170"/>
        <v>4418.5</v>
      </c>
      <c r="Y573" s="10">
        <v>12</v>
      </c>
      <c r="Z573" s="30"/>
      <c r="AB573" s="32"/>
      <c r="AC573" s="32"/>
      <c r="AD573" s="32"/>
      <c r="AE573" s="32">
        <f t="shared" si="171"/>
        <v>0</v>
      </c>
      <c r="AF573" s="12"/>
      <c r="AG573" s="12"/>
      <c r="AH573" s="12"/>
      <c r="AI573" s="12">
        <f t="shared" si="172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/>
      <c r="C574" s="91"/>
      <c r="D574" s="32"/>
      <c r="E574" s="32"/>
      <c r="F574" s="32"/>
      <c r="G574" s="32">
        <f t="shared" si="167"/>
        <v>0</v>
      </c>
      <c r="H574" s="12"/>
      <c r="I574" s="12"/>
      <c r="J574" s="12"/>
      <c r="K574" s="12">
        <f t="shared" si="168"/>
        <v>0</v>
      </c>
      <c r="M574" s="10">
        <v>13</v>
      </c>
      <c r="N574" s="30">
        <v>46003</v>
      </c>
      <c r="O574" s="31">
        <f t="shared" si="174"/>
        <v>7916</v>
      </c>
      <c r="P574" s="32">
        <f>1252+596+28.5</f>
        <v>1876.5</v>
      </c>
      <c r="Q574" s="32"/>
      <c r="R574" s="32"/>
      <c r="S574" s="32">
        <f t="shared" si="169"/>
        <v>1876.5</v>
      </c>
      <c r="T574" s="12"/>
      <c r="U574" s="12"/>
      <c r="V574" s="12"/>
      <c r="W574" s="12">
        <f t="shared" si="170"/>
        <v>1876.5</v>
      </c>
      <c r="Y574" s="10">
        <v>13</v>
      </c>
      <c r="Z574" s="30"/>
      <c r="AA574" s="31"/>
      <c r="AB574" s="32"/>
      <c r="AC574" s="32"/>
      <c r="AD574" s="32"/>
      <c r="AE574" s="32">
        <f t="shared" si="171"/>
        <v>0</v>
      </c>
      <c r="AF574" s="12"/>
      <c r="AG574" s="12"/>
      <c r="AH574" s="12"/>
      <c r="AI574" s="12">
        <f t="shared" si="172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/>
      <c r="C575" s="91"/>
      <c r="D575" s="32"/>
      <c r="E575" s="32"/>
      <c r="F575" s="32"/>
      <c r="G575" s="32">
        <f t="shared" si="167"/>
        <v>0</v>
      </c>
      <c r="H575" s="12"/>
      <c r="I575" s="12"/>
      <c r="J575" s="12"/>
      <c r="K575" s="12">
        <f t="shared" si="168"/>
        <v>0</v>
      </c>
      <c r="M575" s="10">
        <v>14</v>
      </c>
      <c r="N575" s="30">
        <v>46003</v>
      </c>
      <c r="O575" s="31">
        <f t="shared" si="174"/>
        <v>7917</v>
      </c>
      <c r="P575" s="32">
        <f>3756+596+66.5</f>
        <v>4418.5</v>
      </c>
      <c r="Q575" s="32"/>
      <c r="R575" s="32"/>
      <c r="S575" s="32">
        <f t="shared" si="169"/>
        <v>4418.5</v>
      </c>
      <c r="T575" s="12"/>
      <c r="U575" s="12"/>
      <c r="V575" s="12"/>
      <c r="W575" s="12">
        <f t="shared" si="170"/>
        <v>4418.5</v>
      </c>
      <c r="Y575" s="10">
        <v>14</v>
      </c>
      <c r="Z575" s="30"/>
      <c r="AA575" s="31"/>
      <c r="AB575" s="32"/>
      <c r="AC575" s="32"/>
      <c r="AD575" s="32"/>
      <c r="AE575" s="32">
        <f t="shared" si="171"/>
        <v>0</v>
      </c>
      <c r="AF575" s="12"/>
      <c r="AG575" s="12"/>
      <c r="AH575" s="12"/>
      <c r="AI575" s="12">
        <f t="shared" si="172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91"/>
      <c r="D576" s="32"/>
      <c r="E576" s="32"/>
      <c r="F576" s="32"/>
      <c r="G576" s="32">
        <f t="shared" si="167"/>
        <v>0</v>
      </c>
      <c r="H576" s="12"/>
      <c r="I576" s="12"/>
      <c r="J576" s="12"/>
      <c r="K576" s="12">
        <f t="shared" si="168"/>
        <v>0</v>
      </c>
      <c r="M576" s="10">
        <v>15</v>
      </c>
      <c r="N576" s="30">
        <v>46003</v>
      </c>
      <c r="O576" s="31">
        <f t="shared" si="174"/>
        <v>7918</v>
      </c>
      <c r="P576" s="32">
        <f>1878+28.5</f>
        <v>1906.5</v>
      </c>
      <c r="Q576" s="32"/>
      <c r="R576" s="32"/>
      <c r="S576" s="32">
        <f t="shared" si="169"/>
        <v>1906.5</v>
      </c>
      <c r="T576" s="12"/>
      <c r="U576" s="12"/>
      <c r="V576" s="12"/>
      <c r="W576" s="12">
        <f t="shared" si="170"/>
        <v>1906.5</v>
      </c>
      <c r="Y576" s="10">
        <v>15</v>
      </c>
      <c r="Z576" s="30"/>
      <c r="AA576" s="31"/>
      <c r="AB576" s="32"/>
      <c r="AC576" s="32"/>
      <c r="AD576" s="32"/>
      <c r="AE576" s="32">
        <f t="shared" si="171"/>
        <v>0</v>
      </c>
      <c r="AF576" s="12"/>
      <c r="AG576" s="12"/>
      <c r="AH576" s="12"/>
      <c r="AI576" s="12">
        <f t="shared" si="172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57"/>
      <c r="D577" s="32"/>
      <c r="E577" s="32"/>
      <c r="F577" s="32"/>
      <c r="G577" s="32">
        <f t="shared" si="167"/>
        <v>0</v>
      </c>
      <c r="H577" s="12"/>
      <c r="I577" s="12"/>
      <c r="J577" s="12"/>
      <c r="K577" s="12">
        <f t="shared" si="168"/>
        <v>0</v>
      </c>
      <c r="M577" s="10">
        <v>16</v>
      </c>
      <c r="N577" s="30">
        <v>46003</v>
      </c>
      <c r="O577" s="31">
        <f t="shared" si="174"/>
        <v>7919</v>
      </c>
      <c r="P577" s="32">
        <f>1878+38</f>
        <v>1916</v>
      </c>
      <c r="Q577" s="32"/>
      <c r="R577" s="32"/>
      <c r="S577" s="32">
        <f t="shared" si="169"/>
        <v>1916</v>
      </c>
      <c r="T577" s="12"/>
      <c r="U577" s="12"/>
      <c r="V577" s="12"/>
      <c r="W577" s="12">
        <f t="shared" si="170"/>
        <v>1916</v>
      </c>
      <c r="Y577" s="10">
        <v>16</v>
      </c>
      <c r="Z577" s="30"/>
      <c r="AA577" s="31"/>
      <c r="AB577" s="32"/>
      <c r="AC577" s="32"/>
      <c r="AD577" s="32"/>
      <c r="AE577" s="32">
        <f t="shared" si="171"/>
        <v>0</v>
      </c>
      <c r="AF577" s="12"/>
      <c r="AG577" s="12"/>
      <c r="AH577" s="12"/>
      <c r="AI577" s="12">
        <f t="shared" si="172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91"/>
      <c r="D578" s="32"/>
      <c r="E578" s="32"/>
      <c r="F578" s="32"/>
      <c r="G578" s="32">
        <f t="shared" si="167"/>
        <v>0</v>
      </c>
      <c r="H578" s="12"/>
      <c r="I578" s="12"/>
      <c r="J578" s="12"/>
      <c r="K578" s="12">
        <f t="shared" si="168"/>
        <v>0</v>
      </c>
      <c r="M578" s="10">
        <v>17</v>
      </c>
      <c r="N578" s="30">
        <v>46003</v>
      </c>
      <c r="O578" s="31">
        <f t="shared" si="174"/>
        <v>7920</v>
      </c>
      <c r="P578" s="35">
        <f>6260+832+9.5*10</f>
        <v>7187</v>
      </c>
      <c r="Q578" s="32"/>
      <c r="R578" s="32"/>
      <c r="S578" s="32">
        <f t="shared" si="169"/>
        <v>7187</v>
      </c>
      <c r="T578" s="12"/>
      <c r="U578" s="12">
        <v>13.5</v>
      </c>
      <c r="V578" s="12"/>
      <c r="W578" s="12">
        <f t="shared" si="170"/>
        <v>7200.5</v>
      </c>
      <c r="Y578" s="10">
        <v>17</v>
      </c>
      <c r="Z578" s="30"/>
      <c r="AA578" s="31"/>
      <c r="AB578" s="35"/>
      <c r="AC578" s="32"/>
      <c r="AD578" s="32"/>
      <c r="AE578" s="32">
        <f t="shared" si="171"/>
        <v>0</v>
      </c>
      <c r="AF578" s="12"/>
      <c r="AG578" s="12"/>
      <c r="AH578" s="12"/>
      <c r="AI578" s="12">
        <f t="shared" si="172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57"/>
      <c r="D579" s="32"/>
      <c r="E579" s="32"/>
      <c r="F579" s="32"/>
      <c r="G579" s="32">
        <f t="shared" si="167"/>
        <v>0</v>
      </c>
      <c r="H579" s="12"/>
      <c r="I579" s="12"/>
      <c r="J579" s="12"/>
      <c r="K579" s="12">
        <f t="shared" si="168"/>
        <v>0</v>
      </c>
      <c r="M579" s="10">
        <v>18</v>
      </c>
      <c r="N579" s="30">
        <v>46003</v>
      </c>
      <c r="O579" s="31">
        <f t="shared" si="174"/>
        <v>7921</v>
      </c>
      <c r="P579" s="32">
        <f>31300+5960</f>
        <v>37260</v>
      </c>
      <c r="Q579" s="32"/>
      <c r="R579" s="32"/>
      <c r="S579" s="32">
        <f t="shared" si="169"/>
        <v>37260</v>
      </c>
      <c r="T579" s="12"/>
      <c r="U579" s="12">
        <v>1332</v>
      </c>
      <c r="V579" s="12"/>
      <c r="W579" s="12">
        <f t="shared" si="170"/>
        <v>38592</v>
      </c>
      <c r="Y579" s="10">
        <v>18</v>
      </c>
      <c r="Z579" s="30"/>
      <c r="AA579" s="31"/>
      <c r="AB579" s="32"/>
      <c r="AC579" s="32"/>
      <c r="AD579" s="32"/>
      <c r="AE579" s="32">
        <f t="shared" si="171"/>
        <v>0</v>
      </c>
      <c r="AF579" s="12"/>
      <c r="AG579" s="12"/>
      <c r="AH579" s="12"/>
      <c r="AI579" s="12">
        <f t="shared" si="172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57"/>
      <c r="D580" s="32"/>
      <c r="E580" s="32"/>
      <c r="F580" s="32"/>
      <c r="G580" s="32">
        <f t="shared" si="167"/>
        <v>0</v>
      </c>
      <c r="H580" s="12"/>
      <c r="I580" s="12"/>
      <c r="J580" s="12"/>
      <c r="K580" s="12">
        <f t="shared" si="168"/>
        <v>0</v>
      </c>
      <c r="M580" s="10">
        <v>19</v>
      </c>
      <c r="N580" s="30"/>
      <c r="O580" s="11" t="s">
        <v>27</v>
      </c>
      <c r="P580" s="32"/>
      <c r="Q580" s="32"/>
      <c r="R580" s="32"/>
      <c r="S580" s="32">
        <f t="shared" si="169"/>
        <v>0</v>
      </c>
      <c r="T580" s="12"/>
      <c r="U580" s="12"/>
      <c r="V580" s="12"/>
      <c r="W580" s="12">
        <f t="shared" si="170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71"/>
        <v>0</v>
      </c>
      <c r="AF580" s="12"/>
      <c r="AG580" s="12"/>
      <c r="AH580" s="12"/>
      <c r="AI580" s="12">
        <f t="shared" si="172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91"/>
      <c r="D581" s="32"/>
      <c r="E581" s="32"/>
      <c r="F581" s="32"/>
      <c r="G581" s="32">
        <f t="shared" si="167"/>
        <v>0</v>
      </c>
      <c r="H581" s="12"/>
      <c r="I581" s="12"/>
      <c r="J581" s="12"/>
      <c r="K581" s="12">
        <f t="shared" si="168"/>
        <v>0</v>
      </c>
      <c r="M581" s="10">
        <v>20</v>
      </c>
      <c r="N581" s="30"/>
      <c r="O581" s="31"/>
      <c r="P581" s="32"/>
      <c r="Q581" s="32"/>
      <c r="R581" s="32"/>
      <c r="S581" s="32">
        <f t="shared" si="169"/>
        <v>0</v>
      </c>
      <c r="T581" s="12"/>
      <c r="U581" s="12"/>
      <c r="V581" s="12"/>
      <c r="W581" s="12">
        <f t="shared" si="170"/>
        <v>0</v>
      </c>
      <c r="Y581" s="10">
        <v>20</v>
      </c>
      <c r="Z581" s="30"/>
      <c r="AB581" s="32"/>
      <c r="AC581" s="32"/>
      <c r="AD581" s="32"/>
      <c r="AE581" s="32">
        <f t="shared" si="171"/>
        <v>0</v>
      </c>
      <c r="AF581" s="12"/>
      <c r="AG581" s="12"/>
      <c r="AH581" s="12"/>
      <c r="AI581" s="12">
        <f t="shared" si="172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91"/>
      <c r="D582" s="32"/>
      <c r="E582" s="32"/>
      <c r="F582" s="32"/>
      <c r="G582" s="32">
        <f t="shared" si="167"/>
        <v>0</v>
      </c>
      <c r="H582" s="10"/>
      <c r="I582" s="10"/>
      <c r="J582" s="10"/>
      <c r="K582" s="12">
        <f t="shared" si="168"/>
        <v>0</v>
      </c>
      <c r="M582" s="10">
        <v>21</v>
      </c>
      <c r="N582" s="30"/>
      <c r="O582" s="31"/>
      <c r="P582" s="46"/>
      <c r="Q582" s="31"/>
      <c r="R582" s="31"/>
      <c r="S582" s="32">
        <f t="shared" si="169"/>
        <v>0</v>
      </c>
      <c r="T582" s="10"/>
      <c r="U582" s="10"/>
      <c r="V582" s="10"/>
      <c r="W582" s="12">
        <f t="shared" si="170"/>
        <v>0</v>
      </c>
      <c r="Y582" s="10">
        <v>21</v>
      </c>
      <c r="Z582" s="30"/>
      <c r="AB582" s="46"/>
      <c r="AC582" s="31"/>
      <c r="AD582" s="31"/>
      <c r="AE582" s="32">
        <f t="shared" si="171"/>
        <v>0</v>
      </c>
      <c r="AF582" s="10"/>
      <c r="AG582" s="10"/>
      <c r="AH582" s="10"/>
      <c r="AI582" s="12">
        <f t="shared" si="172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C583" s="91"/>
      <c r="D583" s="32"/>
      <c r="E583" s="32"/>
      <c r="F583" s="32"/>
      <c r="G583" s="32">
        <f t="shared" si="167"/>
        <v>0</v>
      </c>
      <c r="H583" s="10"/>
      <c r="I583" s="10"/>
      <c r="J583" s="10"/>
      <c r="K583" s="12">
        <f t="shared" si="168"/>
        <v>0</v>
      </c>
      <c r="M583" s="10">
        <v>22</v>
      </c>
      <c r="N583" s="30"/>
      <c r="O583" s="31"/>
      <c r="P583" s="45"/>
      <c r="Q583" s="31"/>
      <c r="R583" s="31"/>
      <c r="S583" s="32">
        <f t="shared" si="169"/>
        <v>0</v>
      </c>
      <c r="T583" s="10"/>
      <c r="U583" s="10"/>
      <c r="V583" s="10"/>
      <c r="W583" s="12">
        <f t="shared" si="170"/>
        <v>0</v>
      </c>
      <c r="Y583" s="10">
        <v>22</v>
      </c>
      <c r="Z583" s="30"/>
      <c r="AB583" s="45"/>
      <c r="AC583" s="31"/>
      <c r="AD583" s="31"/>
      <c r="AE583" s="32">
        <f t="shared" si="171"/>
        <v>0</v>
      </c>
      <c r="AF583" s="10"/>
      <c r="AG583" s="10"/>
      <c r="AH583" s="10"/>
      <c r="AI583" s="12">
        <f t="shared" si="172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57"/>
      <c r="D584" s="32"/>
      <c r="E584" s="32"/>
      <c r="F584" s="32"/>
      <c r="G584" s="32">
        <f t="shared" si="167"/>
        <v>0</v>
      </c>
      <c r="H584" s="10"/>
      <c r="I584" s="10"/>
      <c r="J584" s="12"/>
      <c r="K584" s="12">
        <f t="shared" si="168"/>
        <v>0</v>
      </c>
      <c r="M584" s="10">
        <v>23</v>
      </c>
      <c r="N584" s="30"/>
      <c r="O584" s="31"/>
      <c r="P584" s="47"/>
      <c r="S584" s="32">
        <f t="shared" si="169"/>
        <v>0</v>
      </c>
      <c r="T584" s="10"/>
      <c r="U584" s="10"/>
      <c r="V584" s="10"/>
      <c r="W584" s="12">
        <f t="shared" si="170"/>
        <v>0</v>
      </c>
      <c r="Y584" s="10">
        <v>23</v>
      </c>
      <c r="Z584" s="30"/>
      <c r="AA584" s="31"/>
      <c r="AB584" s="47"/>
      <c r="AE584" s="32">
        <f t="shared" si="171"/>
        <v>0</v>
      </c>
      <c r="AF584" s="10"/>
      <c r="AG584" s="10"/>
      <c r="AH584" s="10"/>
      <c r="AI584" s="12">
        <f t="shared" si="172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67"/>
        <v>0</v>
      </c>
      <c r="H585" s="10"/>
      <c r="I585" s="10"/>
      <c r="J585" s="10"/>
      <c r="K585" s="12">
        <f t="shared" si="168"/>
        <v>0</v>
      </c>
      <c r="M585" s="10">
        <v>24</v>
      </c>
      <c r="N585" s="30"/>
      <c r="O585" s="31"/>
      <c r="P585" s="47"/>
      <c r="Q585" s="31"/>
      <c r="R585" s="31"/>
      <c r="S585" s="32">
        <f t="shared" si="169"/>
        <v>0</v>
      </c>
      <c r="T585" s="10"/>
      <c r="U585" s="10"/>
      <c r="V585" s="10"/>
      <c r="W585" s="12">
        <f t="shared" si="170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71"/>
        <v>0</v>
      </c>
      <c r="AF585" s="10"/>
      <c r="AG585" s="10"/>
      <c r="AH585" s="10"/>
      <c r="AI585" s="12">
        <f t="shared" si="172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31"/>
      <c r="D586" s="32"/>
      <c r="E586" s="32"/>
      <c r="F586" s="32"/>
      <c r="G586" s="32">
        <f t="shared" si="167"/>
        <v>0</v>
      </c>
      <c r="H586" s="10"/>
      <c r="I586" s="10"/>
      <c r="J586" s="10"/>
      <c r="K586" s="12">
        <f t="shared" si="168"/>
        <v>0</v>
      </c>
      <c r="M586" s="10">
        <v>25</v>
      </c>
      <c r="N586" s="30"/>
      <c r="P586" s="47"/>
      <c r="Q586" s="31"/>
      <c r="R586" s="31"/>
      <c r="S586" s="32">
        <f t="shared" si="169"/>
        <v>0</v>
      </c>
      <c r="T586" s="10"/>
      <c r="U586" s="10"/>
      <c r="V586" s="10"/>
      <c r="W586" s="12">
        <f t="shared" si="170"/>
        <v>0</v>
      </c>
      <c r="Y586" s="10">
        <v>25</v>
      </c>
      <c r="Z586" s="30"/>
      <c r="AA586" s="11"/>
      <c r="AB586" s="47"/>
      <c r="AC586" s="31"/>
      <c r="AD586" s="31"/>
      <c r="AE586" s="32">
        <f t="shared" si="171"/>
        <v>0</v>
      </c>
      <c r="AF586" s="10"/>
      <c r="AG586" s="10"/>
      <c r="AH586" s="10"/>
      <c r="AI586" s="12">
        <f t="shared" si="172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11"/>
      <c r="D587" s="32"/>
      <c r="E587" s="32"/>
      <c r="F587" s="32"/>
      <c r="G587" s="32">
        <f t="shared" si="167"/>
        <v>0</v>
      </c>
      <c r="H587" s="10"/>
      <c r="I587" s="10"/>
      <c r="J587" s="10"/>
      <c r="K587" s="12">
        <f t="shared" si="168"/>
        <v>0</v>
      </c>
      <c r="M587" s="10">
        <v>26</v>
      </c>
      <c r="N587" s="30"/>
      <c r="P587" s="47"/>
      <c r="Q587" s="31"/>
      <c r="R587" s="31"/>
      <c r="S587" s="32">
        <f t="shared" si="169"/>
        <v>0</v>
      </c>
      <c r="T587" s="10"/>
      <c r="U587" s="10"/>
      <c r="V587" s="10"/>
      <c r="W587" s="12">
        <f t="shared" si="170"/>
        <v>0</v>
      </c>
      <c r="Y587" s="10">
        <v>26</v>
      </c>
      <c r="Z587" s="30"/>
      <c r="AB587" s="47"/>
      <c r="AC587" s="31"/>
      <c r="AD587" s="31"/>
      <c r="AE587" s="32">
        <f t="shared" si="171"/>
        <v>0</v>
      </c>
      <c r="AF587" s="10"/>
      <c r="AG587" s="10"/>
      <c r="AH587" s="10"/>
      <c r="AI587" s="12">
        <f t="shared" si="172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57"/>
      <c r="D588" s="32"/>
      <c r="E588" s="32"/>
      <c r="F588" s="32"/>
      <c r="G588" s="32">
        <f t="shared" si="167"/>
        <v>0</v>
      </c>
      <c r="H588" s="10"/>
      <c r="I588" s="10"/>
      <c r="J588" s="10"/>
      <c r="K588" s="12">
        <f t="shared" si="168"/>
        <v>0</v>
      </c>
      <c r="M588" s="10">
        <v>27</v>
      </c>
      <c r="N588" s="30"/>
      <c r="O588" s="31"/>
      <c r="P588" s="47"/>
      <c r="Q588" s="31"/>
      <c r="R588" s="31"/>
      <c r="S588" s="32">
        <f t="shared" si="169"/>
        <v>0</v>
      </c>
      <c r="T588" s="10"/>
      <c r="U588" s="10"/>
      <c r="V588" s="10"/>
      <c r="W588" s="12">
        <f t="shared" si="170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71"/>
        <v>0</v>
      </c>
      <c r="AF588" s="10"/>
      <c r="AG588" s="10"/>
      <c r="AH588" s="10"/>
      <c r="AI588" s="12">
        <f t="shared" si="172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31"/>
      <c r="D589" s="32"/>
      <c r="E589" s="32"/>
      <c r="F589" s="32"/>
      <c r="G589" s="32">
        <f t="shared" si="167"/>
        <v>0</v>
      </c>
      <c r="H589" s="10"/>
      <c r="I589" s="10"/>
      <c r="J589" s="10"/>
      <c r="K589" s="12">
        <f t="shared" si="168"/>
        <v>0</v>
      </c>
      <c r="M589" s="10">
        <v>28</v>
      </c>
      <c r="N589" s="30"/>
      <c r="O589" s="31"/>
      <c r="P589" s="47"/>
      <c r="Q589" s="31"/>
      <c r="R589" s="31"/>
      <c r="S589" s="32">
        <f t="shared" si="169"/>
        <v>0</v>
      </c>
      <c r="T589" s="10"/>
      <c r="U589" s="10"/>
      <c r="V589" s="10"/>
      <c r="W589" s="12">
        <f t="shared" si="170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71"/>
        <v>0</v>
      </c>
      <c r="AF589" s="10"/>
      <c r="AG589" s="10"/>
      <c r="AH589" s="10"/>
      <c r="AI589" s="12">
        <f t="shared" si="172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31"/>
      <c r="D590" s="32"/>
      <c r="E590" s="32"/>
      <c r="F590" s="32"/>
      <c r="G590" s="32">
        <f t="shared" si="167"/>
        <v>0</v>
      </c>
      <c r="H590" s="10"/>
      <c r="I590" s="10"/>
      <c r="J590" s="10"/>
      <c r="K590" s="12">
        <f t="shared" si="168"/>
        <v>0</v>
      </c>
      <c r="M590" s="10">
        <v>29</v>
      </c>
      <c r="N590" s="30"/>
      <c r="P590" s="47"/>
      <c r="Q590" s="31"/>
      <c r="R590" s="31"/>
      <c r="S590" s="32">
        <f t="shared" si="169"/>
        <v>0</v>
      </c>
      <c r="T590" s="10"/>
      <c r="U590" s="10"/>
      <c r="V590" s="10"/>
      <c r="W590" s="12">
        <f t="shared" si="170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71"/>
        <v>0</v>
      </c>
      <c r="AF590" s="10"/>
      <c r="AG590" s="10"/>
      <c r="AH590" s="10"/>
      <c r="AI590" s="12">
        <f t="shared" si="172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57"/>
      <c r="D591" s="32"/>
      <c r="E591" s="32"/>
      <c r="F591" s="32"/>
      <c r="G591" s="32">
        <f t="shared" si="167"/>
        <v>0</v>
      </c>
      <c r="H591" s="10"/>
      <c r="I591" s="10"/>
      <c r="J591" s="10"/>
      <c r="K591" s="12">
        <f t="shared" si="168"/>
        <v>0</v>
      </c>
      <c r="M591" s="10">
        <v>30</v>
      </c>
      <c r="N591" s="30"/>
      <c r="P591" s="47"/>
      <c r="Q591" s="31"/>
      <c r="R591" s="31"/>
      <c r="S591" s="32">
        <f t="shared" si="169"/>
        <v>0</v>
      </c>
      <c r="T591" s="10"/>
      <c r="U591" s="10"/>
      <c r="V591" s="10"/>
      <c r="W591" s="12">
        <f t="shared" si="170"/>
        <v>0</v>
      </c>
      <c r="Y591" s="10">
        <v>30</v>
      </c>
      <c r="Z591" s="30"/>
      <c r="AB591" s="47"/>
      <c r="AC591" s="31"/>
      <c r="AD591" s="31"/>
      <c r="AE591" s="32">
        <f t="shared" si="171"/>
        <v>0</v>
      </c>
      <c r="AF591" s="10"/>
      <c r="AG591" s="10"/>
      <c r="AH591" s="10"/>
      <c r="AI591" s="12">
        <f t="shared" si="172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57"/>
      <c r="D592" s="32"/>
      <c r="E592" s="32"/>
      <c r="F592" s="32"/>
      <c r="G592" s="32">
        <f t="shared" si="167"/>
        <v>0</v>
      </c>
      <c r="H592" s="10"/>
      <c r="I592" s="10"/>
      <c r="J592" s="10"/>
      <c r="K592" s="12">
        <f t="shared" si="168"/>
        <v>0</v>
      </c>
      <c r="M592" s="10">
        <v>31</v>
      </c>
      <c r="N592" s="30"/>
      <c r="O592" s="31"/>
      <c r="P592" s="47"/>
      <c r="Q592" s="31"/>
      <c r="R592" s="31"/>
      <c r="S592" s="32">
        <f t="shared" si="169"/>
        <v>0</v>
      </c>
      <c r="T592" s="10"/>
      <c r="U592" s="10"/>
      <c r="V592" s="10"/>
      <c r="W592" s="12">
        <f t="shared" si="170"/>
        <v>0</v>
      </c>
      <c r="Y592" s="10">
        <v>31</v>
      </c>
      <c r="Z592" s="30"/>
      <c r="AB592" s="47"/>
      <c r="AC592" s="31"/>
      <c r="AD592" s="31"/>
      <c r="AE592" s="32">
        <f t="shared" si="171"/>
        <v>0</v>
      </c>
      <c r="AF592" s="10"/>
      <c r="AG592" s="10"/>
      <c r="AH592" s="10"/>
      <c r="AI592" s="12">
        <f t="shared" si="172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31"/>
      <c r="D593" s="32"/>
      <c r="E593" s="32"/>
      <c r="F593" s="32"/>
      <c r="G593" s="32">
        <f t="shared" si="167"/>
        <v>0</v>
      </c>
      <c r="H593" s="10"/>
      <c r="I593" s="10"/>
      <c r="J593" s="10"/>
      <c r="K593" s="12">
        <f t="shared" si="168"/>
        <v>0</v>
      </c>
      <c r="M593" s="10">
        <v>32</v>
      </c>
      <c r="N593" s="30"/>
      <c r="P593" s="47"/>
      <c r="Q593" s="31"/>
      <c r="R593" s="31"/>
      <c r="S593" s="32">
        <f t="shared" si="169"/>
        <v>0</v>
      </c>
      <c r="T593" s="10"/>
      <c r="U593" s="10"/>
      <c r="V593" s="10"/>
      <c r="W593" s="12">
        <f t="shared" si="170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71"/>
        <v>0</v>
      </c>
      <c r="AF593" s="10"/>
      <c r="AG593" s="10"/>
      <c r="AH593" s="10"/>
      <c r="AI593" s="12">
        <f t="shared" si="172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57"/>
      <c r="D594" s="32"/>
      <c r="E594" s="32"/>
      <c r="F594" s="32"/>
      <c r="G594" s="32">
        <f t="shared" si="167"/>
        <v>0</v>
      </c>
      <c r="H594" s="10"/>
      <c r="I594" s="10"/>
      <c r="J594" s="10"/>
      <c r="K594" s="12">
        <f t="shared" si="168"/>
        <v>0</v>
      </c>
      <c r="M594" s="10">
        <v>33</v>
      </c>
      <c r="N594" s="30"/>
      <c r="O594" s="31"/>
      <c r="P594" s="47"/>
      <c r="Q594" s="31"/>
      <c r="R594" s="31"/>
      <c r="S594" s="32">
        <f t="shared" si="169"/>
        <v>0</v>
      </c>
      <c r="T594" s="10"/>
      <c r="U594" s="10"/>
      <c r="V594" s="10"/>
      <c r="W594" s="12">
        <f t="shared" si="170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71"/>
        <v>0</v>
      </c>
      <c r="AF594" s="10"/>
      <c r="AG594" s="10"/>
      <c r="AH594" s="10"/>
      <c r="AI594" s="12">
        <f t="shared" si="172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57"/>
      <c r="D595" s="32"/>
      <c r="E595" s="32"/>
      <c r="F595" s="32"/>
      <c r="G595" s="32">
        <f t="shared" si="167"/>
        <v>0</v>
      </c>
      <c r="H595" s="10"/>
      <c r="I595" s="10"/>
      <c r="J595" s="10"/>
      <c r="K595" s="12">
        <f t="shared" si="168"/>
        <v>0</v>
      </c>
      <c r="M595" s="10">
        <v>34</v>
      </c>
      <c r="N595" s="30"/>
      <c r="O595" s="31"/>
      <c r="P595" s="47"/>
      <c r="Q595" s="31"/>
      <c r="R595" s="31"/>
      <c r="S595" s="32">
        <f t="shared" ref="S595:S600" si="176">SUM(P595:Q595)</f>
        <v>0</v>
      </c>
      <c r="T595" s="10"/>
      <c r="U595" s="10"/>
      <c r="V595" s="10"/>
      <c r="W595" s="12">
        <f t="shared" si="170"/>
        <v>0</v>
      </c>
      <c r="Y595" s="10">
        <v>34</v>
      </c>
      <c r="Z595" s="30"/>
      <c r="AB595" s="47"/>
      <c r="AC595" s="31"/>
      <c r="AD595" s="31"/>
      <c r="AE595" s="32">
        <f t="shared" si="171"/>
        <v>0</v>
      </c>
      <c r="AF595" s="10"/>
      <c r="AG595" s="10"/>
      <c r="AH595" s="10"/>
      <c r="AI595" s="12">
        <f t="shared" ref="AI595:AI603" si="177">SUM(AE595:AH595)</f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3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76"/>
        <v>0</v>
      </c>
      <c r="T596" s="10"/>
      <c r="U596" s="10"/>
      <c r="V596" s="10"/>
      <c r="W596" s="12">
        <f t="shared" si="170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71"/>
        <v>0</v>
      </c>
      <c r="AF596" s="10"/>
      <c r="AG596" s="10"/>
      <c r="AH596" s="10"/>
      <c r="AI596" s="12">
        <f t="shared" si="177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3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76"/>
        <v>0</v>
      </c>
      <c r="T597" s="10"/>
      <c r="U597" s="10"/>
      <c r="V597" s="10"/>
      <c r="W597" s="12">
        <f t="shared" si="170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71"/>
        <v>0</v>
      </c>
      <c r="AF597" s="10"/>
      <c r="AG597" s="10"/>
      <c r="AH597" s="10"/>
      <c r="AI597" s="12">
        <f t="shared" si="177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3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76"/>
        <v>0</v>
      </c>
      <c r="T598" s="10"/>
      <c r="U598" s="10"/>
      <c r="V598" s="10"/>
      <c r="W598" s="12">
        <f t="shared" si="170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71"/>
        <v>0</v>
      </c>
      <c r="AF598" s="10"/>
      <c r="AG598" s="10"/>
      <c r="AH598" s="10"/>
      <c r="AI598" s="12">
        <f t="shared" si="177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76"/>
        <v>0</v>
      </c>
      <c r="T599" s="10"/>
      <c r="U599" s="10"/>
      <c r="V599" s="10"/>
      <c r="W599" s="12">
        <f t="shared" si="170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71"/>
        <v>0</v>
      </c>
      <c r="AF599" s="10"/>
      <c r="AG599" s="10"/>
      <c r="AH599" s="10"/>
      <c r="AI599" s="12">
        <f t="shared" si="177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76"/>
        <v>0</v>
      </c>
      <c r="T600" s="10"/>
      <c r="U600" s="10"/>
      <c r="V600" s="10"/>
      <c r="W600" s="12">
        <f t="shared" si="170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71"/>
        <v>0</v>
      </c>
      <c r="AF600" s="10"/>
      <c r="AG600" s="10"/>
      <c r="AH600" s="10"/>
      <c r="AI600" s="12">
        <f t="shared" si="177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0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7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78">SUM(D602:E602)</f>
        <v>0</v>
      </c>
      <c r="H602" s="10"/>
      <c r="I602" s="10"/>
      <c r="J602" s="10"/>
      <c r="K602" s="12">
        <f t="shared" ref="K602" si="179">SUM(G602:J602)</f>
        <v>0</v>
      </c>
      <c r="M602" s="10"/>
      <c r="N602" s="30"/>
      <c r="O602" s="31"/>
      <c r="P602" s="47"/>
      <c r="Q602" s="31"/>
      <c r="R602" s="31"/>
      <c r="S602" s="32">
        <f t="shared" ref="S602" si="180">SUM(P602:Q602)</f>
        <v>0</v>
      </c>
      <c r="T602" s="10"/>
      <c r="U602" s="10"/>
      <c r="V602" s="10"/>
      <c r="W602" s="12">
        <f t="shared" si="170"/>
        <v>0</v>
      </c>
      <c r="Y602" s="10"/>
      <c r="Z602" s="30"/>
      <c r="AA602" s="31"/>
      <c r="AB602" s="47"/>
      <c r="AC602" s="31"/>
      <c r="AD602" s="31"/>
      <c r="AE602" s="32">
        <f t="shared" ref="AE602" si="181">SUM(AB602:AC602)</f>
        <v>0</v>
      </c>
      <c r="AF602" s="10"/>
      <c r="AG602" s="10"/>
      <c r="AH602" s="10"/>
      <c r="AI602" s="12">
        <f t="shared" si="177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0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7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689876</v>
      </c>
      <c r="E605" s="38">
        <f t="shared" ref="E605:F605" si="182">SUM(E562:E602)</f>
        <v>-6150</v>
      </c>
      <c r="F605" s="38">
        <f t="shared" si="182"/>
        <v>0</v>
      </c>
      <c r="G605" s="38">
        <f>SUM(G562:G604)</f>
        <v>683726</v>
      </c>
      <c r="H605" s="4"/>
      <c r="I605" s="39">
        <f>SUM(I562:I604)</f>
        <v>19221</v>
      </c>
      <c r="J605" s="39">
        <f>SUM(J562:J604)</f>
        <v>0</v>
      </c>
      <c r="K605" s="40">
        <f>SUM(K562:K604)</f>
        <v>702947</v>
      </c>
      <c r="N605" s="57"/>
      <c r="O605" s="57"/>
      <c r="P605" s="38">
        <f>SUM(P562:P604)</f>
        <v>161021</v>
      </c>
      <c r="Q605" s="38">
        <f>SUM(Q562:Q586)</f>
        <v>-672</v>
      </c>
      <c r="R605" s="38">
        <f>SUM(R562:R586)</f>
        <v>0</v>
      </c>
      <c r="S605" s="38">
        <f>SUM(S562:S604)</f>
        <v>160349</v>
      </c>
      <c r="T605" s="4"/>
      <c r="U605" s="41">
        <f>SUM(U562:U604)</f>
        <v>1465.5</v>
      </c>
      <c r="V605" s="41">
        <f>SUM(V562:V586)</f>
        <v>-444</v>
      </c>
      <c r="W605" s="42">
        <f>SUM(W562:W604)</f>
        <v>161370.5</v>
      </c>
      <c r="Z605" s="57"/>
      <c r="AA605" s="57"/>
      <c r="AB605" s="38">
        <f>SUM(AB562:AB604)</f>
        <v>508107.5</v>
      </c>
      <c r="AC605" s="38">
        <f>SUM(AC562:AC586)</f>
        <v>-4560</v>
      </c>
      <c r="AD605" s="38">
        <f>SUM(AD562:AD586)</f>
        <v>0</v>
      </c>
      <c r="AE605" s="38">
        <f>SUM(AE562:AE604)</f>
        <v>503547.5</v>
      </c>
      <c r="AF605" s="4"/>
      <c r="AG605" s="41">
        <f>SUM(AG562:AG604)</f>
        <v>9537</v>
      </c>
      <c r="AH605" s="41">
        <f>SUM(AH562:AH586)</f>
        <v>0</v>
      </c>
      <c r="AI605" s="42">
        <f>SUM(AI562:AI604)</f>
        <v>513084.5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66</v>
      </c>
      <c r="B613" s="20"/>
      <c r="C613" s="57"/>
      <c r="D613" s="57"/>
      <c r="E613" s="57"/>
      <c r="G613" s="57"/>
      <c r="I613" s="22" t="s">
        <v>16</v>
      </c>
      <c r="J613" s="23" t="s">
        <v>33</v>
      </c>
      <c r="K613" s="24"/>
      <c r="M613" s="21" t="s">
        <v>66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37</v>
      </c>
      <c r="W613" s="24"/>
      <c r="Y613" s="21" t="s">
        <v>66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31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5" t="s">
        <v>17</v>
      </c>
      <c r="E615" s="115"/>
      <c r="F615" s="105"/>
      <c r="G615" s="27"/>
      <c r="I615" s="118" t="s">
        <v>18</v>
      </c>
      <c r="J615" s="119"/>
      <c r="K615" s="116" t="s">
        <v>19</v>
      </c>
      <c r="N615" s="25"/>
      <c r="O615" s="26"/>
      <c r="P615" s="115" t="s">
        <v>17</v>
      </c>
      <c r="Q615" s="115"/>
      <c r="R615" s="105"/>
      <c r="S615" s="27"/>
      <c r="U615" s="118" t="s">
        <v>18</v>
      </c>
      <c r="V615" s="119"/>
      <c r="W615" s="116" t="s">
        <v>19</v>
      </c>
      <c r="Z615" s="25"/>
      <c r="AA615" s="26"/>
      <c r="AB615" s="115" t="s">
        <v>17</v>
      </c>
      <c r="AC615" s="115"/>
      <c r="AD615" s="105"/>
      <c r="AE615" s="27"/>
      <c r="AG615" s="118" t="s">
        <v>18</v>
      </c>
      <c r="AH615" s="119"/>
      <c r="AI615" s="116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9" t="s">
        <v>22</v>
      </c>
      <c r="E616" s="78" t="s">
        <v>23</v>
      </c>
      <c r="F616" s="80" t="s">
        <v>32</v>
      </c>
      <c r="G616" s="80" t="s">
        <v>24</v>
      </c>
      <c r="I616" s="29" t="s">
        <v>25</v>
      </c>
      <c r="J616" s="29" t="s">
        <v>26</v>
      </c>
      <c r="K616" s="117"/>
      <c r="N616" s="28" t="s">
        <v>20</v>
      </c>
      <c r="O616" s="28" t="s">
        <v>21</v>
      </c>
      <c r="P616" s="79" t="s">
        <v>22</v>
      </c>
      <c r="Q616" s="80" t="s">
        <v>23</v>
      </c>
      <c r="R616" s="80" t="s">
        <v>32</v>
      </c>
      <c r="S616" s="80" t="s">
        <v>24</v>
      </c>
      <c r="U616" s="29" t="s">
        <v>25</v>
      </c>
      <c r="V616" s="29" t="s">
        <v>26</v>
      </c>
      <c r="W616" s="117"/>
      <c r="Z616" s="28" t="s">
        <v>20</v>
      </c>
      <c r="AA616" s="28" t="s">
        <v>21</v>
      </c>
      <c r="AB616" s="79" t="s">
        <v>22</v>
      </c>
      <c r="AC616" s="80" t="s">
        <v>23</v>
      </c>
      <c r="AD616" s="80" t="s">
        <v>32</v>
      </c>
      <c r="AE616" s="80" t="s">
        <v>24</v>
      </c>
      <c r="AG616" s="29" t="s">
        <v>25</v>
      </c>
      <c r="AH616" s="29" t="s">
        <v>26</v>
      </c>
      <c r="AI616" s="117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67</v>
      </c>
      <c r="C617" s="91">
        <v>7834</v>
      </c>
      <c r="D617" s="32">
        <f>1005+832</f>
        <v>1837</v>
      </c>
      <c r="E617" s="32"/>
      <c r="F617" s="32"/>
      <c r="G617" s="32">
        <f t="shared" ref="G617:G650" si="183">SUM(D617:E617)</f>
        <v>1837</v>
      </c>
      <c r="H617" s="12"/>
      <c r="I617" s="12">
        <v>240</v>
      </c>
      <c r="J617" s="12"/>
      <c r="K617" s="12">
        <f t="shared" ref="K617:K650" si="184">SUM(G617:J617)</f>
        <v>2077</v>
      </c>
      <c r="M617" s="10">
        <v>1</v>
      </c>
      <c r="N617" s="30" t="s">
        <v>67</v>
      </c>
      <c r="O617" s="31">
        <v>7922</v>
      </c>
      <c r="P617" s="32">
        <f>81380+4298+14900+1704+916</f>
        <v>103198</v>
      </c>
      <c r="Q617" s="32"/>
      <c r="R617" s="32"/>
      <c r="S617" s="32">
        <f>SUM(P617:Q617)</f>
        <v>103198</v>
      </c>
      <c r="T617" s="12"/>
      <c r="U617" s="12"/>
      <c r="V617" s="12">
        <f>-111+-78+-84</f>
        <v>-273</v>
      </c>
      <c r="W617" s="12">
        <f>SUM(S617:V617)</f>
        <v>102925</v>
      </c>
      <c r="Y617" s="10">
        <v>1</v>
      </c>
      <c r="Z617" s="30" t="s">
        <v>67</v>
      </c>
      <c r="AA617" s="31">
        <v>7762</v>
      </c>
      <c r="AB617" s="32">
        <f>626*15+614+2980+832+229</f>
        <v>14045</v>
      </c>
      <c r="AC617" s="32"/>
      <c r="AD617" s="32"/>
      <c r="AE617" s="32">
        <f>SUM(AB617:AC617)</f>
        <v>14045</v>
      </c>
      <c r="AF617" s="12"/>
      <c r="AG617" s="12"/>
      <c r="AH617" s="12"/>
      <c r="AI617" s="12">
        <f>SUM(AE617:AH617)</f>
        <v>14045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67</v>
      </c>
      <c r="C618" s="91">
        <f>C617+1</f>
        <v>7835</v>
      </c>
      <c r="D618" s="32">
        <f>4382+1788+95</f>
        <v>6265</v>
      </c>
      <c r="E618" s="32"/>
      <c r="F618" s="32"/>
      <c r="G618" s="32">
        <f t="shared" si="183"/>
        <v>6265</v>
      </c>
      <c r="H618" s="12"/>
      <c r="I618" s="12"/>
      <c r="J618" s="12"/>
      <c r="K618" s="12">
        <f t="shared" si="184"/>
        <v>6265</v>
      </c>
      <c r="M618" s="10">
        <v>2</v>
      </c>
      <c r="N618" s="30" t="s">
        <v>67</v>
      </c>
      <c r="O618" s="31">
        <f>O617+1</f>
        <v>7923</v>
      </c>
      <c r="P618" s="32">
        <f>8138+614+2980+832+171</f>
        <v>12735</v>
      </c>
      <c r="Q618" s="32"/>
      <c r="R618" s="32"/>
      <c r="S618" s="32">
        <f t="shared" ref="S618:S649" si="185">SUM(P618:Q618)</f>
        <v>12735</v>
      </c>
      <c r="T618" s="12"/>
      <c r="U618" s="12">
        <v>36</v>
      </c>
      <c r="V618" s="12"/>
      <c r="W618" s="12">
        <f t="shared" ref="W618:W658" si="186">SUM(S618:V618)</f>
        <v>12771</v>
      </c>
      <c r="Y618" s="10">
        <v>2</v>
      </c>
      <c r="Z618" s="30" t="s">
        <v>67</v>
      </c>
      <c r="AA618" s="31">
        <f>AA617+1</f>
        <v>7763</v>
      </c>
      <c r="AB618" s="32">
        <f>626*40+614*2+596*10+229</f>
        <v>32457</v>
      </c>
      <c r="AC618" s="32">
        <v>-312</v>
      </c>
      <c r="AD618" s="32"/>
      <c r="AE618" s="32">
        <f t="shared" ref="AE618:AE655" si="187">SUM(AB618:AC618)</f>
        <v>32145</v>
      </c>
      <c r="AF618" s="12"/>
      <c r="AG618" s="12">
        <v>81</v>
      </c>
      <c r="AH618" s="12"/>
      <c r="AI618" s="12">
        <f t="shared" ref="AI618:AI649" si="188">SUM(AE618:AH618)</f>
        <v>32226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67</v>
      </c>
      <c r="C619" s="91">
        <f t="shared" ref="C619:C634" si="189">C618+1</f>
        <v>7836</v>
      </c>
      <c r="D619" s="33">
        <f>2504+38</f>
        <v>2542</v>
      </c>
      <c r="E619" s="33"/>
      <c r="F619" s="33"/>
      <c r="G619" s="33">
        <f t="shared" si="183"/>
        <v>2542</v>
      </c>
      <c r="H619" s="34"/>
      <c r="I619" s="34"/>
      <c r="J619" s="34"/>
      <c r="K619" s="34">
        <f t="shared" si="184"/>
        <v>2542</v>
      </c>
      <c r="M619" s="10">
        <v>3</v>
      </c>
      <c r="N619" s="30" t="s">
        <v>67</v>
      </c>
      <c r="O619" s="31">
        <f t="shared" ref="O619:O620" si="190">O618+1</f>
        <v>7924</v>
      </c>
      <c r="P619" s="32">
        <f>338040+64368+4580</f>
        <v>406988</v>
      </c>
      <c r="Q619" s="32">
        <v>-3888</v>
      </c>
      <c r="R619" s="32"/>
      <c r="S619" s="32">
        <f t="shared" si="185"/>
        <v>403100</v>
      </c>
      <c r="T619" s="12"/>
      <c r="U619" s="12">
        <f>1560</f>
        <v>1560</v>
      </c>
      <c r="V619" s="12"/>
      <c r="W619" s="12">
        <f t="shared" si="186"/>
        <v>404660</v>
      </c>
      <c r="Y619" s="10">
        <v>3</v>
      </c>
      <c r="Z619" s="30" t="s">
        <v>67</v>
      </c>
      <c r="AA619" s="31">
        <f t="shared" ref="AA619:AA622" si="191">AA618+1</f>
        <v>7764</v>
      </c>
      <c r="AB619" s="33">
        <f>4260+832*8</f>
        <v>10916</v>
      </c>
      <c r="AC619" s="33"/>
      <c r="AD619" s="32"/>
      <c r="AE619" s="32">
        <f t="shared" si="187"/>
        <v>10916</v>
      </c>
      <c r="AF619" s="12"/>
      <c r="AG619" s="12">
        <v>46.5</v>
      </c>
      <c r="AH619" s="12"/>
      <c r="AI619" s="12">
        <f t="shared" si="188"/>
        <v>10962.5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67</v>
      </c>
      <c r="C620" s="91">
        <f t="shared" si="189"/>
        <v>7837</v>
      </c>
      <c r="D620" s="32">
        <f>31300+229+1300</f>
        <v>32829</v>
      </c>
      <c r="E620" s="32"/>
      <c r="F620" s="32"/>
      <c r="G620" s="32">
        <f t="shared" si="183"/>
        <v>32829</v>
      </c>
      <c r="H620" s="12"/>
      <c r="I620" s="12">
        <f>222+168</f>
        <v>390</v>
      </c>
      <c r="J620" s="12"/>
      <c r="K620" s="12">
        <f t="shared" si="184"/>
        <v>33219</v>
      </c>
      <c r="M620" s="10">
        <v>4</v>
      </c>
      <c r="N620" s="30" t="s">
        <v>67</v>
      </c>
      <c r="O620" s="31">
        <f t="shared" si="190"/>
        <v>7925</v>
      </c>
      <c r="P620" s="32">
        <f>112680+11920+1832+1300</f>
        <v>127732</v>
      </c>
      <c r="Q620" s="32">
        <v>-1200</v>
      </c>
      <c r="R620" s="32"/>
      <c r="S620" s="32">
        <f t="shared" si="185"/>
        <v>126532</v>
      </c>
      <c r="T620" s="12"/>
      <c r="U620" s="12">
        <f>2220+468</f>
        <v>2688</v>
      </c>
      <c r="V620" s="12">
        <f>-168+-168</f>
        <v>-336</v>
      </c>
      <c r="W620" s="12">
        <f t="shared" si="186"/>
        <v>128884</v>
      </c>
      <c r="Y620" s="10">
        <v>4</v>
      </c>
      <c r="Z620" s="30" t="s">
        <v>67</v>
      </c>
      <c r="AA620" s="31">
        <f t="shared" si="191"/>
        <v>7765</v>
      </c>
      <c r="AB620" s="32">
        <f>125200+2010+1832+650</f>
        <v>129692</v>
      </c>
      <c r="AC620" s="32">
        <v>-1212</v>
      </c>
      <c r="AD620" s="32"/>
      <c r="AE620" s="32">
        <f t="shared" si="187"/>
        <v>128480</v>
      </c>
      <c r="AF620" s="12"/>
      <c r="AG620">
        <f>5328+78+216</f>
        <v>5622</v>
      </c>
      <c r="AH620" s="12"/>
      <c r="AI620" s="12">
        <f t="shared" si="188"/>
        <v>134102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67</v>
      </c>
      <c r="C621" s="91">
        <f t="shared" si="189"/>
        <v>7838</v>
      </c>
      <c r="D621" s="32">
        <f>24414+229</f>
        <v>24643</v>
      </c>
      <c r="E621" s="32"/>
      <c r="F621" s="32"/>
      <c r="G621" s="32">
        <f t="shared" si="183"/>
        <v>24643</v>
      </c>
      <c r="H621" s="12"/>
      <c r="I621" s="12"/>
      <c r="J621" s="12"/>
      <c r="K621" s="12">
        <f t="shared" si="184"/>
        <v>24643</v>
      </c>
      <c r="M621" s="10">
        <v>5</v>
      </c>
      <c r="N621" s="30"/>
      <c r="O621" s="11" t="s">
        <v>27</v>
      </c>
      <c r="P621" s="32"/>
      <c r="Q621" s="32"/>
      <c r="R621" s="32"/>
      <c r="S621" s="32">
        <f t="shared" si="185"/>
        <v>0</v>
      </c>
      <c r="T621" s="12"/>
      <c r="U621" s="12"/>
      <c r="V621" s="12"/>
      <c r="W621" s="12">
        <f t="shared" si="186"/>
        <v>0</v>
      </c>
      <c r="Y621" s="10">
        <v>5</v>
      </c>
      <c r="Z621" s="30" t="s">
        <v>67</v>
      </c>
      <c r="AA621" s="31">
        <f t="shared" si="191"/>
        <v>7766</v>
      </c>
      <c r="AB621" s="32">
        <f>21300</f>
        <v>21300</v>
      </c>
      <c r="AC621" s="32"/>
      <c r="AD621" s="32"/>
      <c r="AE621" s="32">
        <f t="shared" si="187"/>
        <v>21300</v>
      </c>
      <c r="AF621" s="12"/>
      <c r="AG621" s="12"/>
      <c r="AH621" s="12"/>
      <c r="AI621" s="12">
        <f t="shared" si="188"/>
        <v>21300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67</v>
      </c>
      <c r="C622" s="91">
        <f t="shared" si="189"/>
        <v>7839</v>
      </c>
      <c r="D622" s="32">
        <f>5634+596+95</f>
        <v>6325</v>
      </c>
      <c r="E622" s="32"/>
      <c r="F622" s="32"/>
      <c r="G622" s="32">
        <f t="shared" si="183"/>
        <v>6325</v>
      </c>
      <c r="H622" s="12"/>
      <c r="I622" s="12"/>
      <c r="J622" s="12"/>
      <c r="K622" s="12">
        <f t="shared" si="184"/>
        <v>6325</v>
      </c>
      <c r="M622" s="10">
        <v>6</v>
      </c>
      <c r="N622" s="30"/>
      <c r="O622" s="31"/>
      <c r="P622" s="32"/>
      <c r="Q622" s="32"/>
      <c r="R622" s="32"/>
      <c r="S622" s="32">
        <f t="shared" si="185"/>
        <v>0</v>
      </c>
      <c r="T622" s="12"/>
      <c r="U622" s="12"/>
      <c r="V622" s="10"/>
      <c r="W622" s="12">
        <f t="shared" si="186"/>
        <v>0</v>
      </c>
      <c r="Y622" s="10">
        <v>6</v>
      </c>
      <c r="Z622" s="30" t="s">
        <v>67</v>
      </c>
      <c r="AA622" s="31">
        <f t="shared" si="191"/>
        <v>7767</v>
      </c>
      <c r="AB622" s="32">
        <f>15650+1664</f>
        <v>17314</v>
      </c>
      <c r="AC622" s="32"/>
      <c r="AD622" s="32"/>
      <c r="AE622" s="32">
        <f t="shared" si="187"/>
        <v>17314</v>
      </c>
      <c r="AF622" s="12"/>
      <c r="AG622" s="12"/>
      <c r="AH622" s="10">
        <v>-5550</v>
      </c>
      <c r="AI622" s="12">
        <f t="shared" si="188"/>
        <v>11764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67</v>
      </c>
      <c r="C623" s="91">
        <f t="shared" si="189"/>
        <v>7840</v>
      </c>
      <c r="D623" s="32">
        <f>2504+1192+57</f>
        <v>3753</v>
      </c>
      <c r="E623" s="32"/>
      <c r="F623" s="32"/>
      <c r="G623" s="32">
        <f t="shared" si="183"/>
        <v>3753</v>
      </c>
      <c r="H623" s="12"/>
      <c r="I623" s="12"/>
      <c r="J623" s="12"/>
      <c r="K623" s="12">
        <f t="shared" si="184"/>
        <v>3753</v>
      </c>
      <c r="M623" s="10">
        <v>7</v>
      </c>
      <c r="N623" s="30"/>
      <c r="O623" s="31"/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11" t="s">
        <v>27</v>
      </c>
      <c r="AB623" s="32"/>
      <c r="AC623" s="32"/>
      <c r="AD623" s="32"/>
      <c r="AE623" s="32">
        <f t="shared" si="187"/>
        <v>0</v>
      </c>
      <c r="AF623" s="12"/>
      <c r="AG623" s="58"/>
      <c r="AH623" s="12"/>
      <c r="AI623" s="12">
        <f t="shared" si="188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67</v>
      </c>
      <c r="C624" s="91">
        <f t="shared" si="189"/>
        <v>7841</v>
      </c>
      <c r="D624" s="32">
        <f>63852+8344+458</f>
        <v>72654</v>
      </c>
      <c r="E624" s="32"/>
      <c r="F624" s="32"/>
      <c r="G624" s="32">
        <f t="shared" si="183"/>
        <v>72654</v>
      </c>
      <c r="H624" s="12"/>
      <c r="I624" s="12"/>
      <c r="J624" s="12"/>
      <c r="K624" s="12">
        <f t="shared" si="184"/>
        <v>72654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87"/>
        <v>0</v>
      </c>
      <c r="AF624" s="12"/>
      <c r="AG624" s="12"/>
      <c r="AH624" s="12"/>
      <c r="AI624" s="12">
        <f t="shared" si="188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67</v>
      </c>
      <c r="C625" s="91">
        <f t="shared" si="189"/>
        <v>7842</v>
      </c>
      <c r="D625" s="32">
        <f>17528+229</f>
        <v>17757</v>
      </c>
      <c r="E625" s="32"/>
      <c r="F625" s="32"/>
      <c r="G625" s="32">
        <f t="shared" si="183"/>
        <v>17757</v>
      </c>
      <c r="H625" s="12"/>
      <c r="I625" s="12">
        <v>81</v>
      </c>
      <c r="J625" s="12"/>
      <c r="K625" s="12">
        <f t="shared" si="184"/>
        <v>17838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87"/>
        <v>0</v>
      </c>
      <c r="AF625" s="12"/>
      <c r="AH625" s="12"/>
      <c r="AI625" s="12">
        <f t="shared" si="188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67</v>
      </c>
      <c r="C626" s="91">
        <f t="shared" si="189"/>
        <v>7843</v>
      </c>
      <c r="D626" s="32">
        <f>5634+614+832+85+1000</f>
        <v>8165</v>
      </c>
      <c r="E626" s="32"/>
      <c r="F626" s="32"/>
      <c r="G626" s="32">
        <f t="shared" si="183"/>
        <v>8165</v>
      </c>
      <c r="H626" s="12"/>
      <c r="I626" s="12"/>
      <c r="J626" s="12"/>
      <c r="K626" s="12">
        <f t="shared" si="184"/>
        <v>8165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87"/>
        <v>0</v>
      </c>
      <c r="AF626" s="12"/>
      <c r="AG626" s="12"/>
      <c r="AH626" s="12"/>
      <c r="AI626" s="12">
        <f t="shared" si="188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67</v>
      </c>
      <c r="C627" s="91">
        <f t="shared" si="189"/>
        <v>7844</v>
      </c>
      <c r="D627" s="32">
        <f>8764+133</f>
        <v>8897</v>
      </c>
      <c r="E627" s="32"/>
      <c r="F627" s="32"/>
      <c r="G627" s="32">
        <f t="shared" si="183"/>
        <v>8897</v>
      </c>
      <c r="H627" s="12"/>
      <c r="I627" s="12"/>
      <c r="J627" s="12"/>
      <c r="K627" s="12">
        <f t="shared" si="184"/>
        <v>8897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B627" s="32"/>
      <c r="AC627" s="32"/>
      <c r="AD627" s="32"/>
      <c r="AE627" s="32">
        <f t="shared" si="187"/>
        <v>0</v>
      </c>
      <c r="AF627" s="12"/>
      <c r="AG627" s="12"/>
      <c r="AH627" s="12"/>
      <c r="AI627" s="12">
        <f t="shared" si="188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67</v>
      </c>
      <c r="C628" s="91">
        <f t="shared" si="189"/>
        <v>7845</v>
      </c>
      <c r="D628" s="32">
        <f>1252+19</f>
        <v>1271</v>
      </c>
      <c r="E628" s="32"/>
      <c r="F628" s="32"/>
      <c r="G628" s="32">
        <f t="shared" si="183"/>
        <v>1271</v>
      </c>
      <c r="H628" s="12"/>
      <c r="I628" s="12"/>
      <c r="J628" s="10"/>
      <c r="K628" s="12">
        <f t="shared" si="184"/>
        <v>1271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B628" s="32"/>
      <c r="AC628" s="32"/>
      <c r="AD628" s="32"/>
      <c r="AE628" s="32">
        <f t="shared" si="187"/>
        <v>0</v>
      </c>
      <c r="AF628" s="12"/>
      <c r="AG628" s="12"/>
      <c r="AH628" s="12"/>
      <c r="AI628" s="12">
        <f t="shared" si="188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67</v>
      </c>
      <c r="C629" s="91">
        <f t="shared" si="189"/>
        <v>7846</v>
      </c>
      <c r="D629" s="32">
        <f>18780+2022+832</f>
        <v>21634</v>
      </c>
      <c r="E629" s="32"/>
      <c r="F629" s="32"/>
      <c r="G629" s="32">
        <f t="shared" si="183"/>
        <v>21634</v>
      </c>
      <c r="H629" s="12"/>
      <c r="I629" s="12"/>
      <c r="J629" s="12"/>
      <c r="K629" s="12">
        <f t="shared" si="184"/>
        <v>21634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87"/>
        <v>0</v>
      </c>
      <c r="AF629" s="12"/>
      <c r="AG629" s="12"/>
      <c r="AH629" s="12"/>
      <c r="AI629" s="12">
        <f t="shared" si="188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67</v>
      </c>
      <c r="C630" s="91">
        <f t="shared" si="189"/>
        <v>7847</v>
      </c>
      <c r="D630" s="32">
        <f>10642+161.5</f>
        <v>10803.5</v>
      </c>
      <c r="E630" s="32"/>
      <c r="F630" s="32"/>
      <c r="G630" s="32">
        <f t="shared" si="183"/>
        <v>10803.5</v>
      </c>
      <c r="H630" s="12"/>
      <c r="I630" s="12"/>
      <c r="J630" s="12"/>
      <c r="K630" s="12">
        <f t="shared" si="184"/>
        <v>10803.5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87"/>
        <v>0</v>
      </c>
      <c r="AF630" s="12"/>
      <c r="AG630" s="12"/>
      <c r="AH630" s="12"/>
      <c r="AI630" s="12">
        <f t="shared" si="188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67</v>
      </c>
      <c r="C631" s="91">
        <f t="shared" si="189"/>
        <v>7848</v>
      </c>
      <c r="D631" s="32">
        <f>22536+832</f>
        <v>23368</v>
      </c>
      <c r="E631" s="32"/>
      <c r="F631" s="32"/>
      <c r="G631" s="32">
        <f t="shared" si="183"/>
        <v>23368</v>
      </c>
      <c r="H631" s="12"/>
      <c r="I631" s="12"/>
      <c r="J631" s="12"/>
      <c r="K631" s="12">
        <f t="shared" si="184"/>
        <v>23368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A631" s="31"/>
      <c r="AB631" s="32"/>
      <c r="AC631" s="32"/>
      <c r="AD631" s="32"/>
      <c r="AE631" s="32">
        <f t="shared" si="187"/>
        <v>0</v>
      </c>
      <c r="AF631" s="12"/>
      <c r="AG631" s="12"/>
      <c r="AH631" s="12"/>
      <c r="AI631" s="12">
        <f t="shared" si="188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 t="s">
        <v>67</v>
      </c>
      <c r="C632" s="91">
        <f t="shared" si="189"/>
        <v>7849</v>
      </c>
      <c r="D632" s="32">
        <f>25040+229</f>
        <v>25269</v>
      </c>
      <c r="E632" s="32"/>
      <c r="F632" s="32"/>
      <c r="G632" s="32">
        <f t="shared" si="183"/>
        <v>25269</v>
      </c>
      <c r="H632" s="12"/>
      <c r="I632" s="12"/>
      <c r="J632" s="12"/>
      <c r="K632" s="12">
        <f t="shared" si="184"/>
        <v>25269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A632" s="31"/>
      <c r="AB632" s="32"/>
      <c r="AC632" s="32"/>
      <c r="AD632" s="32"/>
      <c r="AE632" s="32">
        <f t="shared" si="187"/>
        <v>0</v>
      </c>
      <c r="AF632" s="12"/>
      <c r="AG632" s="12"/>
      <c r="AH632" s="12"/>
      <c r="AI632" s="12">
        <f t="shared" si="188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 t="s">
        <v>67</v>
      </c>
      <c r="C633" s="91">
        <f t="shared" si="189"/>
        <v>7850</v>
      </c>
      <c r="D633" s="32">
        <f>6260+95</f>
        <v>6355</v>
      </c>
      <c r="E633" s="32"/>
      <c r="F633" s="32"/>
      <c r="G633" s="32">
        <f t="shared" si="183"/>
        <v>6355</v>
      </c>
      <c r="H633" s="12"/>
      <c r="I633" s="12"/>
      <c r="J633" s="12"/>
      <c r="K633" s="12">
        <f t="shared" si="184"/>
        <v>6355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87"/>
        <v>0</v>
      </c>
      <c r="AF633" s="12"/>
      <c r="AG633" s="12"/>
      <c r="AH633" s="12"/>
      <c r="AI633" s="12">
        <f t="shared" si="188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 t="s">
        <v>67</v>
      </c>
      <c r="C634" s="91">
        <f t="shared" si="189"/>
        <v>7851</v>
      </c>
      <c r="D634" s="32">
        <f>45650+1704+3015+1664</f>
        <v>52033</v>
      </c>
      <c r="E634" s="32"/>
      <c r="F634" s="32"/>
      <c r="G634" s="32">
        <f t="shared" si="183"/>
        <v>52033</v>
      </c>
      <c r="H634" s="12"/>
      <c r="I634" s="12"/>
      <c r="J634" s="12"/>
      <c r="K634" s="12">
        <f t="shared" si="184"/>
        <v>52033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87"/>
        <v>0</v>
      </c>
      <c r="AF634" s="12"/>
      <c r="AG634" s="12"/>
      <c r="AH634" s="12"/>
      <c r="AI634" s="12">
        <f t="shared" si="188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11" t="s">
        <v>27</v>
      </c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87"/>
        <v>0</v>
      </c>
      <c r="AF635" s="12"/>
      <c r="AG635" s="12"/>
      <c r="AH635" s="12"/>
      <c r="AI635" s="12">
        <f t="shared" si="188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87"/>
        <v>0</v>
      </c>
      <c r="AF636" s="12"/>
      <c r="AG636" s="12"/>
      <c r="AH636" s="12"/>
      <c r="AI636" s="12">
        <f t="shared" si="188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91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O637" s="31"/>
      <c r="P637" s="46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B637" s="46"/>
      <c r="AC637" s="31"/>
      <c r="AD637" s="31"/>
      <c r="AE637" s="32">
        <f t="shared" si="187"/>
        <v>0</v>
      </c>
      <c r="AF637" s="10"/>
      <c r="AG637" s="10"/>
      <c r="AH637" s="10"/>
      <c r="AI637" s="12">
        <f t="shared" si="188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91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45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B638" s="45"/>
      <c r="AC638" s="31"/>
      <c r="AD638" s="31"/>
      <c r="AE638" s="32">
        <f t="shared" si="187"/>
        <v>0</v>
      </c>
      <c r="AF638" s="10"/>
      <c r="AG638" s="10"/>
      <c r="AH638" s="10"/>
      <c r="AI638" s="12">
        <f t="shared" si="188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57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E639" s="32">
        <f t="shared" si="187"/>
        <v>0</v>
      </c>
      <c r="AF639" s="10"/>
      <c r="AG639" s="10"/>
      <c r="AH639" s="10"/>
      <c r="AI639" s="12">
        <f t="shared" si="188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O640" s="31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87"/>
        <v>0</v>
      </c>
      <c r="AF640" s="10"/>
      <c r="AG640" s="10"/>
      <c r="AH640" s="10"/>
      <c r="AI640" s="12">
        <f t="shared" si="188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31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11"/>
      <c r="AB641" s="47"/>
      <c r="AC641" s="31"/>
      <c r="AD641" s="31"/>
      <c r="AE641" s="32">
        <f t="shared" si="187"/>
        <v>0</v>
      </c>
      <c r="AF641" s="10"/>
      <c r="AG641" s="10"/>
      <c r="AH641" s="10"/>
      <c r="AI641" s="12">
        <f t="shared" si="188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11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B642" s="47"/>
      <c r="AC642" s="31"/>
      <c r="AD642" s="31"/>
      <c r="AE642" s="32">
        <f t="shared" si="187"/>
        <v>0</v>
      </c>
      <c r="AF642" s="10"/>
      <c r="AG642" s="10"/>
      <c r="AH642" s="10"/>
      <c r="AI642" s="12">
        <f t="shared" si="188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57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87"/>
        <v>0</v>
      </c>
      <c r="AF643" s="10"/>
      <c r="AG643" s="10"/>
      <c r="AH643" s="10"/>
      <c r="AI643" s="12">
        <f t="shared" si="188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31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87"/>
        <v>0</v>
      </c>
      <c r="AF644" s="10"/>
      <c r="AG644" s="10"/>
      <c r="AH644" s="10"/>
      <c r="AI644" s="12">
        <f t="shared" si="188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31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87"/>
        <v>0</v>
      </c>
      <c r="AF645" s="10"/>
      <c r="AG645" s="10"/>
      <c r="AH645" s="10"/>
      <c r="AI645" s="12">
        <f t="shared" si="188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57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B646" s="47"/>
      <c r="AC646" s="31"/>
      <c r="AD646" s="31"/>
      <c r="AE646" s="32">
        <f t="shared" si="187"/>
        <v>0</v>
      </c>
      <c r="AF646" s="10"/>
      <c r="AG646" s="10"/>
      <c r="AH646" s="10"/>
      <c r="AI646" s="12">
        <f t="shared" si="188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57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B647" s="47"/>
      <c r="AC647" s="31"/>
      <c r="AD647" s="31"/>
      <c r="AE647" s="32">
        <f t="shared" si="187"/>
        <v>0</v>
      </c>
      <c r="AF647" s="10"/>
      <c r="AG647" s="10"/>
      <c r="AH647" s="10"/>
      <c r="AI647" s="12">
        <f t="shared" si="188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31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87"/>
        <v>0</v>
      </c>
      <c r="AF648" s="10"/>
      <c r="AG648" s="10"/>
      <c r="AH648" s="10"/>
      <c r="AI648" s="12">
        <f t="shared" si="188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57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87"/>
        <v>0</v>
      </c>
      <c r="AF649" s="10"/>
      <c r="AG649" s="10"/>
      <c r="AH649" s="10"/>
      <c r="AI649" s="12">
        <f t="shared" si="188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57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ref="S650:S655" si="192">SUM(P650:Q650)</f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B650" s="47"/>
      <c r="AC650" s="31"/>
      <c r="AD650" s="31"/>
      <c r="AE650" s="32">
        <f t="shared" si="187"/>
        <v>0</v>
      </c>
      <c r="AF650" s="10"/>
      <c r="AG650" s="10"/>
      <c r="AH650" s="10"/>
      <c r="AI650" s="12">
        <f t="shared" ref="AI650:AI658" si="193">SUM(AE650:AH650)</f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31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92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87"/>
        <v>0</v>
      </c>
      <c r="AF651" s="10"/>
      <c r="AG651" s="10"/>
      <c r="AH651" s="10"/>
      <c r="AI651" s="12">
        <f t="shared" si="193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31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92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87"/>
        <v>0</v>
      </c>
      <c r="AF652" s="10"/>
      <c r="AG652" s="10"/>
      <c r="AH652" s="10"/>
      <c r="AI652" s="12">
        <f t="shared" si="193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92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87"/>
        <v>0</v>
      </c>
      <c r="AF653" s="10"/>
      <c r="AG653" s="10"/>
      <c r="AH653" s="10"/>
      <c r="AI653" s="12">
        <f t="shared" si="193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92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87"/>
        <v>0</v>
      </c>
      <c r="AF654" s="10"/>
      <c r="AG654" s="10"/>
      <c r="AH654" s="10"/>
      <c r="AI654" s="12">
        <f t="shared" si="193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92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87"/>
        <v>0</v>
      </c>
      <c r="AF655" s="10"/>
      <c r="AG655" s="10"/>
      <c r="AH655" s="10"/>
      <c r="AI655" s="12">
        <f t="shared" si="193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3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3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3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326400.5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326400.5</v>
      </c>
      <c r="H660" s="4"/>
      <c r="I660" s="39">
        <f>SUM(I617:I659)</f>
        <v>711</v>
      </c>
      <c r="J660" s="39">
        <f>SUM(J617:J659)</f>
        <v>0</v>
      </c>
      <c r="K660" s="40">
        <f>SUM(K617:K659)</f>
        <v>327111.5</v>
      </c>
      <c r="N660" s="57"/>
      <c r="O660" s="57"/>
      <c r="P660" s="38">
        <f>SUM(P617:P659)</f>
        <v>650653</v>
      </c>
      <c r="Q660" s="38">
        <f>SUM(Q617:Q641)</f>
        <v>-5088</v>
      </c>
      <c r="R660" s="38">
        <f>SUM(R617:R641)</f>
        <v>0</v>
      </c>
      <c r="S660" s="38">
        <f>SUM(S617:S659)</f>
        <v>645565</v>
      </c>
      <c r="T660" s="4"/>
      <c r="U660" s="41">
        <f>SUM(U617:U659)</f>
        <v>4284</v>
      </c>
      <c r="V660" s="41">
        <f>SUM(V617:V641)</f>
        <v>-609</v>
      </c>
      <c r="W660" s="42">
        <f>SUM(W617:W659)</f>
        <v>649240</v>
      </c>
      <c r="Z660" s="57"/>
      <c r="AA660" s="57"/>
      <c r="AB660" s="38">
        <f>SUM(AB617:AB659)</f>
        <v>225724</v>
      </c>
      <c r="AC660" s="38">
        <f>SUM(AC617:AC641)</f>
        <v>-1524</v>
      </c>
      <c r="AD660" s="38">
        <f>SUM(AD617:AD641)</f>
        <v>0</v>
      </c>
      <c r="AE660" s="38">
        <f>SUM(AE617:AE659)</f>
        <v>224200</v>
      </c>
      <c r="AF660" s="4"/>
      <c r="AG660" s="41">
        <f>SUM(AG617:AG659)</f>
        <v>5749.5</v>
      </c>
      <c r="AH660" s="41">
        <f>SUM(AH617:AH641)</f>
        <v>-5550</v>
      </c>
      <c r="AI660" s="42">
        <f>SUM(AI617:AI659)</f>
        <v>224399.5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69</v>
      </c>
      <c r="B668" s="20"/>
      <c r="C668" s="57"/>
      <c r="D668" s="57"/>
      <c r="E668" s="57"/>
      <c r="G668" s="57"/>
      <c r="I668" s="22" t="s">
        <v>16</v>
      </c>
      <c r="J668" s="23" t="s">
        <v>33</v>
      </c>
      <c r="K668" s="24"/>
      <c r="M668" s="21" t="s">
        <v>69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37</v>
      </c>
      <c r="W668" s="24"/>
      <c r="Y668" s="21" t="s">
        <v>69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31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5" t="s">
        <v>17</v>
      </c>
      <c r="E670" s="115"/>
      <c r="F670" s="106"/>
      <c r="G670" s="27"/>
      <c r="I670" s="118" t="s">
        <v>18</v>
      </c>
      <c r="J670" s="119"/>
      <c r="K670" s="116" t="s">
        <v>19</v>
      </c>
      <c r="N670" s="25"/>
      <c r="O670" s="26"/>
      <c r="P670" s="115" t="s">
        <v>17</v>
      </c>
      <c r="Q670" s="115"/>
      <c r="R670" s="106"/>
      <c r="S670" s="27"/>
      <c r="U670" s="118" t="s">
        <v>18</v>
      </c>
      <c r="V670" s="119"/>
      <c r="W670" s="116" t="s">
        <v>19</v>
      </c>
      <c r="Z670" s="25"/>
      <c r="AA670" s="26"/>
      <c r="AB670" s="115" t="s">
        <v>17</v>
      </c>
      <c r="AC670" s="115"/>
      <c r="AD670" s="106"/>
      <c r="AE670" s="27"/>
      <c r="AG670" s="118" t="s">
        <v>18</v>
      </c>
      <c r="AH670" s="119"/>
      <c r="AI670" s="116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9" t="s">
        <v>22</v>
      </c>
      <c r="E671" s="78" t="s">
        <v>23</v>
      </c>
      <c r="F671" s="80" t="s">
        <v>32</v>
      </c>
      <c r="G671" s="80" t="s">
        <v>24</v>
      </c>
      <c r="I671" s="29" t="s">
        <v>25</v>
      </c>
      <c r="J671" s="29" t="s">
        <v>26</v>
      </c>
      <c r="K671" s="117"/>
      <c r="N671" s="28" t="s">
        <v>20</v>
      </c>
      <c r="O671" s="28" t="s">
        <v>21</v>
      </c>
      <c r="P671" s="79" t="s">
        <v>22</v>
      </c>
      <c r="Q671" s="80" t="s">
        <v>23</v>
      </c>
      <c r="R671" s="80" t="s">
        <v>32</v>
      </c>
      <c r="S671" s="80" t="s">
        <v>24</v>
      </c>
      <c r="U671" s="29" t="s">
        <v>25</v>
      </c>
      <c r="V671" s="29" t="s">
        <v>26</v>
      </c>
      <c r="W671" s="117"/>
      <c r="Z671" s="28" t="s">
        <v>20</v>
      </c>
      <c r="AA671" s="28" t="s">
        <v>21</v>
      </c>
      <c r="AB671" s="79" t="s">
        <v>22</v>
      </c>
      <c r="AC671" s="80" t="s">
        <v>23</v>
      </c>
      <c r="AD671" s="80" t="s">
        <v>32</v>
      </c>
      <c r="AE671" s="80" t="s">
        <v>24</v>
      </c>
      <c r="AG671" s="29" t="s">
        <v>25</v>
      </c>
      <c r="AH671" s="29" t="s">
        <v>26</v>
      </c>
      <c r="AI671" s="117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70</v>
      </c>
      <c r="C672" s="91">
        <v>7952</v>
      </c>
      <c r="D672" s="32">
        <f>31300+1228+5960</f>
        <v>38488</v>
      </c>
      <c r="E672" s="32"/>
      <c r="F672" s="32"/>
      <c r="G672" s="32">
        <f t="shared" ref="G672:G705" si="199">SUM(D672:E672)</f>
        <v>38488</v>
      </c>
      <c r="H672" s="12"/>
      <c r="I672" s="12">
        <v>216</v>
      </c>
      <c r="J672" s="12"/>
      <c r="K672" s="12">
        <f t="shared" ref="K672:K705" si="200">SUM(G672:J672)</f>
        <v>38704</v>
      </c>
      <c r="M672" s="10">
        <v>1</v>
      </c>
      <c r="N672" s="30" t="s">
        <v>70</v>
      </c>
      <c r="O672" s="31">
        <v>7926</v>
      </c>
      <c r="P672" s="32">
        <f>1252+614+47.5</f>
        <v>1913.5</v>
      </c>
      <c r="Q672" s="32"/>
      <c r="R672" s="32"/>
      <c r="S672" s="32">
        <f>SUM(P672:Q672)</f>
        <v>1913.5</v>
      </c>
      <c r="T672" s="12"/>
      <c r="U672" s="12"/>
      <c r="V672" s="12"/>
      <c r="W672" s="12">
        <f>SUM(S672:V672)</f>
        <v>1913.5</v>
      </c>
      <c r="Y672" s="10">
        <v>1</v>
      </c>
      <c r="Z672" s="30" t="s">
        <v>70</v>
      </c>
      <c r="AA672" s="31">
        <v>7768</v>
      </c>
      <c r="AB672" s="32">
        <f>626*324+913*2+108*596+229*6</f>
        <v>270392</v>
      </c>
      <c r="AC672" s="32">
        <v>-2604</v>
      </c>
      <c r="AD672" s="32"/>
      <c r="AE672" s="32">
        <f>SUM(AB672:AC672)</f>
        <v>267788</v>
      </c>
      <c r="AF672" s="12"/>
      <c r="AG672" s="12">
        <f>140*111</f>
        <v>15540</v>
      </c>
      <c r="AH672" s="12"/>
      <c r="AI672" s="12">
        <f>SUM(AE672:AH672)</f>
        <v>283328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70</v>
      </c>
      <c r="C673" s="91">
        <f>C672+1</f>
        <v>7953</v>
      </c>
      <c r="D673" s="32">
        <f>2504+614+38</f>
        <v>3156</v>
      </c>
      <c r="E673" s="32"/>
      <c r="F673" s="32"/>
      <c r="G673" s="32">
        <f t="shared" si="199"/>
        <v>3156</v>
      </c>
      <c r="H673" s="12"/>
      <c r="I673" s="12">
        <v>72</v>
      </c>
      <c r="J673" s="12"/>
      <c r="K673" s="12">
        <f t="shared" si="200"/>
        <v>3228</v>
      </c>
      <c r="M673" s="10">
        <v>2</v>
      </c>
      <c r="N673" s="30" t="s">
        <v>70</v>
      </c>
      <c r="O673" s="31">
        <f>O672+1</f>
        <v>7927</v>
      </c>
      <c r="P673" s="32">
        <v>6260</v>
      </c>
      <c r="Q673" s="32"/>
      <c r="R673" s="32"/>
      <c r="S673" s="32">
        <f t="shared" ref="S673:S704" si="201">SUM(P673:Q673)</f>
        <v>6260</v>
      </c>
      <c r="T673" s="12"/>
      <c r="U673" s="12"/>
      <c r="V673" s="12">
        <f>-111+-84</f>
        <v>-195</v>
      </c>
      <c r="W673" s="12">
        <f t="shared" ref="W673:W713" si="202">SUM(S673:V673)</f>
        <v>6065</v>
      </c>
      <c r="Y673" s="10">
        <v>2</v>
      </c>
      <c r="Z673" s="30" t="s">
        <v>70</v>
      </c>
      <c r="AA673" s="31">
        <f>AA672+1</f>
        <v>7769</v>
      </c>
      <c r="AB673" s="32">
        <f>626*100+5*229</f>
        <v>63745</v>
      </c>
      <c r="AC673" s="32">
        <v>-600</v>
      </c>
      <c r="AD673" s="32"/>
      <c r="AE673" s="32">
        <f t="shared" ref="AE673:AE710" si="203">SUM(AB673:AC673)</f>
        <v>63145</v>
      </c>
      <c r="AF673" s="12"/>
      <c r="AG673" s="12"/>
      <c r="AH673" s="12">
        <f>-91*111+-5*78</f>
        <v>-10491</v>
      </c>
      <c r="AI673" s="12">
        <f t="shared" ref="AI673:AI704" si="204">SUM(AE673:AH673)</f>
        <v>52654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70</v>
      </c>
      <c r="C674" s="91">
        <f t="shared" ref="C674" si="205">C673+1</f>
        <v>7954</v>
      </c>
      <c r="D674" s="33">
        <f>405022+6183</f>
        <v>411205</v>
      </c>
      <c r="E674" s="33">
        <v>-3882</v>
      </c>
      <c r="F674" s="33"/>
      <c r="G674" s="33">
        <f t="shared" si="199"/>
        <v>407323</v>
      </c>
      <c r="H674" s="34"/>
      <c r="I674" s="34">
        <v>1950</v>
      </c>
      <c r="J674" s="34">
        <f>-11*120+-224*111+-28*111+-84*3</f>
        <v>-29544</v>
      </c>
      <c r="K674" s="34">
        <f t="shared" si="200"/>
        <v>379729</v>
      </c>
      <c r="M674" s="10">
        <v>3</v>
      </c>
      <c r="N674" s="30" t="s">
        <v>70</v>
      </c>
      <c r="O674" s="31">
        <f t="shared" ref="O674:O675" si="206">O673+1</f>
        <v>7928</v>
      </c>
      <c r="P674" s="32">
        <f>6260</f>
        <v>6260</v>
      </c>
      <c r="Q674" s="32"/>
      <c r="R674" s="32"/>
      <c r="S674" s="32">
        <f t="shared" si="201"/>
        <v>6260</v>
      </c>
      <c r="T674" s="12"/>
      <c r="U674" s="12">
        <v>58.5</v>
      </c>
      <c r="V674" s="12"/>
      <c r="W674" s="12">
        <f t="shared" si="202"/>
        <v>6318.5</v>
      </c>
      <c r="Y674" s="10">
        <v>3</v>
      </c>
      <c r="Z674" s="30" t="s">
        <v>70</v>
      </c>
      <c r="AA674" s="31">
        <f t="shared" ref="AA674" si="207">AA673+1</f>
        <v>7770</v>
      </c>
      <c r="AB674" s="33">
        <f>626*27+596*9+832</f>
        <v>23098</v>
      </c>
      <c r="AC674" s="33"/>
      <c r="AD674" s="32"/>
      <c r="AE674" s="32">
        <f t="shared" si="203"/>
        <v>23098</v>
      </c>
      <c r="AF674" s="12"/>
      <c r="AG674" s="12"/>
      <c r="AH674" s="12">
        <f>-111*22</f>
        <v>-2442</v>
      </c>
      <c r="AI674" s="12">
        <f t="shared" si="204"/>
        <v>20656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/>
      <c r="C675" s="11" t="s">
        <v>27</v>
      </c>
      <c r="D675" s="32"/>
      <c r="E675" s="32"/>
      <c r="F675" s="32"/>
      <c r="G675" s="32">
        <f t="shared" si="199"/>
        <v>0</v>
      </c>
      <c r="H675" s="12"/>
      <c r="I675" s="12"/>
      <c r="J675" s="12"/>
      <c r="K675" s="12">
        <f t="shared" si="200"/>
        <v>0</v>
      </c>
      <c r="M675" s="10">
        <v>4</v>
      </c>
      <c r="N675" s="30" t="s">
        <v>70</v>
      </c>
      <c r="O675" s="31">
        <f t="shared" si="206"/>
        <v>7929</v>
      </c>
      <c r="P675" s="32">
        <f>25040</f>
        <v>25040</v>
      </c>
      <c r="Q675" s="32"/>
      <c r="R675" s="32"/>
      <c r="S675" s="32">
        <f t="shared" si="201"/>
        <v>25040</v>
      </c>
      <c r="T675" s="12"/>
      <c r="U675" s="12">
        <v>40.5</v>
      </c>
      <c r="V675" s="12"/>
      <c r="W675" s="12">
        <f t="shared" si="202"/>
        <v>25080.5</v>
      </c>
      <c r="Y675" s="10">
        <v>4</v>
      </c>
      <c r="Z675" s="30"/>
      <c r="AA675" s="11" t="s">
        <v>27</v>
      </c>
      <c r="AB675" s="32"/>
      <c r="AC675" s="32"/>
      <c r="AD675" s="32"/>
      <c r="AE675" s="32">
        <f t="shared" si="203"/>
        <v>0</v>
      </c>
      <c r="AF675" s="12"/>
      <c r="AH675" s="12"/>
      <c r="AI675" s="12">
        <f t="shared" si="204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91"/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 t="s">
        <v>70</v>
      </c>
      <c r="O676" s="31">
        <v>7931</v>
      </c>
      <c r="P676" s="32">
        <f>338040+6140+64368+5038</f>
        <v>413586</v>
      </c>
      <c r="Q676" s="32">
        <v>-3948</v>
      </c>
      <c r="R676" s="32"/>
      <c r="S676" s="32">
        <f t="shared" si="201"/>
        <v>409638</v>
      </c>
      <c r="T676" s="12"/>
      <c r="U676" s="12">
        <f>48951+1404</f>
        <v>50355</v>
      </c>
      <c r="V676" s="12">
        <f>-756+-1260</f>
        <v>-2016</v>
      </c>
      <c r="W676" s="12">
        <f t="shared" si="202"/>
        <v>457977</v>
      </c>
      <c r="Y676" s="10">
        <v>5</v>
      </c>
      <c r="Z676" s="30"/>
      <c r="AA676" s="31"/>
      <c r="AB676" s="32"/>
      <c r="AC676" s="32"/>
      <c r="AD676" s="32"/>
      <c r="AE676" s="32">
        <f t="shared" si="203"/>
        <v>0</v>
      </c>
      <c r="AF676" s="12"/>
      <c r="AG676" s="12"/>
      <c r="AH676" s="12"/>
      <c r="AI676" s="12">
        <f t="shared" si="204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91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11" t="s">
        <v>27</v>
      </c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si="203"/>
        <v>0</v>
      </c>
      <c r="AF677" s="12"/>
      <c r="AG677" s="12"/>
      <c r="AH677" s="10"/>
      <c r="AI677" s="12">
        <f t="shared" si="204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91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B678" s="32"/>
      <c r="AC678" s="32"/>
      <c r="AD678" s="32"/>
      <c r="AE678" s="32">
        <f t="shared" si="203"/>
        <v>0</v>
      </c>
      <c r="AF678" s="12"/>
      <c r="AG678" s="58"/>
      <c r="AH678" s="12"/>
      <c r="AI678" s="12">
        <f t="shared" si="204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91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3"/>
        <v>0</v>
      </c>
      <c r="AF679" s="12"/>
      <c r="AG679" s="12"/>
      <c r="AH679" s="12"/>
      <c r="AI679" s="12">
        <f t="shared" si="204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91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3"/>
        <v>0</v>
      </c>
      <c r="AF680" s="12"/>
      <c r="AH680" s="12"/>
      <c r="AI680" s="12">
        <f t="shared" si="204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91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3"/>
        <v>0</v>
      </c>
      <c r="AF681" s="12"/>
      <c r="AG681" s="12"/>
      <c r="AH681" s="12"/>
      <c r="AI681" s="12">
        <f t="shared" si="204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91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O682" s="31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A682" s="31"/>
      <c r="AB682" s="32"/>
      <c r="AC682" s="32"/>
      <c r="AD682" s="32"/>
      <c r="AE682" s="32">
        <f t="shared" si="203"/>
        <v>0</v>
      </c>
      <c r="AF682" s="12"/>
      <c r="AG682" s="12"/>
      <c r="AH682" s="12"/>
      <c r="AI682" s="12">
        <f t="shared" si="204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91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3"/>
        <v>0</v>
      </c>
      <c r="AF683" s="12"/>
      <c r="AG683" s="12"/>
      <c r="AH683" s="12"/>
      <c r="AI683" s="12">
        <f t="shared" si="204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91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3"/>
        <v>0</v>
      </c>
      <c r="AF684" s="12"/>
      <c r="AG684" s="12"/>
      <c r="AH684" s="12"/>
      <c r="AI684" s="12">
        <f t="shared" si="204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91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3"/>
        <v>0</v>
      </c>
      <c r="AF685" s="12"/>
      <c r="AG685" s="12"/>
      <c r="AH685" s="12"/>
      <c r="AI685" s="12">
        <f t="shared" si="204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91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A686" s="31"/>
      <c r="AB686" s="32"/>
      <c r="AC686" s="32"/>
      <c r="AD686" s="32"/>
      <c r="AE686" s="32">
        <f t="shared" si="203"/>
        <v>0</v>
      </c>
      <c r="AF686" s="12"/>
      <c r="AG686" s="12"/>
      <c r="AH686" s="12"/>
      <c r="AI686" s="12">
        <f t="shared" si="204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C687" s="91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A687" s="31"/>
      <c r="AB687" s="32"/>
      <c r="AC687" s="32"/>
      <c r="AD687" s="32"/>
      <c r="AE687" s="32">
        <f t="shared" si="203"/>
        <v>0</v>
      </c>
      <c r="AF687" s="12"/>
      <c r="AG687" s="12"/>
      <c r="AH687" s="12"/>
      <c r="AI687" s="12">
        <f t="shared" si="204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91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3"/>
        <v>0</v>
      </c>
      <c r="AF688" s="12"/>
      <c r="AG688" s="12"/>
      <c r="AH688" s="12"/>
      <c r="AI688" s="12">
        <f t="shared" si="204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91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3"/>
        <v>0</v>
      </c>
      <c r="AF689" s="12"/>
      <c r="AG689" s="12"/>
      <c r="AH689" s="12"/>
      <c r="AI689" s="12">
        <f t="shared" si="204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3"/>
        <v>0</v>
      </c>
      <c r="AF690" s="12"/>
      <c r="AG690" s="12"/>
      <c r="AH690" s="12"/>
      <c r="AI690" s="12">
        <f t="shared" si="204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57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A691" s="31"/>
      <c r="AB691" s="32"/>
      <c r="AC691" s="32"/>
      <c r="AD691" s="32"/>
      <c r="AE691" s="32">
        <f t="shared" si="203"/>
        <v>0</v>
      </c>
      <c r="AF691" s="12"/>
      <c r="AG691" s="12"/>
      <c r="AH691" s="12"/>
      <c r="AI691" s="12">
        <f t="shared" si="204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91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O692" s="31"/>
      <c r="P692" s="46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3"/>
        <v>0</v>
      </c>
      <c r="AF692" s="10"/>
      <c r="AG692" s="10"/>
      <c r="AH692" s="10"/>
      <c r="AI692" s="12">
        <f t="shared" si="204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91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45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3"/>
        <v>0</v>
      </c>
      <c r="AF693" s="10"/>
      <c r="AG693" s="10"/>
      <c r="AH693" s="10"/>
      <c r="AI693" s="12">
        <f t="shared" si="204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57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E694" s="32">
        <f t="shared" si="203"/>
        <v>0</v>
      </c>
      <c r="AF694" s="10"/>
      <c r="AG694" s="10"/>
      <c r="AH694" s="10"/>
      <c r="AI694" s="12">
        <f t="shared" si="204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31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O695" s="31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3"/>
        <v>0</v>
      </c>
      <c r="AF695" s="10"/>
      <c r="AG695" s="10"/>
      <c r="AH695" s="10"/>
      <c r="AI695" s="12">
        <f t="shared" si="204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31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11"/>
      <c r="AB696" s="47"/>
      <c r="AC696" s="31"/>
      <c r="AD696" s="31"/>
      <c r="AE696" s="32">
        <f t="shared" si="203"/>
        <v>0</v>
      </c>
      <c r="AF696" s="10"/>
      <c r="AG696" s="10"/>
      <c r="AH696" s="10"/>
      <c r="AI696" s="12">
        <f t="shared" si="204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11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B697" s="47"/>
      <c r="AC697" s="31"/>
      <c r="AD697" s="31"/>
      <c r="AE697" s="32">
        <f t="shared" si="203"/>
        <v>0</v>
      </c>
      <c r="AF697" s="10"/>
      <c r="AG697" s="10"/>
      <c r="AH697" s="10"/>
      <c r="AI697" s="12">
        <f t="shared" si="204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57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3"/>
        <v>0</v>
      </c>
      <c r="AF698" s="10"/>
      <c r="AG698" s="10"/>
      <c r="AH698" s="10"/>
      <c r="AI698" s="12">
        <f t="shared" si="204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31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3"/>
        <v>0</v>
      </c>
      <c r="AF699" s="10"/>
      <c r="AG699" s="10"/>
      <c r="AH699" s="10"/>
      <c r="AI699" s="12">
        <f t="shared" si="204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31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3"/>
        <v>0</v>
      </c>
      <c r="AF700" s="10"/>
      <c r="AG700" s="10"/>
      <c r="AH700" s="10"/>
      <c r="AI700" s="12">
        <f t="shared" si="204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57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B701" s="47"/>
      <c r="AC701" s="31"/>
      <c r="AD701" s="31"/>
      <c r="AE701" s="32">
        <f t="shared" si="203"/>
        <v>0</v>
      </c>
      <c r="AF701" s="10"/>
      <c r="AG701" s="10"/>
      <c r="AH701" s="10"/>
      <c r="AI701" s="12">
        <f t="shared" si="204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57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B702" s="47"/>
      <c r="AC702" s="31"/>
      <c r="AD702" s="31"/>
      <c r="AE702" s="32">
        <f t="shared" si="203"/>
        <v>0</v>
      </c>
      <c r="AF702" s="10"/>
      <c r="AG702" s="10"/>
      <c r="AH702" s="10"/>
      <c r="AI702" s="12">
        <f t="shared" si="204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31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3"/>
        <v>0</v>
      </c>
      <c r="AF703" s="10"/>
      <c r="AG703" s="10"/>
      <c r="AH703" s="10"/>
      <c r="AI703" s="12">
        <f t="shared" si="204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57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3"/>
        <v>0</v>
      </c>
      <c r="AF704" s="10"/>
      <c r="AG704" s="10"/>
      <c r="AH704" s="10"/>
      <c r="AI704" s="12">
        <f t="shared" si="204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57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ref="S705:S710" si="208">SUM(P705:Q705)</f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B705" s="47"/>
      <c r="AC705" s="31"/>
      <c r="AD705" s="31"/>
      <c r="AE705" s="32">
        <f t="shared" si="203"/>
        <v>0</v>
      </c>
      <c r="AF705" s="10"/>
      <c r="AG705" s="10"/>
      <c r="AH705" s="10"/>
      <c r="AI705" s="12">
        <f t="shared" ref="AI705:AI713" si="209">SUM(AE705:AH705)</f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31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8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3"/>
        <v>0</v>
      </c>
      <c r="AF706" s="10"/>
      <c r="AG706" s="10"/>
      <c r="AH706" s="10"/>
      <c r="AI706" s="12">
        <f t="shared" si="209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31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8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3"/>
        <v>0</v>
      </c>
      <c r="AF707" s="10"/>
      <c r="AG707" s="10"/>
      <c r="AH707" s="10"/>
      <c r="AI707" s="12">
        <f t="shared" si="209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8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3"/>
        <v>0</v>
      </c>
      <c r="AF708" s="10"/>
      <c r="AG708" s="10"/>
      <c r="AH708" s="10"/>
      <c r="AI708" s="12">
        <f t="shared" si="209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8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3"/>
        <v>0</v>
      </c>
      <c r="AF709" s="10"/>
      <c r="AG709" s="10"/>
      <c r="AH709" s="10"/>
      <c r="AI709" s="12">
        <f t="shared" si="209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8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3"/>
        <v>0</v>
      </c>
      <c r="AF710" s="10"/>
      <c r="AG710" s="10"/>
      <c r="AH710" s="10"/>
      <c r="AI710" s="12">
        <f t="shared" si="209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9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9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9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452849</v>
      </c>
      <c r="E715" s="38">
        <f t="shared" ref="E715:F715" si="214">SUM(E672:E712)</f>
        <v>-3882</v>
      </c>
      <c r="F715" s="38">
        <f t="shared" si="214"/>
        <v>0</v>
      </c>
      <c r="G715" s="38">
        <f>SUM(G672:G714)</f>
        <v>448967</v>
      </c>
      <c r="H715" s="4"/>
      <c r="I715" s="39">
        <f>SUM(I672:I714)</f>
        <v>2238</v>
      </c>
      <c r="J715" s="39">
        <f>SUM(J672:J714)</f>
        <v>-29544</v>
      </c>
      <c r="K715" s="40">
        <f>SUM(K672:K714)</f>
        <v>421661</v>
      </c>
      <c r="N715" s="57"/>
      <c r="O715" s="57"/>
      <c r="P715" s="38">
        <f>SUM(P672:P714)</f>
        <v>453059.5</v>
      </c>
      <c r="Q715" s="38">
        <f>SUM(Q672:Q696)</f>
        <v>-3948</v>
      </c>
      <c r="R715" s="38">
        <f>SUM(R672:R696)</f>
        <v>0</v>
      </c>
      <c r="S715" s="38">
        <f>SUM(S672:S714)</f>
        <v>449111.5</v>
      </c>
      <c r="T715" s="4"/>
      <c r="U715" s="41">
        <f>SUM(U672:U714)</f>
        <v>50454</v>
      </c>
      <c r="V715" s="41">
        <f>SUM(V672:V696)</f>
        <v>-2211</v>
      </c>
      <c r="W715" s="42">
        <f>SUM(W672:W714)</f>
        <v>497354.5</v>
      </c>
      <c r="Z715" s="57"/>
      <c r="AA715" s="57"/>
      <c r="AB715" s="38">
        <f>SUM(AB672:AB714)</f>
        <v>357235</v>
      </c>
      <c r="AC715" s="38">
        <f>SUM(AC672:AC696)</f>
        <v>-3204</v>
      </c>
      <c r="AD715" s="38">
        <f>SUM(AD672:AD696)</f>
        <v>0</v>
      </c>
      <c r="AE715" s="38">
        <f>SUM(AE672:AE714)</f>
        <v>354031</v>
      </c>
      <c r="AF715" s="4"/>
      <c r="AG715" s="41">
        <f>SUM(AG672:AG714)</f>
        <v>15540</v>
      </c>
      <c r="AH715" s="41">
        <f>SUM(AH672:AH696)</f>
        <v>-12933</v>
      </c>
      <c r="AI715" s="42">
        <f>SUM(AI672:AI714)</f>
        <v>356638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41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41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41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72</v>
      </c>
      <c r="B723" s="20"/>
      <c r="C723" s="57"/>
      <c r="D723" s="57"/>
      <c r="E723" s="57"/>
      <c r="G723" s="57"/>
      <c r="I723" s="22" t="s">
        <v>16</v>
      </c>
      <c r="J723" s="23" t="s">
        <v>33</v>
      </c>
      <c r="K723" s="24"/>
      <c r="M723" s="21" t="s">
        <v>72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37</v>
      </c>
      <c r="W723" s="24"/>
      <c r="Y723" s="21" t="s">
        <v>72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31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5" t="s">
        <v>17</v>
      </c>
      <c r="E725" s="115"/>
      <c r="F725" s="107"/>
      <c r="G725" s="27"/>
      <c r="I725" s="118" t="s">
        <v>18</v>
      </c>
      <c r="J725" s="119"/>
      <c r="K725" s="116" t="s">
        <v>19</v>
      </c>
      <c r="N725" s="25"/>
      <c r="O725" s="26"/>
      <c r="P725" s="115" t="s">
        <v>17</v>
      </c>
      <c r="Q725" s="115"/>
      <c r="R725" s="108"/>
      <c r="S725" s="27"/>
      <c r="U725" s="118" t="s">
        <v>18</v>
      </c>
      <c r="V725" s="119"/>
      <c r="W725" s="116" t="s">
        <v>19</v>
      </c>
      <c r="Z725" s="25"/>
      <c r="AA725" s="26"/>
      <c r="AB725" s="115" t="s">
        <v>17</v>
      </c>
      <c r="AC725" s="115"/>
      <c r="AD725" s="108"/>
      <c r="AE725" s="27"/>
      <c r="AG725" s="118" t="s">
        <v>18</v>
      </c>
      <c r="AH725" s="119"/>
      <c r="AI725" s="116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9" t="s">
        <v>22</v>
      </c>
      <c r="E726" s="78" t="s">
        <v>23</v>
      </c>
      <c r="F726" s="80" t="s">
        <v>32</v>
      </c>
      <c r="G726" s="80" t="s">
        <v>24</v>
      </c>
      <c r="I726" s="29" t="s">
        <v>25</v>
      </c>
      <c r="J726" s="29" t="s">
        <v>26</v>
      </c>
      <c r="K726" s="117"/>
      <c r="N726" s="28" t="s">
        <v>20</v>
      </c>
      <c r="O726" s="28" t="s">
        <v>21</v>
      </c>
      <c r="P726" s="79" t="s">
        <v>22</v>
      </c>
      <c r="Q726" s="80" t="s">
        <v>23</v>
      </c>
      <c r="R726" s="80" t="s">
        <v>32</v>
      </c>
      <c r="S726" s="80" t="s">
        <v>24</v>
      </c>
      <c r="U726" s="29" t="s">
        <v>25</v>
      </c>
      <c r="V726" s="29" t="s">
        <v>26</v>
      </c>
      <c r="W726" s="117"/>
      <c r="Z726" s="28" t="s">
        <v>20</v>
      </c>
      <c r="AA726" s="28" t="s">
        <v>21</v>
      </c>
      <c r="AB726" s="79" t="s">
        <v>22</v>
      </c>
      <c r="AC726" s="80" t="s">
        <v>23</v>
      </c>
      <c r="AD726" s="80" t="s">
        <v>32</v>
      </c>
      <c r="AE726" s="80" t="s">
        <v>24</v>
      </c>
      <c r="AG726" s="29" t="s">
        <v>25</v>
      </c>
      <c r="AH726" s="29" t="s">
        <v>26</v>
      </c>
      <c r="AI726" s="117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73</v>
      </c>
      <c r="C727" s="91">
        <v>7955</v>
      </c>
      <c r="D727" s="32">
        <f>9390+5960+229</f>
        <v>15579</v>
      </c>
      <c r="E727" s="32"/>
      <c r="F727" s="32"/>
      <c r="G727" s="32">
        <f t="shared" ref="G727:G760" si="215">SUM(D727:E727)</f>
        <v>15579</v>
      </c>
      <c r="H727" s="12"/>
      <c r="I727" s="12"/>
      <c r="J727" s="12"/>
      <c r="K727" s="12">
        <f t="shared" ref="K727:K760" si="216">SUM(G727:J727)</f>
        <v>15579</v>
      </c>
      <c r="M727" s="10">
        <v>1</v>
      </c>
      <c r="N727" s="30" t="s">
        <v>73</v>
      </c>
      <c r="O727" s="31">
        <v>7932</v>
      </c>
      <c r="P727" s="32">
        <f>3130+1192+66.5</f>
        <v>4388.5</v>
      </c>
      <c r="Q727" s="32"/>
      <c r="R727" s="32"/>
      <c r="S727" s="32">
        <f>SUM(P727:Q727)</f>
        <v>4388.5</v>
      </c>
      <c r="T727" s="12"/>
      <c r="U727" s="12"/>
      <c r="V727" s="12"/>
      <c r="W727" s="12">
        <f>SUM(S727:V727)</f>
        <v>4388.5</v>
      </c>
      <c r="Y727" s="10">
        <v>1</v>
      </c>
      <c r="Z727" s="30" t="s">
        <v>73</v>
      </c>
      <c r="AA727" s="31">
        <v>7771</v>
      </c>
      <c r="AB727" s="32">
        <f>626*360+596*80+852*2+1005*10+832*20+229*19</f>
        <v>305785</v>
      </c>
      <c r="AC727" s="32">
        <v>-2946</v>
      </c>
      <c r="AD727" s="32"/>
      <c r="AE727" s="32">
        <f>SUM(AB727:AC727)</f>
        <v>302839</v>
      </c>
      <c r="AF727" s="12"/>
      <c r="AG727" s="12">
        <f>2331+108</f>
        <v>2439</v>
      </c>
      <c r="AH727" s="12"/>
      <c r="AI727" s="12">
        <f>SUM(AE727:AH727)</f>
        <v>305278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73</v>
      </c>
      <c r="C728" s="91">
        <f>C727+1</f>
        <v>7956</v>
      </c>
      <c r="D728" s="32">
        <f>1878+596+38</f>
        <v>2512</v>
      </c>
      <c r="E728" s="32"/>
      <c r="F728" s="32"/>
      <c r="G728" s="32">
        <f t="shared" si="215"/>
        <v>2512</v>
      </c>
      <c r="H728" s="12"/>
      <c r="I728" s="12">
        <v>6</v>
      </c>
      <c r="J728" s="12"/>
      <c r="K728" s="12">
        <f t="shared" si="216"/>
        <v>2518</v>
      </c>
      <c r="M728" s="10">
        <v>2</v>
      </c>
      <c r="N728" s="30" t="s">
        <v>73</v>
      </c>
      <c r="O728" s="31">
        <f>O727+1</f>
        <v>7933</v>
      </c>
      <c r="P728" s="32">
        <f>62600+5364+458</f>
        <v>68422</v>
      </c>
      <c r="Q728" s="32">
        <v>-654</v>
      </c>
      <c r="R728" s="32"/>
      <c r="S728" s="32">
        <f t="shared" ref="S728:S771" si="217">SUM(P728:Q728)</f>
        <v>67768</v>
      </c>
      <c r="T728" s="12"/>
      <c r="U728" s="12"/>
      <c r="V728" s="12"/>
      <c r="W728" s="12">
        <f t="shared" ref="W728:W771" si="218">SUM(S728:V728)</f>
        <v>67768</v>
      </c>
      <c r="Y728" s="10">
        <v>2</v>
      </c>
      <c r="Z728" s="30" t="s">
        <v>73</v>
      </c>
      <c r="AA728" s="31">
        <f>AA727+1</f>
        <v>7772</v>
      </c>
      <c r="AB728" s="32">
        <f>626*61+229*5</f>
        <v>39331</v>
      </c>
      <c r="AC728" s="32"/>
      <c r="AD728" s="32"/>
      <c r="AE728" s="32">
        <f t="shared" ref="AE728:AE771" si="219">SUM(AB728:AC728)</f>
        <v>39331</v>
      </c>
      <c r="AF728" s="12"/>
      <c r="AG728" s="12"/>
      <c r="AH728" s="12"/>
      <c r="AI728" s="12">
        <f t="shared" ref="AI728:AI771" si="220">SUM(AE728:AH728)</f>
        <v>39331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73</v>
      </c>
      <c r="C729" s="91">
        <f t="shared" ref="C729:C743" si="221">C728+1</f>
        <v>7957</v>
      </c>
      <c r="D729" s="33">
        <f>10642+614+1192+180.5</f>
        <v>12628.5</v>
      </c>
      <c r="E729" s="33"/>
      <c r="F729" s="33"/>
      <c r="G729" s="33">
        <f t="shared" si="215"/>
        <v>12628.5</v>
      </c>
      <c r="H729" s="34"/>
      <c r="I729" s="34"/>
      <c r="J729" s="34"/>
      <c r="K729" s="34">
        <f t="shared" si="216"/>
        <v>12628.5</v>
      </c>
      <c r="M729" s="10">
        <v>3</v>
      </c>
      <c r="N729" s="30" t="s">
        <v>73</v>
      </c>
      <c r="O729" s="31">
        <f t="shared" ref="O729:O741" si="222">O728+1</f>
        <v>7934</v>
      </c>
      <c r="P729" s="32">
        <f>25040+674+5960</f>
        <v>31674</v>
      </c>
      <c r="Q729" s="32"/>
      <c r="R729" s="32"/>
      <c r="S729" s="32">
        <f t="shared" si="217"/>
        <v>31674</v>
      </c>
      <c r="T729" s="12"/>
      <c r="U729" s="12">
        <f>5106+13.5</f>
        <v>5119.5</v>
      </c>
      <c r="V729" s="12"/>
      <c r="W729" s="12">
        <f t="shared" si="218"/>
        <v>36793.5</v>
      </c>
      <c r="Y729" s="10">
        <v>3</v>
      </c>
      <c r="Z729" s="30" t="s">
        <v>73</v>
      </c>
      <c r="AA729" s="31">
        <f t="shared" ref="AA729:AA741" si="223">AA728+1</f>
        <v>7773</v>
      </c>
      <c r="AB729" s="33">
        <f>100160+3070+11920+1664+687</f>
        <v>117501</v>
      </c>
      <c r="AC729" s="33">
        <v>-1140</v>
      </c>
      <c r="AD729" s="32"/>
      <c r="AE729" s="32">
        <f t="shared" si="219"/>
        <v>116361</v>
      </c>
      <c r="AF729" s="12"/>
      <c r="AG729" s="12">
        <f>5661+36+54</f>
        <v>5751</v>
      </c>
      <c r="AH729" s="12">
        <f>-240</f>
        <v>-240</v>
      </c>
      <c r="AI729" s="12">
        <f t="shared" si="220"/>
        <v>121872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73</v>
      </c>
      <c r="C730" s="91">
        <f t="shared" si="221"/>
        <v>7958</v>
      </c>
      <c r="D730" s="32">
        <f>7512+1228+1192+832</f>
        <v>10764</v>
      </c>
      <c r="E730" s="32"/>
      <c r="F730" s="32"/>
      <c r="G730" s="32">
        <f t="shared" si="215"/>
        <v>10764</v>
      </c>
      <c r="H730" s="12"/>
      <c r="I730" s="12"/>
      <c r="J730" s="12"/>
      <c r="K730" s="12">
        <f t="shared" si="216"/>
        <v>10764</v>
      </c>
      <c r="M730" s="10">
        <v>4</v>
      </c>
      <c r="N730" s="30" t="s">
        <v>73</v>
      </c>
      <c r="O730" s="31">
        <f t="shared" si="222"/>
        <v>7935</v>
      </c>
      <c r="P730" s="32">
        <f>6886+1788+133</f>
        <v>8807</v>
      </c>
      <c r="Q730" s="32"/>
      <c r="R730" s="32"/>
      <c r="S730" s="32">
        <f t="shared" si="217"/>
        <v>8807</v>
      </c>
      <c r="T730" s="12"/>
      <c r="U730" s="12">
        <f>81+18</f>
        <v>99</v>
      </c>
      <c r="V730" s="12"/>
      <c r="W730" s="12">
        <f t="shared" si="218"/>
        <v>8906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 t="shared" si="219"/>
        <v>0</v>
      </c>
      <c r="AF730" s="12"/>
      <c r="AH730" s="12"/>
      <c r="AI730" s="12">
        <f t="shared" si="220"/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73</v>
      </c>
      <c r="C731" s="91">
        <f t="shared" si="221"/>
        <v>7959</v>
      </c>
      <c r="D731" s="32">
        <f>1878+596+832+38</f>
        <v>3344</v>
      </c>
      <c r="E731" s="32"/>
      <c r="F731" s="32"/>
      <c r="G731" s="32">
        <f t="shared" si="215"/>
        <v>3344</v>
      </c>
      <c r="H731" s="12"/>
      <c r="I731" s="12"/>
      <c r="J731" s="12"/>
      <c r="K731" s="12">
        <f t="shared" si="216"/>
        <v>3344</v>
      </c>
      <c r="M731" s="10">
        <v>5</v>
      </c>
      <c r="N731" s="30" t="s">
        <v>73</v>
      </c>
      <c r="O731" s="31">
        <f t="shared" si="222"/>
        <v>7936</v>
      </c>
      <c r="P731" s="32">
        <f>3756+57</f>
        <v>3813</v>
      </c>
      <c r="Q731" s="32"/>
      <c r="R731" s="32"/>
      <c r="S731" s="32">
        <f t="shared" si="217"/>
        <v>3813</v>
      </c>
      <c r="T731" s="12"/>
      <c r="U731" s="12"/>
      <c r="V731" s="12"/>
      <c r="W731" s="12">
        <f t="shared" si="218"/>
        <v>3813</v>
      </c>
      <c r="Y731" s="10">
        <v>5</v>
      </c>
      <c r="Z731" s="30"/>
      <c r="AA731" s="31"/>
      <c r="AB731" s="32"/>
      <c r="AC731" s="32"/>
      <c r="AD731" s="32"/>
      <c r="AE731" s="32">
        <f t="shared" si="219"/>
        <v>0</v>
      </c>
      <c r="AF731" s="12"/>
      <c r="AG731" s="12"/>
      <c r="AH731" s="12"/>
      <c r="AI731" s="12">
        <f t="shared" si="220"/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73</v>
      </c>
      <c r="C732" s="91">
        <f t="shared" si="221"/>
        <v>7960</v>
      </c>
      <c r="D732" s="32">
        <f>3130+47.5</f>
        <v>3177.5</v>
      </c>
      <c r="E732" s="32"/>
      <c r="F732" s="32"/>
      <c r="G732" s="32">
        <f t="shared" si="215"/>
        <v>3177.5</v>
      </c>
      <c r="H732" s="12"/>
      <c r="I732" s="12"/>
      <c r="J732" s="12"/>
      <c r="K732" s="12">
        <f t="shared" si="216"/>
        <v>3177.5</v>
      </c>
      <c r="M732" s="10">
        <v>6</v>
      </c>
      <c r="N732" s="30" t="s">
        <v>73</v>
      </c>
      <c r="O732" s="31">
        <f t="shared" si="222"/>
        <v>7937</v>
      </c>
      <c r="P732" s="32">
        <f>25040+1228+11920+832+229</f>
        <v>39249</v>
      </c>
      <c r="Q732" s="32"/>
      <c r="R732" s="32"/>
      <c r="S732" s="32">
        <f t="shared" si="217"/>
        <v>39249</v>
      </c>
      <c r="T732" s="12"/>
      <c r="U732" s="12">
        <f>4329+324+6.75</f>
        <v>4659.75</v>
      </c>
      <c r="V732" s="10"/>
      <c r="W732" s="12">
        <f t="shared" si="218"/>
        <v>43908.75</v>
      </c>
      <c r="Y732" s="10">
        <v>6</v>
      </c>
      <c r="Z732" s="30"/>
      <c r="AA732" s="31"/>
      <c r="AB732" s="32"/>
      <c r="AC732" s="32"/>
      <c r="AD732" s="32"/>
      <c r="AE732" s="32">
        <f t="shared" si="219"/>
        <v>0</v>
      </c>
      <c r="AF732" s="12"/>
      <c r="AG732" s="12"/>
      <c r="AH732" s="10"/>
      <c r="AI732" s="12">
        <f t="shared" si="220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73</v>
      </c>
      <c r="C733" s="91">
        <f t="shared" si="221"/>
        <v>7961</v>
      </c>
      <c r="D733" s="32">
        <f>626+614+1788+38</f>
        <v>3066</v>
      </c>
      <c r="E733" s="32"/>
      <c r="F733" s="32"/>
      <c r="G733" s="32">
        <f t="shared" si="215"/>
        <v>3066</v>
      </c>
      <c r="H733" s="12"/>
      <c r="I733" s="12">
        <v>13.5</v>
      </c>
      <c r="J733" s="12"/>
      <c r="K733" s="12">
        <f t="shared" si="216"/>
        <v>3079.5</v>
      </c>
      <c r="M733" s="10">
        <v>7</v>
      </c>
      <c r="N733" s="30" t="s">
        <v>73</v>
      </c>
      <c r="O733" s="31">
        <f t="shared" si="222"/>
        <v>7938</v>
      </c>
      <c r="P733" s="32">
        <f>112680+1175+11920+1704+1832+650</f>
        <v>129961</v>
      </c>
      <c r="Q733" s="32">
        <v>-1212</v>
      </c>
      <c r="R733" s="32"/>
      <c r="S733" s="32">
        <f t="shared" si="217"/>
        <v>128749</v>
      </c>
      <c r="T733" s="12"/>
      <c r="U733" s="12">
        <v>546</v>
      </c>
      <c r="V733" s="12">
        <f>-168+-210</f>
        <v>-378</v>
      </c>
      <c r="W733" s="12">
        <f t="shared" si="218"/>
        <v>128917</v>
      </c>
      <c r="Y733" s="10">
        <v>7</v>
      </c>
      <c r="Z733" s="30"/>
      <c r="AA733" s="31"/>
      <c r="AB733" s="32"/>
      <c r="AC733" s="32"/>
      <c r="AD733" s="32"/>
      <c r="AE733" s="32">
        <f t="shared" si="219"/>
        <v>0</v>
      </c>
      <c r="AF733" s="12"/>
      <c r="AG733" s="58"/>
      <c r="AH733" s="12"/>
      <c r="AI733" s="12">
        <f t="shared" si="220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73</v>
      </c>
      <c r="C734" s="91">
        <f t="shared" si="221"/>
        <v>7962</v>
      </c>
      <c r="D734" s="32">
        <f>40690+2980</f>
        <v>43670</v>
      </c>
      <c r="E734" s="32"/>
      <c r="F734" s="32"/>
      <c r="G734" s="32">
        <f t="shared" si="215"/>
        <v>43670</v>
      </c>
      <c r="H734" s="12"/>
      <c r="I734" s="12">
        <v>666</v>
      </c>
      <c r="J734" s="12"/>
      <c r="K734" s="12">
        <f t="shared" si="216"/>
        <v>44336</v>
      </c>
      <c r="M734" s="10">
        <v>8</v>
      </c>
      <c r="N734" s="30" t="s">
        <v>73</v>
      </c>
      <c r="O734" s="31">
        <f t="shared" si="222"/>
        <v>7939</v>
      </c>
      <c r="P734" s="32">
        <f>1252</f>
        <v>1252</v>
      </c>
      <c r="Q734" s="32"/>
      <c r="R734" s="32"/>
      <c r="S734" s="32">
        <f t="shared" si="217"/>
        <v>1252</v>
      </c>
      <c r="T734" s="12"/>
      <c r="U734" s="12"/>
      <c r="V734" s="12"/>
      <c r="W734" s="12">
        <f t="shared" si="218"/>
        <v>1252</v>
      </c>
      <c r="Y734" s="10">
        <v>8</v>
      </c>
      <c r="Z734" s="30"/>
      <c r="AA734" s="31"/>
      <c r="AB734" s="32"/>
      <c r="AC734" s="32"/>
      <c r="AE734" s="32">
        <f t="shared" si="219"/>
        <v>0</v>
      </c>
      <c r="AF734" s="12"/>
      <c r="AG734" s="12"/>
      <c r="AH734" s="12"/>
      <c r="AI734" s="12">
        <f t="shared" si="220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73</v>
      </c>
      <c r="C735" s="91">
        <f t="shared" si="221"/>
        <v>7963</v>
      </c>
      <c r="D735" s="32">
        <f>4382+66.5</f>
        <v>4448.5</v>
      </c>
      <c r="E735" s="32"/>
      <c r="F735" s="32"/>
      <c r="G735" s="32">
        <f t="shared" si="215"/>
        <v>4448.5</v>
      </c>
      <c r="H735" s="12"/>
      <c r="I735" s="12">
        <v>9</v>
      </c>
      <c r="J735" s="12"/>
      <c r="K735" s="12">
        <f t="shared" si="216"/>
        <v>4457.5</v>
      </c>
      <c r="M735" s="10">
        <v>9</v>
      </c>
      <c r="N735" s="30" t="s">
        <v>73</v>
      </c>
      <c r="O735" s="31">
        <f t="shared" si="222"/>
        <v>7940</v>
      </c>
      <c r="P735" s="32">
        <f>1175+1175+1175+650</f>
        <v>4175</v>
      </c>
      <c r="Q735" s="32"/>
      <c r="R735" s="32"/>
      <c r="S735" s="32">
        <f t="shared" si="217"/>
        <v>4175</v>
      </c>
      <c r="T735" s="12"/>
      <c r="U735" s="12"/>
      <c r="V735" s="12"/>
      <c r="W735" s="12">
        <f t="shared" si="218"/>
        <v>4175</v>
      </c>
      <c r="Y735" s="10">
        <v>9</v>
      </c>
      <c r="Z735" s="30"/>
      <c r="AA735" s="31"/>
      <c r="AC735" s="32"/>
      <c r="AD735" s="32"/>
      <c r="AE735" s="32">
        <f t="shared" si="219"/>
        <v>0</v>
      </c>
      <c r="AF735" s="12"/>
      <c r="AH735" s="12"/>
      <c r="AI735" s="12">
        <f t="shared" si="220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73</v>
      </c>
      <c r="C736" s="91">
        <f t="shared" si="221"/>
        <v>7964</v>
      </c>
      <c r="D736" s="32">
        <f>31300+229</f>
        <v>31529</v>
      </c>
      <c r="E736" s="32"/>
      <c r="F736" s="32"/>
      <c r="G736" s="32">
        <f t="shared" si="215"/>
        <v>31529</v>
      </c>
      <c r="H736" s="12"/>
      <c r="I736" s="12">
        <v>2220</v>
      </c>
      <c r="J736" s="12"/>
      <c r="K736" s="12">
        <f t="shared" si="216"/>
        <v>33749</v>
      </c>
      <c r="M736" s="10">
        <v>10</v>
      </c>
      <c r="N736" s="30"/>
      <c r="O736" s="11" t="s">
        <v>27</v>
      </c>
      <c r="P736" s="32"/>
      <c r="Q736" s="32"/>
      <c r="R736" s="32"/>
      <c r="S736" s="32">
        <f t="shared" si="217"/>
        <v>0</v>
      </c>
      <c r="T736" s="12"/>
      <c r="U736" s="12"/>
      <c r="V736" s="12"/>
      <c r="W736" s="12">
        <f t="shared" si="218"/>
        <v>0</v>
      </c>
      <c r="Y736" s="10">
        <v>10</v>
      </c>
      <c r="Z736" s="30"/>
      <c r="AA736" s="31"/>
      <c r="AB736" s="32"/>
      <c r="AC736" s="32"/>
      <c r="AD736" s="32"/>
      <c r="AE736" s="32">
        <f t="shared" si="219"/>
        <v>0</v>
      </c>
      <c r="AF736" s="12"/>
      <c r="AG736" s="12"/>
      <c r="AH736" s="12"/>
      <c r="AI736" s="12">
        <f t="shared" si="220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73</v>
      </c>
      <c r="C737" s="91">
        <f t="shared" si="221"/>
        <v>7965</v>
      </c>
      <c r="D737" s="32">
        <f>3130+47.5</f>
        <v>3177.5</v>
      </c>
      <c r="E737" s="32"/>
      <c r="F737" s="32"/>
      <c r="G737" s="32">
        <f t="shared" si="215"/>
        <v>3177.5</v>
      </c>
      <c r="H737" s="12"/>
      <c r="I737" s="12"/>
      <c r="J737" s="12"/>
      <c r="K737" s="12">
        <f t="shared" si="216"/>
        <v>3177.5</v>
      </c>
      <c r="M737" s="10">
        <v>11</v>
      </c>
      <c r="N737" s="30"/>
      <c r="O737" s="31"/>
      <c r="P737" s="32"/>
      <c r="Q737" s="32"/>
      <c r="R737" s="32"/>
      <c r="S737" s="32">
        <f t="shared" si="217"/>
        <v>0</v>
      </c>
      <c r="T737" s="12"/>
      <c r="U737" s="12"/>
      <c r="V737" s="12"/>
      <c r="W737" s="12">
        <f t="shared" si="218"/>
        <v>0</v>
      </c>
      <c r="Y737" s="10">
        <v>11</v>
      </c>
      <c r="Z737" s="30"/>
      <c r="AA737" s="31"/>
      <c r="AB737" s="32"/>
      <c r="AC737" s="32"/>
      <c r="AD737" s="32"/>
      <c r="AE737" s="32">
        <f t="shared" si="219"/>
        <v>0</v>
      </c>
      <c r="AF737" s="12"/>
      <c r="AG737" s="12"/>
      <c r="AH737" s="12"/>
      <c r="AI737" s="12">
        <f t="shared" si="220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73</v>
      </c>
      <c r="C738" s="91">
        <f t="shared" si="221"/>
        <v>7966</v>
      </c>
      <c r="D738" s="32">
        <f>2504+38</f>
        <v>2542</v>
      </c>
      <c r="E738" s="32"/>
      <c r="F738" s="32"/>
      <c r="G738" s="32">
        <f t="shared" si="215"/>
        <v>2542</v>
      </c>
      <c r="H738" s="12"/>
      <c r="I738" s="12"/>
      <c r="J738" s="10"/>
      <c r="K738" s="12">
        <f t="shared" si="216"/>
        <v>2542</v>
      </c>
      <c r="M738" s="10">
        <v>12</v>
      </c>
      <c r="N738" s="30"/>
      <c r="O738" s="31"/>
      <c r="P738" s="32"/>
      <c r="Q738" s="32"/>
      <c r="R738" s="32"/>
      <c r="S738" s="32">
        <f t="shared" si="217"/>
        <v>0</v>
      </c>
      <c r="T738" s="12"/>
      <c r="U738" s="12"/>
      <c r="V738" s="12"/>
      <c r="W738" s="12">
        <f t="shared" si="218"/>
        <v>0</v>
      </c>
      <c r="Y738" s="10">
        <v>12</v>
      </c>
      <c r="Z738" s="30"/>
      <c r="AA738" s="31"/>
      <c r="AB738" s="32"/>
      <c r="AC738" s="32"/>
      <c r="AD738" s="32"/>
      <c r="AE738" s="32">
        <f t="shared" si="219"/>
        <v>0</v>
      </c>
      <c r="AF738" s="12"/>
      <c r="AG738" s="12"/>
      <c r="AH738" s="12"/>
      <c r="AI738" s="12">
        <f t="shared" si="220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73</v>
      </c>
      <c r="C739" s="91">
        <f t="shared" si="221"/>
        <v>7967</v>
      </c>
      <c r="D739" s="32">
        <f>5008+76+650</f>
        <v>5734</v>
      </c>
      <c r="E739" s="32"/>
      <c r="F739" s="32"/>
      <c r="G739" s="32">
        <f t="shared" si="215"/>
        <v>5734</v>
      </c>
      <c r="H739" s="12"/>
      <c r="I739" s="12"/>
      <c r="J739" s="12"/>
      <c r="K739" s="12">
        <f t="shared" si="216"/>
        <v>5734</v>
      </c>
      <c r="M739" s="10">
        <v>13</v>
      </c>
      <c r="N739" s="30"/>
      <c r="O739" s="31"/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19"/>
        <v>0</v>
      </c>
      <c r="AF739" s="12"/>
      <c r="AG739" s="12"/>
      <c r="AH739" s="12"/>
      <c r="AI739" s="12">
        <f t="shared" si="220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73</v>
      </c>
      <c r="C740" s="91">
        <f t="shared" si="221"/>
        <v>7968</v>
      </c>
      <c r="D740" s="32">
        <f>14398+2384+229</f>
        <v>17011</v>
      </c>
      <c r="E740" s="32"/>
      <c r="F740" s="32"/>
      <c r="G740" s="32">
        <f t="shared" si="215"/>
        <v>17011</v>
      </c>
      <c r="H740" s="12"/>
      <c r="I740" s="12"/>
      <c r="J740" s="12"/>
      <c r="K740" s="12">
        <f t="shared" si="216"/>
        <v>17011</v>
      </c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19"/>
        <v>0</v>
      </c>
      <c r="AF740" s="12"/>
      <c r="AG740" s="12"/>
      <c r="AH740" s="12"/>
      <c r="AI740" s="12">
        <f t="shared" si="220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73</v>
      </c>
      <c r="C741" s="91">
        <f t="shared" si="221"/>
        <v>7969</v>
      </c>
      <c r="D741" s="32">
        <f>26292+1788+229+650</f>
        <v>28959</v>
      </c>
      <c r="E741" s="32"/>
      <c r="F741" s="32"/>
      <c r="G741" s="32">
        <f t="shared" si="215"/>
        <v>28959</v>
      </c>
      <c r="H741" s="12"/>
      <c r="I741" s="12">
        <v>27</v>
      </c>
      <c r="J741" s="12"/>
      <c r="K741" s="12">
        <f t="shared" si="216"/>
        <v>28986</v>
      </c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19"/>
        <v>0</v>
      </c>
      <c r="AF741" s="12"/>
      <c r="AG741" s="12"/>
      <c r="AH741" s="12"/>
      <c r="AI741" s="12">
        <f t="shared" si="220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73</v>
      </c>
      <c r="C742" s="91">
        <f t="shared" si="221"/>
        <v>7970</v>
      </c>
      <c r="D742" s="32">
        <f>1252+614+19</f>
        <v>1885</v>
      </c>
      <c r="E742" s="32"/>
      <c r="F742" s="32"/>
      <c r="G742" s="32">
        <f t="shared" si="215"/>
        <v>1885</v>
      </c>
      <c r="H742" s="12"/>
      <c r="I742" s="12">
        <v>3</v>
      </c>
      <c r="J742" s="12"/>
      <c r="K742" s="12">
        <f t="shared" si="216"/>
        <v>1888</v>
      </c>
      <c r="M742" s="10">
        <v>16</v>
      </c>
      <c r="N742" s="30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B742" s="32"/>
      <c r="AC742" s="32"/>
      <c r="AD742" s="32"/>
      <c r="AE742" s="32">
        <f t="shared" si="219"/>
        <v>0</v>
      </c>
      <c r="AF742" s="12"/>
      <c r="AG742" s="12"/>
      <c r="AH742" s="12"/>
      <c r="AI742" s="12">
        <f t="shared" si="220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73</v>
      </c>
      <c r="C743" s="91">
        <f t="shared" si="221"/>
        <v>7971</v>
      </c>
      <c r="D743" s="32">
        <f>18780+502.5+416+229</f>
        <v>19927.5</v>
      </c>
      <c r="E743" s="32"/>
      <c r="F743" s="32"/>
      <c r="G743" s="32">
        <f t="shared" si="215"/>
        <v>19927.5</v>
      </c>
      <c r="H743" s="12"/>
      <c r="I743" s="12">
        <v>135</v>
      </c>
      <c r="J743" s="12"/>
      <c r="K743" s="12">
        <f t="shared" si="216"/>
        <v>20062.5</v>
      </c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19"/>
        <v>0</v>
      </c>
      <c r="AF743" s="12"/>
      <c r="AG743" s="12"/>
      <c r="AH743" s="12"/>
      <c r="AI743" s="12">
        <f t="shared" si="220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11" t="s">
        <v>27</v>
      </c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19"/>
        <v>0</v>
      </c>
      <c r="AF744" s="12"/>
      <c r="AG744" s="12"/>
      <c r="AH744" s="12"/>
      <c r="AI744" s="12">
        <f t="shared" si="220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91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M745" s="10">
        <v>19</v>
      </c>
      <c r="N745" s="30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19"/>
        <v>0</v>
      </c>
      <c r="AF745" s="12"/>
      <c r="AG745" s="12"/>
      <c r="AH745" s="12"/>
      <c r="AI745" s="12">
        <f t="shared" si="220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91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A746" s="31"/>
      <c r="AB746" s="32"/>
      <c r="AC746" s="32"/>
      <c r="AD746" s="32"/>
      <c r="AE746" s="32">
        <f t="shared" si="219"/>
        <v>0</v>
      </c>
      <c r="AF746" s="12"/>
      <c r="AG746" s="12"/>
      <c r="AH746" s="12"/>
      <c r="AI746" s="12">
        <f t="shared" si="220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C747" s="91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M747" s="10">
        <v>21</v>
      </c>
      <c r="N747" s="30"/>
      <c r="O747" s="31"/>
      <c r="P747" s="46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19"/>
        <v>0</v>
      </c>
      <c r="AF747" s="10"/>
      <c r="AG747" s="10"/>
      <c r="AH747" s="10"/>
      <c r="AI747" s="12">
        <f t="shared" si="220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91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M748" s="10">
        <v>22</v>
      </c>
      <c r="N748" s="30"/>
      <c r="O748" s="31"/>
      <c r="P748" s="45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19"/>
        <v>0</v>
      </c>
      <c r="AF748" s="10"/>
      <c r="AG748" s="10"/>
      <c r="AH748" s="10"/>
      <c r="AI748" s="12">
        <f t="shared" si="220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91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M749" s="10">
        <v>23</v>
      </c>
      <c r="N749" s="30"/>
      <c r="O749" s="31"/>
      <c r="P749" s="47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E749" s="32">
        <f t="shared" si="219"/>
        <v>0</v>
      </c>
      <c r="AF749" s="10"/>
      <c r="AG749" s="10"/>
      <c r="AH749" s="10"/>
      <c r="AI749" s="12">
        <f t="shared" si="220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M750" s="10">
        <v>24</v>
      </c>
      <c r="N750" s="30"/>
      <c r="O750" s="31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19"/>
        <v>0</v>
      </c>
      <c r="AF750" s="10"/>
      <c r="AG750" s="10"/>
      <c r="AH750" s="10"/>
      <c r="AI750" s="12">
        <f t="shared" si="220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31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M751" s="10">
        <v>25</v>
      </c>
      <c r="N751" s="30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11"/>
      <c r="AB751" s="47"/>
      <c r="AC751" s="31"/>
      <c r="AD751" s="31"/>
      <c r="AE751" s="32">
        <f t="shared" si="219"/>
        <v>0</v>
      </c>
      <c r="AF751" s="10"/>
      <c r="AG751" s="10"/>
      <c r="AH751" s="10"/>
      <c r="AI751" s="12">
        <f t="shared" si="220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11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B752" s="47"/>
      <c r="AC752" s="31"/>
      <c r="AD752" s="31"/>
      <c r="AE752" s="32">
        <f t="shared" si="219"/>
        <v>0</v>
      </c>
      <c r="AF752" s="10"/>
      <c r="AG752" s="10"/>
      <c r="AH752" s="10"/>
      <c r="AI752" s="12">
        <f t="shared" si="220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57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19"/>
        <v>0</v>
      </c>
      <c r="AF753" s="10"/>
      <c r="AG753" s="10"/>
      <c r="AH753" s="10"/>
      <c r="AI753" s="12">
        <f t="shared" si="220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31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19"/>
        <v>0</v>
      </c>
      <c r="AF754" s="10"/>
      <c r="AG754" s="10"/>
      <c r="AH754" s="10"/>
      <c r="AI754" s="12">
        <f t="shared" si="220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31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M755" s="10">
        <v>29</v>
      </c>
      <c r="N755" s="30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19"/>
        <v>0</v>
      </c>
      <c r="AF755" s="10"/>
      <c r="AG755" s="10"/>
      <c r="AH755" s="10"/>
      <c r="AI755" s="12">
        <f t="shared" si="220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57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B756" s="47"/>
      <c r="AC756" s="31"/>
      <c r="AD756" s="31"/>
      <c r="AE756" s="32">
        <f t="shared" si="219"/>
        <v>0</v>
      </c>
      <c r="AF756" s="10"/>
      <c r="AG756" s="10"/>
      <c r="AH756" s="10"/>
      <c r="AI756" s="12">
        <f t="shared" si="220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57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B757" s="47"/>
      <c r="AC757" s="31"/>
      <c r="AD757" s="31"/>
      <c r="AE757" s="32">
        <f t="shared" si="219"/>
        <v>0</v>
      </c>
      <c r="AF757" s="10"/>
      <c r="AG757" s="10"/>
      <c r="AH757" s="10"/>
      <c r="AI757" s="12">
        <f t="shared" si="220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31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M758" s="10">
        <v>32</v>
      </c>
      <c r="N758" s="30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19"/>
        <v>0</v>
      </c>
      <c r="AF758" s="10"/>
      <c r="AG758" s="10"/>
      <c r="AH758" s="10"/>
      <c r="AI758" s="12">
        <f t="shared" si="220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57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19"/>
        <v>0</v>
      </c>
      <c r="AF759" s="10"/>
      <c r="AG759" s="10"/>
      <c r="AH759" s="10"/>
      <c r="AI759" s="12">
        <f t="shared" si="220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57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M760" s="10">
        <v>34</v>
      </c>
      <c r="N760" s="30"/>
      <c r="O760" s="31"/>
      <c r="P760" s="47"/>
      <c r="Q760" s="31"/>
      <c r="R760" s="31"/>
      <c r="S760" s="32">
        <f t="shared" ref="S760:S770" si="224">SUM(P760:Q760)</f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B760" s="47"/>
      <c r="AC760" s="31"/>
      <c r="AD760" s="31"/>
      <c r="AE760" s="32">
        <f t="shared" si="219"/>
        <v>0</v>
      </c>
      <c r="AF760" s="10"/>
      <c r="AG760" s="10"/>
      <c r="AH760" s="10"/>
      <c r="AI760" s="12">
        <f t="shared" ref="AI760:AI771" si="225">SUM(AE760:AH760)</f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3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24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19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3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24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19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24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19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24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19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24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19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6">SUM(D767:E767)</f>
        <v>0</v>
      </c>
      <c r="H767" s="10"/>
      <c r="I767" s="10"/>
      <c r="J767" s="10"/>
      <c r="K767" s="12">
        <f t="shared" ref="K767" si="227">SUM(G767:J767)</f>
        <v>0</v>
      </c>
      <c r="M767" s="10"/>
      <c r="N767" s="30"/>
      <c r="O767" s="31"/>
      <c r="P767" s="47"/>
      <c r="Q767" s="31"/>
      <c r="R767" s="31"/>
      <c r="S767" s="32">
        <f t="shared" ref="S767" si="228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29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209954.5</v>
      </c>
      <c r="E770" s="38">
        <f t="shared" ref="E770:F770" si="230">SUM(E727:E767)</f>
        <v>0</v>
      </c>
      <c r="F770" s="38">
        <f t="shared" si="230"/>
        <v>0</v>
      </c>
      <c r="G770" s="38">
        <f>SUM(G727:G769)</f>
        <v>209954.5</v>
      </c>
      <c r="H770" s="4"/>
      <c r="I770" s="39">
        <f>SUM(I727:I769)</f>
        <v>3079.5</v>
      </c>
      <c r="J770" s="39">
        <f>SUM(J727:J769)</f>
        <v>0</v>
      </c>
      <c r="K770" s="40">
        <f>SUM(K727:K769)</f>
        <v>213034</v>
      </c>
      <c r="N770" s="57"/>
      <c r="O770" s="57"/>
      <c r="P770" s="38">
        <f>SUM(P727:P769)</f>
        <v>291741.5</v>
      </c>
      <c r="Q770" s="38">
        <f>SUM(Q727:Q751)</f>
        <v>-1866</v>
      </c>
      <c r="R770" s="38">
        <f>SUM(R727:R751)</f>
        <v>0</v>
      </c>
      <c r="S770" s="38">
        <f>SUM(S727:S769)</f>
        <v>289875.5</v>
      </c>
      <c r="T770" s="4"/>
      <c r="U770" s="41">
        <f>SUM(U727:U769)</f>
        <v>10424.25</v>
      </c>
      <c r="V770" s="41">
        <f>SUM(V727:V751)</f>
        <v>-378</v>
      </c>
      <c r="W770" s="42">
        <f>SUM(W727:W769)</f>
        <v>299921.75</v>
      </c>
      <c r="Z770" s="57"/>
      <c r="AA770" s="57"/>
      <c r="AB770" s="38">
        <f>SUM(AB727:AB769)</f>
        <v>462617</v>
      </c>
      <c r="AC770" s="38">
        <f>SUM(AC727:AC751)</f>
        <v>-4086</v>
      </c>
      <c r="AD770" s="38">
        <f>SUM(AD727:AD751)</f>
        <v>0</v>
      </c>
      <c r="AE770" s="38">
        <f>SUM(AE727:AE769)</f>
        <v>458531</v>
      </c>
      <c r="AF770" s="4"/>
      <c r="AG770" s="41">
        <f>SUM(AG727:AG769)</f>
        <v>8190</v>
      </c>
      <c r="AH770" s="41">
        <f>SUM(AH727:AH751)</f>
        <v>-240</v>
      </c>
      <c r="AI770" s="42">
        <f>SUM(AI727:AI769)</f>
        <v>466481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93"/>
      <c r="C772" s="93"/>
      <c r="D772" s="93"/>
      <c r="E772" s="93"/>
      <c r="F772" s="93"/>
      <c r="G772" s="93"/>
      <c r="H772" s="62"/>
      <c r="I772" s="62"/>
      <c r="J772" s="62"/>
      <c r="K772" s="62"/>
      <c r="L772" s="62"/>
      <c r="M772" s="62"/>
      <c r="N772" s="93"/>
      <c r="O772" s="93"/>
      <c r="P772" s="93"/>
      <c r="Q772" s="93"/>
      <c r="R772" s="93"/>
      <c r="S772" s="93"/>
      <c r="T772" s="62"/>
      <c r="U772" s="62"/>
      <c r="V772" s="62"/>
      <c r="W772" s="62"/>
      <c r="X772" s="62"/>
      <c r="Y772" s="62"/>
      <c r="Z772" s="93"/>
      <c r="AA772" s="93"/>
      <c r="AB772" s="93"/>
      <c r="AC772" s="93"/>
      <c r="AD772" s="93"/>
      <c r="AE772" s="93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3"/>
      <c r="C773" s="93"/>
      <c r="D773" s="93"/>
      <c r="E773" s="93"/>
      <c r="F773" s="93"/>
      <c r="G773" s="93"/>
      <c r="H773" s="62"/>
      <c r="I773" s="62"/>
      <c r="J773" s="62"/>
      <c r="K773" s="62"/>
      <c r="L773" s="62"/>
      <c r="M773" s="62"/>
      <c r="N773" s="93"/>
      <c r="O773" s="93"/>
      <c r="P773" s="93"/>
      <c r="Q773" s="93"/>
      <c r="R773" s="93"/>
      <c r="S773" s="93"/>
      <c r="T773" s="62"/>
      <c r="U773" s="62"/>
      <c r="V773" s="62"/>
      <c r="W773" s="62"/>
      <c r="X773" s="62"/>
      <c r="Y773" s="62"/>
      <c r="Z773" s="93"/>
      <c r="AA773" s="93"/>
      <c r="AB773" s="93"/>
      <c r="AC773" s="93"/>
      <c r="AD773" s="93"/>
      <c r="AE773" s="93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3"/>
      <c r="C774" s="93"/>
      <c r="D774" s="93"/>
      <c r="E774" s="93"/>
      <c r="F774" s="93"/>
      <c r="G774" s="93"/>
      <c r="H774" s="62"/>
      <c r="I774" s="62"/>
      <c r="J774" s="62"/>
      <c r="K774" s="62"/>
      <c r="L774" s="62"/>
      <c r="M774" s="62"/>
      <c r="N774" s="93"/>
      <c r="O774" s="93"/>
      <c r="P774" s="93"/>
      <c r="Q774" s="93"/>
      <c r="R774" s="93"/>
      <c r="S774" s="93"/>
      <c r="T774" s="62"/>
      <c r="U774" s="62"/>
      <c r="V774" s="62"/>
      <c r="W774" s="62"/>
      <c r="X774" s="62"/>
      <c r="Y774" s="62"/>
      <c r="Z774" s="93"/>
      <c r="AA774" s="93"/>
      <c r="AB774" s="93"/>
      <c r="AC774" s="93"/>
      <c r="AD774" s="93"/>
      <c r="AE774" s="93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93"/>
      <c r="C775" s="93"/>
      <c r="D775" s="93"/>
      <c r="E775" s="93"/>
      <c r="F775" s="93"/>
      <c r="G775" s="93"/>
      <c r="H775" s="62"/>
      <c r="I775" s="62"/>
      <c r="J775" s="62"/>
      <c r="K775" s="62"/>
      <c r="L775" s="62"/>
      <c r="M775" s="63"/>
      <c r="N775" s="93"/>
      <c r="O775" s="93"/>
      <c r="P775" s="93"/>
      <c r="Q775" s="93"/>
      <c r="R775" s="93"/>
      <c r="S775" s="93"/>
      <c r="T775" s="62"/>
      <c r="U775" s="62"/>
      <c r="V775" s="62"/>
      <c r="W775" s="62"/>
      <c r="X775" s="62"/>
      <c r="Y775" s="63"/>
      <c r="Z775" s="93"/>
      <c r="AA775" s="93"/>
      <c r="AB775" s="93"/>
      <c r="AC775" s="93"/>
      <c r="AD775" s="93"/>
      <c r="AE775" s="93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93"/>
      <c r="C776" s="93"/>
      <c r="D776" s="93"/>
      <c r="E776" s="93"/>
      <c r="F776" s="93"/>
      <c r="G776" s="93"/>
      <c r="H776" s="62"/>
      <c r="I776" s="62"/>
      <c r="J776" s="62"/>
      <c r="K776" s="62"/>
      <c r="L776" s="62"/>
      <c r="M776" s="62"/>
      <c r="N776" s="93"/>
      <c r="O776" s="93"/>
      <c r="P776" s="93"/>
      <c r="Q776" s="93"/>
      <c r="R776" s="93"/>
      <c r="S776" s="93"/>
      <c r="T776" s="62"/>
      <c r="U776" s="62"/>
      <c r="V776" s="62"/>
      <c r="W776" s="62"/>
      <c r="X776" s="62"/>
      <c r="Y776" s="62"/>
      <c r="Z776" s="93"/>
      <c r="AA776" s="93"/>
      <c r="AB776" s="93"/>
      <c r="AC776" s="93"/>
      <c r="AD776" s="93"/>
      <c r="AE776" s="93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93"/>
      <c r="C777" s="93"/>
      <c r="D777" s="93"/>
      <c r="E777" s="93"/>
      <c r="F777" s="93"/>
      <c r="G777" s="93"/>
      <c r="H777" s="62"/>
      <c r="I777" s="93"/>
      <c r="J777" s="74"/>
      <c r="K777" s="62"/>
      <c r="L777" s="62"/>
      <c r="M777" s="62"/>
      <c r="N777" s="93"/>
      <c r="O777" s="93"/>
      <c r="P777" s="93"/>
      <c r="Q777" s="93"/>
      <c r="R777" s="93"/>
      <c r="S777" s="93"/>
      <c r="T777" s="62"/>
      <c r="U777" s="93"/>
      <c r="V777" s="74"/>
      <c r="W777" s="62"/>
      <c r="X777" s="62"/>
      <c r="Y777" s="62"/>
      <c r="Z777" s="93"/>
      <c r="AA777" s="93"/>
      <c r="AB777" s="93"/>
      <c r="AC777" s="93"/>
      <c r="AD777" s="93"/>
      <c r="AE777" s="93"/>
      <c r="AF777" s="62"/>
      <c r="AG777" s="93"/>
      <c r="AH777" s="74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93"/>
      <c r="C778" s="93"/>
      <c r="D778" s="93"/>
      <c r="E778" s="93"/>
      <c r="F778" s="93"/>
      <c r="G778" s="93"/>
      <c r="H778" s="62"/>
      <c r="I778" s="65"/>
      <c r="J778" s="65"/>
      <c r="K778" s="62"/>
      <c r="L778" s="62"/>
      <c r="M778" s="64"/>
      <c r="N778" s="93"/>
      <c r="O778" s="93"/>
      <c r="P778" s="93"/>
      <c r="Q778" s="93"/>
      <c r="R778" s="93"/>
      <c r="S778" s="93"/>
      <c r="T778" s="62"/>
      <c r="U778" s="65"/>
      <c r="V778" s="65"/>
      <c r="W778" s="62"/>
      <c r="X778" s="62"/>
      <c r="Y778" s="64"/>
      <c r="Z778" s="93"/>
      <c r="AA778" s="93"/>
      <c r="AB778" s="93"/>
      <c r="AC778" s="93"/>
      <c r="AD778" s="93"/>
      <c r="AE778" s="93"/>
      <c r="AF778" s="62"/>
      <c r="AG778" s="65"/>
      <c r="AH778" s="65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93"/>
      <c r="C779" s="93"/>
      <c r="D779" s="93"/>
      <c r="E779" s="93"/>
      <c r="F779" s="93"/>
      <c r="G779" s="93"/>
      <c r="H779" s="62"/>
      <c r="I779" s="62"/>
      <c r="J779" s="62"/>
      <c r="K779" s="62"/>
      <c r="L779" s="62"/>
      <c r="M779" s="62"/>
      <c r="N779" s="93"/>
      <c r="O779" s="93"/>
      <c r="P779" s="93"/>
      <c r="Q779" s="93"/>
      <c r="R779" s="93"/>
      <c r="S779" s="93"/>
      <c r="T779" s="62"/>
      <c r="U779" s="62"/>
      <c r="V779" s="62"/>
      <c r="W779" s="62"/>
      <c r="X779" s="62"/>
      <c r="Y779" s="62"/>
      <c r="Z779" s="93"/>
      <c r="AA779" s="93"/>
      <c r="AB779" s="93"/>
      <c r="AC779" s="93"/>
      <c r="AD779" s="93"/>
      <c r="AE779" s="93"/>
      <c r="AF779" s="62"/>
      <c r="AG779" s="62"/>
      <c r="AH779" s="62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93"/>
      <c r="D780" s="114"/>
      <c r="E780" s="114"/>
      <c r="F780" s="93"/>
      <c r="G780" s="93"/>
      <c r="H780" s="62"/>
      <c r="I780" s="114"/>
      <c r="J780" s="114"/>
      <c r="K780" s="113"/>
      <c r="L780" s="62"/>
      <c r="M780" s="62"/>
      <c r="N780" s="65"/>
      <c r="O780" s="93"/>
      <c r="P780" s="114"/>
      <c r="Q780" s="114"/>
      <c r="R780" s="93"/>
      <c r="S780" s="93"/>
      <c r="T780" s="62"/>
      <c r="U780" s="114"/>
      <c r="V780" s="114"/>
      <c r="W780" s="113"/>
      <c r="X780" s="62"/>
      <c r="Y780" s="62"/>
      <c r="Z780" s="65"/>
      <c r="AA780" s="93"/>
      <c r="AB780" s="114"/>
      <c r="AC780" s="114"/>
      <c r="AD780" s="93"/>
      <c r="AE780" s="93"/>
      <c r="AF780" s="62"/>
      <c r="AG780" s="114"/>
      <c r="AH780" s="114"/>
      <c r="AI780" s="113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93"/>
      <c r="C781" s="93"/>
      <c r="D781" s="81"/>
      <c r="E781" s="82"/>
      <c r="F781" s="83"/>
      <c r="G781" s="83"/>
      <c r="H781" s="62"/>
      <c r="I781" s="92"/>
      <c r="J781" s="92"/>
      <c r="K781" s="113"/>
      <c r="L781" s="62"/>
      <c r="M781" s="62"/>
      <c r="N781" s="93"/>
      <c r="O781" s="93"/>
      <c r="P781" s="81"/>
      <c r="Q781" s="83"/>
      <c r="R781" s="83"/>
      <c r="S781" s="83"/>
      <c r="T781" s="62"/>
      <c r="U781" s="92"/>
      <c r="V781" s="92"/>
      <c r="W781" s="113"/>
      <c r="X781" s="62"/>
      <c r="Y781" s="62"/>
      <c r="Z781" s="93"/>
      <c r="AA781" s="93"/>
      <c r="AB781" s="81"/>
      <c r="AC781" s="83"/>
      <c r="AD781" s="83"/>
      <c r="AE781" s="83"/>
      <c r="AF781" s="62"/>
      <c r="AG781" s="92"/>
      <c r="AH781" s="92"/>
      <c r="AI781" s="113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94"/>
      <c r="D782" s="60"/>
      <c r="E782" s="60"/>
      <c r="F782" s="60"/>
      <c r="G782" s="60"/>
      <c r="H782" s="61"/>
      <c r="I782" s="61"/>
      <c r="J782" s="61"/>
      <c r="K782" s="61"/>
      <c r="L782" s="62"/>
      <c r="M782" s="62"/>
      <c r="N782" s="66"/>
      <c r="O782" s="93"/>
      <c r="P782" s="60"/>
      <c r="Q782" s="60"/>
      <c r="R782" s="60"/>
      <c r="S782" s="60"/>
      <c r="T782" s="61"/>
      <c r="U782" s="61"/>
      <c r="V782" s="61"/>
      <c r="W782" s="61"/>
      <c r="X782" s="62"/>
      <c r="Y782" s="62"/>
      <c r="Z782" s="66"/>
      <c r="AA782" s="93"/>
      <c r="AB782" s="60"/>
      <c r="AC782" s="60"/>
      <c r="AD782" s="60"/>
      <c r="AE782" s="60"/>
      <c r="AF782" s="61"/>
      <c r="AG782" s="61"/>
      <c r="AH782" s="61"/>
      <c r="AI782" s="61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9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3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3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9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3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3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9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65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3"/>
      <c r="AB785" s="60"/>
      <c r="AC785" s="60"/>
      <c r="AD785" s="60"/>
      <c r="AE785" s="60"/>
      <c r="AF785" s="61"/>
      <c r="AG785" s="62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4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3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3"/>
      <c r="AB786" s="60"/>
      <c r="AC786" s="60"/>
      <c r="AD786" s="60"/>
      <c r="AE786" s="60"/>
      <c r="AF786" s="61"/>
      <c r="AG786" s="61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94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3"/>
      <c r="P787" s="60"/>
      <c r="Q787" s="60"/>
      <c r="R787" s="60"/>
      <c r="S787" s="60"/>
      <c r="T787" s="61"/>
      <c r="U787" s="61"/>
      <c r="V787" s="62"/>
      <c r="W787" s="61"/>
      <c r="X787" s="62"/>
      <c r="Y787" s="62"/>
      <c r="Z787" s="66"/>
      <c r="AA787" s="93"/>
      <c r="AB787" s="60"/>
      <c r="AC787" s="60"/>
      <c r="AD787" s="60"/>
      <c r="AE787" s="60"/>
      <c r="AF787" s="61"/>
      <c r="AG787" s="61"/>
      <c r="AH787" s="62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65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3"/>
      <c r="P788" s="60"/>
      <c r="Q788" s="60"/>
      <c r="R788" s="60"/>
      <c r="S788" s="60"/>
      <c r="T788" s="61"/>
      <c r="U788" s="61"/>
      <c r="V788" s="61"/>
      <c r="W788" s="61"/>
      <c r="X788" s="62"/>
      <c r="Y788" s="62"/>
      <c r="Z788" s="66"/>
      <c r="AA788" s="93"/>
      <c r="AB788" s="60"/>
      <c r="AC788" s="60"/>
      <c r="AD788" s="60"/>
      <c r="AE788" s="60"/>
      <c r="AF788" s="61"/>
      <c r="AG788" s="61"/>
      <c r="AH788" s="61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4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62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3"/>
      <c r="AB789" s="60"/>
      <c r="AC789" s="60"/>
      <c r="AD789" s="62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9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3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93"/>
      <c r="AB790" s="60"/>
      <c r="AC790" s="60"/>
      <c r="AD790" s="60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9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93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93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4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93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65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4"/>
      <c r="D793" s="60"/>
      <c r="E793" s="60"/>
      <c r="F793" s="60"/>
      <c r="G793" s="60"/>
      <c r="H793" s="61"/>
      <c r="I793" s="61"/>
      <c r="J793" s="62"/>
      <c r="K793" s="61"/>
      <c r="L793" s="62"/>
      <c r="M793" s="62"/>
      <c r="N793" s="66"/>
      <c r="O793" s="93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93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94"/>
      <c r="D794" s="60"/>
      <c r="E794" s="60"/>
      <c r="F794" s="60"/>
      <c r="G794" s="60"/>
      <c r="H794" s="61"/>
      <c r="I794" s="61"/>
      <c r="J794" s="61"/>
      <c r="K794" s="61"/>
      <c r="L794" s="62"/>
      <c r="M794" s="62"/>
      <c r="N794" s="66"/>
      <c r="O794" s="93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3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9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3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3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9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3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3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9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3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62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9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3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93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9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93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3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9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93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3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9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3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3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94"/>
      <c r="D802" s="60"/>
      <c r="E802" s="60"/>
      <c r="F802" s="60"/>
      <c r="G802" s="60"/>
      <c r="H802" s="62"/>
      <c r="I802" s="62"/>
      <c r="J802" s="62"/>
      <c r="K802" s="61"/>
      <c r="L802" s="62"/>
      <c r="M802" s="62"/>
      <c r="N802" s="66"/>
      <c r="O802" s="93"/>
      <c r="P802" s="67"/>
      <c r="Q802" s="93"/>
      <c r="R802" s="93"/>
      <c r="S802" s="60"/>
      <c r="T802" s="62"/>
      <c r="U802" s="62"/>
      <c r="V802" s="62"/>
      <c r="W802" s="61"/>
      <c r="X802" s="62"/>
      <c r="Y802" s="62"/>
      <c r="Z802" s="66"/>
      <c r="AA802" s="62"/>
      <c r="AB802" s="67"/>
      <c r="AC802" s="93"/>
      <c r="AD802" s="93"/>
      <c r="AE802" s="60"/>
      <c r="AF802" s="62"/>
      <c r="AG802" s="62"/>
      <c r="AH802" s="62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4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62"/>
      <c r="P803" s="68"/>
      <c r="Q803" s="93"/>
      <c r="R803" s="93"/>
      <c r="S803" s="60"/>
      <c r="T803" s="62"/>
      <c r="U803" s="62"/>
      <c r="V803" s="62"/>
      <c r="W803" s="61"/>
      <c r="X803" s="62"/>
      <c r="Y803" s="62"/>
      <c r="Z803" s="66"/>
      <c r="AA803" s="93"/>
      <c r="AB803" s="68"/>
      <c r="AC803" s="93"/>
      <c r="AD803" s="93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93"/>
      <c r="D804" s="60"/>
      <c r="E804" s="60"/>
      <c r="F804" s="60"/>
      <c r="G804" s="60"/>
      <c r="H804" s="62"/>
      <c r="I804" s="62"/>
      <c r="J804" s="61"/>
      <c r="K804" s="61"/>
      <c r="L804" s="62"/>
      <c r="M804" s="62"/>
      <c r="N804" s="66"/>
      <c r="O804" s="93"/>
      <c r="P804" s="69"/>
      <c r="Q804" s="93"/>
      <c r="R804" s="62"/>
      <c r="S804" s="60"/>
      <c r="T804" s="62"/>
      <c r="U804" s="62"/>
      <c r="V804" s="62"/>
      <c r="W804" s="61"/>
      <c r="X804" s="62"/>
      <c r="Y804" s="62"/>
      <c r="Z804" s="66"/>
      <c r="AA804" s="93"/>
      <c r="AB804" s="69"/>
      <c r="AC804" s="93"/>
      <c r="AD804" s="62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94"/>
      <c r="D805" s="60"/>
      <c r="E805" s="60"/>
      <c r="F805" s="60"/>
      <c r="G805" s="60"/>
      <c r="H805" s="62"/>
      <c r="I805" s="62"/>
      <c r="J805" s="62"/>
      <c r="K805" s="61"/>
      <c r="L805" s="62"/>
      <c r="M805" s="62"/>
      <c r="N805" s="66"/>
      <c r="O805" s="93"/>
      <c r="P805" s="69"/>
      <c r="Q805" s="93"/>
      <c r="R805" s="93"/>
      <c r="S805" s="60"/>
      <c r="T805" s="62"/>
      <c r="U805" s="62"/>
      <c r="V805" s="62"/>
      <c r="W805" s="61"/>
      <c r="X805" s="62"/>
      <c r="Y805" s="62"/>
      <c r="Z805" s="66"/>
      <c r="AA805" s="93"/>
      <c r="AB805" s="69"/>
      <c r="AC805" s="93"/>
      <c r="AD805" s="93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9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3"/>
      <c r="P806" s="69"/>
      <c r="Q806" s="93"/>
      <c r="R806" s="93"/>
      <c r="S806" s="60"/>
      <c r="T806" s="62"/>
      <c r="U806" s="62"/>
      <c r="V806" s="62"/>
      <c r="W806" s="61"/>
      <c r="X806" s="62"/>
      <c r="Y806" s="62"/>
      <c r="Z806" s="66"/>
      <c r="AA806" s="65"/>
      <c r="AB806" s="69"/>
      <c r="AC806" s="93"/>
      <c r="AD806" s="93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94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3"/>
      <c r="P807" s="69"/>
      <c r="Q807" s="93"/>
      <c r="R807" s="93"/>
      <c r="S807" s="60"/>
      <c r="T807" s="62"/>
      <c r="U807" s="62"/>
      <c r="V807" s="62"/>
      <c r="W807" s="61"/>
      <c r="X807" s="62"/>
      <c r="Y807" s="62"/>
      <c r="Z807" s="66"/>
      <c r="AA807" s="62"/>
      <c r="AB807" s="69"/>
      <c r="AC807" s="93"/>
      <c r="AD807" s="93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9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3"/>
      <c r="P808" s="69"/>
      <c r="Q808" s="93"/>
      <c r="R808" s="93"/>
      <c r="S808" s="60"/>
      <c r="T808" s="62"/>
      <c r="U808" s="62"/>
      <c r="V808" s="62"/>
      <c r="W808" s="61"/>
      <c r="X808" s="62"/>
      <c r="Y808" s="62"/>
      <c r="Z808" s="66"/>
      <c r="AA808" s="93"/>
      <c r="AB808" s="69"/>
      <c r="AC808" s="93"/>
      <c r="AD808" s="93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9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3"/>
      <c r="P809" s="69"/>
      <c r="Q809" s="93"/>
      <c r="R809" s="93"/>
      <c r="S809" s="60"/>
      <c r="T809" s="62"/>
      <c r="U809" s="62"/>
      <c r="V809" s="62"/>
      <c r="W809" s="61"/>
      <c r="X809" s="62"/>
      <c r="Y809" s="62"/>
      <c r="Z809" s="66"/>
      <c r="AA809" s="93"/>
      <c r="AB809" s="69"/>
      <c r="AC809" s="93"/>
      <c r="AD809" s="93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9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3"/>
      <c r="P810" s="69"/>
      <c r="Q810" s="93"/>
      <c r="R810" s="93"/>
      <c r="S810" s="60"/>
      <c r="T810" s="62"/>
      <c r="U810" s="62"/>
      <c r="V810" s="62"/>
      <c r="W810" s="61"/>
      <c r="X810" s="62"/>
      <c r="Y810" s="62"/>
      <c r="Z810" s="66"/>
      <c r="AA810" s="93"/>
      <c r="AB810" s="69"/>
      <c r="AC810" s="93"/>
      <c r="AD810" s="93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93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62"/>
      <c r="P811" s="69"/>
      <c r="Q811" s="93"/>
      <c r="R811" s="93"/>
      <c r="S811" s="60"/>
      <c r="T811" s="62"/>
      <c r="U811" s="62"/>
      <c r="V811" s="62"/>
      <c r="W811" s="61"/>
      <c r="X811" s="62"/>
      <c r="Y811" s="62"/>
      <c r="Z811" s="66"/>
      <c r="AA811" s="93"/>
      <c r="AB811" s="69"/>
      <c r="AC811" s="93"/>
      <c r="AD811" s="93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9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3"/>
      <c r="P812" s="69"/>
      <c r="Q812" s="93"/>
      <c r="R812" s="93"/>
      <c r="S812" s="60"/>
      <c r="T812" s="62"/>
      <c r="U812" s="62"/>
      <c r="V812" s="62"/>
      <c r="W812" s="61"/>
      <c r="X812" s="62"/>
      <c r="Y812" s="62"/>
      <c r="Z812" s="66"/>
      <c r="AA812" s="93"/>
      <c r="AB812" s="69"/>
      <c r="AC812" s="93"/>
      <c r="AD812" s="93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9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3"/>
      <c r="P813" s="69"/>
      <c r="Q813" s="93"/>
      <c r="R813" s="93"/>
      <c r="S813" s="60"/>
      <c r="T813" s="62"/>
      <c r="U813" s="62"/>
      <c r="V813" s="62"/>
      <c r="W813" s="61"/>
      <c r="X813" s="62"/>
      <c r="Y813" s="62"/>
      <c r="Z813" s="66"/>
      <c r="AA813" s="93"/>
      <c r="AB813" s="69"/>
      <c r="AC813" s="93"/>
      <c r="AD813" s="93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9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3"/>
      <c r="P814" s="69"/>
      <c r="Q814" s="93"/>
      <c r="R814" s="93"/>
      <c r="S814" s="60"/>
      <c r="T814" s="62"/>
      <c r="U814" s="62"/>
      <c r="V814" s="62"/>
      <c r="W814" s="61"/>
      <c r="X814" s="62"/>
      <c r="Y814" s="62"/>
      <c r="Z814" s="66"/>
      <c r="AA814" s="93"/>
      <c r="AB814" s="69"/>
      <c r="AC814" s="93"/>
      <c r="AD814" s="93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9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62"/>
      <c r="P815" s="69"/>
      <c r="Q815" s="93"/>
      <c r="R815" s="93"/>
      <c r="S815" s="60"/>
      <c r="T815" s="62"/>
      <c r="U815" s="62"/>
      <c r="V815" s="62"/>
      <c r="W815" s="61"/>
      <c r="X815" s="62"/>
      <c r="Y815" s="62"/>
      <c r="Z815" s="66"/>
      <c r="AA815" s="62"/>
      <c r="AB815" s="69"/>
      <c r="AC815" s="93"/>
      <c r="AD815" s="93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93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3"/>
      <c r="P816" s="69"/>
      <c r="Q816" s="93"/>
      <c r="R816" s="93"/>
      <c r="S816" s="60"/>
      <c r="T816" s="62"/>
      <c r="U816" s="62"/>
      <c r="V816" s="62"/>
      <c r="W816" s="61"/>
      <c r="X816" s="62"/>
      <c r="Y816" s="62"/>
      <c r="Z816" s="66"/>
      <c r="AA816" s="93"/>
      <c r="AB816" s="69"/>
      <c r="AC816" s="93"/>
      <c r="AD816" s="93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93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3"/>
      <c r="P817" s="69"/>
      <c r="Q817" s="93"/>
      <c r="R817" s="93"/>
      <c r="S817" s="60"/>
      <c r="T817" s="62"/>
      <c r="U817" s="62"/>
      <c r="V817" s="62"/>
      <c r="W817" s="61"/>
      <c r="X817" s="62"/>
      <c r="Y817" s="62"/>
      <c r="Z817" s="66"/>
      <c r="AA817" s="93"/>
      <c r="AB817" s="69"/>
      <c r="AC817" s="93"/>
      <c r="AD817" s="93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93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62"/>
      <c r="P818" s="69"/>
      <c r="Q818" s="93"/>
      <c r="R818" s="93"/>
      <c r="S818" s="60"/>
      <c r="T818" s="62"/>
      <c r="U818" s="62"/>
      <c r="V818" s="62"/>
      <c r="W818" s="61"/>
      <c r="X818" s="62"/>
      <c r="Y818" s="62"/>
      <c r="Z818" s="66"/>
      <c r="AA818" s="93"/>
      <c r="AB818" s="69"/>
      <c r="AC818" s="93"/>
      <c r="AD818" s="93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3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93"/>
      <c r="P819" s="69"/>
      <c r="Q819" s="93"/>
      <c r="R819" s="93"/>
      <c r="S819" s="60"/>
      <c r="T819" s="62"/>
      <c r="U819" s="62"/>
      <c r="V819" s="62"/>
      <c r="W819" s="61"/>
      <c r="X819" s="62"/>
      <c r="Y819" s="62"/>
      <c r="Z819" s="66"/>
      <c r="AA819" s="93"/>
      <c r="AB819" s="69"/>
      <c r="AC819" s="93"/>
      <c r="AD819" s="93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3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3"/>
      <c r="P820" s="69"/>
      <c r="Q820" s="93"/>
      <c r="R820" s="93"/>
      <c r="S820" s="60"/>
      <c r="T820" s="62"/>
      <c r="U820" s="62"/>
      <c r="V820" s="62"/>
      <c r="W820" s="61"/>
      <c r="X820" s="62"/>
      <c r="Y820" s="62"/>
      <c r="Z820" s="66"/>
      <c r="AA820" s="93"/>
      <c r="AB820" s="69"/>
      <c r="AC820" s="93"/>
      <c r="AD820" s="93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3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62"/>
      <c r="P821" s="69"/>
      <c r="Q821" s="93"/>
      <c r="R821" s="93"/>
      <c r="S821" s="60"/>
      <c r="T821" s="62"/>
      <c r="U821" s="62"/>
      <c r="V821" s="62"/>
      <c r="W821" s="61"/>
      <c r="X821" s="62"/>
      <c r="Y821" s="62"/>
      <c r="Z821" s="66"/>
      <c r="AA821" s="62"/>
      <c r="AB821" s="69"/>
      <c r="AC821" s="93"/>
      <c r="AD821" s="93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3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93"/>
      <c r="P822" s="69"/>
      <c r="Q822" s="93"/>
      <c r="R822" s="93"/>
      <c r="S822" s="60"/>
      <c r="T822" s="62"/>
      <c r="U822" s="62"/>
      <c r="V822" s="62"/>
      <c r="W822" s="61"/>
      <c r="X822" s="62"/>
      <c r="Y822" s="62"/>
      <c r="Z822" s="66"/>
      <c r="AA822" s="93"/>
      <c r="AB822" s="69"/>
      <c r="AC822" s="93"/>
      <c r="AD822" s="93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93"/>
      <c r="O823" s="93"/>
      <c r="P823" s="93"/>
      <c r="Q823" s="93"/>
      <c r="R823" s="93"/>
      <c r="S823" s="93"/>
      <c r="T823" s="62"/>
      <c r="U823" s="62"/>
      <c r="V823" s="62"/>
      <c r="W823" s="61"/>
      <c r="X823" s="62"/>
      <c r="Y823" s="62"/>
      <c r="Z823" s="93"/>
      <c r="AA823" s="93"/>
      <c r="AB823" s="93"/>
      <c r="AC823" s="93"/>
      <c r="AD823" s="93"/>
      <c r="AE823" s="93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93"/>
      <c r="C824" s="93"/>
      <c r="D824" s="93"/>
      <c r="E824" s="93"/>
      <c r="F824" s="93"/>
      <c r="G824" s="93"/>
      <c r="H824" s="62"/>
      <c r="I824" s="62"/>
      <c r="J824" s="62"/>
      <c r="K824" s="62"/>
      <c r="L824" s="62"/>
      <c r="M824" s="62"/>
      <c r="N824" s="93"/>
      <c r="O824" s="93"/>
      <c r="P824" s="93"/>
      <c r="Q824" s="93"/>
      <c r="R824" s="93"/>
      <c r="S824" s="93"/>
      <c r="T824" s="62"/>
      <c r="U824" s="62"/>
      <c r="V824" s="62"/>
      <c r="W824" s="62"/>
      <c r="X824" s="62"/>
      <c r="Y824" s="62"/>
      <c r="Z824" s="93"/>
      <c r="AA824" s="93"/>
      <c r="AB824" s="93"/>
      <c r="AC824" s="93"/>
      <c r="AD824" s="93"/>
      <c r="AE824" s="93"/>
      <c r="AF824" s="62"/>
      <c r="AG824" s="62"/>
      <c r="AH824" s="62"/>
      <c r="AI824" s="62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3"/>
      <c r="C825" s="93"/>
      <c r="D825" s="70"/>
      <c r="E825" s="70"/>
      <c r="F825" s="70"/>
      <c r="G825" s="70"/>
      <c r="H825" s="63"/>
      <c r="I825" s="70"/>
      <c r="J825" s="70"/>
      <c r="K825" s="70"/>
      <c r="L825" s="62"/>
      <c r="M825" s="62"/>
      <c r="N825" s="93"/>
      <c r="O825" s="93"/>
      <c r="P825" s="70"/>
      <c r="Q825" s="70"/>
      <c r="R825" s="70"/>
      <c r="S825" s="70"/>
      <c r="T825" s="63"/>
      <c r="U825" s="71"/>
      <c r="V825" s="71"/>
      <c r="W825" s="71"/>
      <c r="X825" s="62"/>
      <c r="Y825" s="62"/>
      <c r="Z825" s="93"/>
      <c r="AA825" s="93"/>
      <c r="AB825" s="70"/>
      <c r="AC825" s="70"/>
      <c r="AD825" s="70"/>
      <c r="AE825" s="70"/>
      <c r="AF825" s="63"/>
      <c r="AG825" s="71"/>
      <c r="AH825" s="71"/>
      <c r="AI825" s="71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62"/>
      <c r="C826" s="62"/>
      <c r="D826" s="62"/>
      <c r="E826" s="62"/>
      <c r="F826" s="62"/>
      <c r="G826" s="62"/>
      <c r="H826" s="62"/>
      <c r="I826" s="62"/>
      <c r="J826" s="62"/>
      <c r="K826" s="62"/>
      <c r="L826" s="62"/>
      <c r="M826" s="62"/>
      <c r="N826" s="62"/>
      <c r="O826" s="62"/>
      <c r="P826" s="62"/>
      <c r="Q826" s="62"/>
      <c r="R826" s="62"/>
      <c r="S826" s="62"/>
      <c r="T826" s="62"/>
      <c r="U826" s="62"/>
      <c r="V826" s="62"/>
      <c r="W826" s="62"/>
      <c r="X826" s="62"/>
      <c r="Y826" s="62"/>
      <c r="Z826" s="62"/>
      <c r="AA826" s="62"/>
      <c r="AB826" s="62"/>
      <c r="AC826" s="62"/>
      <c r="AD826" s="62"/>
      <c r="AE826" s="62"/>
      <c r="AF826" s="62"/>
      <c r="AG826" s="62"/>
      <c r="AH826" s="62"/>
      <c r="AI826" s="62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93"/>
      <c r="C827" s="93"/>
      <c r="D827" s="93"/>
      <c r="E827" s="93"/>
      <c r="F827" s="93"/>
      <c r="G827" s="93"/>
      <c r="H827" s="62"/>
      <c r="I827" s="62"/>
      <c r="J827" s="62"/>
      <c r="K827" s="62"/>
      <c r="L827" s="62"/>
      <c r="M827" s="62"/>
      <c r="N827" s="93"/>
      <c r="O827" s="93"/>
      <c r="P827" s="93"/>
      <c r="Q827" s="93"/>
      <c r="R827" s="93"/>
      <c r="S827" s="93"/>
      <c r="T827" s="62"/>
      <c r="U827" s="62"/>
      <c r="V827" s="62"/>
      <c r="W827" s="62"/>
      <c r="X827" s="62"/>
      <c r="Y827" s="62"/>
      <c r="Z827" s="93"/>
      <c r="AA827" s="93"/>
      <c r="AB827" s="93"/>
      <c r="AC827" s="93"/>
      <c r="AD827" s="93"/>
      <c r="AE827" s="93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93"/>
      <c r="C828" s="93"/>
      <c r="D828" s="93"/>
      <c r="E828" s="93"/>
      <c r="F828" s="93"/>
      <c r="G828" s="93"/>
      <c r="H828" s="62"/>
      <c r="I828" s="62"/>
      <c r="J828" s="62"/>
      <c r="K828" s="62"/>
      <c r="L828" s="62"/>
      <c r="M828" s="62"/>
      <c r="N828" s="93"/>
      <c r="O828" s="93"/>
      <c r="P828" s="93"/>
      <c r="Q828" s="93"/>
      <c r="R828" s="93"/>
      <c r="S828" s="93"/>
      <c r="T828" s="62"/>
      <c r="U828" s="62"/>
      <c r="V828" s="62"/>
      <c r="W828" s="62"/>
      <c r="X828" s="62"/>
      <c r="Y828" s="62"/>
      <c r="Z828" s="93"/>
      <c r="AA828" s="93"/>
      <c r="AB828" s="93"/>
      <c r="AC828" s="93"/>
      <c r="AD828" s="93"/>
      <c r="AE828" s="93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93"/>
      <c r="C829" s="93"/>
      <c r="D829" s="93"/>
      <c r="E829" s="93"/>
      <c r="F829" s="93"/>
      <c r="G829" s="93"/>
      <c r="H829" s="62"/>
      <c r="I829" s="62"/>
      <c r="J829" s="62"/>
      <c r="K829" s="62"/>
      <c r="L829" s="62"/>
      <c r="M829" s="62"/>
      <c r="N829" s="93"/>
      <c r="O829" s="93"/>
      <c r="P829" s="93"/>
      <c r="Q829" s="93"/>
      <c r="R829" s="93"/>
      <c r="S829" s="93"/>
      <c r="T829" s="62"/>
      <c r="U829" s="62"/>
      <c r="V829" s="62"/>
      <c r="W829" s="62"/>
      <c r="X829" s="62"/>
      <c r="Y829" s="62"/>
      <c r="Z829" s="93"/>
      <c r="AA829" s="93"/>
      <c r="AB829" s="93"/>
      <c r="AC829" s="93"/>
      <c r="AD829" s="93"/>
      <c r="AE829" s="93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93"/>
      <c r="C830" s="93"/>
      <c r="D830" s="93"/>
      <c r="E830" s="93"/>
      <c r="F830" s="93"/>
      <c r="G830" s="93"/>
      <c r="H830" s="62"/>
      <c r="I830" s="62"/>
      <c r="J830" s="62"/>
      <c r="K830" s="62"/>
      <c r="L830" s="62"/>
      <c r="M830" s="63"/>
      <c r="N830" s="93"/>
      <c r="O830" s="93"/>
      <c r="P830" s="93"/>
      <c r="Q830" s="93"/>
      <c r="R830" s="93"/>
      <c r="S830" s="93"/>
      <c r="T830" s="62"/>
      <c r="U830" s="62"/>
      <c r="V830" s="62"/>
      <c r="W830" s="62"/>
      <c r="X830" s="62"/>
      <c r="Y830" s="63"/>
      <c r="Z830" s="93"/>
      <c r="AA830" s="93"/>
      <c r="AB830" s="93"/>
      <c r="AC830" s="93"/>
      <c r="AD830" s="93"/>
      <c r="AE830" s="93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93"/>
      <c r="C831" s="93"/>
      <c r="D831" s="93"/>
      <c r="E831" s="93"/>
      <c r="F831" s="93"/>
      <c r="G831" s="93"/>
      <c r="H831" s="62"/>
      <c r="I831" s="62"/>
      <c r="J831" s="62"/>
      <c r="K831" s="62"/>
      <c r="L831" s="62"/>
      <c r="M831" s="62"/>
      <c r="N831" s="93"/>
      <c r="O831" s="93"/>
      <c r="P831" s="93"/>
      <c r="Q831" s="93"/>
      <c r="R831" s="93"/>
      <c r="S831" s="93"/>
      <c r="T831" s="62"/>
      <c r="U831" s="62"/>
      <c r="V831" s="62"/>
      <c r="W831" s="62"/>
      <c r="X831" s="62"/>
      <c r="Y831" s="62"/>
      <c r="Z831" s="93"/>
      <c r="AA831" s="93"/>
      <c r="AB831" s="93"/>
      <c r="AC831" s="93"/>
      <c r="AD831" s="93"/>
      <c r="AE831" s="93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93"/>
      <c r="C832" s="93"/>
      <c r="D832" s="93"/>
      <c r="E832" s="93"/>
      <c r="F832" s="93"/>
      <c r="G832" s="93"/>
      <c r="H832" s="62"/>
      <c r="I832" s="93"/>
      <c r="J832" s="74"/>
      <c r="K832" s="62"/>
      <c r="L832" s="62"/>
      <c r="M832" s="62"/>
      <c r="N832" s="93"/>
      <c r="O832" s="93"/>
      <c r="P832" s="93"/>
      <c r="Q832" s="93"/>
      <c r="R832" s="93"/>
      <c r="S832" s="93"/>
      <c r="T832" s="62"/>
      <c r="U832" s="93"/>
      <c r="V832" s="74"/>
      <c r="W832" s="62"/>
      <c r="X832" s="62"/>
      <c r="Y832" s="62"/>
      <c r="Z832" s="93"/>
      <c r="AA832" s="93"/>
      <c r="AB832" s="93"/>
      <c r="AC832" s="93"/>
      <c r="AD832" s="93"/>
      <c r="AE832" s="93"/>
      <c r="AF832" s="62"/>
      <c r="AG832" s="93"/>
      <c r="AH832" s="74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93"/>
      <c r="C833" s="93"/>
      <c r="D833" s="93"/>
      <c r="E833" s="93"/>
      <c r="F833" s="93"/>
      <c r="G833" s="93"/>
      <c r="H833" s="62"/>
      <c r="I833" s="65"/>
      <c r="J833" s="65"/>
      <c r="K833" s="62"/>
      <c r="L833" s="62"/>
      <c r="M833" s="64"/>
      <c r="N833" s="93"/>
      <c r="O833" s="93"/>
      <c r="P833" s="93"/>
      <c r="Q833" s="93"/>
      <c r="R833" s="93"/>
      <c r="S833" s="93"/>
      <c r="T833" s="62"/>
      <c r="U833" s="65"/>
      <c r="V833" s="65"/>
      <c r="W833" s="62"/>
      <c r="X833" s="62"/>
      <c r="Y833" s="64"/>
      <c r="Z833" s="93"/>
      <c r="AA833" s="93"/>
      <c r="AB833" s="93"/>
      <c r="AC833" s="93"/>
      <c r="AD833" s="93"/>
      <c r="AE833" s="93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93"/>
      <c r="C834" s="93"/>
      <c r="D834" s="93"/>
      <c r="E834" s="93"/>
      <c r="F834" s="93"/>
      <c r="G834" s="93"/>
      <c r="H834" s="62"/>
      <c r="I834" s="62"/>
      <c r="J834" s="62"/>
      <c r="K834" s="62"/>
      <c r="L834" s="62"/>
      <c r="M834" s="62"/>
      <c r="N834" s="93"/>
      <c r="O834" s="93"/>
      <c r="P834" s="93"/>
      <c r="Q834" s="93"/>
      <c r="R834" s="93"/>
      <c r="S834" s="93"/>
      <c r="T834" s="62"/>
      <c r="U834" s="62"/>
      <c r="V834" s="62"/>
      <c r="W834" s="62"/>
      <c r="X834" s="62"/>
      <c r="Y834" s="62"/>
      <c r="Z834" s="93"/>
      <c r="AA834" s="93"/>
      <c r="AB834" s="93"/>
      <c r="AC834" s="93"/>
      <c r="AD834" s="93"/>
      <c r="AE834" s="93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93"/>
      <c r="D835" s="114"/>
      <c r="E835" s="114"/>
      <c r="F835" s="93"/>
      <c r="G835" s="93"/>
      <c r="H835" s="62"/>
      <c r="I835" s="114"/>
      <c r="J835" s="114"/>
      <c r="K835" s="113"/>
      <c r="L835" s="62"/>
      <c r="M835" s="62"/>
      <c r="N835" s="65"/>
      <c r="O835" s="93"/>
      <c r="P835" s="114"/>
      <c r="Q835" s="114"/>
      <c r="R835" s="93"/>
      <c r="S835" s="93"/>
      <c r="T835" s="62"/>
      <c r="U835" s="114"/>
      <c r="V835" s="114"/>
      <c r="W835" s="113"/>
      <c r="X835" s="62"/>
      <c r="Y835" s="62"/>
      <c r="Z835" s="65"/>
      <c r="AA835" s="93"/>
      <c r="AB835" s="114"/>
      <c r="AC835" s="114"/>
      <c r="AD835" s="93"/>
      <c r="AE835" s="93"/>
      <c r="AF835" s="62"/>
      <c r="AG835" s="114"/>
      <c r="AH835" s="114"/>
      <c r="AI835" s="113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93"/>
      <c r="C836" s="93"/>
      <c r="D836" s="81"/>
      <c r="E836" s="82"/>
      <c r="F836" s="83"/>
      <c r="G836" s="83"/>
      <c r="H836" s="62"/>
      <c r="I836" s="92"/>
      <c r="J836" s="92"/>
      <c r="K836" s="113"/>
      <c r="L836" s="62"/>
      <c r="M836" s="62"/>
      <c r="N836" s="93"/>
      <c r="O836" s="93"/>
      <c r="P836" s="81"/>
      <c r="Q836" s="83"/>
      <c r="R836" s="83"/>
      <c r="S836" s="83"/>
      <c r="T836" s="62"/>
      <c r="U836" s="92"/>
      <c r="V836" s="92"/>
      <c r="W836" s="113"/>
      <c r="X836" s="62"/>
      <c r="Y836" s="62"/>
      <c r="Z836" s="93"/>
      <c r="AA836" s="93"/>
      <c r="AB836" s="81"/>
      <c r="AC836" s="83"/>
      <c r="AD836" s="83"/>
      <c r="AE836" s="83"/>
      <c r="AF836" s="62"/>
      <c r="AG836" s="92"/>
      <c r="AH836" s="92"/>
      <c r="AI836" s="113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9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93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93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9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93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93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9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93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93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65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93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93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9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93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93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9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93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93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93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93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93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94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93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93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9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93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93"/>
      <c r="AB845" s="60"/>
      <c r="AC845" s="60"/>
      <c r="AD845" s="60"/>
      <c r="AE845" s="60"/>
      <c r="AF845" s="61"/>
      <c r="AG845" s="61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9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93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93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9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93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65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9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93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93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9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93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93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9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93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93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9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93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93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94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6"/>
      <c r="AA852" s="62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9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93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93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9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93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93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9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62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93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9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93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93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9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2"/>
      <c r="P857" s="67"/>
      <c r="Q857" s="93"/>
      <c r="R857" s="93"/>
      <c r="S857" s="60"/>
      <c r="T857" s="62"/>
      <c r="U857" s="62"/>
      <c r="V857" s="62"/>
      <c r="W857" s="61"/>
      <c r="X857" s="62"/>
      <c r="Y857" s="62"/>
      <c r="Z857" s="66"/>
      <c r="AA857" s="62"/>
      <c r="AB857" s="67"/>
      <c r="AC857" s="93"/>
      <c r="AD857" s="93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94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93"/>
      <c r="P858" s="68"/>
      <c r="Q858" s="93"/>
      <c r="R858" s="93"/>
      <c r="S858" s="60"/>
      <c r="T858" s="62"/>
      <c r="U858" s="62"/>
      <c r="V858" s="62"/>
      <c r="W858" s="61"/>
      <c r="X858" s="62"/>
      <c r="Y858" s="62"/>
      <c r="Z858" s="66"/>
      <c r="AA858" s="93"/>
      <c r="AB858" s="68"/>
      <c r="AC858" s="93"/>
      <c r="AD858" s="93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93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93"/>
      <c r="P859" s="69"/>
      <c r="Q859" s="93"/>
      <c r="R859" s="62"/>
      <c r="S859" s="60"/>
      <c r="T859" s="62"/>
      <c r="U859" s="62"/>
      <c r="V859" s="62"/>
      <c r="W859" s="61"/>
      <c r="X859" s="62"/>
      <c r="Y859" s="62"/>
      <c r="Z859" s="66"/>
      <c r="AA859" s="93"/>
      <c r="AB859" s="69"/>
      <c r="AC859" s="93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9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93"/>
      <c r="P860" s="69"/>
      <c r="Q860" s="93"/>
      <c r="R860" s="93"/>
      <c r="S860" s="60"/>
      <c r="T860" s="62"/>
      <c r="U860" s="62"/>
      <c r="V860" s="62"/>
      <c r="W860" s="61"/>
      <c r="X860" s="62"/>
      <c r="Y860" s="62"/>
      <c r="Z860" s="66"/>
      <c r="AA860" s="93"/>
      <c r="AB860" s="69"/>
      <c r="AC860" s="93"/>
      <c r="AD860" s="93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9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93"/>
      <c r="P861" s="69"/>
      <c r="Q861" s="93"/>
      <c r="R861" s="93"/>
      <c r="S861" s="60"/>
      <c r="T861" s="62"/>
      <c r="U861" s="62"/>
      <c r="V861" s="62"/>
      <c r="W861" s="61"/>
      <c r="X861" s="62"/>
      <c r="Y861" s="62"/>
      <c r="Z861" s="66"/>
      <c r="AA861" s="65"/>
      <c r="AB861" s="69"/>
      <c r="AC861" s="93"/>
      <c r="AD861" s="93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9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2"/>
      <c r="P862" s="69"/>
      <c r="Q862" s="93"/>
      <c r="R862" s="93"/>
      <c r="S862" s="60"/>
      <c r="T862" s="62"/>
      <c r="U862" s="62"/>
      <c r="V862" s="62"/>
      <c r="W862" s="61"/>
      <c r="X862" s="62"/>
      <c r="Y862" s="62"/>
      <c r="Z862" s="66"/>
      <c r="AA862" s="62"/>
      <c r="AB862" s="69"/>
      <c r="AC862" s="93"/>
      <c r="AD862" s="93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9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93"/>
      <c r="P863" s="69"/>
      <c r="Q863" s="93"/>
      <c r="R863" s="93"/>
      <c r="S863" s="60"/>
      <c r="T863" s="62"/>
      <c r="U863" s="62"/>
      <c r="V863" s="62"/>
      <c r="W863" s="61"/>
      <c r="X863" s="62"/>
      <c r="Y863" s="62"/>
      <c r="Z863" s="66"/>
      <c r="AA863" s="93"/>
      <c r="AB863" s="69"/>
      <c r="AC863" s="93"/>
      <c r="AD863" s="93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9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93"/>
      <c r="P864" s="69"/>
      <c r="Q864" s="93"/>
      <c r="R864" s="93"/>
      <c r="S864" s="60"/>
      <c r="T864" s="62"/>
      <c r="U864" s="62"/>
      <c r="V864" s="62"/>
      <c r="W864" s="61"/>
      <c r="X864" s="62"/>
      <c r="Y864" s="62"/>
      <c r="Z864" s="66"/>
      <c r="AA864" s="93"/>
      <c r="AB864" s="69"/>
      <c r="AC864" s="93"/>
      <c r="AD864" s="93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9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93"/>
      <c r="P865" s="69"/>
      <c r="Q865" s="93"/>
      <c r="R865" s="93"/>
      <c r="S865" s="60"/>
      <c r="T865" s="62"/>
      <c r="U865" s="62"/>
      <c r="V865" s="62"/>
      <c r="W865" s="61"/>
      <c r="X865" s="62"/>
      <c r="Y865" s="62"/>
      <c r="Z865" s="66"/>
      <c r="AA865" s="93"/>
      <c r="AB865" s="69"/>
      <c r="AC865" s="93"/>
      <c r="AD865" s="93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93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62"/>
      <c r="P866" s="69"/>
      <c r="Q866" s="93"/>
      <c r="R866" s="93"/>
      <c r="S866" s="60"/>
      <c r="T866" s="62"/>
      <c r="U866" s="62"/>
      <c r="V866" s="62"/>
      <c r="W866" s="61"/>
      <c r="X866" s="62"/>
      <c r="Y866" s="62"/>
      <c r="Z866" s="66"/>
      <c r="AA866" s="93"/>
      <c r="AB866" s="69"/>
      <c r="AC866" s="93"/>
      <c r="AD866" s="93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94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93"/>
      <c r="P867" s="69"/>
      <c r="Q867" s="93"/>
      <c r="R867" s="93"/>
      <c r="S867" s="60"/>
      <c r="T867" s="62"/>
      <c r="U867" s="62"/>
      <c r="V867" s="62"/>
      <c r="W867" s="61"/>
      <c r="X867" s="62"/>
      <c r="Y867" s="62"/>
      <c r="Z867" s="66"/>
      <c r="AA867" s="93"/>
      <c r="AB867" s="69"/>
      <c r="AC867" s="93"/>
      <c r="AD867" s="93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9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93"/>
      <c r="P868" s="69"/>
      <c r="Q868" s="93"/>
      <c r="R868" s="93"/>
      <c r="S868" s="60"/>
      <c r="T868" s="62"/>
      <c r="U868" s="62"/>
      <c r="V868" s="62"/>
      <c r="W868" s="61"/>
      <c r="X868" s="62"/>
      <c r="Y868" s="62"/>
      <c r="Z868" s="66"/>
      <c r="AA868" s="93"/>
      <c r="AB868" s="69"/>
      <c r="AC868" s="93"/>
      <c r="AD868" s="93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9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93"/>
      <c r="P869" s="69"/>
      <c r="Q869" s="93"/>
      <c r="R869" s="93"/>
      <c r="S869" s="60"/>
      <c r="T869" s="62"/>
      <c r="U869" s="62"/>
      <c r="V869" s="62"/>
      <c r="W869" s="61"/>
      <c r="X869" s="62"/>
      <c r="Y869" s="62"/>
      <c r="Z869" s="66"/>
      <c r="AA869" s="93"/>
      <c r="AB869" s="69"/>
      <c r="AC869" s="93"/>
      <c r="AD869" s="93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9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93"/>
      <c r="P870" s="69"/>
      <c r="Q870" s="93"/>
      <c r="R870" s="93"/>
      <c r="S870" s="60"/>
      <c r="T870" s="62"/>
      <c r="U870" s="62"/>
      <c r="V870" s="62"/>
      <c r="W870" s="61"/>
      <c r="X870" s="62"/>
      <c r="Y870" s="62"/>
      <c r="Z870" s="66"/>
      <c r="AA870" s="62"/>
      <c r="AB870" s="69"/>
      <c r="AC870" s="93"/>
      <c r="AD870" s="93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93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93"/>
      <c r="P871" s="69"/>
      <c r="Q871" s="93"/>
      <c r="R871" s="93"/>
      <c r="S871" s="60"/>
      <c r="T871" s="62"/>
      <c r="U871" s="62"/>
      <c r="V871" s="62"/>
      <c r="W871" s="61"/>
      <c r="X871" s="62"/>
      <c r="Y871" s="62"/>
      <c r="Z871" s="66"/>
      <c r="AA871" s="93"/>
      <c r="AB871" s="69"/>
      <c r="AC871" s="93"/>
      <c r="AD871" s="93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93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93"/>
      <c r="P872" s="69"/>
      <c r="Q872" s="93"/>
      <c r="R872" s="93"/>
      <c r="S872" s="60"/>
      <c r="T872" s="62"/>
      <c r="U872" s="62"/>
      <c r="V872" s="62"/>
      <c r="W872" s="61"/>
      <c r="X872" s="62"/>
      <c r="Y872" s="62"/>
      <c r="Z872" s="66"/>
      <c r="AA872" s="93"/>
      <c r="AB872" s="69"/>
      <c r="AC872" s="93"/>
      <c r="AD872" s="93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93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93"/>
      <c r="R873" s="93"/>
      <c r="S873" s="60"/>
      <c r="T873" s="62"/>
      <c r="U873" s="62"/>
      <c r="V873" s="62"/>
      <c r="W873" s="61"/>
      <c r="X873" s="62"/>
      <c r="Y873" s="62"/>
      <c r="Z873" s="66"/>
      <c r="AA873" s="93"/>
      <c r="AB873" s="69"/>
      <c r="AC873" s="93"/>
      <c r="AD873" s="93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93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93"/>
      <c r="P874" s="69"/>
      <c r="Q874" s="93"/>
      <c r="R874" s="93"/>
      <c r="S874" s="60"/>
      <c r="T874" s="62"/>
      <c r="U874" s="62"/>
      <c r="V874" s="62"/>
      <c r="W874" s="61"/>
      <c r="X874" s="62"/>
      <c r="Y874" s="62"/>
      <c r="Z874" s="66"/>
      <c r="AA874" s="93"/>
      <c r="AB874" s="69"/>
      <c r="AC874" s="93"/>
      <c r="AD874" s="93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93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93"/>
      <c r="P875" s="69"/>
      <c r="Q875" s="93"/>
      <c r="R875" s="93"/>
      <c r="S875" s="60"/>
      <c r="T875" s="62"/>
      <c r="U875" s="62"/>
      <c r="V875" s="62"/>
      <c r="W875" s="61"/>
      <c r="X875" s="62"/>
      <c r="Y875" s="62"/>
      <c r="Z875" s="66"/>
      <c r="AA875" s="93"/>
      <c r="AB875" s="69"/>
      <c r="AC875" s="93"/>
      <c r="AD875" s="93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93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93"/>
      <c r="R876" s="93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93"/>
      <c r="AD876" s="93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93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93"/>
      <c r="P877" s="69"/>
      <c r="Q877" s="93"/>
      <c r="R877" s="93"/>
      <c r="S877" s="60"/>
      <c r="T877" s="62"/>
      <c r="U877" s="62"/>
      <c r="V877" s="62"/>
      <c r="W877" s="61"/>
      <c r="X877" s="62"/>
      <c r="Y877" s="62"/>
      <c r="Z877" s="66"/>
      <c r="AA877" s="93"/>
      <c r="AB877" s="69"/>
      <c r="AC877" s="93"/>
      <c r="AD877" s="93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93"/>
      <c r="O878" s="93"/>
      <c r="P878" s="93"/>
      <c r="Q878" s="93"/>
      <c r="R878" s="93"/>
      <c r="S878" s="93"/>
      <c r="T878" s="62"/>
      <c r="U878" s="62"/>
      <c r="V878" s="62"/>
      <c r="W878" s="61"/>
      <c r="X878" s="62"/>
      <c r="Y878" s="62"/>
      <c r="Z878" s="93"/>
      <c r="AA878" s="93"/>
      <c r="AB878" s="93"/>
      <c r="AC878" s="93"/>
      <c r="AD878" s="93"/>
      <c r="AE878" s="93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93"/>
      <c r="C879" s="93"/>
      <c r="D879" s="93"/>
      <c r="E879" s="93"/>
      <c r="F879" s="93"/>
      <c r="G879" s="93"/>
      <c r="H879" s="62"/>
      <c r="I879" s="62"/>
      <c r="J879" s="62"/>
      <c r="K879" s="62"/>
      <c r="L879" s="62"/>
      <c r="M879" s="62"/>
      <c r="N879" s="93"/>
      <c r="O879" s="93"/>
      <c r="P879" s="93"/>
      <c r="Q879" s="93"/>
      <c r="R879" s="93"/>
      <c r="S879" s="93"/>
      <c r="T879" s="62"/>
      <c r="U879" s="62"/>
      <c r="V879" s="62"/>
      <c r="W879" s="62"/>
      <c r="X879" s="62"/>
      <c r="Y879" s="62"/>
      <c r="Z879" s="93"/>
      <c r="AA879" s="93"/>
      <c r="AB879" s="93"/>
      <c r="AC879" s="93"/>
      <c r="AD879" s="93"/>
      <c r="AE879" s="93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93"/>
      <c r="C880" s="93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93"/>
      <c r="O880" s="93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93"/>
      <c r="AA880" s="93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93"/>
      <c r="C882" s="93"/>
      <c r="D882" s="93"/>
      <c r="E882" s="93"/>
      <c r="F882" s="93"/>
      <c r="G882" s="93"/>
      <c r="H882" s="62"/>
      <c r="I882" s="62"/>
      <c r="J882" s="62"/>
      <c r="K882" s="62"/>
      <c r="L882" s="62"/>
      <c r="M882" s="62"/>
      <c r="N882" s="93"/>
      <c r="O882" s="93"/>
      <c r="P882" s="93"/>
      <c r="Q882" s="93"/>
      <c r="R882" s="93"/>
      <c r="S882" s="93"/>
      <c r="T882" s="62"/>
      <c r="U882" s="62"/>
      <c r="V882" s="62"/>
      <c r="W882" s="62"/>
      <c r="X882" s="62"/>
      <c r="Y882" s="62"/>
      <c r="Z882" s="93"/>
      <c r="AA882" s="93"/>
      <c r="AB882" s="93"/>
      <c r="AC882" s="93"/>
      <c r="AD882" s="93"/>
      <c r="AE882" s="93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93"/>
      <c r="C883" s="93"/>
      <c r="D883" s="93"/>
      <c r="E883" s="93"/>
      <c r="F883" s="93"/>
      <c r="G883" s="93"/>
      <c r="H883" s="62"/>
      <c r="I883" s="62"/>
      <c r="J883" s="62"/>
      <c r="K883" s="62"/>
      <c r="L883" s="62"/>
      <c r="M883" s="62"/>
      <c r="N883" s="93"/>
      <c r="O883" s="93"/>
      <c r="P883" s="93"/>
      <c r="Q883" s="93"/>
      <c r="R883" s="93"/>
      <c r="S883" s="93"/>
      <c r="T883" s="62"/>
      <c r="U883" s="62"/>
      <c r="V883" s="62"/>
      <c r="W883" s="62"/>
      <c r="X883" s="62"/>
      <c r="Y883" s="62"/>
      <c r="Z883" s="93"/>
      <c r="AA883" s="93"/>
      <c r="AB883" s="93"/>
      <c r="AC883" s="93"/>
      <c r="AD883" s="93"/>
      <c r="AE883" s="93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93"/>
      <c r="C884" s="93"/>
      <c r="D884" s="93"/>
      <c r="E884" s="93"/>
      <c r="F884" s="93"/>
      <c r="G884" s="93"/>
      <c r="H884" s="62"/>
      <c r="I884" s="62"/>
      <c r="J884" s="62"/>
      <c r="K884" s="62"/>
      <c r="L884" s="62"/>
      <c r="M884" s="62"/>
      <c r="N884" s="93"/>
      <c r="O884" s="93"/>
      <c r="P884" s="93"/>
      <c r="Q884" s="93"/>
      <c r="R884" s="93"/>
      <c r="S884" s="93"/>
      <c r="T884" s="62"/>
      <c r="U884" s="62"/>
      <c r="V884" s="62"/>
      <c r="W884" s="62"/>
      <c r="X884" s="62"/>
      <c r="Y884" s="62"/>
      <c r="Z884" s="93"/>
      <c r="AA884" s="93"/>
      <c r="AB884" s="93"/>
      <c r="AC884" s="93"/>
      <c r="AD884" s="93"/>
      <c r="AE884" s="93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93"/>
      <c r="C885" s="93"/>
      <c r="D885" s="93"/>
      <c r="E885" s="93"/>
      <c r="F885" s="93"/>
      <c r="G885" s="93"/>
      <c r="H885" s="62"/>
      <c r="I885" s="62"/>
      <c r="J885" s="62"/>
      <c r="K885" s="62"/>
      <c r="L885" s="62"/>
      <c r="M885" s="63"/>
      <c r="N885" s="93"/>
      <c r="O885" s="93"/>
      <c r="P885" s="93"/>
      <c r="Q885" s="93"/>
      <c r="R885" s="93"/>
      <c r="S885" s="93"/>
      <c r="T885" s="62"/>
      <c r="U885" s="62"/>
      <c r="V885" s="62"/>
      <c r="W885" s="62"/>
      <c r="X885" s="62"/>
      <c r="Y885" s="63"/>
      <c r="Z885" s="93"/>
      <c r="AA885" s="93"/>
      <c r="AB885" s="93"/>
      <c r="AC885" s="93"/>
      <c r="AD885" s="93"/>
      <c r="AE885" s="93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93"/>
      <c r="C886" s="93"/>
      <c r="D886" s="93"/>
      <c r="E886" s="93"/>
      <c r="F886" s="93"/>
      <c r="G886" s="93"/>
      <c r="H886" s="62"/>
      <c r="I886" s="62"/>
      <c r="J886" s="62"/>
      <c r="K886" s="62"/>
      <c r="L886" s="62"/>
      <c r="M886" s="62"/>
      <c r="N886" s="93"/>
      <c r="O886" s="93"/>
      <c r="P886" s="93"/>
      <c r="Q886" s="93"/>
      <c r="R886" s="93"/>
      <c r="S886" s="93"/>
      <c r="T886" s="62"/>
      <c r="U886" s="62"/>
      <c r="V886" s="62"/>
      <c r="W886" s="62"/>
      <c r="X886" s="62"/>
      <c r="Y886" s="62"/>
      <c r="Z886" s="93"/>
      <c r="AA886" s="93"/>
      <c r="AB886" s="93"/>
      <c r="AC886" s="93"/>
      <c r="AD886" s="93"/>
      <c r="AE886" s="93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93"/>
      <c r="C887" s="93"/>
      <c r="D887" s="93"/>
      <c r="E887" s="93"/>
      <c r="F887" s="93"/>
      <c r="G887" s="93"/>
      <c r="H887" s="62"/>
      <c r="I887" s="93"/>
      <c r="J887" s="74"/>
      <c r="K887" s="62"/>
      <c r="L887" s="62"/>
      <c r="M887" s="62"/>
      <c r="N887" s="93"/>
      <c r="O887" s="93"/>
      <c r="P887" s="93"/>
      <c r="Q887" s="93"/>
      <c r="R887" s="93"/>
      <c r="S887" s="93"/>
      <c r="T887" s="62"/>
      <c r="U887" s="93"/>
      <c r="V887" s="74"/>
      <c r="W887" s="62"/>
      <c r="X887" s="62"/>
      <c r="Y887" s="62"/>
      <c r="Z887" s="93"/>
      <c r="AA887" s="93"/>
      <c r="AB887" s="93"/>
      <c r="AC887" s="93"/>
      <c r="AD887" s="93"/>
      <c r="AE887" s="93"/>
      <c r="AF887" s="62"/>
      <c r="AG887" s="93"/>
      <c r="AH887" s="74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93"/>
      <c r="C888" s="93"/>
      <c r="D888" s="93"/>
      <c r="E888" s="93"/>
      <c r="F888" s="93"/>
      <c r="G888" s="93"/>
      <c r="H888" s="62"/>
      <c r="I888" s="65"/>
      <c r="J888" s="65"/>
      <c r="K888" s="62"/>
      <c r="L888" s="62"/>
      <c r="M888" s="64"/>
      <c r="N888" s="93"/>
      <c r="O888" s="93"/>
      <c r="P888" s="93"/>
      <c r="Q888" s="93"/>
      <c r="R888" s="93"/>
      <c r="S888" s="93"/>
      <c r="T888" s="62"/>
      <c r="U888" s="65"/>
      <c r="V888" s="65"/>
      <c r="W888" s="62"/>
      <c r="X888" s="62"/>
      <c r="Y888" s="64"/>
      <c r="Z888" s="93"/>
      <c r="AA888" s="93"/>
      <c r="AB888" s="93"/>
      <c r="AC888" s="93"/>
      <c r="AD888" s="93"/>
      <c r="AE888" s="93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93"/>
      <c r="C889" s="93"/>
      <c r="D889" s="93"/>
      <c r="E889" s="93"/>
      <c r="F889" s="93"/>
      <c r="G889" s="93"/>
      <c r="H889" s="62"/>
      <c r="I889" s="62"/>
      <c r="J889" s="62"/>
      <c r="K889" s="62"/>
      <c r="L889" s="62"/>
      <c r="M889" s="62"/>
      <c r="N889" s="93"/>
      <c r="O889" s="93"/>
      <c r="P889" s="93"/>
      <c r="Q889" s="93"/>
      <c r="R889" s="93"/>
      <c r="S889" s="93"/>
      <c r="T889" s="62"/>
      <c r="U889" s="62"/>
      <c r="V889" s="62"/>
      <c r="W889" s="62"/>
      <c r="X889" s="62"/>
      <c r="Y889" s="62"/>
      <c r="Z889" s="93"/>
      <c r="AA889" s="93"/>
      <c r="AB889" s="93"/>
      <c r="AC889" s="93"/>
      <c r="AD889" s="93"/>
      <c r="AE889" s="93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93"/>
      <c r="D890" s="114"/>
      <c r="E890" s="114"/>
      <c r="F890" s="93"/>
      <c r="G890" s="93"/>
      <c r="H890" s="62"/>
      <c r="I890" s="114"/>
      <c r="J890" s="114"/>
      <c r="K890" s="113"/>
      <c r="L890" s="62"/>
      <c r="M890" s="62"/>
      <c r="N890" s="65"/>
      <c r="O890" s="93"/>
      <c r="P890" s="114"/>
      <c r="Q890" s="114"/>
      <c r="R890" s="93"/>
      <c r="S890" s="93"/>
      <c r="T890" s="62"/>
      <c r="U890" s="114"/>
      <c r="V890" s="114"/>
      <c r="W890" s="113"/>
      <c r="X890" s="62"/>
      <c r="Y890" s="62"/>
      <c r="Z890" s="65"/>
      <c r="AA890" s="93"/>
      <c r="AB890" s="114"/>
      <c r="AC890" s="114"/>
      <c r="AD890" s="93"/>
      <c r="AE890" s="93"/>
      <c r="AF890" s="62"/>
      <c r="AG890" s="114"/>
      <c r="AH890" s="114"/>
      <c r="AI890" s="113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93"/>
      <c r="C891" s="93"/>
      <c r="D891" s="81"/>
      <c r="E891" s="82"/>
      <c r="F891" s="83"/>
      <c r="G891" s="83"/>
      <c r="H891" s="62"/>
      <c r="I891" s="92"/>
      <c r="J891" s="92"/>
      <c r="K891" s="113"/>
      <c r="L891" s="62"/>
      <c r="M891" s="62"/>
      <c r="N891" s="93"/>
      <c r="O891" s="93"/>
      <c r="P891" s="81"/>
      <c r="Q891" s="83"/>
      <c r="R891" s="83"/>
      <c r="S891" s="83"/>
      <c r="T891" s="62"/>
      <c r="U891" s="92"/>
      <c r="V891" s="92"/>
      <c r="W891" s="113"/>
      <c r="X891" s="62"/>
      <c r="Y891" s="62"/>
      <c r="Z891" s="93"/>
      <c r="AA891" s="93"/>
      <c r="AB891" s="81"/>
      <c r="AC891" s="83"/>
      <c r="AD891" s="83"/>
      <c r="AE891" s="83"/>
      <c r="AF891" s="62"/>
      <c r="AG891" s="92"/>
      <c r="AH891" s="92"/>
      <c r="AI891" s="113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9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93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93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9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93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93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9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93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93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9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93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93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9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93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93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9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93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93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9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93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65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9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93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93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9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93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93"/>
      <c r="AB900" s="60"/>
      <c r="AC900" s="60"/>
      <c r="AD900" s="60"/>
      <c r="AE900" s="60"/>
      <c r="AF900" s="61"/>
      <c r="AG900" s="61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9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93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93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9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93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93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65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93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93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94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93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93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9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93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93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9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93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93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94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93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6"/>
      <c r="AA907" s="93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9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93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93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9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93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93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9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93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93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93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93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93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94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93"/>
      <c r="P912" s="67"/>
      <c r="Q912" s="93"/>
      <c r="R912" s="93"/>
      <c r="S912" s="60"/>
      <c r="T912" s="62"/>
      <c r="U912" s="62"/>
      <c r="V912" s="62"/>
      <c r="W912" s="61"/>
      <c r="X912" s="62"/>
      <c r="Y912" s="62"/>
      <c r="Z912" s="66"/>
      <c r="AA912" s="93"/>
      <c r="AB912" s="67"/>
      <c r="AC912" s="93"/>
      <c r="AD912" s="93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94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93"/>
      <c r="P913" s="68"/>
      <c r="Q913" s="93"/>
      <c r="R913" s="93"/>
      <c r="S913" s="60"/>
      <c r="T913" s="62"/>
      <c r="U913" s="62"/>
      <c r="V913" s="62"/>
      <c r="W913" s="61"/>
      <c r="X913" s="62"/>
      <c r="Y913" s="62"/>
      <c r="Z913" s="66"/>
      <c r="AA913" s="93"/>
      <c r="AB913" s="68"/>
      <c r="AC913" s="93"/>
      <c r="AD913" s="93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93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93"/>
      <c r="P914" s="69"/>
      <c r="Q914" s="93"/>
      <c r="R914" s="62"/>
      <c r="S914" s="60"/>
      <c r="T914" s="62"/>
      <c r="U914" s="62"/>
      <c r="V914" s="62"/>
      <c r="W914" s="61"/>
      <c r="X914" s="62"/>
      <c r="Y914" s="62"/>
      <c r="Z914" s="66"/>
      <c r="AA914" s="93"/>
      <c r="AB914" s="69"/>
      <c r="AC914" s="93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9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93"/>
      <c r="P915" s="69"/>
      <c r="Q915" s="93"/>
      <c r="R915" s="93"/>
      <c r="S915" s="60"/>
      <c r="T915" s="62"/>
      <c r="U915" s="62"/>
      <c r="V915" s="62"/>
      <c r="W915" s="61"/>
      <c r="X915" s="62"/>
      <c r="Y915" s="62"/>
      <c r="Z915" s="66"/>
      <c r="AA915" s="93"/>
      <c r="AB915" s="69"/>
      <c r="AC915" s="93"/>
      <c r="AD915" s="93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9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93"/>
      <c r="P916" s="69"/>
      <c r="Q916" s="93"/>
      <c r="R916" s="93"/>
      <c r="S916" s="60"/>
      <c r="T916" s="62"/>
      <c r="U916" s="62"/>
      <c r="V916" s="62"/>
      <c r="W916" s="61"/>
      <c r="X916" s="62"/>
      <c r="Y916" s="62"/>
      <c r="Z916" s="66"/>
      <c r="AA916" s="93"/>
      <c r="AB916" s="69"/>
      <c r="AC916" s="93"/>
      <c r="AD916" s="93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9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93"/>
      <c r="P917" s="69"/>
      <c r="Q917" s="93"/>
      <c r="R917" s="93"/>
      <c r="S917" s="60"/>
      <c r="T917" s="62"/>
      <c r="U917" s="62"/>
      <c r="V917" s="62"/>
      <c r="W917" s="61"/>
      <c r="X917" s="62"/>
      <c r="Y917" s="62"/>
      <c r="Z917" s="66"/>
      <c r="AA917" s="93"/>
      <c r="AB917" s="69"/>
      <c r="AC917" s="93"/>
      <c r="AD917" s="93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9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93"/>
      <c r="P918" s="69"/>
      <c r="Q918" s="93"/>
      <c r="R918" s="93"/>
      <c r="S918" s="60"/>
      <c r="T918" s="62"/>
      <c r="U918" s="62"/>
      <c r="V918" s="62"/>
      <c r="W918" s="61"/>
      <c r="X918" s="62"/>
      <c r="Y918" s="62"/>
      <c r="Z918" s="66"/>
      <c r="AA918" s="93"/>
      <c r="AB918" s="69"/>
      <c r="AC918" s="93"/>
      <c r="AD918" s="93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9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93"/>
      <c r="P919" s="69"/>
      <c r="Q919" s="93"/>
      <c r="R919" s="93"/>
      <c r="S919" s="60"/>
      <c r="T919" s="62"/>
      <c r="U919" s="62"/>
      <c r="V919" s="62"/>
      <c r="W919" s="61"/>
      <c r="X919" s="62"/>
      <c r="Y919" s="62"/>
      <c r="Z919" s="66"/>
      <c r="AA919" s="93"/>
      <c r="AB919" s="69"/>
      <c r="AC919" s="93"/>
      <c r="AD919" s="93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9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93"/>
      <c r="P920" s="69"/>
      <c r="Q920" s="93"/>
      <c r="R920" s="93"/>
      <c r="S920" s="60"/>
      <c r="T920" s="62"/>
      <c r="U920" s="62"/>
      <c r="V920" s="62"/>
      <c r="W920" s="61"/>
      <c r="X920" s="62"/>
      <c r="Y920" s="62"/>
      <c r="Z920" s="66"/>
      <c r="AA920" s="93"/>
      <c r="AB920" s="69"/>
      <c r="AC920" s="93"/>
      <c r="AD920" s="93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93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65"/>
      <c r="P921" s="69"/>
      <c r="Q921" s="93"/>
      <c r="R921" s="93"/>
      <c r="S921" s="60"/>
      <c r="T921" s="62"/>
      <c r="U921" s="62"/>
      <c r="V921" s="62"/>
      <c r="W921" s="61"/>
      <c r="X921" s="62"/>
      <c r="Y921" s="62"/>
      <c r="Z921" s="66"/>
      <c r="AA921" s="93"/>
      <c r="AB921" s="69"/>
      <c r="AC921" s="93"/>
      <c r="AD921" s="93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9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62"/>
      <c r="P922" s="69"/>
      <c r="Q922" s="93"/>
      <c r="R922" s="93"/>
      <c r="S922" s="60"/>
      <c r="T922" s="62"/>
      <c r="U922" s="62"/>
      <c r="V922" s="62"/>
      <c r="W922" s="61"/>
      <c r="X922" s="62"/>
      <c r="Y922" s="62"/>
      <c r="Z922" s="66"/>
      <c r="AA922" s="62"/>
      <c r="AB922" s="69"/>
      <c r="AC922" s="93"/>
      <c r="AD922" s="93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9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93"/>
      <c r="P923" s="69"/>
      <c r="Q923" s="93"/>
      <c r="R923" s="93"/>
      <c r="S923" s="60"/>
      <c r="T923" s="62"/>
      <c r="U923" s="62"/>
      <c r="V923" s="62"/>
      <c r="W923" s="61"/>
      <c r="X923" s="62"/>
      <c r="Y923" s="62"/>
      <c r="Z923" s="66"/>
      <c r="AA923" s="93"/>
      <c r="AB923" s="69"/>
      <c r="AC923" s="93"/>
      <c r="AD923" s="93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9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93"/>
      <c r="P924" s="69"/>
      <c r="Q924" s="93"/>
      <c r="R924" s="93"/>
      <c r="S924" s="60"/>
      <c r="T924" s="62"/>
      <c r="U924" s="62"/>
      <c r="V924" s="62"/>
      <c r="W924" s="61"/>
      <c r="X924" s="62"/>
      <c r="Y924" s="62"/>
      <c r="Z924" s="66"/>
      <c r="AA924" s="93"/>
      <c r="AB924" s="69"/>
      <c r="AC924" s="93"/>
      <c r="AD924" s="93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9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62"/>
      <c r="P925" s="69"/>
      <c r="Q925" s="93"/>
      <c r="R925" s="93"/>
      <c r="S925" s="60"/>
      <c r="T925" s="62"/>
      <c r="U925" s="62"/>
      <c r="V925" s="62"/>
      <c r="W925" s="61"/>
      <c r="X925" s="62"/>
      <c r="Y925" s="62"/>
      <c r="Z925" s="66"/>
      <c r="AA925" s="62"/>
      <c r="AB925" s="69"/>
      <c r="AC925" s="93"/>
      <c r="AD925" s="93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93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93"/>
      <c r="P926" s="69"/>
      <c r="Q926" s="93"/>
      <c r="R926" s="93"/>
      <c r="S926" s="60"/>
      <c r="T926" s="62"/>
      <c r="U926" s="62"/>
      <c r="V926" s="62"/>
      <c r="W926" s="61"/>
      <c r="X926" s="62"/>
      <c r="Y926" s="62"/>
      <c r="Z926" s="66"/>
      <c r="AA926" s="93"/>
      <c r="AB926" s="69"/>
      <c r="AC926" s="93"/>
      <c r="AD926" s="93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93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93"/>
      <c r="P927" s="69"/>
      <c r="Q927" s="93"/>
      <c r="R927" s="93"/>
      <c r="S927" s="60"/>
      <c r="T927" s="62"/>
      <c r="U927" s="62"/>
      <c r="V927" s="62"/>
      <c r="W927" s="61"/>
      <c r="X927" s="62"/>
      <c r="Y927" s="62"/>
      <c r="Z927" s="66"/>
      <c r="AA927" s="93"/>
      <c r="AB927" s="69"/>
      <c r="AC927" s="93"/>
      <c r="AD927" s="93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93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93"/>
      <c r="R928" s="93"/>
      <c r="S928" s="60"/>
      <c r="T928" s="62"/>
      <c r="U928" s="62"/>
      <c r="V928" s="62"/>
      <c r="W928" s="61"/>
      <c r="X928" s="62"/>
      <c r="Y928" s="62"/>
      <c r="Z928" s="66"/>
      <c r="AA928" s="93"/>
      <c r="AB928" s="69"/>
      <c r="AC928" s="93"/>
      <c r="AD928" s="93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93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93"/>
      <c r="P929" s="69"/>
      <c r="Q929" s="93"/>
      <c r="R929" s="93"/>
      <c r="S929" s="60"/>
      <c r="T929" s="62"/>
      <c r="U929" s="62"/>
      <c r="V929" s="62"/>
      <c r="W929" s="61"/>
      <c r="X929" s="62"/>
      <c r="Y929" s="62"/>
      <c r="Z929" s="66"/>
      <c r="AA929" s="93"/>
      <c r="AB929" s="69"/>
      <c r="AC929" s="93"/>
      <c r="AD929" s="93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93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93"/>
      <c r="P930" s="69"/>
      <c r="Q930" s="93"/>
      <c r="R930" s="93"/>
      <c r="S930" s="60"/>
      <c r="T930" s="62"/>
      <c r="U930" s="62"/>
      <c r="V930" s="62"/>
      <c r="W930" s="61"/>
      <c r="X930" s="62"/>
      <c r="Y930" s="62"/>
      <c r="Z930" s="66"/>
      <c r="AA930" s="93"/>
      <c r="AB930" s="69"/>
      <c r="AC930" s="93"/>
      <c r="AD930" s="93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93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93"/>
      <c r="R931" s="93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93"/>
      <c r="AD931" s="93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93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93"/>
      <c r="P932" s="69"/>
      <c r="Q932" s="93"/>
      <c r="R932" s="93"/>
      <c r="S932" s="60"/>
      <c r="T932" s="62"/>
      <c r="U932" s="62"/>
      <c r="V932" s="62"/>
      <c r="W932" s="61"/>
      <c r="X932" s="62"/>
      <c r="Y932" s="62"/>
      <c r="Z932" s="66"/>
      <c r="AA932" s="93"/>
      <c r="AB932" s="69"/>
      <c r="AC932" s="93"/>
      <c r="AD932" s="93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93"/>
      <c r="O933" s="93"/>
      <c r="P933" s="93"/>
      <c r="Q933" s="93"/>
      <c r="R933" s="93"/>
      <c r="S933" s="93"/>
      <c r="T933" s="62"/>
      <c r="U933" s="62"/>
      <c r="V933" s="62"/>
      <c r="W933" s="61"/>
      <c r="X933" s="62"/>
      <c r="Y933" s="62"/>
      <c r="Z933" s="93"/>
      <c r="AA933" s="93"/>
      <c r="AB933" s="93"/>
      <c r="AC933" s="93"/>
      <c r="AD933" s="93"/>
      <c r="AE933" s="93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93"/>
      <c r="C934" s="93"/>
      <c r="D934" s="93"/>
      <c r="E934" s="93"/>
      <c r="F934" s="93"/>
      <c r="G934" s="93"/>
      <c r="H934" s="62"/>
      <c r="I934" s="62"/>
      <c r="J934" s="62"/>
      <c r="K934" s="62"/>
      <c r="L934" s="62"/>
      <c r="M934" s="62"/>
      <c r="N934" s="93"/>
      <c r="O934" s="93"/>
      <c r="P934" s="93"/>
      <c r="Q934" s="93"/>
      <c r="R934" s="93"/>
      <c r="S934" s="93"/>
      <c r="T934" s="62"/>
      <c r="U934" s="62"/>
      <c r="V934" s="62"/>
      <c r="W934" s="62"/>
      <c r="X934" s="62"/>
      <c r="Y934" s="62"/>
      <c r="Z934" s="93"/>
      <c r="AA934" s="93"/>
      <c r="AB934" s="93"/>
      <c r="AC934" s="93"/>
      <c r="AD934" s="93"/>
      <c r="AE934" s="93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93"/>
      <c r="C935" s="93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93"/>
      <c r="O935" s="93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93"/>
      <c r="AA935" s="93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93"/>
      <c r="C937" s="93"/>
      <c r="D937" s="93"/>
      <c r="E937" s="93"/>
      <c r="F937" s="93"/>
      <c r="G937" s="93"/>
      <c r="H937" s="62"/>
      <c r="I937" s="62"/>
      <c r="J937" s="62"/>
      <c r="K937" s="62"/>
      <c r="L937" s="62"/>
      <c r="M937" s="62"/>
      <c r="N937" s="93"/>
      <c r="O937" s="93"/>
      <c r="P937" s="93"/>
      <c r="Q937" s="93"/>
      <c r="R937" s="93"/>
      <c r="S937" s="93"/>
      <c r="T937" s="62"/>
      <c r="U937" s="62"/>
      <c r="V937" s="62"/>
      <c r="W937" s="62"/>
      <c r="X937" s="62"/>
      <c r="Y937" s="62"/>
      <c r="Z937" s="93"/>
      <c r="AA937" s="93"/>
      <c r="AB937" s="93"/>
      <c r="AC937" s="93"/>
      <c r="AD937" s="93"/>
      <c r="AE937" s="93"/>
      <c r="AF937" s="62"/>
      <c r="AG937" s="62"/>
      <c r="AH937" s="62"/>
      <c r="AI937" s="62"/>
      <c r="AJ937" s="62"/>
      <c r="AK937" s="62"/>
      <c r="AL937" s="87"/>
      <c r="AM937" s="87"/>
      <c r="AN937" s="87"/>
      <c r="AO937" s="87"/>
      <c r="AP937" s="87"/>
      <c r="AQ937" s="84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93"/>
      <c r="C938" s="93"/>
      <c r="D938" s="93"/>
      <c r="E938" s="93"/>
      <c r="F938" s="93"/>
      <c r="G938" s="93"/>
      <c r="H938" s="62"/>
      <c r="I938" s="62"/>
      <c r="J938" s="62"/>
      <c r="K938" s="62"/>
      <c r="L938" s="62"/>
      <c r="M938" s="62"/>
      <c r="N938" s="93"/>
      <c r="O938" s="93"/>
      <c r="P938" s="93"/>
      <c r="Q938" s="93"/>
      <c r="R938" s="93"/>
      <c r="S938" s="93"/>
      <c r="T938" s="62"/>
      <c r="U938" s="62"/>
      <c r="V938" s="62"/>
      <c r="W938" s="62"/>
      <c r="X938" s="62"/>
      <c r="Y938" s="62"/>
      <c r="Z938" s="93"/>
      <c r="AA938" s="93"/>
      <c r="AB938" s="93"/>
      <c r="AC938" s="93"/>
      <c r="AD938" s="93"/>
      <c r="AE938" s="93"/>
      <c r="AF938" s="62"/>
      <c r="AG938" s="62"/>
      <c r="AH938" s="62"/>
      <c r="AI938" s="62"/>
      <c r="AJ938" s="62"/>
      <c r="AK938" s="62"/>
      <c r="AL938" s="87"/>
      <c r="AM938" s="87"/>
      <c r="AN938" s="87"/>
      <c r="AO938" s="87"/>
      <c r="AP938" s="87"/>
      <c r="AQ938" s="84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93"/>
      <c r="C939" s="93"/>
      <c r="D939" s="93"/>
      <c r="E939" s="93"/>
      <c r="F939" s="93"/>
      <c r="G939" s="93"/>
      <c r="H939" s="62"/>
      <c r="I939" s="62"/>
      <c r="J939" s="62"/>
      <c r="K939" s="62"/>
      <c r="L939" s="62"/>
      <c r="M939" s="62"/>
      <c r="N939" s="93"/>
      <c r="O939" s="93"/>
      <c r="P939" s="93"/>
      <c r="Q939" s="93"/>
      <c r="R939" s="93"/>
      <c r="S939" s="93"/>
      <c r="T939" s="62"/>
      <c r="U939" s="62"/>
      <c r="V939" s="62"/>
      <c r="W939" s="62"/>
      <c r="X939" s="62"/>
      <c r="Y939" s="62"/>
      <c r="Z939" s="93"/>
      <c r="AA939" s="93"/>
      <c r="AB939" s="93"/>
      <c r="AC939" s="93"/>
      <c r="AD939" s="93"/>
      <c r="AE939" s="93"/>
      <c r="AF939" s="62"/>
      <c r="AG939" s="62"/>
      <c r="AH939" s="62"/>
      <c r="AI939" s="62"/>
      <c r="AJ939" s="62"/>
      <c r="AK939" s="62"/>
      <c r="AL939" s="87"/>
      <c r="AM939" s="87"/>
      <c r="AN939" s="87"/>
      <c r="AO939" s="87"/>
      <c r="AP939" s="87"/>
      <c r="AQ939" s="84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93"/>
      <c r="C940" s="93"/>
      <c r="D940" s="93"/>
      <c r="E940" s="93"/>
      <c r="F940" s="93"/>
      <c r="G940" s="93"/>
      <c r="H940" s="62"/>
      <c r="I940" s="62"/>
      <c r="J940" s="62"/>
      <c r="K940" s="62"/>
      <c r="L940" s="62"/>
      <c r="M940" s="63"/>
      <c r="N940" s="93"/>
      <c r="O940" s="93"/>
      <c r="P940" s="93"/>
      <c r="Q940" s="93"/>
      <c r="R940" s="93"/>
      <c r="S940" s="93"/>
      <c r="T940" s="62"/>
      <c r="U940" s="62"/>
      <c r="V940" s="62"/>
      <c r="W940" s="62"/>
      <c r="X940" s="62"/>
      <c r="Y940" s="63"/>
      <c r="Z940" s="93"/>
      <c r="AA940" s="93"/>
      <c r="AB940" s="93"/>
      <c r="AC940" s="93"/>
      <c r="AD940" s="93"/>
      <c r="AE940" s="93"/>
      <c r="AF940" s="62"/>
      <c r="AG940" s="62"/>
      <c r="AH940" s="62"/>
      <c r="AI940" s="62"/>
      <c r="AJ940" s="62"/>
      <c r="AK940" s="63"/>
      <c r="AL940" s="87"/>
      <c r="AM940" s="87"/>
      <c r="AN940" s="87"/>
      <c r="AO940" s="87"/>
      <c r="AP940" s="87"/>
      <c r="AQ940" s="84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93"/>
      <c r="C941" s="93"/>
      <c r="D941" s="93"/>
      <c r="E941" s="93"/>
      <c r="F941" s="93"/>
      <c r="G941" s="93"/>
      <c r="H941" s="62"/>
      <c r="I941" s="62"/>
      <c r="J941" s="62"/>
      <c r="K941" s="62"/>
      <c r="L941" s="62"/>
      <c r="M941" s="62"/>
      <c r="N941" s="93"/>
      <c r="O941" s="93"/>
      <c r="P941" s="93"/>
      <c r="Q941" s="93"/>
      <c r="R941" s="93"/>
      <c r="S941" s="93"/>
      <c r="T941" s="62"/>
      <c r="U941" s="62"/>
      <c r="V941" s="62"/>
      <c r="W941" s="62"/>
      <c r="X941" s="62"/>
      <c r="Y941" s="62"/>
      <c r="Z941" s="93"/>
      <c r="AA941" s="93"/>
      <c r="AB941" s="93"/>
      <c r="AC941" s="93"/>
      <c r="AD941" s="93"/>
      <c r="AE941" s="93"/>
      <c r="AF941" s="62"/>
      <c r="AG941" s="62"/>
      <c r="AH941" s="62"/>
      <c r="AI941" s="62"/>
      <c r="AJ941" s="62"/>
      <c r="AK941" s="62"/>
      <c r="AL941" s="87"/>
      <c r="AM941" s="87"/>
      <c r="AN941" s="87"/>
      <c r="AO941" s="87"/>
      <c r="AP941" s="87"/>
      <c r="AQ941" s="84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93"/>
      <c r="C942" s="93"/>
      <c r="D942" s="93"/>
      <c r="E942" s="93"/>
      <c r="F942" s="93"/>
      <c r="G942" s="93"/>
      <c r="H942" s="62"/>
      <c r="I942" s="93"/>
      <c r="J942" s="74"/>
      <c r="K942" s="62"/>
      <c r="L942" s="62"/>
      <c r="M942" s="62"/>
      <c r="N942" s="93"/>
      <c r="O942" s="93"/>
      <c r="P942" s="93"/>
      <c r="Q942" s="93"/>
      <c r="R942" s="93"/>
      <c r="S942" s="93"/>
      <c r="T942" s="62"/>
      <c r="U942" s="93"/>
      <c r="V942" s="74"/>
      <c r="W942" s="62"/>
      <c r="X942" s="62"/>
      <c r="Y942" s="62"/>
      <c r="Z942" s="93"/>
      <c r="AA942" s="93"/>
      <c r="AB942" s="93"/>
      <c r="AC942" s="93"/>
      <c r="AD942" s="93"/>
      <c r="AE942" s="93"/>
      <c r="AF942" s="62"/>
      <c r="AG942" s="93"/>
      <c r="AH942" s="74"/>
      <c r="AI942" s="62"/>
      <c r="AJ942" s="62"/>
      <c r="AK942" s="62"/>
      <c r="AL942" s="87"/>
      <c r="AM942" s="87"/>
      <c r="AN942" s="87"/>
      <c r="AO942" s="87"/>
      <c r="AP942" s="87"/>
      <c r="AQ942" s="84"/>
      <c r="AR942" s="62"/>
      <c r="AS942" s="84"/>
      <c r="AT942" s="84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93"/>
      <c r="C943" s="93"/>
      <c r="D943" s="93"/>
      <c r="E943" s="93"/>
      <c r="F943" s="93"/>
      <c r="G943" s="93"/>
      <c r="H943" s="62"/>
      <c r="I943" s="65"/>
      <c r="J943" s="65"/>
      <c r="K943" s="62"/>
      <c r="L943" s="62"/>
      <c r="M943" s="64"/>
      <c r="N943" s="93"/>
      <c r="O943" s="93"/>
      <c r="P943" s="93"/>
      <c r="Q943" s="93"/>
      <c r="R943" s="93"/>
      <c r="S943" s="93"/>
      <c r="T943" s="62"/>
      <c r="U943" s="65"/>
      <c r="V943" s="65"/>
      <c r="W943" s="62"/>
      <c r="X943" s="62"/>
      <c r="Y943" s="64"/>
      <c r="Z943" s="93"/>
      <c r="AA943" s="93"/>
      <c r="AB943" s="93"/>
      <c r="AC943" s="93"/>
      <c r="AD943" s="93"/>
      <c r="AE943" s="93"/>
      <c r="AF943" s="62"/>
      <c r="AG943" s="65"/>
      <c r="AH943" s="65"/>
      <c r="AI943" s="62"/>
      <c r="AJ943" s="62"/>
      <c r="AK943" s="64"/>
      <c r="AL943" s="87"/>
      <c r="AM943" s="87"/>
      <c r="AN943" s="87"/>
      <c r="AO943" s="87"/>
      <c r="AP943" s="87"/>
      <c r="AQ943" s="84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93"/>
      <c r="C944" s="93"/>
      <c r="D944" s="93"/>
      <c r="E944" s="93"/>
      <c r="F944" s="93"/>
      <c r="G944" s="93"/>
      <c r="H944" s="62"/>
      <c r="I944" s="62"/>
      <c r="J944" s="62"/>
      <c r="K944" s="62"/>
      <c r="L944" s="62"/>
      <c r="M944" s="62"/>
      <c r="N944" s="93"/>
      <c r="O944" s="93"/>
      <c r="P944" s="93"/>
      <c r="Q944" s="93"/>
      <c r="R944" s="93"/>
      <c r="S944" s="93"/>
      <c r="T944" s="62"/>
      <c r="U944" s="62"/>
      <c r="V944" s="62"/>
      <c r="W944" s="62"/>
      <c r="X944" s="62"/>
      <c r="Y944" s="62"/>
      <c r="Z944" s="93"/>
      <c r="AA944" s="93"/>
      <c r="AB944" s="93"/>
      <c r="AC944" s="93"/>
      <c r="AD944" s="93"/>
      <c r="AE944" s="93"/>
      <c r="AF944" s="62"/>
      <c r="AG944" s="62"/>
      <c r="AH944" s="62"/>
      <c r="AI944" s="62"/>
      <c r="AJ944" s="62"/>
      <c r="AK944" s="62"/>
      <c r="AL944" s="87"/>
      <c r="AM944" s="87"/>
      <c r="AN944" s="87"/>
      <c r="AO944" s="87"/>
      <c r="AP944" s="87"/>
      <c r="AQ944" s="84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93"/>
      <c r="D945" s="114"/>
      <c r="E945" s="114"/>
      <c r="F945" s="93"/>
      <c r="G945" s="93"/>
      <c r="H945" s="62"/>
      <c r="I945" s="114"/>
      <c r="J945" s="114"/>
      <c r="K945" s="113"/>
      <c r="L945" s="62"/>
      <c r="M945" s="62"/>
      <c r="N945" s="65"/>
      <c r="O945" s="93"/>
      <c r="P945" s="114"/>
      <c r="Q945" s="114"/>
      <c r="R945" s="93"/>
      <c r="S945" s="93"/>
      <c r="T945" s="62"/>
      <c r="U945" s="114"/>
      <c r="V945" s="114"/>
      <c r="W945" s="113"/>
      <c r="X945" s="62"/>
      <c r="Y945" s="62"/>
      <c r="Z945" s="65"/>
      <c r="AA945" s="93"/>
      <c r="AB945" s="114"/>
      <c r="AC945" s="114"/>
      <c r="AD945" s="93"/>
      <c r="AE945" s="93"/>
      <c r="AF945" s="62"/>
      <c r="AG945" s="114"/>
      <c r="AH945" s="114"/>
      <c r="AI945" s="113"/>
      <c r="AJ945" s="62"/>
      <c r="AK945" s="62"/>
      <c r="AL945" s="65"/>
      <c r="AM945" s="87"/>
      <c r="AN945" s="114"/>
      <c r="AO945" s="114"/>
      <c r="AP945" s="87"/>
      <c r="AQ945" s="84"/>
      <c r="AR945" s="62"/>
      <c r="AS945" s="114"/>
      <c r="AT945" s="114"/>
      <c r="AU945" s="113"/>
      <c r="AV945" s="62"/>
      <c r="AW945" s="62"/>
      <c r="AX945" s="62"/>
      <c r="AY945" s="62"/>
      <c r="AZ945" s="62"/>
    </row>
    <row r="946" spans="1:52" x14ac:dyDescent="0.25">
      <c r="A946" s="62"/>
      <c r="B946" s="93"/>
      <c r="C946" s="93"/>
      <c r="D946" s="81"/>
      <c r="E946" s="82"/>
      <c r="F946" s="83"/>
      <c r="G946" s="83"/>
      <c r="H946" s="62"/>
      <c r="I946" s="92"/>
      <c r="J946" s="92"/>
      <c r="K946" s="113"/>
      <c r="L946" s="62"/>
      <c r="M946" s="62"/>
      <c r="N946" s="93"/>
      <c r="O946" s="93"/>
      <c r="P946" s="81"/>
      <c r="Q946" s="83"/>
      <c r="R946" s="83"/>
      <c r="S946" s="83"/>
      <c r="T946" s="62"/>
      <c r="U946" s="92"/>
      <c r="V946" s="92"/>
      <c r="W946" s="113"/>
      <c r="X946" s="62"/>
      <c r="Y946" s="62"/>
      <c r="Z946" s="93"/>
      <c r="AA946" s="93"/>
      <c r="AB946" s="81"/>
      <c r="AC946" s="83"/>
      <c r="AD946" s="83"/>
      <c r="AE946" s="83"/>
      <c r="AF946" s="62"/>
      <c r="AG946" s="92"/>
      <c r="AH946" s="92"/>
      <c r="AI946" s="113"/>
      <c r="AJ946" s="62"/>
      <c r="AK946" s="62"/>
      <c r="AL946" s="87"/>
      <c r="AM946" s="87"/>
      <c r="AN946" s="81"/>
      <c r="AO946" s="83"/>
      <c r="AP946" s="83"/>
      <c r="AQ946" s="83"/>
      <c r="AR946" s="62"/>
      <c r="AS946" s="85"/>
      <c r="AT946" s="85"/>
      <c r="AU946" s="113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9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93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93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7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9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93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93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7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9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93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93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7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9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93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93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7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94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93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65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7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9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93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93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9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65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93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7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9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93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93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7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9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93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93"/>
      <c r="AB955" s="60"/>
      <c r="AC955" s="60"/>
      <c r="AD955" s="60"/>
      <c r="AE955" s="60"/>
      <c r="AF955" s="61"/>
      <c r="AG955" s="61"/>
      <c r="AH955" s="61"/>
      <c r="AI955" s="61"/>
      <c r="AJ955" s="62"/>
      <c r="AK955" s="62"/>
      <c r="AL955" s="66"/>
      <c r="AM955" s="87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9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93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93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9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93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93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7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9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93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93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7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9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93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93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7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65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62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93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7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93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93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93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7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94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93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6"/>
      <c r="AA962" s="93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7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9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93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93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7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9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93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93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7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9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93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93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7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9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93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93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7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93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93"/>
      <c r="P967" s="67"/>
      <c r="Q967" s="93"/>
      <c r="R967" s="93"/>
      <c r="S967" s="60"/>
      <c r="T967" s="62"/>
      <c r="U967" s="62"/>
      <c r="V967" s="62"/>
      <c r="W967" s="61"/>
      <c r="X967" s="62"/>
      <c r="Y967" s="62"/>
      <c r="Z967" s="66"/>
      <c r="AA967" s="62"/>
      <c r="AB967" s="67"/>
      <c r="AC967" s="93"/>
      <c r="AD967" s="93"/>
      <c r="AE967" s="60"/>
      <c r="AF967" s="62"/>
      <c r="AG967" s="62"/>
      <c r="AH967" s="62"/>
      <c r="AI967" s="61"/>
      <c r="AJ967" s="62"/>
      <c r="AK967" s="62"/>
      <c r="AL967" s="66"/>
      <c r="AM967" s="87"/>
      <c r="AN967" s="67"/>
      <c r="AO967" s="87"/>
      <c r="AP967" s="87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94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93"/>
      <c r="P968" s="68"/>
      <c r="Q968" s="93"/>
      <c r="R968" s="93"/>
      <c r="S968" s="60"/>
      <c r="T968" s="62"/>
      <c r="U968" s="62"/>
      <c r="V968" s="62"/>
      <c r="W968" s="61"/>
      <c r="X968" s="62"/>
      <c r="Y968" s="62"/>
      <c r="Z968" s="66"/>
      <c r="AA968" s="93"/>
      <c r="AB968" s="68"/>
      <c r="AC968" s="93"/>
      <c r="AD968" s="93"/>
      <c r="AE968" s="60"/>
      <c r="AF968" s="62"/>
      <c r="AG968" s="62"/>
      <c r="AH968" s="62"/>
      <c r="AI968" s="61"/>
      <c r="AJ968" s="62"/>
      <c r="AK968" s="62"/>
      <c r="AL968" s="66"/>
      <c r="AM968" s="87"/>
      <c r="AN968" s="68"/>
      <c r="AO968" s="87"/>
      <c r="AP968" s="87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93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93"/>
      <c r="P969" s="69"/>
      <c r="Q969" s="93"/>
      <c r="R969" s="62"/>
      <c r="S969" s="60"/>
      <c r="T969" s="62"/>
      <c r="U969" s="62"/>
      <c r="V969" s="62"/>
      <c r="W969" s="61"/>
      <c r="X969" s="62"/>
      <c r="Y969" s="62"/>
      <c r="Z969" s="66"/>
      <c r="AA969" s="93"/>
      <c r="AB969" s="69"/>
      <c r="AC969" s="93"/>
      <c r="AD969" s="62"/>
      <c r="AE969" s="60"/>
      <c r="AF969" s="62"/>
      <c r="AG969" s="62"/>
      <c r="AH969" s="62"/>
      <c r="AI969" s="61"/>
      <c r="AJ969" s="62"/>
      <c r="AK969" s="62"/>
      <c r="AL969" s="66"/>
      <c r="AM969" s="87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9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93"/>
      <c r="P970" s="69"/>
      <c r="Q970" s="93"/>
      <c r="R970" s="93"/>
      <c r="S970" s="60"/>
      <c r="T970" s="62"/>
      <c r="U970" s="62"/>
      <c r="V970" s="62"/>
      <c r="W970" s="61"/>
      <c r="X970" s="62"/>
      <c r="Y970" s="62"/>
      <c r="Z970" s="66"/>
      <c r="AA970" s="93"/>
      <c r="AB970" s="69"/>
      <c r="AC970" s="93"/>
      <c r="AD970" s="93"/>
      <c r="AE970" s="60"/>
      <c r="AF970" s="62"/>
      <c r="AG970" s="62"/>
      <c r="AH970" s="62"/>
      <c r="AI970" s="61"/>
      <c r="AJ970" s="62"/>
      <c r="AK970" s="62"/>
      <c r="AL970" s="66"/>
      <c r="AM970" s="87"/>
      <c r="AN970" s="69"/>
      <c r="AO970" s="87"/>
      <c r="AP970" s="87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9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93"/>
      <c r="P971" s="69"/>
      <c r="Q971" s="93"/>
      <c r="R971" s="93"/>
      <c r="S971" s="60"/>
      <c r="T971" s="62"/>
      <c r="U971" s="62"/>
      <c r="V971" s="62"/>
      <c r="W971" s="61"/>
      <c r="X971" s="62"/>
      <c r="Y971" s="62"/>
      <c r="Z971" s="66"/>
      <c r="AA971" s="93"/>
      <c r="AB971" s="69"/>
      <c r="AC971" s="93"/>
      <c r="AD971" s="93"/>
      <c r="AE971" s="60"/>
      <c r="AF971" s="62"/>
      <c r="AG971" s="62"/>
      <c r="AH971" s="62"/>
      <c r="AI971" s="61"/>
      <c r="AJ971" s="62"/>
      <c r="AK971" s="62"/>
      <c r="AL971" s="66"/>
      <c r="AM971" s="87"/>
      <c r="AN971" s="69"/>
      <c r="AO971" s="87"/>
      <c r="AP971" s="87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9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93"/>
      <c r="P972" s="69"/>
      <c r="Q972" s="93"/>
      <c r="R972" s="93"/>
      <c r="S972" s="60"/>
      <c r="T972" s="62"/>
      <c r="U972" s="62"/>
      <c r="V972" s="62"/>
      <c r="W972" s="61"/>
      <c r="X972" s="62"/>
      <c r="Y972" s="62"/>
      <c r="Z972" s="66"/>
      <c r="AA972" s="93"/>
      <c r="AB972" s="69"/>
      <c r="AC972" s="93"/>
      <c r="AD972" s="93"/>
      <c r="AE972" s="60"/>
      <c r="AF972" s="62"/>
      <c r="AG972" s="62"/>
      <c r="AH972" s="62"/>
      <c r="AI972" s="61"/>
      <c r="AJ972" s="62"/>
      <c r="AK972" s="62"/>
      <c r="AL972" s="66"/>
      <c r="AM972" s="87"/>
      <c r="AN972" s="69"/>
      <c r="AO972" s="87"/>
      <c r="AP972" s="87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9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93"/>
      <c r="P973" s="69"/>
      <c r="Q973" s="93"/>
      <c r="R973" s="93"/>
      <c r="S973" s="60"/>
      <c r="T973" s="62"/>
      <c r="U973" s="62"/>
      <c r="V973" s="62"/>
      <c r="W973" s="61"/>
      <c r="X973" s="62"/>
      <c r="Y973" s="62"/>
      <c r="Z973" s="66"/>
      <c r="AA973" s="93"/>
      <c r="AB973" s="69"/>
      <c r="AC973" s="93"/>
      <c r="AD973" s="93"/>
      <c r="AE973" s="60"/>
      <c r="AF973" s="62"/>
      <c r="AG973" s="62"/>
      <c r="AH973" s="62"/>
      <c r="AI973" s="61"/>
      <c r="AJ973" s="62"/>
      <c r="AK973" s="62"/>
      <c r="AL973" s="66"/>
      <c r="AM973" s="87"/>
      <c r="AN973" s="69"/>
      <c r="AO973" s="87"/>
      <c r="AP973" s="87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9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93"/>
      <c r="P974" s="69"/>
      <c r="Q974" s="93"/>
      <c r="R974" s="93"/>
      <c r="S974" s="60"/>
      <c r="T974" s="62"/>
      <c r="U974" s="62"/>
      <c r="V974" s="62"/>
      <c r="W974" s="61"/>
      <c r="X974" s="62"/>
      <c r="Y974" s="62"/>
      <c r="Z974" s="66"/>
      <c r="AA974" s="93"/>
      <c r="AB974" s="69"/>
      <c r="AC974" s="93"/>
      <c r="AD974" s="93"/>
      <c r="AE974" s="60"/>
      <c r="AF974" s="62"/>
      <c r="AG974" s="62"/>
      <c r="AH974" s="62"/>
      <c r="AI974" s="61"/>
      <c r="AJ974" s="62"/>
      <c r="AK974" s="62"/>
      <c r="AL974" s="66"/>
      <c r="AM974" s="87"/>
      <c r="AN974" s="69"/>
      <c r="AO974" s="87"/>
      <c r="AP974" s="87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9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93"/>
      <c r="P975" s="69"/>
      <c r="Q975" s="93"/>
      <c r="R975" s="93"/>
      <c r="S975" s="60"/>
      <c r="T975" s="62"/>
      <c r="U975" s="62"/>
      <c r="V975" s="62"/>
      <c r="W975" s="61"/>
      <c r="X975" s="62"/>
      <c r="Y975" s="62"/>
      <c r="Z975" s="66"/>
      <c r="AA975" s="93"/>
      <c r="AB975" s="69"/>
      <c r="AC975" s="93"/>
      <c r="AD975" s="93"/>
      <c r="AE975" s="60"/>
      <c r="AF975" s="62"/>
      <c r="AG975" s="62"/>
      <c r="AH975" s="62"/>
      <c r="AI975" s="61"/>
      <c r="AJ975" s="62"/>
      <c r="AK975" s="62"/>
      <c r="AL975" s="66"/>
      <c r="AM975" s="87"/>
      <c r="AN975" s="69"/>
      <c r="AO975" s="87"/>
      <c r="AP975" s="87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93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93"/>
      <c r="R976" s="93"/>
      <c r="S976" s="60"/>
      <c r="T976" s="62"/>
      <c r="U976" s="62"/>
      <c r="V976" s="62"/>
      <c r="W976" s="61"/>
      <c r="X976" s="62"/>
      <c r="Y976" s="62"/>
      <c r="Z976" s="66"/>
      <c r="AA976" s="93"/>
      <c r="AB976" s="69"/>
      <c r="AC976" s="93"/>
      <c r="AD976" s="93"/>
      <c r="AE976" s="60"/>
      <c r="AF976" s="62"/>
      <c r="AG976" s="62"/>
      <c r="AH976" s="62"/>
      <c r="AI976" s="61"/>
      <c r="AJ976" s="62"/>
      <c r="AK976" s="62"/>
      <c r="AL976" s="66"/>
      <c r="AM976" s="87"/>
      <c r="AN976" s="69"/>
      <c r="AO976" s="87"/>
      <c r="AP976" s="87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94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62"/>
      <c r="P977" s="69"/>
      <c r="Q977" s="93"/>
      <c r="R977" s="93"/>
      <c r="S977" s="60"/>
      <c r="T977" s="62"/>
      <c r="U977" s="62"/>
      <c r="V977" s="62"/>
      <c r="W977" s="61"/>
      <c r="X977" s="62"/>
      <c r="Y977" s="62"/>
      <c r="Z977" s="66"/>
      <c r="AA977" s="62"/>
      <c r="AB977" s="69"/>
      <c r="AC977" s="93"/>
      <c r="AD977" s="93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7"/>
      <c r="AP977" s="87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9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93"/>
      <c r="P978" s="69"/>
      <c r="Q978" s="93"/>
      <c r="R978" s="93"/>
      <c r="S978" s="60"/>
      <c r="T978" s="62"/>
      <c r="U978" s="62"/>
      <c r="V978" s="62"/>
      <c r="W978" s="61"/>
      <c r="X978" s="62"/>
      <c r="Y978" s="62"/>
      <c r="Z978" s="66"/>
      <c r="AA978" s="93"/>
      <c r="AB978" s="69"/>
      <c r="AC978" s="93"/>
      <c r="AD978" s="93"/>
      <c r="AE978" s="60"/>
      <c r="AF978" s="62"/>
      <c r="AG978" s="62"/>
      <c r="AH978" s="62"/>
      <c r="AI978" s="61"/>
      <c r="AJ978" s="62"/>
      <c r="AK978" s="62"/>
      <c r="AL978" s="66"/>
      <c r="AM978" s="87"/>
      <c r="AN978" s="69"/>
      <c r="AO978" s="87"/>
      <c r="AP978" s="87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9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93"/>
      <c r="P979" s="69"/>
      <c r="Q979" s="93"/>
      <c r="R979" s="93"/>
      <c r="S979" s="60"/>
      <c r="T979" s="62"/>
      <c r="U979" s="62"/>
      <c r="V979" s="62"/>
      <c r="W979" s="61"/>
      <c r="X979" s="62"/>
      <c r="Y979" s="62"/>
      <c r="Z979" s="66"/>
      <c r="AA979" s="93"/>
      <c r="AB979" s="69"/>
      <c r="AC979" s="93"/>
      <c r="AD979" s="93"/>
      <c r="AE979" s="60"/>
      <c r="AF979" s="62"/>
      <c r="AG979" s="62"/>
      <c r="AH979" s="62"/>
      <c r="AI979" s="61"/>
      <c r="AJ979" s="62"/>
      <c r="AK979" s="62"/>
      <c r="AL979" s="66"/>
      <c r="AM979" s="87"/>
      <c r="AN979" s="69"/>
      <c r="AO979" s="87"/>
      <c r="AP979" s="87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9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62"/>
      <c r="P980" s="69"/>
      <c r="Q980" s="93"/>
      <c r="R980" s="93"/>
      <c r="S980" s="60"/>
      <c r="T980" s="62"/>
      <c r="U980" s="62"/>
      <c r="V980" s="62"/>
      <c r="W980" s="61"/>
      <c r="X980" s="62"/>
      <c r="Y980" s="62"/>
      <c r="Z980" s="66"/>
      <c r="AA980" s="62"/>
      <c r="AB980" s="69"/>
      <c r="AC980" s="93"/>
      <c r="AD980" s="93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7"/>
      <c r="AP980" s="87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93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93"/>
      <c r="P981" s="69"/>
      <c r="Q981" s="93"/>
      <c r="R981" s="93"/>
      <c r="S981" s="60"/>
      <c r="T981" s="62"/>
      <c r="U981" s="62"/>
      <c r="V981" s="62"/>
      <c r="W981" s="61"/>
      <c r="X981" s="62"/>
      <c r="Y981" s="62"/>
      <c r="Z981" s="66"/>
      <c r="AA981" s="93"/>
      <c r="AB981" s="69"/>
      <c r="AC981" s="93"/>
      <c r="AD981" s="93"/>
      <c r="AE981" s="60"/>
      <c r="AF981" s="62"/>
      <c r="AG981" s="62"/>
      <c r="AH981" s="62"/>
      <c r="AI981" s="61"/>
      <c r="AJ981" s="62"/>
      <c r="AK981" s="62"/>
      <c r="AL981" s="66"/>
      <c r="AM981" s="87"/>
      <c r="AN981" s="69"/>
      <c r="AO981" s="87"/>
      <c r="AP981" s="87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93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93"/>
      <c r="P982" s="69"/>
      <c r="Q982" s="93"/>
      <c r="R982" s="93"/>
      <c r="S982" s="60"/>
      <c r="T982" s="62"/>
      <c r="U982" s="62"/>
      <c r="V982" s="62"/>
      <c r="W982" s="61"/>
      <c r="X982" s="62"/>
      <c r="Y982" s="62"/>
      <c r="Z982" s="66"/>
      <c r="AA982" s="93"/>
      <c r="AB982" s="69"/>
      <c r="AC982" s="93"/>
      <c r="AD982" s="93"/>
      <c r="AE982" s="60"/>
      <c r="AF982" s="62"/>
      <c r="AG982" s="62"/>
      <c r="AH982" s="62"/>
      <c r="AI982" s="61"/>
      <c r="AJ982" s="62"/>
      <c r="AK982" s="62"/>
      <c r="AL982" s="66"/>
      <c r="AM982" s="87"/>
      <c r="AN982" s="69"/>
      <c r="AO982" s="87"/>
      <c r="AP982" s="87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93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93"/>
      <c r="R983" s="93"/>
      <c r="S983" s="60"/>
      <c r="T983" s="62"/>
      <c r="U983" s="62"/>
      <c r="V983" s="62"/>
      <c r="W983" s="61"/>
      <c r="X983" s="62"/>
      <c r="Y983" s="62"/>
      <c r="Z983" s="66"/>
      <c r="AA983" s="93"/>
      <c r="AB983" s="69"/>
      <c r="AC983" s="93"/>
      <c r="AD983" s="93"/>
      <c r="AE983" s="60"/>
      <c r="AF983" s="62"/>
      <c r="AG983" s="62"/>
      <c r="AH983" s="62"/>
      <c r="AI983" s="61"/>
      <c r="AJ983" s="62"/>
      <c r="AK983" s="62"/>
      <c r="AL983" s="66"/>
      <c r="AM983" s="87"/>
      <c r="AN983" s="69"/>
      <c r="AO983" s="87"/>
      <c r="AP983" s="87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93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93"/>
      <c r="P984" s="69"/>
      <c r="Q984" s="93"/>
      <c r="R984" s="93"/>
      <c r="S984" s="60"/>
      <c r="T984" s="62"/>
      <c r="U984" s="62"/>
      <c r="V984" s="62"/>
      <c r="W984" s="61"/>
      <c r="X984" s="62"/>
      <c r="Y984" s="62"/>
      <c r="Z984" s="66"/>
      <c r="AA984" s="93"/>
      <c r="AB984" s="69"/>
      <c r="AC984" s="93"/>
      <c r="AD984" s="93"/>
      <c r="AE984" s="60"/>
      <c r="AF984" s="62"/>
      <c r="AG984" s="62"/>
      <c r="AH984" s="62"/>
      <c r="AI984" s="61"/>
      <c r="AJ984" s="62"/>
      <c r="AK984" s="62"/>
      <c r="AL984" s="66"/>
      <c r="AM984" s="87"/>
      <c r="AN984" s="69"/>
      <c r="AO984" s="87"/>
      <c r="AP984" s="87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93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93"/>
      <c r="P985" s="69"/>
      <c r="Q985" s="93"/>
      <c r="R985" s="93"/>
      <c r="S985" s="60"/>
      <c r="T985" s="62"/>
      <c r="U985" s="62"/>
      <c r="V985" s="62"/>
      <c r="W985" s="61"/>
      <c r="X985" s="62"/>
      <c r="Y985" s="62"/>
      <c r="Z985" s="66"/>
      <c r="AA985" s="93"/>
      <c r="AB985" s="69"/>
      <c r="AC985" s="93"/>
      <c r="AD985" s="93"/>
      <c r="AE985" s="60"/>
      <c r="AF985" s="62"/>
      <c r="AG985" s="62"/>
      <c r="AH985" s="62"/>
      <c r="AI985" s="61"/>
      <c r="AJ985" s="62"/>
      <c r="AK985" s="62"/>
      <c r="AL985" s="66"/>
      <c r="AM985" s="87"/>
      <c r="AN985" s="69"/>
      <c r="AO985" s="87"/>
      <c r="AP985" s="87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93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93"/>
      <c r="R986" s="93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93"/>
      <c r="AD986" s="93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7"/>
      <c r="AP986" s="87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93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93"/>
      <c r="P987" s="69"/>
      <c r="Q987" s="93"/>
      <c r="R987" s="93"/>
      <c r="S987" s="60"/>
      <c r="T987" s="62"/>
      <c r="U987" s="62"/>
      <c r="V987" s="62"/>
      <c r="W987" s="61"/>
      <c r="X987" s="62"/>
      <c r="Y987" s="62"/>
      <c r="Z987" s="66"/>
      <c r="AA987" s="93"/>
      <c r="AB987" s="69"/>
      <c r="AC987" s="93"/>
      <c r="AD987" s="93"/>
      <c r="AE987" s="60"/>
      <c r="AF987" s="62"/>
      <c r="AG987" s="62"/>
      <c r="AH987" s="62"/>
      <c r="AI987" s="61"/>
      <c r="AJ987" s="62"/>
      <c r="AK987" s="62"/>
      <c r="AL987" s="66"/>
      <c r="AM987" s="87"/>
      <c r="AN987" s="69"/>
      <c r="AO987" s="87"/>
      <c r="AP987" s="87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93"/>
      <c r="O988" s="93"/>
      <c r="P988" s="93"/>
      <c r="Q988" s="93"/>
      <c r="R988" s="93"/>
      <c r="S988" s="93"/>
      <c r="T988" s="62"/>
      <c r="U988" s="62"/>
      <c r="V988" s="62"/>
      <c r="W988" s="61"/>
      <c r="X988" s="62"/>
      <c r="Y988" s="62"/>
      <c r="Z988" s="93"/>
      <c r="AA988" s="93"/>
      <c r="AB988" s="93"/>
      <c r="AC988" s="93"/>
      <c r="AD988" s="93"/>
      <c r="AE988" s="93"/>
      <c r="AF988" s="62"/>
      <c r="AG988" s="62"/>
      <c r="AH988" s="62"/>
      <c r="AI988" s="61"/>
      <c r="AJ988" s="62"/>
      <c r="AK988" s="62"/>
      <c r="AL988" s="87"/>
      <c r="AM988" s="87"/>
      <c r="AN988" s="87"/>
      <c r="AO988" s="87"/>
      <c r="AP988" s="87"/>
      <c r="AQ988" s="84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93"/>
      <c r="C989" s="93"/>
      <c r="D989" s="93"/>
      <c r="E989" s="93"/>
      <c r="F989" s="93"/>
      <c r="G989" s="93"/>
      <c r="H989" s="62"/>
      <c r="I989" s="62"/>
      <c r="J989" s="62"/>
      <c r="K989" s="62"/>
      <c r="L989" s="62"/>
      <c r="M989" s="62"/>
      <c r="N989" s="93"/>
      <c r="O989" s="93"/>
      <c r="P989" s="93"/>
      <c r="Q989" s="93"/>
      <c r="R989" s="93"/>
      <c r="S989" s="93"/>
      <c r="T989" s="62"/>
      <c r="U989" s="62"/>
      <c r="V989" s="62"/>
      <c r="W989" s="62"/>
      <c r="X989" s="62"/>
      <c r="Y989" s="62"/>
      <c r="Z989" s="93"/>
      <c r="AA989" s="93"/>
      <c r="AB989" s="93"/>
      <c r="AC989" s="93"/>
      <c r="AD989" s="93"/>
      <c r="AE989" s="93"/>
      <c r="AF989" s="62"/>
      <c r="AG989" s="62"/>
      <c r="AH989" s="62"/>
      <c r="AI989" s="62"/>
      <c r="AJ989" s="62"/>
      <c r="AK989" s="62"/>
      <c r="AL989" s="87"/>
      <c r="AM989" s="87"/>
      <c r="AN989" s="87"/>
      <c r="AO989" s="87"/>
      <c r="AP989" s="87"/>
      <c r="AQ989" s="84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93"/>
      <c r="C990" s="93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93"/>
      <c r="O990" s="93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93"/>
      <c r="AA990" s="93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7"/>
      <c r="AM990" s="87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93"/>
      <c r="C992" s="93"/>
      <c r="D992" s="93"/>
      <c r="E992" s="93"/>
      <c r="F992" s="93"/>
      <c r="G992" s="93"/>
      <c r="H992" s="62"/>
      <c r="I992" s="62"/>
      <c r="J992" s="62"/>
      <c r="K992" s="62"/>
      <c r="L992" s="62"/>
      <c r="M992" s="62"/>
      <c r="N992" s="93"/>
      <c r="O992" s="93"/>
      <c r="P992" s="93"/>
      <c r="Q992" s="93"/>
      <c r="R992" s="93"/>
      <c r="S992" s="93"/>
      <c r="T992" s="62"/>
      <c r="U992" s="62"/>
      <c r="V992" s="62"/>
      <c r="W992" s="62"/>
      <c r="X992" s="62"/>
      <c r="Y992" s="62"/>
      <c r="Z992" s="93"/>
      <c r="AA992" s="93"/>
      <c r="AB992" s="93"/>
      <c r="AC992" s="93"/>
      <c r="AD992" s="93"/>
      <c r="AE992" s="93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93"/>
      <c r="C993" s="93"/>
      <c r="D993" s="93"/>
      <c r="E993" s="93"/>
      <c r="F993" s="93"/>
      <c r="G993" s="93"/>
      <c r="H993" s="62"/>
      <c r="I993" s="62"/>
      <c r="J993" s="62"/>
      <c r="K993" s="62"/>
      <c r="L993" s="62"/>
      <c r="M993" s="62"/>
      <c r="N993" s="93"/>
      <c r="O993" s="93"/>
      <c r="P993" s="93"/>
      <c r="Q993" s="93"/>
      <c r="R993" s="93"/>
      <c r="S993" s="93"/>
      <c r="T993" s="62"/>
      <c r="U993" s="62"/>
      <c r="V993" s="62"/>
      <c r="W993" s="62"/>
      <c r="X993" s="62"/>
      <c r="Y993" s="62"/>
      <c r="Z993" s="93"/>
      <c r="AA993" s="93"/>
      <c r="AB993" s="93"/>
      <c r="AC993" s="93"/>
      <c r="AD993" s="93"/>
      <c r="AE993" s="93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93"/>
      <c r="C994" s="93"/>
      <c r="D994" s="93"/>
      <c r="E994" s="93"/>
      <c r="F994" s="93"/>
      <c r="G994" s="93"/>
      <c r="H994" s="62"/>
      <c r="I994" s="62"/>
      <c r="J994" s="62"/>
      <c r="K994" s="62"/>
      <c r="L994" s="62"/>
      <c r="M994" s="62"/>
      <c r="N994" s="93"/>
      <c r="O994" s="93"/>
      <c r="P994" s="93"/>
      <c r="Q994" s="93"/>
      <c r="R994" s="93"/>
      <c r="S994" s="93"/>
      <c r="T994" s="62"/>
      <c r="U994" s="62"/>
      <c r="V994" s="62"/>
      <c r="W994" s="62"/>
      <c r="X994" s="62"/>
      <c r="Y994" s="62"/>
      <c r="Z994" s="93"/>
      <c r="AA994" s="93"/>
      <c r="AB994" s="93"/>
      <c r="AC994" s="93"/>
      <c r="AD994" s="93"/>
      <c r="AE994" s="93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93"/>
      <c r="C995" s="93"/>
      <c r="D995" s="93"/>
      <c r="E995" s="93"/>
      <c r="F995" s="93"/>
      <c r="G995" s="93"/>
      <c r="H995" s="62"/>
      <c r="I995" s="62"/>
      <c r="J995" s="62"/>
      <c r="K995" s="62"/>
      <c r="L995" s="62"/>
      <c r="M995" s="63"/>
      <c r="N995" s="93"/>
      <c r="O995" s="93"/>
      <c r="P995" s="93"/>
      <c r="Q995" s="93"/>
      <c r="R995" s="93"/>
      <c r="S995" s="93"/>
      <c r="T995" s="62"/>
      <c r="U995" s="62"/>
      <c r="V995" s="62"/>
      <c r="W995" s="62"/>
      <c r="X995" s="62"/>
      <c r="Y995" s="63"/>
      <c r="Z995" s="93"/>
      <c r="AA995" s="93"/>
      <c r="AB995" s="93"/>
      <c r="AC995" s="93"/>
      <c r="AD995" s="93"/>
      <c r="AE995" s="93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93"/>
      <c r="C996" s="93"/>
      <c r="D996" s="93"/>
      <c r="E996" s="93"/>
      <c r="F996" s="93"/>
      <c r="G996" s="93"/>
      <c r="H996" s="62"/>
      <c r="I996" s="62"/>
      <c r="J996" s="62"/>
      <c r="K996" s="62"/>
      <c r="L996" s="62"/>
      <c r="M996" s="62"/>
      <c r="N996" s="93"/>
      <c r="O996" s="93"/>
      <c r="P996" s="93"/>
      <c r="Q996" s="93"/>
      <c r="R996" s="93"/>
      <c r="S996" s="93"/>
      <c r="T996" s="62"/>
      <c r="U996" s="62"/>
      <c r="V996" s="62"/>
      <c r="W996" s="62"/>
      <c r="X996" s="62"/>
      <c r="Y996" s="62"/>
      <c r="Z996" s="93"/>
      <c r="AA996" s="93"/>
      <c r="AB996" s="93"/>
      <c r="AC996" s="93"/>
      <c r="AD996" s="93"/>
      <c r="AE996" s="93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93"/>
      <c r="C997" s="93"/>
      <c r="D997" s="93"/>
      <c r="E997" s="93"/>
      <c r="F997" s="93"/>
      <c r="G997" s="93"/>
      <c r="H997" s="62"/>
      <c r="I997" s="93"/>
      <c r="J997" s="74"/>
      <c r="K997" s="62"/>
      <c r="L997" s="62"/>
      <c r="M997" s="62"/>
      <c r="N997" s="93"/>
      <c r="O997" s="93"/>
      <c r="P997" s="93"/>
      <c r="Q997" s="93"/>
      <c r="R997" s="93"/>
      <c r="S997" s="93"/>
      <c r="T997" s="62"/>
      <c r="U997" s="93"/>
      <c r="V997" s="74"/>
      <c r="W997" s="62"/>
      <c r="X997" s="62"/>
      <c r="Y997" s="62"/>
      <c r="Z997" s="93"/>
      <c r="AA997" s="93"/>
      <c r="AB997" s="93"/>
      <c r="AC997" s="93"/>
      <c r="AD997" s="93"/>
      <c r="AE997" s="93"/>
      <c r="AF997" s="62"/>
      <c r="AG997" s="93"/>
      <c r="AH997" s="74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93"/>
      <c r="C998" s="93"/>
      <c r="D998" s="93"/>
      <c r="E998" s="93"/>
      <c r="F998" s="93"/>
      <c r="G998" s="93"/>
      <c r="H998" s="62"/>
      <c r="I998" s="65"/>
      <c r="J998" s="65"/>
      <c r="K998" s="62"/>
      <c r="L998" s="62"/>
      <c r="M998" s="64"/>
      <c r="N998" s="93"/>
      <c r="O998" s="93"/>
      <c r="P998" s="93"/>
      <c r="Q998" s="93"/>
      <c r="R998" s="93"/>
      <c r="S998" s="93"/>
      <c r="T998" s="62"/>
      <c r="U998" s="65"/>
      <c r="V998" s="65"/>
      <c r="W998" s="62"/>
      <c r="X998" s="62"/>
      <c r="Y998" s="64"/>
      <c r="Z998" s="93"/>
      <c r="AA998" s="93"/>
      <c r="AB998" s="93"/>
      <c r="AC998" s="93"/>
      <c r="AD998" s="93"/>
      <c r="AE998" s="93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93"/>
      <c r="C999" s="93"/>
      <c r="D999" s="93"/>
      <c r="E999" s="93"/>
      <c r="F999" s="93"/>
      <c r="G999" s="93"/>
      <c r="H999" s="62"/>
      <c r="I999" s="62"/>
      <c r="J999" s="62"/>
      <c r="K999" s="62"/>
      <c r="L999" s="62"/>
      <c r="M999" s="62"/>
      <c r="N999" s="93"/>
      <c r="O999" s="93"/>
      <c r="P999" s="93"/>
      <c r="Q999" s="93"/>
      <c r="R999" s="93"/>
      <c r="S999" s="93"/>
      <c r="T999" s="62"/>
      <c r="U999" s="62"/>
      <c r="V999" s="62"/>
      <c r="W999" s="62"/>
      <c r="X999" s="62"/>
      <c r="Y999" s="62"/>
      <c r="Z999" s="93"/>
      <c r="AA999" s="93"/>
      <c r="AB999" s="93"/>
      <c r="AC999" s="93"/>
      <c r="AD999" s="93"/>
      <c r="AE999" s="93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93"/>
      <c r="D1000" s="114"/>
      <c r="E1000" s="114"/>
      <c r="F1000" s="93"/>
      <c r="G1000" s="93"/>
      <c r="H1000" s="62"/>
      <c r="I1000" s="114"/>
      <c r="J1000" s="114"/>
      <c r="K1000" s="113"/>
      <c r="L1000" s="62"/>
      <c r="M1000" s="62"/>
      <c r="N1000" s="65"/>
      <c r="O1000" s="93"/>
      <c r="P1000" s="114"/>
      <c r="Q1000" s="114"/>
      <c r="R1000" s="93"/>
      <c r="S1000" s="93"/>
      <c r="T1000" s="62"/>
      <c r="U1000" s="114"/>
      <c r="V1000" s="114"/>
      <c r="W1000" s="113"/>
      <c r="X1000" s="62"/>
      <c r="Y1000" s="62"/>
      <c r="Z1000" s="65"/>
      <c r="AA1000" s="93"/>
      <c r="AB1000" s="114"/>
      <c r="AC1000" s="114"/>
      <c r="AD1000" s="93"/>
      <c r="AE1000" s="93"/>
      <c r="AF1000" s="62"/>
      <c r="AG1000" s="114"/>
      <c r="AH1000" s="114"/>
      <c r="AI1000" s="113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93"/>
      <c r="C1001" s="93"/>
      <c r="D1001" s="81"/>
      <c r="E1001" s="82"/>
      <c r="F1001" s="83"/>
      <c r="G1001" s="83"/>
      <c r="H1001" s="62"/>
      <c r="I1001" s="92"/>
      <c r="J1001" s="92"/>
      <c r="K1001" s="113"/>
      <c r="L1001" s="62"/>
      <c r="M1001" s="62"/>
      <c r="N1001" s="93"/>
      <c r="O1001" s="93"/>
      <c r="P1001" s="81"/>
      <c r="Q1001" s="83"/>
      <c r="R1001" s="83"/>
      <c r="S1001" s="83"/>
      <c r="T1001" s="62"/>
      <c r="U1001" s="92"/>
      <c r="V1001" s="92"/>
      <c r="W1001" s="113"/>
      <c r="X1001" s="62"/>
      <c r="Y1001" s="62"/>
      <c r="Z1001" s="93"/>
      <c r="AA1001" s="93"/>
      <c r="AB1001" s="81"/>
      <c r="AC1001" s="83"/>
      <c r="AD1001" s="83"/>
      <c r="AE1001" s="83"/>
      <c r="AF1001" s="62"/>
      <c r="AG1001" s="92"/>
      <c r="AH1001" s="92"/>
      <c r="AI1001" s="113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9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93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93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94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93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93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94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93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93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94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93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93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94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93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93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94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93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93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94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93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65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94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93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93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94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93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93"/>
      <c r="AB1010" s="60"/>
      <c r="AC1010" s="60"/>
      <c r="AD1010" s="60"/>
      <c r="AE1010" s="60"/>
      <c r="AF1010" s="61"/>
      <c r="AG1010" s="61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94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93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93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94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65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94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93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93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94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93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93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94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93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93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93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93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94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93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93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94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93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93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94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93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93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94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93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93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94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93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93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93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62"/>
      <c r="P1022" s="67"/>
      <c r="Q1022" s="93"/>
      <c r="R1022" s="93"/>
      <c r="S1022" s="60"/>
      <c r="T1022" s="62"/>
      <c r="U1022" s="62"/>
      <c r="V1022" s="62"/>
      <c r="W1022" s="61"/>
      <c r="X1022" s="62"/>
      <c r="Y1022" s="62"/>
      <c r="Z1022" s="66"/>
      <c r="AA1022" s="62"/>
      <c r="AB1022" s="67"/>
      <c r="AC1022" s="93"/>
      <c r="AD1022" s="93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94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93"/>
      <c r="P1023" s="68"/>
      <c r="Q1023" s="93"/>
      <c r="R1023" s="93"/>
      <c r="S1023" s="60"/>
      <c r="T1023" s="62"/>
      <c r="U1023" s="62"/>
      <c r="V1023" s="62"/>
      <c r="W1023" s="61"/>
      <c r="X1023" s="62"/>
      <c r="Y1023" s="62"/>
      <c r="Z1023" s="66"/>
      <c r="AA1023" s="93"/>
      <c r="AB1023" s="68"/>
      <c r="AC1023" s="93"/>
      <c r="AD1023" s="93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93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93"/>
      <c r="P1024" s="69"/>
      <c r="Q1024" s="93"/>
      <c r="R1024" s="62"/>
      <c r="S1024" s="60"/>
      <c r="T1024" s="62"/>
      <c r="U1024" s="62"/>
      <c r="V1024" s="62"/>
      <c r="W1024" s="61"/>
      <c r="X1024" s="62"/>
      <c r="Y1024" s="62"/>
      <c r="Z1024" s="66"/>
      <c r="AA1024" s="93"/>
      <c r="AB1024" s="69"/>
      <c r="AC1024" s="93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94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93"/>
      <c r="P1025" s="69"/>
      <c r="Q1025" s="93"/>
      <c r="R1025" s="93"/>
      <c r="S1025" s="60"/>
      <c r="T1025" s="62"/>
      <c r="U1025" s="62"/>
      <c r="V1025" s="62"/>
      <c r="W1025" s="61"/>
      <c r="X1025" s="62"/>
      <c r="Y1025" s="62"/>
      <c r="Z1025" s="66"/>
      <c r="AA1025" s="93"/>
      <c r="AB1025" s="69"/>
      <c r="AC1025" s="93"/>
      <c r="AD1025" s="93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94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93"/>
      <c r="P1026" s="69"/>
      <c r="Q1026" s="93"/>
      <c r="R1026" s="93"/>
      <c r="S1026" s="60"/>
      <c r="T1026" s="62"/>
      <c r="U1026" s="62"/>
      <c r="V1026" s="62"/>
      <c r="W1026" s="61"/>
      <c r="X1026" s="62"/>
      <c r="Y1026" s="62"/>
      <c r="Z1026" s="66"/>
      <c r="AA1026" s="93"/>
      <c r="AB1026" s="69"/>
      <c r="AC1026" s="93"/>
      <c r="AD1026" s="93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94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93"/>
      <c r="P1027" s="69"/>
      <c r="Q1027" s="93"/>
      <c r="R1027" s="93"/>
      <c r="S1027" s="60"/>
      <c r="T1027" s="62"/>
      <c r="U1027" s="62"/>
      <c r="V1027" s="62"/>
      <c r="W1027" s="61"/>
      <c r="X1027" s="62"/>
      <c r="Y1027" s="62"/>
      <c r="Z1027" s="66"/>
      <c r="AA1027" s="93"/>
      <c r="AB1027" s="69"/>
      <c r="AC1027" s="93"/>
      <c r="AD1027" s="93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94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93"/>
      <c r="P1028" s="69"/>
      <c r="Q1028" s="93"/>
      <c r="R1028" s="93"/>
      <c r="S1028" s="60"/>
      <c r="T1028" s="62"/>
      <c r="U1028" s="62"/>
      <c r="V1028" s="62"/>
      <c r="W1028" s="61"/>
      <c r="X1028" s="62"/>
      <c r="Y1028" s="62"/>
      <c r="Z1028" s="66"/>
      <c r="AA1028" s="93"/>
      <c r="AB1028" s="69"/>
      <c r="AC1028" s="93"/>
      <c r="AD1028" s="93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94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93"/>
      <c r="P1029" s="69"/>
      <c r="Q1029" s="93"/>
      <c r="R1029" s="93"/>
      <c r="S1029" s="60"/>
      <c r="T1029" s="62"/>
      <c r="U1029" s="62"/>
      <c r="V1029" s="62"/>
      <c r="W1029" s="61"/>
      <c r="X1029" s="62"/>
      <c r="Y1029" s="62"/>
      <c r="Z1029" s="66"/>
      <c r="AA1029" s="93"/>
      <c r="AB1029" s="69"/>
      <c r="AC1029" s="93"/>
      <c r="AD1029" s="93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94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93"/>
      <c r="P1030" s="69"/>
      <c r="Q1030" s="93"/>
      <c r="R1030" s="93"/>
      <c r="S1030" s="60"/>
      <c r="T1030" s="62"/>
      <c r="U1030" s="62"/>
      <c r="V1030" s="62"/>
      <c r="W1030" s="61"/>
      <c r="X1030" s="62"/>
      <c r="Y1030" s="62"/>
      <c r="Z1030" s="66"/>
      <c r="AA1030" s="93"/>
      <c r="AB1030" s="69"/>
      <c r="AC1030" s="93"/>
      <c r="AD1030" s="93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93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62"/>
      <c r="P1031" s="69"/>
      <c r="Q1031" s="93"/>
      <c r="R1031" s="93"/>
      <c r="S1031" s="60"/>
      <c r="T1031" s="62"/>
      <c r="U1031" s="62"/>
      <c r="V1031" s="62"/>
      <c r="W1031" s="61"/>
      <c r="X1031" s="62"/>
      <c r="Y1031" s="62"/>
      <c r="Z1031" s="66"/>
      <c r="AA1031" s="93"/>
      <c r="AB1031" s="69"/>
      <c r="AC1031" s="93"/>
      <c r="AD1031" s="93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9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93"/>
      <c r="R1032" s="93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93"/>
      <c r="AD1032" s="93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94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93"/>
      <c r="P1033" s="69"/>
      <c r="Q1033" s="93"/>
      <c r="R1033" s="93"/>
      <c r="S1033" s="60"/>
      <c r="T1033" s="62"/>
      <c r="U1033" s="62"/>
      <c r="V1033" s="62"/>
      <c r="W1033" s="61"/>
      <c r="X1033" s="62"/>
      <c r="Y1033" s="62"/>
      <c r="Z1033" s="66"/>
      <c r="AA1033" s="93"/>
      <c r="AB1033" s="69"/>
      <c r="AC1033" s="93"/>
      <c r="AD1033" s="93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9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93"/>
      <c r="P1034" s="69"/>
      <c r="Q1034" s="93"/>
      <c r="R1034" s="93"/>
      <c r="S1034" s="60"/>
      <c r="T1034" s="62"/>
      <c r="U1034" s="62"/>
      <c r="V1034" s="62"/>
      <c r="W1034" s="61"/>
      <c r="X1034" s="62"/>
      <c r="Y1034" s="62"/>
      <c r="Z1034" s="66"/>
      <c r="AA1034" s="93"/>
      <c r="AB1034" s="69"/>
      <c r="AC1034" s="93"/>
      <c r="AD1034" s="93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9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62"/>
      <c r="P1035" s="69"/>
      <c r="Q1035" s="93"/>
      <c r="R1035" s="93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93"/>
      <c r="AD1035" s="93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93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93"/>
      <c r="P1036" s="69"/>
      <c r="Q1036" s="93"/>
      <c r="R1036" s="93"/>
      <c r="S1036" s="60"/>
      <c r="T1036" s="62"/>
      <c r="U1036" s="62"/>
      <c r="V1036" s="62"/>
      <c r="W1036" s="61"/>
      <c r="X1036" s="62"/>
      <c r="Y1036" s="62"/>
      <c r="Z1036" s="66"/>
      <c r="AA1036" s="93"/>
      <c r="AB1036" s="69"/>
      <c r="AC1036" s="93"/>
      <c r="AD1036" s="93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93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93"/>
      <c r="P1037" s="69"/>
      <c r="Q1037" s="93"/>
      <c r="R1037" s="93"/>
      <c r="S1037" s="60"/>
      <c r="T1037" s="62"/>
      <c r="U1037" s="62"/>
      <c r="V1037" s="62"/>
      <c r="W1037" s="61"/>
      <c r="X1037" s="62"/>
      <c r="Y1037" s="62"/>
      <c r="Z1037" s="66"/>
      <c r="AA1037" s="93"/>
      <c r="AB1037" s="69"/>
      <c r="AC1037" s="93"/>
      <c r="AD1037" s="93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93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93"/>
      <c r="R1038" s="93"/>
      <c r="S1038" s="60"/>
      <c r="T1038" s="62"/>
      <c r="U1038" s="62"/>
      <c r="V1038" s="62"/>
      <c r="W1038" s="61"/>
      <c r="X1038" s="62"/>
      <c r="Y1038" s="62"/>
      <c r="Z1038" s="66"/>
      <c r="AA1038" s="93"/>
      <c r="AB1038" s="69"/>
      <c r="AC1038" s="93"/>
      <c r="AD1038" s="93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93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93"/>
      <c r="P1039" s="69"/>
      <c r="Q1039" s="93"/>
      <c r="R1039" s="93"/>
      <c r="S1039" s="60"/>
      <c r="T1039" s="62"/>
      <c r="U1039" s="62"/>
      <c r="V1039" s="62"/>
      <c r="W1039" s="61"/>
      <c r="X1039" s="62"/>
      <c r="Y1039" s="62"/>
      <c r="Z1039" s="66"/>
      <c r="AA1039" s="93"/>
      <c r="AB1039" s="69"/>
      <c r="AC1039" s="93"/>
      <c r="AD1039" s="93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93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93"/>
      <c r="P1040" s="69"/>
      <c r="Q1040" s="93"/>
      <c r="R1040" s="93"/>
      <c r="S1040" s="60"/>
      <c r="T1040" s="62"/>
      <c r="U1040" s="62"/>
      <c r="V1040" s="62"/>
      <c r="W1040" s="61"/>
      <c r="X1040" s="62"/>
      <c r="Y1040" s="62"/>
      <c r="Z1040" s="66"/>
      <c r="AA1040" s="93"/>
      <c r="AB1040" s="69"/>
      <c r="AC1040" s="93"/>
      <c r="AD1040" s="93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93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93"/>
      <c r="R1041" s="93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93"/>
      <c r="AD1041" s="93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93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93"/>
      <c r="P1042" s="69"/>
      <c r="Q1042" s="93"/>
      <c r="R1042" s="93"/>
      <c r="S1042" s="60"/>
      <c r="T1042" s="62"/>
      <c r="U1042" s="62"/>
      <c r="V1042" s="62"/>
      <c r="W1042" s="61"/>
      <c r="X1042" s="62"/>
      <c r="Y1042" s="62"/>
      <c r="Z1042" s="66"/>
      <c r="AA1042" s="93"/>
      <c r="AB1042" s="69"/>
      <c r="AC1042" s="93"/>
      <c r="AD1042" s="93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93"/>
      <c r="O1043" s="93"/>
      <c r="P1043" s="93"/>
      <c r="Q1043" s="93"/>
      <c r="R1043" s="93"/>
      <c r="S1043" s="93"/>
      <c r="T1043" s="62"/>
      <c r="U1043" s="62"/>
      <c r="V1043" s="62"/>
      <c r="W1043" s="61"/>
      <c r="X1043" s="62"/>
      <c r="Y1043" s="62"/>
      <c r="Z1043" s="93"/>
      <c r="AA1043" s="93"/>
      <c r="AB1043" s="93"/>
      <c r="AC1043" s="93"/>
      <c r="AD1043" s="93"/>
      <c r="AE1043" s="93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93"/>
      <c r="C1044" s="93"/>
      <c r="D1044" s="93"/>
      <c r="E1044" s="93"/>
      <c r="F1044" s="93"/>
      <c r="G1044" s="93"/>
      <c r="H1044" s="62"/>
      <c r="I1044" s="62"/>
      <c r="J1044" s="62"/>
      <c r="K1044" s="62"/>
      <c r="L1044" s="62"/>
      <c r="M1044" s="62"/>
      <c r="N1044" s="93"/>
      <c r="O1044" s="93"/>
      <c r="P1044" s="93"/>
      <c r="Q1044" s="93"/>
      <c r="R1044" s="93"/>
      <c r="S1044" s="93"/>
      <c r="T1044" s="62"/>
      <c r="U1044" s="62"/>
      <c r="V1044" s="62"/>
      <c r="W1044" s="62"/>
      <c r="X1044" s="62"/>
      <c r="Y1044" s="62"/>
      <c r="Z1044" s="93"/>
      <c r="AA1044" s="93"/>
      <c r="AB1044" s="93"/>
      <c r="AC1044" s="93"/>
      <c r="AD1044" s="93"/>
      <c r="AE1044" s="93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93"/>
      <c r="C1045" s="93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93"/>
      <c r="O1045" s="93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93"/>
      <c r="AA1045" s="93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93"/>
      <c r="C1047" s="93"/>
      <c r="D1047" s="93"/>
      <c r="E1047" s="93"/>
      <c r="F1047" s="93"/>
      <c r="G1047" s="93"/>
      <c r="H1047" s="62"/>
      <c r="I1047" s="62"/>
      <c r="J1047" s="62"/>
      <c r="K1047" s="62"/>
      <c r="L1047" s="62"/>
      <c r="M1047" s="62"/>
      <c r="N1047" s="93"/>
      <c r="O1047" s="93"/>
      <c r="P1047" s="93"/>
      <c r="Q1047" s="93"/>
      <c r="R1047" s="93"/>
      <c r="S1047" s="93"/>
      <c r="T1047" s="62"/>
      <c r="U1047" s="62"/>
      <c r="V1047" s="62"/>
      <c r="W1047" s="62"/>
      <c r="X1047" s="62"/>
      <c r="Y1047" s="62"/>
      <c r="Z1047" s="93"/>
      <c r="AA1047" s="93"/>
      <c r="AB1047" s="93"/>
      <c r="AC1047" s="93"/>
      <c r="AD1047" s="93"/>
      <c r="AE1047" s="93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93"/>
      <c r="C1048" s="93"/>
      <c r="D1048" s="93"/>
      <c r="E1048" s="93"/>
      <c r="F1048" s="93"/>
      <c r="G1048" s="93"/>
      <c r="H1048" s="62"/>
      <c r="I1048" s="62"/>
      <c r="J1048" s="62"/>
      <c r="K1048" s="62"/>
      <c r="L1048" s="62"/>
      <c r="M1048" s="62"/>
      <c r="N1048" s="93"/>
      <c r="O1048" s="93"/>
      <c r="P1048" s="93"/>
      <c r="Q1048" s="93"/>
      <c r="R1048" s="93"/>
      <c r="S1048" s="93"/>
      <c r="T1048" s="62"/>
      <c r="U1048" s="62"/>
      <c r="V1048" s="62"/>
      <c r="W1048" s="62"/>
      <c r="X1048" s="62"/>
      <c r="Y1048" s="62"/>
      <c r="Z1048" s="93"/>
      <c r="AA1048" s="93"/>
      <c r="AB1048" s="93"/>
      <c r="AC1048" s="93"/>
      <c r="AD1048" s="93"/>
      <c r="AE1048" s="93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93"/>
      <c r="C1049" s="93"/>
      <c r="D1049" s="93"/>
      <c r="E1049" s="93"/>
      <c r="F1049" s="93"/>
      <c r="G1049" s="93"/>
      <c r="H1049" s="62"/>
      <c r="I1049" s="62"/>
      <c r="J1049" s="62"/>
      <c r="K1049" s="62"/>
      <c r="L1049" s="62"/>
      <c r="M1049" s="62"/>
      <c r="N1049" s="93"/>
      <c r="O1049" s="93"/>
      <c r="P1049" s="93"/>
      <c r="Q1049" s="93"/>
      <c r="R1049" s="93"/>
      <c r="S1049" s="93"/>
      <c r="T1049" s="62"/>
      <c r="U1049" s="62"/>
      <c r="V1049" s="62"/>
      <c r="W1049" s="62"/>
      <c r="X1049" s="62"/>
      <c r="Y1049" s="62"/>
      <c r="Z1049" s="93"/>
      <c r="AA1049" s="93"/>
      <c r="AB1049" s="93"/>
      <c r="AC1049" s="93"/>
      <c r="AD1049" s="93"/>
      <c r="AE1049" s="93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93"/>
      <c r="C1050" s="93"/>
      <c r="D1050" s="93"/>
      <c r="E1050" s="93"/>
      <c r="F1050" s="93"/>
      <c r="G1050" s="93"/>
      <c r="H1050" s="62"/>
      <c r="I1050" s="62"/>
      <c r="J1050" s="62"/>
      <c r="K1050" s="62"/>
      <c r="L1050" s="62"/>
      <c r="M1050" s="63"/>
      <c r="N1050" s="93"/>
      <c r="O1050" s="93"/>
      <c r="P1050" s="93"/>
      <c r="Q1050" s="93"/>
      <c r="R1050" s="93"/>
      <c r="S1050" s="93"/>
      <c r="T1050" s="62"/>
      <c r="U1050" s="62"/>
      <c r="V1050" s="62"/>
      <c r="W1050" s="62"/>
      <c r="X1050" s="62"/>
      <c r="Y1050" s="63"/>
      <c r="Z1050" s="93"/>
      <c r="AA1050" s="93"/>
      <c r="AB1050" s="93"/>
      <c r="AC1050" s="93"/>
      <c r="AD1050" s="93"/>
      <c r="AE1050" s="93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93"/>
      <c r="C1051" s="93"/>
      <c r="D1051" s="93"/>
      <c r="E1051" s="93"/>
      <c r="F1051" s="93"/>
      <c r="G1051" s="93"/>
      <c r="H1051" s="62"/>
      <c r="I1051" s="62"/>
      <c r="J1051" s="62"/>
      <c r="K1051" s="62"/>
      <c r="L1051" s="62"/>
      <c r="M1051" s="62"/>
      <c r="N1051" s="93"/>
      <c r="O1051" s="93"/>
      <c r="P1051" s="93"/>
      <c r="Q1051" s="93"/>
      <c r="R1051" s="93"/>
      <c r="S1051" s="93"/>
      <c r="T1051" s="62"/>
      <c r="U1051" s="62"/>
      <c r="V1051" s="62"/>
      <c r="W1051" s="62"/>
      <c r="X1051" s="62"/>
      <c r="Y1051" s="62"/>
      <c r="Z1051" s="93"/>
      <c r="AA1051" s="93"/>
      <c r="AB1051" s="93"/>
      <c r="AC1051" s="93"/>
      <c r="AD1051" s="93"/>
      <c r="AE1051" s="93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93"/>
      <c r="C1052" s="93"/>
      <c r="D1052" s="93"/>
      <c r="E1052" s="93"/>
      <c r="F1052" s="93"/>
      <c r="G1052" s="93"/>
      <c r="H1052" s="62"/>
      <c r="I1052" s="93"/>
      <c r="J1052" s="74"/>
      <c r="K1052" s="62"/>
      <c r="L1052" s="62"/>
      <c r="M1052" s="62"/>
      <c r="N1052" s="93"/>
      <c r="O1052" s="93"/>
      <c r="P1052" s="93"/>
      <c r="Q1052" s="93"/>
      <c r="R1052" s="93"/>
      <c r="S1052" s="93"/>
      <c r="T1052" s="62"/>
      <c r="U1052" s="93"/>
      <c r="V1052" s="74"/>
      <c r="W1052" s="62"/>
      <c r="X1052" s="62"/>
      <c r="Y1052" s="62"/>
      <c r="Z1052" s="93"/>
      <c r="AA1052" s="93"/>
      <c r="AB1052" s="93"/>
      <c r="AC1052" s="93"/>
      <c r="AD1052" s="93"/>
      <c r="AE1052" s="93"/>
      <c r="AF1052" s="62"/>
      <c r="AG1052" s="93"/>
      <c r="AH1052" s="74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93"/>
      <c r="C1053" s="93"/>
      <c r="D1053" s="93"/>
      <c r="E1053" s="93"/>
      <c r="F1053" s="93"/>
      <c r="G1053" s="93"/>
      <c r="H1053" s="62"/>
      <c r="I1053" s="65"/>
      <c r="J1053" s="65"/>
      <c r="K1053" s="62"/>
      <c r="L1053" s="62"/>
      <c r="M1053" s="64"/>
      <c r="N1053" s="93"/>
      <c r="O1053" s="93"/>
      <c r="P1053" s="93"/>
      <c r="Q1053" s="93"/>
      <c r="R1053" s="93"/>
      <c r="S1053" s="93"/>
      <c r="T1053" s="62"/>
      <c r="U1053" s="65"/>
      <c r="V1053" s="65"/>
      <c r="W1053" s="62"/>
      <c r="X1053" s="62"/>
      <c r="Y1053" s="64"/>
      <c r="Z1053" s="93"/>
      <c r="AA1053" s="93"/>
      <c r="AB1053" s="93"/>
      <c r="AC1053" s="93"/>
      <c r="AD1053" s="93"/>
      <c r="AE1053" s="93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93"/>
      <c r="C1054" s="93"/>
      <c r="D1054" s="93"/>
      <c r="E1054" s="93"/>
      <c r="F1054" s="93"/>
      <c r="G1054" s="93"/>
      <c r="H1054" s="62"/>
      <c r="I1054" s="62"/>
      <c r="J1054" s="62"/>
      <c r="K1054" s="62"/>
      <c r="L1054" s="62"/>
      <c r="M1054" s="62"/>
      <c r="N1054" s="93"/>
      <c r="O1054" s="93"/>
      <c r="P1054" s="93"/>
      <c r="Q1054" s="93"/>
      <c r="R1054" s="93"/>
      <c r="S1054" s="93"/>
      <c r="T1054" s="62"/>
      <c r="U1054" s="62"/>
      <c r="V1054" s="62"/>
      <c r="W1054" s="62"/>
      <c r="X1054" s="62"/>
      <c r="Y1054" s="62"/>
      <c r="Z1054" s="93"/>
      <c r="AA1054" s="93"/>
      <c r="AB1054" s="93"/>
      <c r="AC1054" s="93"/>
      <c r="AD1054" s="93"/>
      <c r="AE1054" s="93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93"/>
      <c r="D1055" s="114"/>
      <c r="E1055" s="114"/>
      <c r="F1055" s="93"/>
      <c r="G1055" s="93"/>
      <c r="H1055" s="62"/>
      <c r="I1055" s="114"/>
      <c r="J1055" s="114"/>
      <c r="K1055" s="113"/>
      <c r="L1055" s="62"/>
      <c r="M1055" s="62"/>
      <c r="N1055" s="65"/>
      <c r="O1055" s="93"/>
      <c r="P1055" s="114"/>
      <c r="Q1055" s="114"/>
      <c r="R1055" s="93"/>
      <c r="S1055" s="93"/>
      <c r="T1055" s="62"/>
      <c r="U1055" s="114"/>
      <c r="V1055" s="114"/>
      <c r="W1055" s="113"/>
      <c r="X1055" s="62"/>
      <c r="Y1055" s="62"/>
      <c r="Z1055" s="65"/>
      <c r="AA1055" s="93"/>
      <c r="AB1055" s="114"/>
      <c r="AC1055" s="114"/>
      <c r="AD1055" s="93"/>
      <c r="AE1055" s="93"/>
      <c r="AF1055" s="62"/>
      <c r="AG1055" s="114"/>
      <c r="AH1055" s="114"/>
      <c r="AI1055" s="113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93"/>
      <c r="C1056" s="93"/>
      <c r="D1056" s="81"/>
      <c r="E1056" s="82"/>
      <c r="F1056" s="83"/>
      <c r="G1056" s="83"/>
      <c r="H1056" s="62"/>
      <c r="I1056" s="92"/>
      <c r="J1056" s="92"/>
      <c r="K1056" s="113"/>
      <c r="L1056" s="62"/>
      <c r="M1056" s="62"/>
      <c r="N1056" s="93"/>
      <c r="O1056" s="93"/>
      <c r="P1056" s="81"/>
      <c r="Q1056" s="83"/>
      <c r="R1056" s="83"/>
      <c r="S1056" s="83"/>
      <c r="T1056" s="62"/>
      <c r="U1056" s="92"/>
      <c r="V1056" s="92"/>
      <c r="W1056" s="113"/>
      <c r="X1056" s="62"/>
      <c r="Y1056" s="62"/>
      <c r="Z1056" s="93"/>
      <c r="AA1056" s="93"/>
      <c r="AB1056" s="81"/>
      <c r="AC1056" s="83"/>
      <c r="AD1056" s="83"/>
      <c r="AE1056" s="83"/>
      <c r="AF1056" s="62"/>
      <c r="AG1056" s="92"/>
      <c r="AH1056" s="92"/>
      <c r="AI1056" s="113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9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93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93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94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93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93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94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93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93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94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93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93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94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93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65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94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93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93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94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93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62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94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93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93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94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65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93"/>
      <c r="AB1065" s="60"/>
      <c r="AC1065" s="60"/>
      <c r="AD1065" s="60"/>
      <c r="AE1065" s="60"/>
      <c r="AF1065" s="61"/>
      <c r="AG1065" s="61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94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93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93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94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93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62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94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93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93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94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93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93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94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93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93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94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93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93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65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93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93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94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93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93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94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93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93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94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93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93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94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93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93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93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62"/>
      <c r="P1077" s="67"/>
      <c r="Q1077" s="93"/>
      <c r="R1077" s="93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93"/>
      <c r="AD1077" s="93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94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93"/>
      <c r="P1078" s="68"/>
      <c r="Q1078" s="93"/>
      <c r="R1078" s="93"/>
      <c r="S1078" s="60"/>
      <c r="T1078" s="62"/>
      <c r="U1078" s="62"/>
      <c r="V1078" s="62"/>
      <c r="W1078" s="61"/>
      <c r="X1078" s="62"/>
      <c r="Y1078" s="62"/>
      <c r="Z1078" s="66"/>
      <c r="AA1078" s="93"/>
      <c r="AB1078" s="68"/>
      <c r="AC1078" s="93"/>
      <c r="AD1078" s="93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93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93"/>
      <c r="P1079" s="69"/>
      <c r="Q1079" s="93"/>
      <c r="R1079" s="62"/>
      <c r="S1079" s="60"/>
      <c r="T1079" s="62"/>
      <c r="U1079" s="62"/>
      <c r="V1079" s="62"/>
      <c r="W1079" s="61"/>
      <c r="X1079" s="62"/>
      <c r="Y1079" s="62"/>
      <c r="Z1079" s="66"/>
      <c r="AA1079" s="93"/>
      <c r="AB1079" s="69"/>
      <c r="AC1079" s="93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94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93"/>
      <c r="P1080" s="69"/>
      <c r="Q1080" s="93"/>
      <c r="R1080" s="93"/>
      <c r="S1080" s="60"/>
      <c r="T1080" s="62"/>
      <c r="U1080" s="62"/>
      <c r="V1080" s="62"/>
      <c r="W1080" s="61"/>
      <c r="X1080" s="62"/>
      <c r="Y1080" s="62"/>
      <c r="Z1080" s="66"/>
      <c r="AA1080" s="93"/>
      <c r="AB1080" s="69"/>
      <c r="AC1080" s="93"/>
      <c r="AD1080" s="93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94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93"/>
      <c r="P1081" s="69"/>
      <c r="Q1081" s="93"/>
      <c r="R1081" s="93"/>
      <c r="S1081" s="60"/>
      <c r="T1081" s="62"/>
      <c r="U1081" s="62"/>
      <c r="V1081" s="62"/>
      <c r="W1081" s="61"/>
      <c r="X1081" s="62"/>
      <c r="Y1081" s="62"/>
      <c r="Z1081" s="66"/>
      <c r="AA1081" s="93"/>
      <c r="AB1081" s="69"/>
      <c r="AC1081" s="93"/>
      <c r="AD1081" s="93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94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93"/>
      <c r="P1082" s="69"/>
      <c r="Q1082" s="93"/>
      <c r="R1082" s="93"/>
      <c r="S1082" s="60"/>
      <c r="T1082" s="62"/>
      <c r="U1082" s="62"/>
      <c r="V1082" s="62"/>
      <c r="W1082" s="61"/>
      <c r="X1082" s="62"/>
      <c r="Y1082" s="62"/>
      <c r="Z1082" s="66"/>
      <c r="AA1082" s="93"/>
      <c r="AB1082" s="69"/>
      <c r="AC1082" s="93"/>
      <c r="AD1082" s="93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94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93"/>
      <c r="P1083" s="69"/>
      <c r="Q1083" s="93"/>
      <c r="R1083" s="93"/>
      <c r="S1083" s="60"/>
      <c r="T1083" s="62"/>
      <c r="U1083" s="62"/>
      <c r="V1083" s="62"/>
      <c r="W1083" s="61"/>
      <c r="X1083" s="62"/>
      <c r="Y1083" s="62"/>
      <c r="Z1083" s="66"/>
      <c r="AA1083" s="93"/>
      <c r="AB1083" s="69"/>
      <c r="AC1083" s="93"/>
      <c r="AD1083" s="93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94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93"/>
      <c r="P1084" s="69"/>
      <c r="Q1084" s="93"/>
      <c r="R1084" s="93"/>
      <c r="S1084" s="60"/>
      <c r="T1084" s="62"/>
      <c r="U1084" s="62"/>
      <c r="V1084" s="62"/>
      <c r="W1084" s="61"/>
      <c r="X1084" s="62"/>
      <c r="Y1084" s="62"/>
      <c r="Z1084" s="66"/>
      <c r="AA1084" s="93"/>
      <c r="AB1084" s="69"/>
      <c r="AC1084" s="93"/>
      <c r="AD1084" s="93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94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93"/>
      <c r="P1085" s="69"/>
      <c r="Q1085" s="93"/>
      <c r="R1085" s="93"/>
      <c r="S1085" s="60"/>
      <c r="T1085" s="62"/>
      <c r="U1085" s="62"/>
      <c r="V1085" s="62"/>
      <c r="W1085" s="61"/>
      <c r="X1085" s="62"/>
      <c r="Y1085" s="62"/>
      <c r="Z1085" s="66"/>
      <c r="AA1085" s="93"/>
      <c r="AB1085" s="69"/>
      <c r="AC1085" s="93"/>
      <c r="AD1085" s="93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93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62"/>
      <c r="P1086" s="69"/>
      <c r="Q1086" s="93"/>
      <c r="R1086" s="93"/>
      <c r="S1086" s="60"/>
      <c r="T1086" s="62"/>
      <c r="U1086" s="62"/>
      <c r="V1086" s="62"/>
      <c r="W1086" s="61"/>
      <c r="X1086" s="62"/>
      <c r="Y1086" s="62"/>
      <c r="Z1086" s="66"/>
      <c r="AA1086" s="93"/>
      <c r="AB1086" s="69"/>
      <c r="AC1086" s="93"/>
      <c r="AD1086" s="93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9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93"/>
      <c r="R1087" s="93"/>
      <c r="S1087" s="60"/>
      <c r="T1087" s="62"/>
      <c r="U1087" s="62"/>
      <c r="V1087" s="62"/>
      <c r="W1087" s="61"/>
      <c r="X1087" s="62"/>
      <c r="Y1087" s="62"/>
      <c r="Z1087" s="66"/>
      <c r="AA1087" s="62"/>
      <c r="AB1087" s="69"/>
      <c r="AC1087" s="93"/>
      <c r="AD1087" s="93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94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93"/>
      <c r="P1088" s="69"/>
      <c r="Q1088" s="93"/>
      <c r="R1088" s="93"/>
      <c r="S1088" s="60"/>
      <c r="T1088" s="62"/>
      <c r="U1088" s="62"/>
      <c r="V1088" s="62"/>
      <c r="W1088" s="61"/>
      <c r="X1088" s="62"/>
      <c r="Y1088" s="62"/>
      <c r="Z1088" s="66"/>
      <c r="AA1088" s="93"/>
      <c r="AB1088" s="69"/>
      <c r="AC1088" s="93"/>
      <c r="AD1088" s="93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9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93"/>
      <c r="P1089" s="69"/>
      <c r="Q1089" s="93"/>
      <c r="R1089" s="93"/>
      <c r="S1089" s="60"/>
      <c r="T1089" s="62"/>
      <c r="U1089" s="62"/>
      <c r="V1089" s="62"/>
      <c r="W1089" s="61"/>
      <c r="X1089" s="62"/>
      <c r="Y1089" s="62"/>
      <c r="Z1089" s="66"/>
      <c r="AA1089" s="93"/>
      <c r="AB1089" s="69"/>
      <c r="AC1089" s="93"/>
      <c r="AD1089" s="93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9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62"/>
      <c r="P1090" s="69"/>
      <c r="Q1090" s="93"/>
      <c r="R1090" s="93"/>
      <c r="S1090" s="60"/>
      <c r="T1090" s="62"/>
      <c r="U1090" s="62"/>
      <c r="V1090" s="62"/>
      <c r="W1090" s="61"/>
      <c r="X1090" s="62"/>
      <c r="Y1090" s="62"/>
      <c r="Z1090" s="66"/>
      <c r="AA1090" s="62"/>
      <c r="AB1090" s="69"/>
      <c r="AC1090" s="93"/>
      <c r="AD1090" s="93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93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93"/>
      <c r="P1091" s="69"/>
      <c r="Q1091" s="93"/>
      <c r="R1091" s="93"/>
      <c r="S1091" s="60"/>
      <c r="T1091" s="62"/>
      <c r="U1091" s="62"/>
      <c r="V1091" s="62"/>
      <c r="W1091" s="61"/>
      <c r="X1091" s="62"/>
      <c r="Y1091" s="62"/>
      <c r="Z1091" s="66"/>
      <c r="AA1091" s="93"/>
      <c r="AB1091" s="69"/>
      <c r="AC1091" s="93"/>
      <c r="AD1091" s="93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93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93"/>
      <c r="P1092" s="69"/>
      <c r="Q1092" s="93"/>
      <c r="R1092" s="93"/>
      <c r="S1092" s="60"/>
      <c r="T1092" s="62"/>
      <c r="U1092" s="62"/>
      <c r="V1092" s="62"/>
      <c r="W1092" s="61"/>
      <c r="X1092" s="62"/>
      <c r="Y1092" s="62"/>
      <c r="Z1092" s="66"/>
      <c r="AA1092" s="93"/>
      <c r="AB1092" s="69"/>
      <c r="AC1092" s="93"/>
      <c r="AD1092" s="93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93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93"/>
      <c r="R1093" s="93"/>
      <c r="S1093" s="60"/>
      <c r="T1093" s="62"/>
      <c r="U1093" s="62"/>
      <c r="V1093" s="62"/>
      <c r="W1093" s="61"/>
      <c r="X1093" s="62"/>
      <c r="Y1093" s="62"/>
      <c r="Z1093" s="66"/>
      <c r="AA1093" s="93"/>
      <c r="AB1093" s="69"/>
      <c r="AC1093" s="93"/>
      <c r="AD1093" s="93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93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93"/>
      <c r="P1094" s="69"/>
      <c r="Q1094" s="93"/>
      <c r="R1094" s="93"/>
      <c r="S1094" s="60"/>
      <c r="T1094" s="62"/>
      <c r="U1094" s="62"/>
      <c r="V1094" s="62"/>
      <c r="W1094" s="61"/>
      <c r="X1094" s="62"/>
      <c r="Y1094" s="62"/>
      <c r="Z1094" s="66"/>
      <c r="AA1094" s="93"/>
      <c r="AB1094" s="69"/>
      <c r="AC1094" s="93"/>
      <c r="AD1094" s="93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93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93"/>
      <c r="P1095" s="69"/>
      <c r="Q1095" s="93"/>
      <c r="R1095" s="93"/>
      <c r="S1095" s="60"/>
      <c r="T1095" s="62"/>
      <c r="U1095" s="62"/>
      <c r="V1095" s="62"/>
      <c r="W1095" s="61"/>
      <c r="X1095" s="62"/>
      <c r="Y1095" s="62"/>
      <c r="Z1095" s="66"/>
      <c r="AA1095" s="93"/>
      <c r="AB1095" s="69"/>
      <c r="AC1095" s="93"/>
      <c r="AD1095" s="93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93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93"/>
      <c r="R1096" s="93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93"/>
      <c r="AD1096" s="93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93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93"/>
      <c r="P1097" s="69"/>
      <c r="Q1097" s="93"/>
      <c r="R1097" s="93"/>
      <c r="S1097" s="60"/>
      <c r="T1097" s="62"/>
      <c r="U1097" s="62"/>
      <c r="V1097" s="62"/>
      <c r="W1097" s="61"/>
      <c r="X1097" s="62"/>
      <c r="Y1097" s="62"/>
      <c r="Z1097" s="66"/>
      <c r="AA1097" s="93"/>
      <c r="AB1097" s="69"/>
      <c r="AC1097" s="93"/>
      <c r="AD1097" s="93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93"/>
      <c r="O1098" s="93"/>
      <c r="P1098" s="93"/>
      <c r="Q1098" s="93"/>
      <c r="R1098" s="93"/>
      <c r="S1098" s="93"/>
      <c r="T1098" s="62"/>
      <c r="U1098" s="62"/>
      <c r="V1098" s="62"/>
      <c r="W1098" s="61"/>
      <c r="X1098" s="62"/>
      <c r="Y1098" s="62"/>
      <c r="Z1098" s="93"/>
      <c r="AA1098" s="93"/>
      <c r="AB1098" s="93"/>
      <c r="AC1098" s="93"/>
      <c r="AD1098" s="93"/>
      <c r="AE1098" s="93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93"/>
      <c r="C1099" s="93"/>
      <c r="D1099" s="93"/>
      <c r="E1099" s="93"/>
      <c r="F1099" s="93"/>
      <c r="G1099" s="93"/>
      <c r="H1099" s="62"/>
      <c r="I1099" s="62"/>
      <c r="J1099" s="62"/>
      <c r="K1099" s="62"/>
      <c r="L1099" s="62"/>
      <c r="M1099" s="62"/>
      <c r="N1099" s="93"/>
      <c r="O1099" s="93"/>
      <c r="P1099" s="93"/>
      <c r="Q1099" s="93"/>
      <c r="R1099" s="93"/>
      <c r="S1099" s="93"/>
      <c r="T1099" s="62"/>
      <c r="U1099" s="62"/>
      <c r="V1099" s="62"/>
      <c r="W1099" s="62"/>
      <c r="X1099" s="62"/>
      <c r="Y1099" s="62"/>
      <c r="Z1099" s="93"/>
      <c r="AA1099" s="93"/>
      <c r="AB1099" s="93"/>
      <c r="AC1099" s="93"/>
      <c r="AD1099" s="93"/>
      <c r="AE1099" s="93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93"/>
      <c r="C1100" s="93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93"/>
      <c r="O1100" s="93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93"/>
      <c r="AA1100" s="93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9"/>
      <c r="C1102" s="89"/>
      <c r="D1102" s="89"/>
      <c r="E1102" s="89"/>
      <c r="F1102" s="89"/>
      <c r="G1102" s="89"/>
      <c r="H1102" s="62"/>
      <c r="I1102" s="62"/>
      <c r="J1102" s="62"/>
      <c r="K1102" s="62"/>
      <c r="L1102" s="62"/>
      <c r="M1102" s="62"/>
      <c r="N1102" s="89"/>
      <c r="O1102" s="89"/>
      <c r="P1102" s="89"/>
      <c r="Q1102" s="89"/>
      <c r="R1102" s="89"/>
      <c r="S1102" s="89"/>
      <c r="T1102" s="62"/>
      <c r="U1102" s="62"/>
      <c r="V1102" s="62"/>
      <c r="W1102" s="62"/>
      <c r="X1102" s="62"/>
      <c r="Y1102" s="62"/>
      <c r="Z1102" s="89"/>
      <c r="AA1102" s="89"/>
      <c r="AB1102" s="89"/>
      <c r="AC1102" s="89"/>
      <c r="AD1102" s="89"/>
      <c r="AE1102" s="89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9"/>
      <c r="C1103" s="89"/>
      <c r="D1103" s="89"/>
      <c r="E1103" s="89"/>
      <c r="F1103" s="89"/>
      <c r="G1103" s="89"/>
      <c r="H1103" s="62"/>
      <c r="I1103" s="62"/>
      <c r="J1103" s="62"/>
      <c r="K1103" s="62"/>
      <c r="L1103" s="62"/>
      <c r="M1103" s="62"/>
      <c r="N1103" s="89"/>
      <c r="O1103" s="89"/>
      <c r="P1103" s="89"/>
      <c r="Q1103" s="89"/>
      <c r="R1103" s="89"/>
      <c r="S1103" s="89"/>
      <c r="T1103" s="62"/>
      <c r="U1103" s="62"/>
      <c r="V1103" s="62"/>
      <c r="W1103" s="62"/>
      <c r="X1103" s="62"/>
      <c r="Y1103" s="62"/>
      <c r="Z1103" s="89"/>
      <c r="AA1103" s="89"/>
      <c r="AB1103" s="89"/>
      <c r="AC1103" s="89"/>
      <c r="AD1103" s="89"/>
      <c r="AE1103" s="89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9"/>
      <c r="C1104" s="89"/>
      <c r="D1104" s="89"/>
      <c r="E1104" s="89"/>
      <c r="F1104" s="89"/>
      <c r="G1104" s="89"/>
      <c r="H1104" s="62"/>
      <c r="I1104" s="62"/>
      <c r="J1104" s="62"/>
      <c r="K1104" s="62"/>
      <c r="L1104" s="62"/>
      <c r="M1104" s="62"/>
      <c r="N1104" s="89"/>
      <c r="O1104" s="89"/>
      <c r="P1104" s="89"/>
      <c r="Q1104" s="89"/>
      <c r="R1104" s="89"/>
      <c r="S1104" s="89"/>
      <c r="T1104" s="62"/>
      <c r="U1104" s="62"/>
      <c r="V1104" s="62"/>
      <c r="W1104" s="62"/>
      <c r="X1104" s="62"/>
      <c r="Y1104" s="62"/>
      <c r="Z1104" s="89"/>
      <c r="AA1104" s="89"/>
      <c r="AB1104" s="89"/>
      <c r="AC1104" s="89"/>
      <c r="AD1104" s="89"/>
      <c r="AE1104" s="89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9"/>
      <c r="C1105" s="89"/>
      <c r="D1105" s="89"/>
      <c r="E1105" s="89"/>
      <c r="F1105" s="89"/>
      <c r="G1105" s="89"/>
      <c r="H1105" s="62"/>
      <c r="I1105" s="62"/>
      <c r="J1105" s="62"/>
      <c r="K1105" s="62"/>
      <c r="L1105" s="62"/>
      <c r="M1105" s="63"/>
      <c r="N1105" s="89"/>
      <c r="O1105" s="89"/>
      <c r="P1105" s="89"/>
      <c r="Q1105" s="89"/>
      <c r="R1105" s="89"/>
      <c r="S1105" s="89"/>
      <c r="T1105" s="62"/>
      <c r="U1105" s="62"/>
      <c r="V1105" s="62"/>
      <c r="W1105" s="62"/>
      <c r="X1105" s="62"/>
      <c r="Y1105" s="63"/>
      <c r="Z1105" s="89"/>
      <c r="AA1105" s="89"/>
      <c r="AB1105" s="89"/>
      <c r="AC1105" s="89"/>
      <c r="AD1105" s="89"/>
      <c r="AE1105" s="89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9"/>
      <c r="C1106" s="89"/>
      <c r="D1106" s="89"/>
      <c r="E1106" s="89"/>
      <c r="F1106" s="89"/>
      <c r="G1106" s="89"/>
      <c r="H1106" s="62"/>
      <c r="I1106" s="62"/>
      <c r="J1106" s="62"/>
      <c r="K1106" s="62"/>
      <c r="L1106" s="62"/>
      <c r="M1106" s="62"/>
      <c r="N1106" s="89"/>
      <c r="O1106" s="89"/>
      <c r="P1106" s="89"/>
      <c r="Q1106" s="89"/>
      <c r="R1106" s="89"/>
      <c r="S1106" s="89"/>
      <c r="T1106" s="62"/>
      <c r="U1106" s="62"/>
      <c r="V1106" s="62"/>
      <c r="W1106" s="62"/>
      <c r="X1106" s="62"/>
      <c r="Y1106" s="62"/>
      <c r="Z1106" s="89"/>
      <c r="AA1106" s="89"/>
      <c r="AB1106" s="89"/>
      <c r="AC1106" s="89"/>
      <c r="AD1106" s="89"/>
      <c r="AE1106" s="89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9"/>
      <c r="C1107" s="89"/>
      <c r="D1107" s="89"/>
      <c r="E1107" s="89"/>
      <c r="F1107" s="89"/>
      <c r="G1107" s="89"/>
      <c r="H1107" s="62"/>
      <c r="I1107" s="89"/>
      <c r="J1107" s="74"/>
      <c r="K1107" s="62"/>
      <c r="L1107" s="62"/>
      <c r="M1107" s="62"/>
      <c r="N1107" s="89"/>
      <c r="O1107" s="89"/>
      <c r="P1107" s="89"/>
      <c r="Q1107" s="89"/>
      <c r="R1107" s="89"/>
      <c r="S1107" s="89"/>
      <c r="T1107" s="62"/>
      <c r="U1107" s="89"/>
      <c r="V1107" s="74"/>
      <c r="W1107" s="62"/>
      <c r="X1107" s="62"/>
      <c r="Y1107" s="62"/>
      <c r="Z1107" s="89"/>
      <c r="AA1107" s="89"/>
      <c r="AB1107" s="89"/>
      <c r="AC1107" s="89"/>
      <c r="AD1107" s="89"/>
      <c r="AE1107" s="89"/>
      <c r="AF1107" s="62"/>
      <c r="AG1107" s="89"/>
      <c r="AH1107" s="89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9"/>
      <c r="C1108" s="89"/>
      <c r="D1108" s="89"/>
      <c r="E1108" s="89"/>
      <c r="F1108" s="89"/>
      <c r="G1108" s="89"/>
      <c r="H1108" s="62"/>
      <c r="I1108" s="65"/>
      <c r="J1108" s="65"/>
      <c r="K1108" s="62"/>
      <c r="L1108" s="62"/>
      <c r="M1108" s="64"/>
      <c r="N1108" s="89"/>
      <c r="O1108" s="89"/>
      <c r="P1108" s="89"/>
      <c r="Q1108" s="89"/>
      <c r="R1108" s="89"/>
      <c r="S1108" s="89"/>
      <c r="T1108" s="62"/>
      <c r="U1108" s="65"/>
      <c r="V1108" s="65"/>
      <c r="W1108" s="62"/>
      <c r="X1108" s="62"/>
      <c r="Y1108" s="64"/>
      <c r="Z1108" s="89"/>
      <c r="AA1108" s="89"/>
      <c r="AB1108" s="89"/>
      <c r="AC1108" s="89"/>
      <c r="AD1108" s="89"/>
      <c r="AE1108" s="89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9"/>
      <c r="C1109" s="89"/>
      <c r="D1109" s="89"/>
      <c r="E1109" s="89"/>
      <c r="F1109" s="89"/>
      <c r="G1109" s="89"/>
      <c r="H1109" s="62"/>
      <c r="I1109" s="62"/>
      <c r="J1109" s="62"/>
      <c r="K1109" s="62"/>
      <c r="L1109" s="62"/>
      <c r="M1109" s="62"/>
      <c r="N1109" s="89"/>
      <c r="O1109" s="89"/>
      <c r="P1109" s="89"/>
      <c r="Q1109" s="89"/>
      <c r="R1109" s="89"/>
      <c r="S1109" s="89"/>
      <c r="T1109" s="62"/>
      <c r="U1109" s="62"/>
      <c r="V1109" s="62"/>
      <c r="W1109" s="62"/>
      <c r="X1109" s="62"/>
      <c r="Y1109" s="62"/>
      <c r="Z1109" s="89"/>
      <c r="AA1109" s="89"/>
      <c r="AB1109" s="89"/>
      <c r="AC1109" s="89"/>
      <c r="AD1109" s="89"/>
      <c r="AE1109" s="89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9"/>
      <c r="D1110" s="114"/>
      <c r="E1110" s="114"/>
      <c r="F1110" s="89"/>
      <c r="G1110" s="89"/>
      <c r="H1110" s="62"/>
      <c r="I1110" s="114"/>
      <c r="J1110" s="114"/>
      <c r="K1110" s="113"/>
      <c r="L1110" s="62"/>
      <c r="M1110" s="62"/>
      <c r="N1110" s="65"/>
      <c r="O1110" s="89"/>
      <c r="P1110" s="114"/>
      <c r="Q1110" s="114"/>
      <c r="R1110" s="89"/>
      <c r="S1110" s="89"/>
      <c r="T1110" s="62"/>
      <c r="U1110" s="114"/>
      <c r="V1110" s="114"/>
      <c r="W1110" s="113"/>
      <c r="X1110" s="62"/>
      <c r="Y1110" s="62"/>
      <c r="Z1110" s="65"/>
      <c r="AA1110" s="89"/>
      <c r="AB1110" s="114"/>
      <c r="AC1110" s="114"/>
      <c r="AD1110" s="89"/>
      <c r="AE1110" s="89"/>
      <c r="AF1110" s="62"/>
      <c r="AG1110" s="114"/>
      <c r="AH1110" s="114"/>
      <c r="AI1110" s="113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9"/>
      <c r="C1111" s="89"/>
      <c r="D1111" s="81"/>
      <c r="E1111" s="82"/>
      <c r="F1111" s="83"/>
      <c r="G1111" s="83"/>
      <c r="H1111" s="62"/>
      <c r="I1111" s="88"/>
      <c r="J1111" s="88"/>
      <c r="K1111" s="113"/>
      <c r="L1111" s="62"/>
      <c r="M1111" s="62"/>
      <c r="N1111" s="89"/>
      <c r="O1111" s="89"/>
      <c r="P1111" s="81"/>
      <c r="Q1111" s="83"/>
      <c r="R1111" s="83"/>
      <c r="S1111" s="83"/>
      <c r="T1111" s="62"/>
      <c r="U1111" s="88"/>
      <c r="V1111" s="88"/>
      <c r="W1111" s="113"/>
      <c r="X1111" s="62"/>
      <c r="Y1111" s="62"/>
      <c r="Z1111" s="89"/>
      <c r="AA1111" s="89"/>
      <c r="AB1111" s="81"/>
      <c r="AC1111" s="83"/>
      <c r="AD1111" s="83"/>
      <c r="AE1111" s="83"/>
      <c r="AF1111" s="62"/>
      <c r="AG1111" s="88"/>
      <c r="AH1111" s="88"/>
      <c r="AI1111" s="113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9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9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9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9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9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9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9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9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9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9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89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9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9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9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65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9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65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89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9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9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9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9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89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62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9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9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9"/>
      <c r="AB1120" s="9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89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9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9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9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62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62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9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9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65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9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9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9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9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9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9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9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9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9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9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9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9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9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9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9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9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9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9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9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9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9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9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9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9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62"/>
      <c r="P1132" s="67"/>
      <c r="Q1132" s="89"/>
      <c r="R1132" s="89"/>
      <c r="S1132" s="60"/>
      <c r="T1132" s="62"/>
      <c r="U1132" s="62"/>
      <c r="V1132" s="62"/>
      <c r="W1132" s="61"/>
      <c r="X1132" s="62"/>
      <c r="Y1132" s="62"/>
      <c r="Z1132" s="66"/>
      <c r="AA1132" s="89"/>
      <c r="AB1132" s="67"/>
      <c r="AC1132" s="89"/>
      <c r="AD1132" s="89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9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9"/>
      <c r="P1133" s="68"/>
      <c r="Q1133" s="89"/>
      <c r="R1133" s="89"/>
      <c r="S1133" s="60"/>
      <c r="T1133" s="62"/>
      <c r="U1133" s="62"/>
      <c r="V1133" s="62"/>
      <c r="W1133" s="61"/>
      <c r="X1133" s="62"/>
      <c r="Y1133" s="62"/>
      <c r="Z1133" s="66"/>
      <c r="AA1133" s="89"/>
      <c r="AB1133" s="68"/>
      <c r="AC1133" s="89"/>
      <c r="AD1133" s="89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9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9"/>
      <c r="P1134" s="69"/>
      <c r="Q1134" s="89"/>
      <c r="R1134" s="62"/>
      <c r="S1134" s="60"/>
      <c r="T1134" s="62"/>
      <c r="U1134" s="62"/>
      <c r="V1134" s="62"/>
      <c r="W1134" s="61"/>
      <c r="X1134" s="62"/>
      <c r="Y1134" s="62"/>
      <c r="Z1134" s="66"/>
      <c r="AA1134" s="89"/>
      <c r="AB1134" s="69"/>
      <c r="AC1134" s="62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9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9"/>
      <c r="P1135" s="69"/>
      <c r="Q1135" s="89"/>
      <c r="R1135" s="89"/>
      <c r="S1135" s="60"/>
      <c r="T1135" s="62"/>
      <c r="U1135" s="62"/>
      <c r="V1135" s="62"/>
      <c r="W1135" s="61"/>
      <c r="X1135" s="62"/>
      <c r="Y1135" s="62"/>
      <c r="Z1135" s="66"/>
      <c r="AA1135" s="89"/>
      <c r="AB1135" s="69"/>
      <c r="AC1135" s="89"/>
      <c r="AD1135" s="89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9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9"/>
      <c r="P1136" s="69"/>
      <c r="Q1136" s="89"/>
      <c r="R1136" s="89"/>
      <c r="S1136" s="60"/>
      <c r="T1136" s="62"/>
      <c r="U1136" s="62"/>
      <c r="V1136" s="62"/>
      <c r="W1136" s="61"/>
      <c r="X1136" s="62"/>
      <c r="Y1136" s="62"/>
      <c r="Z1136" s="66"/>
      <c r="AA1136" s="89"/>
      <c r="AB1136" s="69"/>
      <c r="AC1136" s="89"/>
      <c r="AD1136" s="89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9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62"/>
      <c r="P1137" s="69"/>
      <c r="Q1137" s="89"/>
      <c r="R1137" s="89"/>
      <c r="S1137" s="60"/>
      <c r="T1137" s="62"/>
      <c r="U1137" s="62"/>
      <c r="V1137" s="62"/>
      <c r="W1137" s="61"/>
      <c r="X1137" s="62"/>
      <c r="Y1137" s="62"/>
      <c r="Z1137" s="66"/>
      <c r="AA1137" s="89"/>
      <c r="AB1137" s="69"/>
      <c r="AC1137" s="89"/>
      <c r="AD1137" s="89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9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89"/>
      <c r="P1138" s="69"/>
      <c r="Q1138" s="89"/>
      <c r="R1138" s="89"/>
      <c r="S1138" s="60"/>
      <c r="T1138" s="62"/>
      <c r="U1138" s="62"/>
      <c r="V1138" s="62"/>
      <c r="W1138" s="61"/>
      <c r="X1138" s="62"/>
      <c r="Y1138" s="62"/>
      <c r="Z1138" s="66"/>
      <c r="AA1138" s="89"/>
      <c r="AB1138" s="69"/>
      <c r="AC1138" s="89"/>
      <c r="AD1138" s="89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9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9"/>
      <c r="P1139" s="69"/>
      <c r="Q1139" s="89"/>
      <c r="R1139" s="89"/>
      <c r="S1139" s="60"/>
      <c r="T1139" s="62"/>
      <c r="U1139" s="62"/>
      <c r="V1139" s="62"/>
      <c r="W1139" s="61"/>
      <c r="X1139" s="62"/>
      <c r="Y1139" s="62"/>
      <c r="Z1139" s="66"/>
      <c r="AA1139" s="89"/>
      <c r="AB1139" s="69"/>
      <c r="AC1139" s="89"/>
      <c r="AD1139" s="89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9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9"/>
      <c r="P1140" s="69"/>
      <c r="Q1140" s="89"/>
      <c r="R1140" s="89"/>
      <c r="S1140" s="60"/>
      <c r="T1140" s="62"/>
      <c r="U1140" s="62"/>
      <c r="V1140" s="62"/>
      <c r="W1140" s="61"/>
      <c r="X1140" s="62"/>
      <c r="Y1140" s="62"/>
      <c r="Z1140" s="66"/>
      <c r="AA1140" s="89"/>
      <c r="AB1140" s="69"/>
      <c r="AC1140" s="89"/>
      <c r="AD1140" s="89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65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62"/>
      <c r="P1141" s="69"/>
      <c r="Q1141" s="89"/>
      <c r="R1141" s="89"/>
      <c r="S1141" s="60"/>
      <c r="T1141" s="62"/>
      <c r="U1141" s="62"/>
      <c r="V1141" s="62"/>
      <c r="W1141" s="61"/>
      <c r="X1141" s="62"/>
      <c r="Y1141" s="62"/>
      <c r="Z1141" s="66"/>
      <c r="AA1141" s="89"/>
      <c r="AB1141" s="69"/>
      <c r="AC1141" s="89"/>
      <c r="AD1141" s="89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65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89"/>
      <c r="P1142" s="69"/>
      <c r="Q1142" s="89"/>
      <c r="R1142" s="89"/>
      <c r="S1142" s="60"/>
      <c r="T1142" s="62"/>
      <c r="U1142" s="62"/>
      <c r="V1142" s="62"/>
      <c r="W1142" s="61"/>
      <c r="X1142" s="62"/>
      <c r="Y1142" s="62"/>
      <c r="Z1142" s="66"/>
      <c r="AA1142" s="89"/>
      <c r="AB1142" s="69"/>
      <c r="AC1142" s="89"/>
      <c r="AD1142" s="89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65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9"/>
      <c r="P1143" s="69"/>
      <c r="Q1143" s="89"/>
      <c r="R1143" s="89"/>
      <c r="S1143" s="60"/>
      <c r="T1143" s="62"/>
      <c r="U1143" s="62"/>
      <c r="V1143" s="62"/>
      <c r="W1143" s="61"/>
      <c r="X1143" s="62"/>
      <c r="Y1143" s="62"/>
      <c r="Z1143" s="66"/>
      <c r="AA1143" s="89"/>
      <c r="AB1143" s="69"/>
      <c r="AC1143" s="89"/>
      <c r="AD1143" s="89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65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9"/>
      <c r="P1144" s="69"/>
      <c r="Q1144" s="89"/>
      <c r="R1144" s="89"/>
      <c r="S1144" s="60"/>
      <c r="T1144" s="62"/>
      <c r="U1144" s="62"/>
      <c r="V1144" s="62"/>
      <c r="W1144" s="61"/>
      <c r="X1144" s="62"/>
      <c r="Y1144" s="62"/>
      <c r="Z1144" s="66"/>
      <c r="AA1144" s="89"/>
      <c r="AB1144" s="69"/>
      <c r="AC1144" s="89"/>
      <c r="AD1144" s="89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65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9"/>
      <c r="P1145" s="69"/>
      <c r="Q1145" s="89"/>
      <c r="R1145" s="89"/>
      <c r="S1145" s="60"/>
      <c r="T1145" s="62"/>
      <c r="U1145" s="62"/>
      <c r="V1145" s="62"/>
      <c r="W1145" s="61"/>
      <c r="X1145" s="62"/>
      <c r="Y1145" s="62"/>
      <c r="Z1145" s="66"/>
      <c r="AA1145" s="89"/>
      <c r="AB1145" s="69"/>
      <c r="AC1145" s="89"/>
      <c r="AD1145" s="89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65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9"/>
      <c r="P1146" s="69"/>
      <c r="Q1146" s="89"/>
      <c r="R1146" s="89"/>
      <c r="S1146" s="60"/>
      <c r="T1146" s="62"/>
      <c r="U1146" s="62"/>
      <c r="V1146" s="62"/>
      <c r="W1146" s="61"/>
      <c r="X1146" s="62"/>
      <c r="Y1146" s="62"/>
      <c r="Z1146" s="66"/>
      <c r="AA1146" s="89"/>
      <c r="AB1146" s="69"/>
      <c r="AC1146" s="89"/>
      <c r="AD1146" s="89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65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9"/>
      <c r="P1147" s="69"/>
      <c r="Q1147" s="89"/>
      <c r="R1147" s="89"/>
      <c r="S1147" s="60"/>
      <c r="T1147" s="62"/>
      <c r="U1147" s="62"/>
      <c r="V1147" s="62"/>
      <c r="W1147" s="61"/>
      <c r="X1147" s="62"/>
      <c r="Y1147" s="62"/>
      <c r="Z1147" s="66"/>
      <c r="AA1147" s="89"/>
      <c r="AB1147" s="69"/>
      <c r="AC1147" s="89"/>
      <c r="AD1147" s="89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65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9"/>
      <c r="R1148" s="89"/>
      <c r="S1148" s="60"/>
      <c r="T1148" s="62"/>
      <c r="U1148" s="62"/>
      <c r="V1148" s="62"/>
      <c r="W1148" s="61"/>
      <c r="X1148" s="62"/>
      <c r="Y1148" s="62"/>
      <c r="Z1148" s="66"/>
      <c r="AA1148" s="89"/>
      <c r="AB1148" s="69"/>
      <c r="AC1148" s="89"/>
      <c r="AD1148" s="89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9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9"/>
      <c r="P1149" s="69"/>
      <c r="Q1149" s="89"/>
      <c r="R1149" s="89"/>
      <c r="S1149" s="60"/>
      <c r="T1149" s="62"/>
      <c r="U1149" s="62"/>
      <c r="V1149" s="62"/>
      <c r="W1149" s="61"/>
      <c r="X1149" s="62"/>
      <c r="Y1149" s="62"/>
      <c r="Z1149" s="66"/>
      <c r="AA1149" s="89"/>
      <c r="AB1149" s="69"/>
      <c r="AC1149" s="89"/>
      <c r="AD1149" s="89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9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9"/>
      <c r="P1150" s="69"/>
      <c r="Q1150" s="89"/>
      <c r="R1150" s="89"/>
      <c r="S1150" s="60"/>
      <c r="T1150" s="62"/>
      <c r="U1150" s="62"/>
      <c r="V1150" s="62"/>
      <c r="W1150" s="61"/>
      <c r="X1150" s="62"/>
      <c r="Y1150" s="62"/>
      <c r="Z1150" s="66"/>
      <c r="AA1150" s="89"/>
      <c r="AB1150" s="69"/>
      <c r="AC1150" s="89"/>
      <c r="AD1150" s="89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9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9"/>
      <c r="R1151" s="89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9"/>
      <c r="AD1151" s="89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9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9"/>
      <c r="P1152" s="69"/>
      <c r="Q1152" s="89"/>
      <c r="R1152" s="89"/>
      <c r="S1152" s="60"/>
      <c r="T1152" s="62"/>
      <c r="U1152" s="62"/>
      <c r="V1152" s="62"/>
      <c r="W1152" s="61"/>
      <c r="X1152" s="62"/>
      <c r="Y1152" s="62"/>
      <c r="Z1152" s="66"/>
      <c r="AA1152" s="89"/>
      <c r="AB1152" s="69"/>
      <c r="AC1152" s="89"/>
      <c r="AD1152" s="89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9"/>
      <c r="O1153" s="89"/>
      <c r="P1153" s="89"/>
      <c r="Q1153" s="89"/>
      <c r="R1153" s="89"/>
      <c r="S1153" s="89"/>
      <c r="T1153" s="62"/>
      <c r="U1153" s="62"/>
      <c r="V1153" s="62"/>
      <c r="W1153" s="61"/>
      <c r="X1153" s="62"/>
      <c r="Y1153" s="62"/>
      <c r="Z1153" s="89"/>
      <c r="AA1153" s="89"/>
      <c r="AB1153" s="89"/>
      <c r="AC1153" s="89"/>
      <c r="AD1153" s="89"/>
      <c r="AE1153" s="89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9"/>
      <c r="C1154" s="89"/>
      <c r="D1154" s="89"/>
      <c r="E1154" s="89"/>
      <c r="F1154" s="89"/>
      <c r="G1154" s="89"/>
      <c r="H1154" s="62"/>
      <c r="I1154" s="62"/>
      <c r="J1154" s="62"/>
      <c r="K1154" s="62"/>
      <c r="L1154" s="62"/>
      <c r="M1154" s="62"/>
      <c r="N1154" s="89"/>
      <c r="O1154" s="89"/>
      <c r="P1154" s="89"/>
      <c r="Q1154" s="89"/>
      <c r="R1154" s="89"/>
      <c r="S1154" s="89"/>
      <c r="T1154" s="62"/>
      <c r="U1154" s="62"/>
      <c r="V1154" s="62"/>
      <c r="W1154" s="62"/>
      <c r="X1154" s="62"/>
      <c r="Y1154" s="62"/>
      <c r="Z1154" s="89"/>
      <c r="AA1154" s="89"/>
      <c r="AB1154" s="89"/>
      <c r="AC1154" s="89"/>
      <c r="AD1154" s="89"/>
      <c r="AE1154" s="89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9"/>
      <c r="C1155" s="89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9"/>
      <c r="O1155" s="89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9"/>
      <c r="AA1155" s="89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9"/>
      <c r="C1157" s="89"/>
      <c r="D1157" s="89"/>
      <c r="E1157" s="89"/>
      <c r="F1157" s="89"/>
      <c r="G1157" s="89"/>
      <c r="H1157" s="62"/>
      <c r="I1157" s="62"/>
      <c r="J1157" s="62"/>
      <c r="K1157" s="62"/>
      <c r="L1157" s="62"/>
      <c r="M1157" s="62"/>
      <c r="N1157" s="89"/>
      <c r="O1157" s="89"/>
      <c r="P1157" s="89"/>
      <c r="Q1157" s="89"/>
      <c r="R1157" s="89"/>
      <c r="S1157" s="89"/>
      <c r="T1157" s="62"/>
      <c r="U1157" s="62"/>
      <c r="V1157" s="62"/>
      <c r="W1157" s="62"/>
      <c r="X1157" s="62"/>
      <c r="Y1157" s="62"/>
      <c r="Z1157" s="89"/>
      <c r="AA1157" s="89"/>
      <c r="AB1157" s="89"/>
      <c r="AC1157" s="89"/>
      <c r="AD1157" s="89"/>
      <c r="AE1157" s="89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9"/>
      <c r="C1158" s="89"/>
      <c r="D1158" s="89"/>
      <c r="E1158" s="89"/>
      <c r="F1158" s="89"/>
      <c r="G1158" s="89"/>
      <c r="H1158" s="62"/>
      <c r="I1158" s="62"/>
      <c r="J1158" s="62"/>
      <c r="K1158" s="62"/>
      <c r="L1158" s="62"/>
      <c r="M1158" s="62"/>
      <c r="N1158" s="89"/>
      <c r="O1158" s="89"/>
      <c r="P1158" s="89"/>
      <c r="Q1158" s="89"/>
      <c r="R1158" s="89"/>
      <c r="S1158" s="89"/>
      <c r="T1158" s="62"/>
      <c r="U1158" s="62"/>
      <c r="V1158" s="62"/>
      <c r="W1158" s="62"/>
      <c r="X1158" s="62"/>
      <c r="Y1158" s="62"/>
      <c r="Z1158" s="89"/>
      <c r="AA1158" s="89"/>
      <c r="AB1158" s="89"/>
      <c r="AC1158" s="89"/>
      <c r="AD1158" s="89"/>
      <c r="AE1158" s="89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9"/>
      <c r="C1159" s="89"/>
      <c r="D1159" s="89"/>
      <c r="E1159" s="89"/>
      <c r="F1159" s="89"/>
      <c r="G1159" s="89"/>
      <c r="H1159" s="62"/>
      <c r="I1159" s="62"/>
      <c r="J1159" s="62"/>
      <c r="K1159" s="62"/>
      <c r="L1159" s="62"/>
      <c r="M1159" s="62"/>
      <c r="N1159" s="89"/>
      <c r="O1159" s="89"/>
      <c r="P1159" s="89"/>
      <c r="Q1159" s="89"/>
      <c r="R1159" s="89"/>
      <c r="S1159" s="89"/>
      <c r="T1159" s="62"/>
      <c r="U1159" s="62"/>
      <c r="V1159" s="62"/>
      <c r="W1159" s="62"/>
      <c r="X1159" s="62"/>
      <c r="Y1159" s="62"/>
      <c r="Z1159" s="89"/>
      <c r="AA1159" s="89"/>
      <c r="AB1159" s="89"/>
      <c r="AC1159" s="89"/>
      <c r="AD1159" s="89"/>
      <c r="AE1159" s="89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9"/>
      <c r="C1160" s="89"/>
      <c r="D1160" s="89"/>
      <c r="E1160" s="89"/>
      <c r="F1160" s="89"/>
      <c r="G1160" s="89"/>
      <c r="H1160" s="62"/>
      <c r="I1160" s="62"/>
      <c r="J1160" s="62"/>
      <c r="K1160" s="62"/>
      <c r="L1160" s="62"/>
      <c r="M1160" s="63"/>
      <c r="N1160" s="89"/>
      <c r="O1160" s="89"/>
      <c r="P1160" s="89"/>
      <c r="Q1160" s="89"/>
      <c r="R1160" s="89"/>
      <c r="S1160" s="89"/>
      <c r="T1160" s="62"/>
      <c r="U1160" s="62"/>
      <c r="V1160" s="62"/>
      <c r="W1160" s="62"/>
      <c r="X1160" s="62"/>
      <c r="Y1160" s="63"/>
      <c r="Z1160" s="89"/>
      <c r="AA1160" s="89"/>
      <c r="AB1160" s="89"/>
      <c r="AC1160" s="89"/>
      <c r="AD1160" s="89"/>
      <c r="AE1160" s="89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9"/>
      <c r="C1161" s="89"/>
      <c r="D1161" s="89"/>
      <c r="E1161" s="89"/>
      <c r="F1161" s="89"/>
      <c r="G1161" s="89"/>
      <c r="H1161" s="62"/>
      <c r="I1161" s="62"/>
      <c r="J1161" s="62"/>
      <c r="K1161" s="62"/>
      <c r="L1161" s="62"/>
      <c r="M1161" s="62"/>
      <c r="N1161" s="89"/>
      <c r="O1161" s="89"/>
      <c r="P1161" s="89"/>
      <c r="Q1161" s="89"/>
      <c r="R1161" s="89"/>
      <c r="S1161" s="89"/>
      <c r="T1161" s="62"/>
      <c r="U1161" s="62"/>
      <c r="V1161" s="62"/>
      <c r="W1161" s="62"/>
      <c r="X1161" s="62"/>
      <c r="Y1161" s="62"/>
      <c r="Z1161" s="89"/>
      <c r="AA1161" s="89"/>
      <c r="AB1161" s="89"/>
      <c r="AC1161" s="89"/>
      <c r="AD1161" s="89"/>
      <c r="AE1161" s="89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9"/>
      <c r="C1162" s="89"/>
      <c r="D1162" s="89"/>
      <c r="E1162" s="89"/>
      <c r="F1162" s="89"/>
      <c r="G1162" s="89"/>
      <c r="H1162" s="62"/>
      <c r="I1162" s="89"/>
      <c r="J1162" s="74"/>
      <c r="K1162" s="62"/>
      <c r="L1162" s="62"/>
      <c r="M1162" s="62"/>
      <c r="N1162" s="89"/>
      <c r="O1162" s="89"/>
      <c r="P1162" s="89"/>
      <c r="Q1162" s="89"/>
      <c r="R1162" s="89"/>
      <c r="S1162" s="89"/>
      <c r="T1162" s="62"/>
      <c r="U1162" s="89"/>
      <c r="V1162" s="74"/>
      <c r="W1162" s="62"/>
      <c r="X1162" s="62"/>
      <c r="Y1162" s="62"/>
      <c r="Z1162" s="89"/>
      <c r="AA1162" s="89"/>
      <c r="AB1162" s="89"/>
      <c r="AC1162" s="89"/>
      <c r="AD1162" s="89"/>
      <c r="AE1162" s="89"/>
      <c r="AF1162" s="62"/>
      <c r="AG1162" s="89"/>
      <c r="AH1162" s="89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9"/>
      <c r="C1163" s="89"/>
      <c r="D1163" s="89"/>
      <c r="E1163" s="89"/>
      <c r="F1163" s="89"/>
      <c r="G1163" s="89"/>
      <c r="H1163" s="62"/>
      <c r="I1163" s="65"/>
      <c r="J1163" s="65"/>
      <c r="K1163" s="62"/>
      <c r="L1163" s="62"/>
      <c r="M1163" s="64"/>
      <c r="N1163" s="89"/>
      <c r="O1163" s="89"/>
      <c r="P1163" s="89"/>
      <c r="Q1163" s="89"/>
      <c r="R1163" s="89"/>
      <c r="S1163" s="89"/>
      <c r="T1163" s="62"/>
      <c r="U1163" s="65"/>
      <c r="V1163" s="65"/>
      <c r="W1163" s="62"/>
      <c r="X1163" s="62"/>
      <c r="Y1163" s="64"/>
      <c r="Z1163" s="89"/>
      <c r="AA1163" s="89"/>
      <c r="AB1163" s="89"/>
      <c r="AC1163" s="89"/>
      <c r="AD1163" s="89"/>
      <c r="AE1163" s="89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9"/>
      <c r="C1164" s="89"/>
      <c r="D1164" s="89"/>
      <c r="E1164" s="89"/>
      <c r="F1164" s="89"/>
      <c r="G1164" s="89"/>
      <c r="H1164" s="62"/>
      <c r="I1164" s="62"/>
      <c r="J1164" s="62"/>
      <c r="K1164" s="62"/>
      <c r="L1164" s="62"/>
      <c r="M1164" s="62"/>
      <c r="N1164" s="89"/>
      <c r="O1164" s="89"/>
      <c r="P1164" s="89"/>
      <c r="Q1164" s="89"/>
      <c r="R1164" s="89"/>
      <c r="S1164" s="89"/>
      <c r="T1164" s="62"/>
      <c r="U1164" s="62"/>
      <c r="V1164" s="62"/>
      <c r="W1164" s="62"/>
      <c r="X1164" s="62"/>
      <c r="Y1164" s="62"/>
      <c r="Z1164" s="89"/>
      <c r="AA1164" s="89"/>
      <c r="AB1164" s="89"/>
      <c r="AC1164" s="89"/>
      <c r="AD1164" s="89"/>
      <c r="AE1164" s="89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9"/>
      <c r="D1165" s="114"/>
      <c r="E1165" s="114"/>
      <c r="F1165" s="89"/>
      <c r="G1165" s="89"/>
      <c r="H1165" s="62"/>
      <c r="I1165" s="114"/>
      <c r="J1165" s="114"/>
      <c r="K1165" s="113"/>
      <c r="L1165" s="62"/>
      <c r="M1165" s="62"/>
      <c r="N1165" s="65"/>
      <c r="O1165" s="89"/>
      <c r="P1165" s="114"/>
      <c r="Q1165" s="114"/>
      <c r="R1165" s="89"/>
      <c r="S1165" s="89"/>
      <c r="T1165" s="62"/>
      <c r="U1165" s="114"/>
      <c r="V1165" s="114"/>
      <c r="W1165" s="113"/>
      <c r="X1165" s="62"/>
      <c r="Y1165" s="62"/>
      <c r="Z1165" s="65"/>
      <c r="AA1165" s="89"/>
      <c r="AB1165" s="114"/>
      <c r="AC1165" s="114"/>
      <c r="AD1165" s="89"/>
      <c r="AE1165" s="89"/>
      <c r="AF1165" s="62"/>
      <c r="AG1165" s="114"/>
      <c r="AH1165" s="114"/>
      <c r="AI1165" s="113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9"/>
      <c r="C1166" s="89"/>
      <c r="D1166" s="81"/>
      <c r="E1166" s="82"/>
      <c r="F1166" s="83"/>
      <c r="G1166" s="83"/>
      <c r="H1166" s="62"/>
      <c r="I1166" s="88"/>
      <c r="J1166" s="88"/>
      <c r="K1166" s="113"/>
      <c r="L1166" s="62"/>
      <c r="M1166" s="62"/>
      <c r="N1166" s="89"/>
      <c r="O1166" s="89"/>
      <c r="P1166" s="81"/>
      <c r="Q1166" s="83"/>
      <c r="R1166" s="83"/>
      <c r="S1166" s="83"/>
      <c r="T1166" s="62"/>
      <c r="U1166" s="88"/>
      <c r="V1166" s="88"/>
      <c r="W1166" s="113"/>
      <c r="X1166" s="62"/>
      <c r="Y1166" s="62"/>
      <c r="Z1166" s="89"/>
      <c r="AA1166" s="89"/>
      <c r="AB1166" s="81"/>
      <c r="AC1166" s="83"/>
      <c r="AD1166" s="83"/>
      <c r="AE1166" s="83"/>
      <c r="AF1166" s="62"/>
      <c r="AG1166" s="88"/>
      <c r="AH1166" s="88"/>
      <c r="AI1166" s="113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9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9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9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9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9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9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9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9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9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9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9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9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9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9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9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9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9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9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9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9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9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9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9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9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9"/>
      <c r="AB1175" s="90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9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9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9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9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9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9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9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9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9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9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9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9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9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9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9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9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9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9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9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9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9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9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9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9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9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9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9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9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9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9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9"/>
      <c r="R1187" s="89"/>
      <c r="S1187" s="60"/>
      <c r="T1187" s="62"/>
      <c r="U1187" s="62"/>
      <c r="V1187" s="62"/>
      <c r="W1187" s="61"/>
      <c r="X1187" s="62"/>
      <c r="Y1187" s="62"/>
      <c r="Z1187" s="66"/>
      <c r="AA1187" s="89"/>
      <c r="AB1187" s="67"/>
      <c r="AC1187" s="89"/>
      <c r="AD1187" s="89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9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9"/>
      <c r="P1188" s="68"/>
      <c r="Q1188" s="89"/>
      <c r="R1188" s="89"/>
      <c r="S1188" s="60"/>
      <c r="T1188" s="62"/>
      <c r="U1188" s="62"/>
      <c r="V1188" s="62"/>
      <c r="W1188" s="61"/>
      <c r="X1188" s="62"/>
      <c r="Y1188" s="62"/>
      <c r="Z1188" s="66"/>
      <c r="AA1188" s="89"/>
      <c r="AB1188" s="68"/>
      <c r="AC1188" s="89"/>
      <c r="AD1188" s="89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9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9"/>
      <c r="P1189" s="69"/>
      <c r="Q1189" s="89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9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9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9"/>
      <c r="P1190" s="69"/>
      <c r="Q1190" s="89"/>
      <c r="R1190" s="89"/>
      <c r="S1190" s="60"/>
      <c r="T1190" s="62"/>
      <c r="U1190" s="62"/>
      <c r="V1190" s="62"/>
      <c r="W1190" s="61"/>
      <c r="X1190" s="62"/>
      <c r="Y1190" s="62"/>
      <c r="Z1190" s="66"/>
      <c r="AA1190" s="89"/>
      <c r="AB1190" s="69"/>
      <c r="AC1190" s="89"/>
      <c r="AD1190" s="89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9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9"/>
      <c r="P1191" s="69"/>
      <c r="Q1191" s="89"/>
      <c r="R1191" s="89"/>
      <c r="S1191" s="60"/>
      <c r="T1191" s="62"/>
      <c r="U1191" s="62"/>
      <c r="V1191" s="62"/>
      <c r="W1191" s="61"/>
      <c r="X1191" s="62"/>
      <c r="Y1191" s="62"/>
      <c r="Z1191" s="66"/>
      <c r="AA1191" s="89"/>
      <c r="AB1191" s="69"/>
      <c r="AC1191" s="89"/>
      <c r="AD1191" s="89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9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9"/>
      <c r="R1192" s="89"/>
      <c r="S1192" s="60"/>
      <c r="T1192" s="62"/>
      <c r="U1192" s="62"/>
      <c r="V1192" s="62"/>
      <c r="W1192" s="61"/>
      <c r="X1192" s="62"/>
      <c r="Y1192" s="62"/>
      <c r="Z1192" s="66"/>
      <c r="AA1192" s="89"/>
      <c r="AB1192" s="69"/>
      <c r="AC1192" s="89"/>
      <c r="AD1192" s="89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9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9"/>
      <c r="P1193" s="69"/>
      <c r="Q1193" s="89"/>
      <c r="R1193" s="89"/>
      <c r="S1193" s="60"/>
      <c r="T1193" s="62"/>
      <c r="U1193" s="62"/>
      <c r="V1193" s="62"/>
      <c r="W1193" s="61"/>
      <c r="X1193" s="62"/>
      <c r="Y1193" s="62"/>
      <c r="Z1193" s="66"/>
      <c r="AA1193" s="89"/>
      <c r="AB1193" s="69"/>
      <c r="AC1193" s="89"/>
      <c r="AD1193" s="89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9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9"/>
      <c r="P1194" s="69"/>
      <c r="Q1194" s="89"/>
      <c r="R1194" s="89"/>
      <c r="S1194" s="60"/>
      <c r="T1194" s="62"/>
      <c r="U1194" s="62"/>
      <c r="V1194" s="62"/>
      <c r="W1194" s="61"/>
      <c r="X1194" s="62"/>
      <c r="Y1194" s="62"/>
      <c r="Z1194" s="66"/>
      <c r="AA1194" s="89"/>
      <c r="AB1194" s="69"/>
      <c r="AC1194" s="89"/>
      <c r="AD1194" s="89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9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9"/>
      <c r="P1195" s="69"/>
      <c r="Q1195" s="89"/>
      <c r="R1195" s="89"/>
      <c r="S1195" s="60"/>
      <c r="T1195" s="62"/>
      <c r="U1195" s="62"/>
      <c r="V1195" s="62"/>
      <c r="W1195" s="61"/>
      <c r="X1195" s="62"/>
      <c r="Y1195" s="62"/>
      <c r="Z1195" s="66"/>
      <c r="AA1195" s="89"/>
      <c r="AB1195" s="69"/>
      <c r="AC1195" s="89"/>
      <c r="AD1195" s="89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9"/>
      <c r="R1196" s="89"/>
      <c r="S1196" s="60"/>
      <c r="T1196" s="62"/>
      <c r="U1196" s="62"/>
      <c r="V1196" s="62"/>
      <c r="W1196" s="61"/>
      <c r="X1196" s="62"/>
      <c r="Y1196" s="62"/>
      <c r="Z1196" s="66"/>
      <c r="AA1196" s="89"/>
      <c r="AB1196" s="69"/>
      <c r="AC1196" s="89"/>
      <c r="AD1196" s="89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9"/>
      <c r="P1197" s="69"/>
      <c r="Q1197" s="89"/>
      <c r="R1197" s="89"/>
      <c r="S1197" s="60"/>
      <c r="T1197" s="62"/>
      <c r="U1197" s="62"/>
      <c r="V1197" s="62"/>
      <c r="W1197" s="61"/>
      <c r="X1197" s="62"/>
      <c r="Y1197" s="62"/>
      <c r="Z1197" s="66"/>
      <c r="AA1197" s="89"/>
      <c r="AB1197" s="69"/>
      <c r="AC1197" s="89"/>
      <c r="AD1197" s="89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9"/>
      <c r="P1198" s="69"/>
      <c r="Q1198" s="89"/>
      <c r="R1198" s="89"/>
      <c r="S1198" s="60"/>
      <c r="T1198" s="62"/>
      <c r="U1198" s="62"/>
      <c r="V1198" s="62"/>
      <c r="W1198" s="61"/>
      <c r="X1198" s="62"/>
      <c r="Y1198" s="62"/>
      <c r="Z1198" s="66"/>
      <c r="AA1198" s="89"/>
      <c r="AB1198" s="69"/>
      <c r="AC1198" s="89"/>
      <c r="AD1198" s="89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9"/>
      <c r="P1199" s="69"/>
      <c r="Q1199" s="89"/>
      <c r="R1199" s="89"/>
      <c r="S1199" s="60"/>
      <c r="T1199" s="62"/>
      <c r="U1199" s="62"/>
      <c r="V1199" s="62"/>
      <c r="W1199" s="61"/>
      <c r="X1199" s="62"/>
      <c r="Y1199" s="62"/>
      <c r="Z1199" s="66"/>
      <c r="AA1199" s="89"/>
      <c r="AB1199" s="69"/>
      <c r="AC1199" s="89"/>
      <c r="AD1199" s="89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9"/>
      <c r="P1200" s="69"/>
      <c r="Q1200" s="89"/>
      <c r="R1200" s="89"/>
      <c r="S1200" s="60"/>
      <c r="T1200" s="62"/>
      <c r="U1200" s="62"/>
      <c r="V1200" s="62"/>
      <c r="W1200" s="61"/>
      <c r="X1200" s="62"/>
      <c r="Y1200" s="62"/>
      <c r="Z1200" s="66"/>
      <c r="AA1200" s="89"/>
      <c r="AB1200" s="69"/>
      <c r="AC1200" s="89"/>
      <c r="AD1200" s="89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9"/>
      <c r="P1201" s="69"/>
      <c r="Q1201" s="89"/>
      <c r="R1201" s="89"/>
      <c r="S1201" s="60"/>
      <c r="T1201" s="62"/>
      <c r="U1201" s="62"/>
      <c r="V1201" s="62"/>
      <c r="W1201" s="61"/>
      <c r="X1201" s="62"/>
      <c r="Y1201" s="62"/>
      <c r="Z1201" s="66"/>
      <c r="AA1201" s="89"/>
      <c r="AB1201" s="69"/>
      <c r="AC1201" s="89"/>
      <c r="AD1201" s="89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9"/>
      <c r="P1202" s="69"/>
      <c r="Q1202" s="89"/>
      <c r="R1202" s="89"/>
      <c r="S1202" s="60"/>
      <c r="T1202" s="62"/>
      <c r="U1202" s="62"/>
      <c r="V1202" s="62"/>
      <c r="W1202" s="61"/>
      <c r="X1202" s="62"/>
      <c r="Y1202" s="62"/>
      <c r="Z1202" s="66"/>
      <c r="AA1202" s="89"/>
      <c r="AB1202" s="69"/>
      <c r="AC1202" s="89"/>
      <c r="AD1202" s="89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9"/>
      <c r="R1203" s="89"/>
      <c r="S1203" s="60"/>
      <c r="T1203" s="62"/>
      <c r="U1203" s="62"/>
      <c r="V1203" s="62"/>
      <c r="W1203" s="61"/>
      <c r="X1203" s="62"/>
      <c r="Y1203" s="62"/>
      <c r="Z1203" s="66"/>
      <c r="AA1203" s="89"/>
      <c r="AB1203" s="69"/>
      <c r="AC1203" s="89"/>
      <c r="AD1203" s="89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9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9"/>
      <c r="P1204" s="69"/>
      <c r="Q1204" s="89"/>
      <c r="R1204" s="89"/>
      <c r="S1204" s="60"/>
      <c r="T1204" s="62"/>
      <c r="U1204" s="62"/>
      <c r="V1204" s="62"/>
      <c r="W1204" s="61"/>
      <c r="X1204" s="62"/>
      <c r="Y1204" s="62"/>
      <c r="Z1204" s="66"/>
      <c r="AA1204" s="89"/>
      <c r="AB1204" s="69"/>
      <c r="AC1204" s="89"/>
      <c r="AD1204" s="89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9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9"/>
      <c r="P1205" s="69"/>
      <c r="Q1205" s="89"/>
      <c r="R1205" s="89"/>
      <c r="S1205" s="60"/>
      <c r="T1205" s="62"/>
      <c r="U1205" s="62"/>
      <c r="V1205" s="62"/>
      <c r="W1205" s="61"/>
      <c r="X1205" s="62"/>
      <c r="Y1205" s="62"/>
      <c r="Z1205" s="66"/>
      <c r="AA1205" s="89"/>
      <c r="AB1205" s="69"/>
      <c r="AC1205" s="89"/>
      <c r="AD1205" s="89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9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9"/>
      <c r="R1206" s="89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9"/>
      <c r="AD1206" s="89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9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9"/>
      <c r="P1207" s="69"/>
      <c r="Q1207" s="89"/>
      <c r="R1207" s="89"/>
      <c r="S1207" s="60"/>
      <c r="T1207" s="62"/>
      <c r="U1207" s="62"/>
      <c r="V1207" s="62"/>
      <c r="W1207" s="61"/>
      <c r="X1207" s="62"/>
      <c r="Y1207" s="62"/>
      <c r="Z1207" s="66"/>
      <c r="AA1207" s="89"/>
      <c r="AB1207" s="69"/>
      <c r="AC1207" s="89"/>
      <c r="AD1207" s="89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9"/>
      <c r="O1208" s="89"/>
      <c r="P1208" s="89"/>
      <c r="Q1208" s="89"/>
      <c r="R1208" s="89"/>
      <c r="S1208" s="89"/>
      <c r="T1208" s="62"/>
      <c r="U1208" s="62"/>
      <c r="V1208" s="62"/>
      <c r="W1208" s="61"/>
      <c r="X1208" s="62"/>
      <c r="Y1208" s="62"/>
      <c r="Z1208" s="89"/>
      <c r="AA1208" s="89"/>
      <c r="AB1208" s="89"/>
      <c r="AC1208" s="89"/>
      <c r="AD1208" s="89"/>
      <c r="AE1208" s="89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9"/>
      <c r="C1209" s="89"/>
      <c r="D1209" s="89"/>
      <c r="E1209" s="89"/>
      <c r="F1209" s="89"/>
      <c r="G1209" s="89"/>
      <c r="H1209" s="62"/>
      <c r="I1209" s="62"/>
      <c r="J1209" s="62"/>
      <c r="K1209" s="62"/>
      <c r="L1209" s="62"/>
      <c r="M1209" s="62"/>
      <c r="N1209" s="89"/>
      <c r="O1209" s="89"/>
      <c r="P1209" s="89"/>
      <c r="Q1209" s="89"/>
      <c r="R1209" s="89"/>
      <c r="S1209" s="89"/>
      <c r="T1209" s="62"/>
      <c r="U1209" s="62"/>
      <c r="V1209" s="62"/>
      <c r="W1209" s="62"/>
      <c r="X1209" s="62"/>
      <c r="Y1209" s="62"/>
      <c r="Z1209" s="89"/>
      <c r="AA1209" s="89"/>
      <c r="AB1209" s="89"/>
      <c r="AC1209" s="89"/>
      <c r="AD1209" s="89"/>
      <c r="AE1209" s="89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9"/>
      <c r="C1210" s="89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9"/>
      <c r="O1210" s="89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9"/>
      <c r="AA1210" s="89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7"/>
      <c r="C1213" s="87"/>
      <c r="D1213" s="87"/>
      <c r="E1213" s="87"/>
      <c r="F1213" s="87"/>
      <c r="G1213" s="87"/>
      <c r="H1213" s="62"/>
      <c r="I1213" s="62"/>
      <c r="J1213" s="62"/>
      <c r="K1213" s="62"/>
      <c r="L1213" s="62"/>
      <c r="M1213" s="62"/>
      <c r="N1213" s="87"/>
      <c r="O1213" s="87"/>
      <c r="P1213" s="87"/>
      <c r="Q1213" s="87"/>
      <c r="R1213" s="87"/>
      <c r="S1213" s="87"/>
      <c r="T1213" s="62"/>
      <c r="U1213" s="62"/>
      <c r="V1213" s="62"/>
      <c r="W1213" s="62"/>
      <c r="X1213" s="62"/>
      <c r="Y1213" s="62"/>
      <c r="Z1213" s="87"/>
      <c r="AA1213" s="87"/>
      <c r="AB1213" s="87"/>
      <c r="AC1213" s="87"/>
      <c r="AD1213" s="87"/>
      <c r="AE1213" s="87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7"/>
      <c r="C1214" s="87"/>
      <c r="D1214" s="87"/>
      <c r="E1214" s="87"/>
      <c r="F1214" s="87"/>
      <c r="G1214" s="87"/>
      <c r="H1214" s="62"/>
      <c r="I1214" s="62"/>
      <c r="J1214" s="62"/>
      <c r="K1214" s="62"/>
      <c r="L1214" s="62"/>
      <c r="M1214" s="62"/>
      <c r="N1214" s="87"/>
      <c r="O1214" s="87"/>
      <c r="P1214" s="87"/>
      <c r="Q1214" s="87"/>
      <c r="R1214" s="87"/>
      <c r="S1214" s="87"/>
      <c r="T1214" s="62"/>
      <c r="U1214" s="62"/>
      <c r="V1214" s="62"/>
      <c r="W1214" s="62"/>
      <c r="X1214" s="62"/>
      <c r="Y1214" s="62"/>
      <c r="Z1214" s="87"/>
      <c r="AA1214" s="87"/>
      <c r="AB1214" s="87"/>
      <c r="AC1214" s="87"/>
      <c r="AD1214" s="87"/>
      <c r="AE1214" s="87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7"/>
      <c r="C1215" s="87"/>
      <c r="D1215" s="87"/>
      <c r="E1215" s="87"/>
      <c r="F1215" s="87"/>
      <c r="G1215" s="87"/>
      <c r="H1215" s="62"/>
      <c r="I1215" s="62"/>
      <c r="J1215" s="62"/>
      <c r="K1215" s="62"/>
      <c r="L1215" s="62"/>
      <c r="M1215" s="62"/>
      <c r="N1215" s="87"/>
      <c r="O1215" s="87"/>
      <c r="P1215" s="87"/>
      <c r="Q1215" s="87"/>
      <c r="R1215" s="87"/>
      <c r="S1215" s="87"/>
      <c r="T1215" s="62"/>
      <c r="U1215" s="62"/>
      <c r="V1215" s="62"/>
      <c r="W1215" s="62"/>
      <c r="X1215" s="62"/>
      <c r="Y1215" s="62"/>
      <c r="Z1215" s="87"/>
      <c r="AA1215" s="87"/>
      <c r="AB1215" s="87"/>
      <c r="AC1215" s="87"/>
      <c r="AD1215" s="87"/>
      <c r="AE1215" s="87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7"/>
      <c r="C1216" s="87"/>
      <c r="D1216" s="87"/>
      <c r="E1216" s="87"/>
      <c r="F1216" s="87"/>
      <c r="G1216" s="87"/>
      <c r="H1216" s="62"/>
      <c r="I1216" s="62"/>
      <c r="J1216" s="62"/>
      <c r="K1216" s="62"/>
      <c r="L1216" s="62"/>
      <c r="M1216" s="63"/>
      <c r="N1216" s="87"/>
      <c r="O1216" s="87"/>
      <c r="P1216" s="87"/>
      <c r="Q1216" s="87"/>
      <c r="R1216" s="87"/>
      <c r="S1216" s="87"/>
      <c r="T1216" s="62"/>
      <c r="U1216" s="62"/>
      <c r="V1216" s="62"/>
      <c r="W1216" s="62"/>
      <c r="X1216" s="62"/>
      <c r="Y1216" s="63"/>
      <c r="Z1216" s="87"/>
      <c r="AA1216" s="87"/>
      <c r="AB1216" s="87"/>
      <c r="AC1216" s="87"/>
      <c r="AD1216" s="87"/>
      <c r="AE1216" s="87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7"/>
      <c r="C1217" s="87"/>
      <c r="D1217" s="87"/>
      <c r="E1217" s="87"/>
      <c r="F1217" s="87"/>
      <c r="G1217" s="87"/>
      <c r="H1217" s="62"/>
      <c r="I1217" s="62"/>
      <c r="J1217" s="62"/>
      <c r="K1217" s="62"/>
      <c r="L1217" s="62"/>
      <c r="M1217" s="62"/>
      <c r="N1217" s="87"/>
      <c r="O1217" s="87"/>
      <c r="P1217" s="87"/>
      <c r="Q1217" s="87"/>
      <c r="R1217" s="87"/>
      <c r="S1217" s="87"/>
      <c r="T1217" s="62"/>
      <c r="U1217" s="62"/>
      <c r="V1217" s="62"/>
      <c r="W1217" s="62"/>
      <c r="X1217" s="62"/>
      <c r="Y1217" s="62"/>
      <c r="Z1217" s="87"/>
      <c r="AA1217" s="87"/>
      <c r="AB1217" s="87"/>
      <c r="AC1217" s="87"/>
      <c r="AD1217" s="87"/>
      <c r="AE1217" s="87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7"/>
      <c r="C1218" s="87"/>
      <c r="D1218" s="87"/>
      <c r="E1218" s="87"/>
      <c r="F1218" s="87"/>
      <c r="G1218" s="87"/>
      <c r="H1218" s="62"/>
      <c r="I1218" s="87"/>
      <c r="J1218" s="74"/>
      <c r="K1218" s="62"/>
      <c r="L1218" s="62"/>
      <c r="M1218" s="62"/>
      <c r="N1218" s="87"/>
      <c r="O1218" s="87"/>
      <c r="P1218" s="87"/>
      <c r="Q1218" s="87"/>
      <c r="R1218" s="87"/>
      <c r="S1218" s="87"/>
      <c r="T1218" s="62"/>
      <c r="U1218" s="87"/>
      <c r="V1218" s="74"/>
      <c r="W1218" s="62"/>
      <c r="X1218" s="62"/>
      <c r="Y1218" s="62"/>
      <c r="Z1218" s="87"/>
      <c r="AA1218" s="87"/>
      <c r="AB1218" s="87"/>
      <c r="AC1218" s="87"/>
      <c r="AD1218" s="87"/>
      <c r="AE1218" s="87"/>
      <c r="AF1218" s="62"/>
      <c r="AG1218" s="87"/>
      <c r="AH1218" s="87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7"/>
      <c r="C1219" s="87"/>
      <c r="D1219" s="87"/>
      <c r="E1219" s="87"/>
      <c r="F1219" s="87"/>
      <c r="G1219" s="87"/>
      <c r="H1219" s="62"/>
      <c r="I1219" s="65"/>
      <c r="J1219" s="65"/>
      <c r="K1219" s="62"/>
      <c r="L1219" s="62"/>
      <c r="M1219" s="64"/>
      <c r="N1219" s="87"/>
      <c r="O1219" s="87"/>
      <c r="P1219" s="87"/>
      <c r="Q1219" s="87"/>
      <c r="R1219" s="87"/>
      <c r="S1219" s="87"/>
      <c r="T1219" s="62"/>
      <c r="U1219" s="65"/>
      <c r="V1219" s="65"/>
      <c r="W1219" s="62"/>
      <c r="X1219" s="62"/>
      <c r="Y1219" s="64"/>
      <c r="Z1219" s="87"/>
      <c r="AA1219" s="87"/>
      <c r="AB1219" s="87"/>
      <c r="AC1219" s="87"/>
      <c r="AD1219" s="87"/>
      <c r="AE1219" s="87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7"/>
      <c r="C1220" s="87"/>
      <c r="D1220" s="87"/>
      <c r="E1220" s="87"/>
      <c r="F1220" s="87"/>
      <c r="G1220" s="87"/>
      <c r="H1220" s="62"/>
      <c r="I1220" s="62"/>
      <c r="J1220" s="62"/>
      <c r="K1220" s="62"/>
      <c r="L1220" s="62"/>
      <c r="M1220" s="62"/>
      <c r="N1220" s="87"/>
      <c r="O1220" s="87"/>
      <c r="P1220" s="87"/>
      <c r="Q1220" s="87"/>
      <c r="R1220" s="87"/>
      <c r="S1220" s="87"/>
      <c r="T1220" s="62"/>
      <c r="U1220" s="62"/>
      <c r="V1220" s="62"/>
      <c r="W1220" s="62"/>
      <c r="X1220" s="62"/>
      <c r="Y1220" s="62"/>
      <c r="Z1220" s="87"/>
      <c r="AA1220" s="87"/>
      <c r="AB1220" s="87"/>
      <c r="AC1220" s="87"/>
      <c r="AD1220" s="87"/>
      <c r="AE1220" s="87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7"/>
      <c r="D1221" s="114"/>
      <c r="E1221" s="114"/>
      <c r="F1221" s="87"/>
      <c r="G1221" s="87"/>
      <c r="H1221" s="62"/>
      <c r="I1221" s="114"/>
      <c r="J1221" s="114"/>
      <c r="K1221" s="113"/>
      <c r="L1221" s="62"/>
      <c r="M1221" s="62"/>
      <c r="N1221" s="65"/>
      <c r="O1221" s="87"/>
      <c r="P1221" s="114"/>
      <c r="Q1221" s="114"/>
      <c r="R1221" s="87"/>
      <c r="S1221" s="87"/>
      <c r="T1221" s="62"/>
      <c r="U1221" s="114"/>
      <c r="V1221" s="114"/>
      <c r="W1221" s="113"/>
      <c r="X1221" s="62"/>
      <c r="Y1221" s="62"/>
      <c r="Z1221" s="65"/>
      <c r="AA1221" s="87"/>
      <c r="AB1221" s="114"/>
      <c r="AC1221" s="114"/>
      <c r="AD1221" s="87"/>
      <c r="AE1221" s="87"/>
      <c r="AF1221" s="62"/>
      <c r="AG1221" s="114"/>
      <c r="AH1221" s="114"/>
      <c r="AI1221" s="113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7"/>
      <c r="C1222" s="87"/>
      <c r="D1222" s="81"/>
      <c r="E1222" s="82"/>
      <c r="F1222" s="83"/>
      <c r="G1222" s="83"/>
      <c r="H1222" s="62"/>
      <c r="I1222" s="86"/>
      <c r="J1222" s="86"/>
      <c r="K1222" s="113"/>
      <c r="L1222" s="62"/>
      <c r="M1222" s="62"/>
      <c r="N1222" s="87"/>
      <c r="O1222" s="87"/>
      <c r="P1222" s="81"/>
      <c r="Q1222" s="83"/>
      <c r="R1222" s="83"/>
      <c r="S1222" s="83"/>
      <c r="T1222" s="62"/>
      <c r="U1222" s="86"/>
      <c r="V1222" s="86"/>
      <c r="W1222" s="113"/>
      <c r="X1222" s="62"/>
      <c r="Y1222" s="62"/>
      <c r="Z1222" s="87"/>
      <c r="AA1222" s="87"/>
      <c r="AB1222" s="81"/>
      <c r="AC1222" s="82"/>
      <c r="AD1222" s="83"/>
      <c r="AE1222" s="83"/>
      <c r="AF1222" s="62"/>
      <c r="AG1222" s="86"/>
      <c r="AH1222" s="86"/>
      <c r="AI1222" s="113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7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7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7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7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7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7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7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7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7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7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7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7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7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7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7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7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7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7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7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7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7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7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7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7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7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7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7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7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7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7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7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7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7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7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7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7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7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7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7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7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7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7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7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7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7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7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7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7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7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7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7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7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7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7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7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7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7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7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7"/>
      <c r="P1243" s="67"/>
      <c r="Q1243" s="87"/>
      <c r="R1243" s="87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7"/>
      <c r="P1244" s="68"/>
      <c r="Q1244" s="87"/>
      <c r="R1244" s="87"/>
      <c r="S1244" s="60"/>
      <c r="T1244" s="62"/>
      <c r="U1244" s="62"/>
      <c r="V1244" s="62"/>
      <c r="W1244" s="61"/>
      <c r="X1244" s="62"/>
      <c r="Y1244" s="62"/>
      <c r="Z1244" s="66"/>
      <c r="AA1244" s="87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7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7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7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7"/>
      <c r="P1246" s="69"/>
      <c r="Q1246" s="87"/>
      <c r="R1246" s="87"/>
      <c r="S1246" s="60"/>
      <c r="T1246" s="62"/>
      <c r="U1246" s="62"/>
      <c r="V1246" s="62"/>
      <c r="W1246" s="61"/>
      <c r="X1246" s="62"/>
      <c r="Y1246" s="62"/>
      <c r="Z1246" s="66"/>
      <c r="AA1246" s="87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7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7"/>
      <c r="P1247" s="69"/>
      <c r="Q1247" s="87"/>
      <c r="R1247" s="87"/>
      <c r="S1247" s="60"/>
      <c r="T1247" s="62"/>
      <c r="U1247" s="62"/>
      <c r="V1247" s="62"/>
      <c r="W1247" s="61"/>
      <c r="X1247" s="62"/>
      <c r="Y1247" s="62"/>
      <c r="Z1247" s="66"/>
      <c r="AA1247" s="87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7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7"/>
      <c r="P1248" s="69"/>
      <c r="Q1248" s="87"/>
      <c r="R1248" s="87"/>
      <c r="S1248" s="60"/>
      <c r="T1248" s="62"/>
      <c r="U1248" s="62"/>
      <c r="V1248" s="62"/>
      <c r="W1248" s="61"/>
      <c r="X1248" s="62"/>
      <c r="Y1248" s="62"/>
      <c r="Z1248" s="66"/>
      <c r="AA1248" s="87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7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7"/>
      <c r="P1249" s="69"/>
      <c r="Q1249" s="87"/>
      <c r="R1249" s="87"/>
      <c r="S1249" s="60"/>
      <c r="T1249" s="62"/>
      <c r="U1249" s="62"/>
      <c r="V1249" s="62"/>
      <c r="W1249" s="61"/>
      <c r="X1249" s="62"/>
      <c r="Y1249" s="62"/>
      <c r="Z1249" s="66"/>
      <c r="AA1249" s="87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7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7"/>
      <c r="P1250" s="69"/>
      <c r="Q1250" s="87"/>
      <c r="R1250" s="87"/>
      <c r="S1250" s="60"/>
      <c r="T1250" s="62"/>
      <c r="U1250" s="62"/>
      <c r="V1250" s="62"/>
      <c r="W1250" s="61"/>
      <c r="X1250" s="62"/>
      <c r="Y1250" s="62"/>
      <c r="Z1250" s="66"/>
      <c r="AA1250" s="87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7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7"/>
      <c r="P1251" s="69"/>
      <c r="Q1251" s="87"/>
      <c r="R1251" s="87"/>
      <c r="S1251" s="60"/>
      <c r="T1251" s="62"/>
      <c r="U1251" s="62"/>
      <c r="V1251" s="62"/>
      <c r="W1251" s="61"/>
      <c r="X1251" s="62"/>
      <c r="Y1251" s="62"/>
      <c r="Z1251" s="66"/>
      <c r="AA1251" s="87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7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7"/>
      <c r="P1252" s="69"/>
      <c r="Q1252" s="87"/>
      <c r="R1252" s="87"/>
      <c r="S1252" s="60"/>
      <c r="T1252" s="62"/>
      <c r="U1252" s="62"/>
      <c r="V1252" s="62"/>
      <c r="W1252" s="61"/>
      <c r="X1252" s="62"/>
      <c r="Y1252" s="62"/>
      <c r="Z1252" s="66"/>
      <c r="AA1252" s="87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7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7"/>
      <c r="R1253" s="87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7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7"/>
      <c r="P1254" s="69"/>
      <c r="Q1254" s="87"/>
      <c r="R1254" s="87"/>
      <c r="S1254" s="60"/>
      <c r="T1254" s="62"/>
      <c r="U1254" s="62"/>
      <c r="V1254" s="62"/>
      <c r="W1254" s="61"/>
      <c r="X1254" s="62"/>
      <c r="Y1254" s="62"/>
      <c r="Z1254" s="66"/>
      <c r="AA1254" s="87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7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7"/>
      <c r="P1255" s="69"/>
      <c r="Q1255" s="87"/>
      <c r="R1255" s="87"/>
      <c r="S1255" s="60"/>
      <c r="T1255" s="62"/>
      <c r="U1255" s="62"/>
      <c r="V1255" s="62"/>
      <c r="W1255" s="61"/>
      <c r="X1255" s="62"/>
      <c r="Y1255" s="62"/>
      <c r="Z1255" s="66"/>
      <c r="AA1255" s="87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7"/>
      <c r="P1256" s="69"/>
      <c r="Q1256" s="87"/>
      <c r="R1256" s="87"/>
      <c r="S1256" s="60"/>
      <c r="T1256" s="62"/>
      <c r="U1256" s="62"/>
      <c r="V1256" s="62"/>
      <c r="W1256" s="61"/>
      <c r="X1256" s="62"/>
      <c r="Y1256" s="62"/>
      <c r="Z1256" s="66"/>
      <c r="AA1256" s="87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7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7"/>
      <c r="P1257" s="69"/>
      <c r="Q1257" s="87"/>
      <c r="R1257" s="87"/>
      <c r="S1257" s="60"/>
      <c r="T1257" s="62"/>
      <c r="U1257" s="62"/>
      <c r="V1257" s="62"/>
      <c r="W1257" s="61"/>
      <c r="X1257" s="62"/>
      <c r="Y1257" s="62"/>
      <c r="Z1257" s="66"/>
      <c r="AA1257" s="87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7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7"/>
      <c r="P1258" s="69"/>
      <c r="Q1258" s="87"/>
      <c r="R1258" s="87"/>
      <c r="S1258" s="60"/>
      <c r="T1258" s="62"/>
      <c r="U1258" s="62"/>
      <c r="V1258" s="62"/>
      <c r="W1258" s="61"/>
      <c r="X1258" s="62"/>
      <c r="Y1258" s="62"/>
      <c r="Z1258" s="66"/>
      <c r="AA1258" s="87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4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4"/>
      <c r="P1259" s="69"/>
      <c r="Q1259" s="84"/>
      <c r="R1259" s="84"/>
      <c r="S1259" s="60"/>
      <c r="T1259" s="62"/>
      <c r="U1259" s="62"/>
      <c r="V1259" s="62"/>
      <c r="W1259" s="61"/>
      <c r="X1259" s="62"/>
      <c r="Y1259" s="62"/>
      <c r="Z1259" s="66"/>
      <c r="AA1259" s="84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4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4"/>
      <c r="P1260" s="69"/>
      <c r="Q1260" s="84"/>
      <c r="R1260" s="84"/>
      <c r="S1260" s="60"/>
      <c r="T1260" s="62"/>
      <c r="U1260" s="62"/>
      <c r="V1260" s="62"/>
      <c r="W1260" s="61"/>
      <c r="X1260" s="62"/>
      <c r="Y1260" s="62"/>
      <c r="Z1260" s="66"/>
      <c r="AA1260" s="84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4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4"/>
      <c r="P1261" s="69"/>
      <c r="Q1261" s="84"/>
      <c r="R1261" s="84"/>
      <c r="S1261" s="60"/>
      <c r="T1261" s="62"/>
      <c r="U1261" s="62"/>
      <c r="V1261" s="62"/>
      <c r="W1261" s="61"/>
      <c r="X1261" s="62"/>
      <c r="Y1261" s="62"/>
      <c r="Z1261" s="66"/>
      <c r="AA1261" s="84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4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4"/>
      <c r="P1262" s="69"/>
      <c r="Q1262" s="84"/>
      <c r="R1262" s="84"/>
      <c r="S1262" s="60"/>
      <c r="T1262" s="62"/>
      <c r="U1262" s="62"/>
      <c r="V1262" s="62"/>
      <c r="W1262" s="61"/>
      <c r="X1262" s="62"/>
      <c r="Y1262" s="62"/>
      <c r="Z1262" s="66"/>
      <c r="AA1262" s="84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4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4"/>
      <c r="P1263" s="69"/>
      <c r="Q1263" s="84"/>
      <c r="R1263" s="84"/>
      <c r="S1263" s="60"/>
      <c r="T1263" s="62"/>
      <c r="U1263" s="62"/>
      <c r="V1263" s="62"/>
      <c r="W1263" s="61"/>
      <c r="X1263" s="62"/>
      <c r="Y1263" s="62"/>
      <c r="Z1263" s="66"/>
      <c r="AA1263" s="84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4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4"/>
      <c r="P1264" s="69"/>
      <c r="Q1264" s="84"/>
      <c r="R1264" s="84"/>
      <c r="S1264" s="60"/>
      <c r="T1264" s="62"/>
      <c r="U1264" s="62"/>
      <c r="V1264" s="62"/>
      <c r="W1264" s="61"/>
      <c r="X1264" s="62"/>
      <c r="Y1264" s="62"/>
      <c r="Z1264" s="66"/>
      <c r="AA1264" s="84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4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4"/>
      <c r="P1265" s="69"/>
      <c r="Q1265" s="84"/>
      <c r="R1265" s="84"/>
      <c r="S1265" s="60"/>
      <c r="T1265" s="62"/>
      <c r="U1265" s="62"/>
      <c r="V1265" s="62"/>
      <c r="W1265" s="61"/>
      <c r="X1265" s="62"/>
      <c r="Y1265" s="62"/>
      <c r="Z1265" s="66"/>
      <c r="AA1265" s="84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4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4"/>
      <c r="P1266" s="69"/>
      <c r="Q1266" s="84"/>
      <c r="R1266" s="84"/>
      <c r="S1266" s="60"/>
      <c r="T1266" s="62"/>
      <c r="U1266" s="62"/>
      <c r="V1266" s="62"/>
      <c r="W1266" s="61"/>
      <c r="X1266" s="62"/>
      <c r="Y1266" s="62"/>
      <c r="Z1266" s="66"/>
      <c r="AA1266" s="84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4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4"/>
      <c r="P1267" s="69"/>
      <c r="Q1267" s="84"/>
      <c r="R1267" s="84"/>
      <c r="S1267" s="60"/>
      <c r="T1267" s="62"/>
      <c r="U1267" s="62"/>
      <c r="V1267" s="62"/>
      <c r="W1267" s="61"/>
      <c r="X1267" s="62"/>
      <c r="Y1267" s="62"/>
      <c r="Z1267" s="66"/>
      <c r="AA1267" s="84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4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4"/>
      <c r="P1268" s="69"/>
      <c r="Q1268" s="84"/>
      <c r="R1268" s="84"/>
      <c r="S1268" s="60"/>
      <c r="T1268" s="62"/>
      <c r="U1268" s="62"/>
      <c r="V1268" s="62"/>
      <c r="W1268" s="61"/>
      <c r="X1268" s="62"/>
      <c r="Y1268" s="62"/>
      <c r="Z1268" s="66"/>
      <c r="AA1268" s="84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4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4"/>
      <c r="P1269" s="69"/>
      <c r="Q1269" s="84"/>
      <c r="R1269" s="84"/>
      <c r="S1269" s="60"/>
      <c r="T1269" s="62"/>
      <c r="U1269" s="62"/>
      <c r="V1269" s="62"/>
      <c r="W1269" s="61"/>
      <c r="X1269" s="62"/>
      <c r="Y1269" s="62"/>
      <c r="Z1269" s="66"/>
      <c r="AA1269" s="84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4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4"/>
      <c r="R1270" s="84"/>
      <c r="S1270" s="60"/>
      <c r="T1270" s="62"/>
      <c r="U1270" s="62"/>
      <c r="V1270" s="62"/>
      <c r="W1270" s="61"/>
      <c r="X1270" s="62"/>
      <c r="Y1270" s="62"/>
      <c r="Z1270" s="66"/>
      <c r="AA1270" s="84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4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4"/>
      <c r="P1271" s="69"/>
      <c r="Q1271" s="84"/>
      <c r="R1271" s="84"/>
      <c r="S1271" s="60"/>
      <c r="T1271" s="62"/>
      <c r="U1271" s="62"/>
      <c r="V1271" s="62"/>
      <c r="W1271" s="61"/>
      <c r="X1271" s="62"/>
      <c r="Y1271" s="62"/>
      <c r="Z1271" s="66"/>
      <c r="AA1271" s="84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4"/>
      <c r="O1272" s="84"/>
      <c r="P1272" s="84"/>
      <c r="Q1272" s="84"/>
      <c r="R1272" s="84"/>
      <c r="S1272" s="84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4"/>
      <c r="C1273" s="84"/>
      <c r="D1273" s="84"/>
      <c r="E1273" s="84"/>
      <c r="F1273" s="84"/>
      <c r="G1273" s="84"/>
      <c r="H1273" s="62"/>
      <c r="I1273" s="62"/>
      <c r="J1273" s="62"/>
      <c r="K1273" s="62"/>
      <c r="L1273" s="62"/>
      <c r="M1273" s="62"/>
      <c r="N1273" s="84"/>
      <c r="O1273" s="84"/>
      <c r="P1273" s="84"/>
      <c r="Q1273" s="84"/>
      <c r="R1273" s="84"/>
      <c r="S1273" s="84"/>
      <c r="T1273" s="62"/>
      <c r="U1273" s="62"/>
      <c r="V1273" s="62"/>
      <c r="W1273" s="62"/>
      <c r="X1273" s="62"/>
      <c r="Y1273" s="62"/>
      <c r="Z1273" s="84"/>
      <c r="AA1273" s="84"/>
      <c r="AB1273" s="84"/>
      <c r="AC1273" s="84"/>
      <c r="AD1273" s="84"/>
      <c r="AE1273" s="84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4"/>
      <c r="C1274" s="84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4"/>
      <c r="O1274" s="84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4"/>
      <c r="AA1274" s="84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4"/>
      <c r="C1276" s="84"/>
      <c r="D1276" s="84"/>
      <c r="E1276" s="84"/>
      <c r="F1276" s="84"/>
      <c r="G1276" s="84"/>
      <c r="H1276" s="62"/>
      <c r="I1276" s="62"/>
      <c r="J1276" s="62"/>
      <c r="K1276" s="62"/>
      <c r="L1276" s="62"/>
      <c r="M1276" s="62"/>
      <c r="N1276" s="84"/>
      <c r="O1276" s="84"/>
      <c r="P1276" s="84"/>
      <c r="Q1276" s="84"/>
      <c r="R1276" s="84"/>
      <c r="S1276" s="84"/>
      <c r="T1276" s="62"/>
      <c r="U1276" s="62"/>
      <c r="V1276" s="62"/>
      <c r="W1276" s="62"/>
      <c r="X1276" s="62"/>
      <c r="Y1276" s="62"/>
      <c r="Z1276" s="84"/>
      <c r="AA1276" s="84"/>
      <c r="AB1276" s="84"/>
      <c r="AC1276" s="84"/>
      <c r="AD1276" s="84"/>
      <c r="AE1276" s="84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4"/>
      <c r="C1277" s="84"/>
      <c r="D1277" s="84"/>
      <c r="E1277" s="84"/>
      <c r="F1277" s="84"/>
      <c r="G1277" s="84"/>
      <c r="H1277" s="62"/>
      <c r="I1277" s="62"/>
      <c r="J1277" s="62"/>
      <c r="K1277" s="62"/>
      <c r="L1277" s="62"/>
      <c r="M1277" s="62"/>
      <c r="N1277" s="84"/>
      <c r="O1277" s="84"/>
      <c r="P1277" s="84"/>
      <c r="Q1277" s="84"/>
      <c r="R1277" s="84"/>
      <c r="S1277" s="84"/>
      <c r="T1277" s="62"/>
      <c r="U1277" s="62"/>
      <c r="V1277" s="62"/>
      <c r="W1277" s="62"/>
      <c r="X1277" s="62"/>
      <c r="Y1277" s="62"/>
      <c r="Z1277" s="84"/>
      <c r="AA1277" s="84"/>
      <c r="AB1277" s="84"/>
      <c r="AC1277" s="84"/>
      <c r="AD1277" s="84"/>
      <c r="AE1277" s="84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4"/>
      <c r="C1278" s="84"/>
      <c r="D1278" s="84"/>
      <c r="E1278" s="84"/>
      <c r="F1278" s="84"/>
      <c r="G1278" s="84"/>
      <c r="H1278" s="62"/>
      <c r="I1278" s="62"/>
      <c r="J1278" s="62"/>
      <c r="K1278" s="62"/>
      <c r="L1278" s="62"/>
      <c r="M1278" s="63"/>
      <c r="N1278" s="84"/>
      <c r="O1278" s="84"/>
      <c r="P1278" s="84"/>
      <c r="Q1278" s="84"/>
      <c r="R1278" s="84"/>
      <c r="S1278" s="84"/>
      <c r="T1278" s="62"/>
      <c r="U1278" s="62"/>
      <c r="V1278" s="62"/>
      <c r="W1278" s="62"/>
      <c r="X1278" s="62"/>
      <c r="Y1278" s="63"/>
      <c r="Z1278" s="84"/>
      <c r="AA1278" s="84"/>
      <c r="AB1278" s="84"/>
      <c r="AC1278" s="84"/>
      <c r="AD1278" s="84"/>
      <c r="AE1278" s="84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4"/>
      <c r="C1279" s="84"/>
      <c r="D1279" s="84"/>
      <c r="E1279" s="84"/>
      <c r="F1279" s="84"/>
      <c r="G1279" s="84"/>
      <c r="H1279" s="62"/>
      <c r="I1279" s="62"/>
      <c r="J1279" s="62"/>
      <c r="K1279" s="62"/>
      <c r="L1279" s="62"/>
      <c r="M1279" s="62"/>
      <c r="N1279" s="84"/>
      <c r="O1279" s="84"/>
      <c r="P1279" s="84"/>
      <c r="Q1279" s="84"/>
      <c r="R1279" s="84"/>
      <c r="S1279" s="84"/>
      <c r="T1279" s="62"/>
      <c r="U1279" s="62"/>
      <c r="V1279" s="62"/>
      <c r="W1279" s="62"/>
      <c r="X1279" s="62"/>
      <c r="Y1279" s="62"/>
      <c r="Z1279" s="84"/>
      <c r="AA1279" s="84"/>
      <c r="AB1279" s="84"/>
      <c r="AC1279" s="84"/>
      <c r="AD1279" s="84"/>
      <c r="AE1279" s="84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4"/>
      <c r="C1280" s="84"/>
      <c r="D1280" s="84"/>
      <c r="E1280" s="84"/>
      <c r="F1280" s="84"/>
      <c r="G1280" s="84"/>
      <c r="H1280" s="62"/>
      <c r="I1280" s="84"/>
      <c r="J1280" s="74"/>
      <c r="K1280" s="62"/>
      <c r="L1280" s="62"/>
      <c r="M1280" s="62"/>
      <c r="N1280" s="84"/>
      <c r="O1280" s="84"/>
      <c r="P1280" s="84"/>
      <c r="Q1280" s="84"/>
      <c r="R1280" s="84"/>
      <c r="S1280" s="84"/>
      <c r="T1280" s="62"/>
      <c r="U1280" s="84"/>
      <c r="V1280" s="74"/>
      <c r="W1280" s="62"/>
      <c r="X1280" s="62"/>
      <c r="Y1280" s="62"/>
      <c r="Z1280" s="84"/>
      <c r="AA1280" s="84"/>
      <c r="AB1280" s="84"/>
      <c r="AC1280" s="84"/>
      <c r="AD1280" s="84"/>
      <c r="AE1280" s="84"/>
      <c r="AF1280" s="62"/>
      <c r="AG1280" s="84"/>
      <c r="AH1280" s="84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4"/>
      <c r="C1281" s="84"/>
      <c r="D1281" s="84"/>
      <c r="E1281" s="84"/>
      <c r="F1281" s="84"/>
      <c r="G1281" s="84"/>
      <c r="H1281" s="62"/>
      <c r="I1281" s="65"/>
      <c r="J1281" s="65"/>
      <c r="K1281" s="62"/>
      <c r="L1281" s="62"/>
      <c r="M1281" s="64"/>
      <c r="N1281" s="84"/>
      <c r="O1281" s="84"/>
      <c r="P1281" s="84"/>
      <c r="Q1281" s="84"/>
      <c r="R1281" s="84"/>
      <c r="S1281" s="84"/>
      <c r="T1281" s="62"/>
      <c r="U1281" s="65"/>
      <c r="V1281" s="65"/>
      <c r="W1281" s="62"/>
      <c r="X1281" s="62"/>
      <c r="Y1281" s="64"/>
      <c r="Z1281" s="84"/>
      <c r="AA1281" s="84"/>
      <c r="AB1281" s="84"/>
      <c r="AC1281" s="84"/>
      <c r="AD1281" s="84"/>
      <c r="AE1281" s="84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4"/>
      <c r="C1282" s="84"/>
      <c r="D1282" s="84"/>
      <c r="E1282" s="84"/>
      <c r="F1282" s="84"/>
      <c r="G1282" s="84"/>
      <c r="H1282" s="62"/>
      <c r="I1282" s="62"/>
      <c r="J1282" s="62"/>
      <c r="K1282" s="62"/>
      <c r="L1282" s="62"/>
      <c r="M1282" s="62"/>
      <c r="N1282" s="84"/>
      <c r="O1282" s="84"/>
      <c r="P1282" s="84"/>
      <c r="Q1282" s="84"/>
      <c r="R1282" s="84"/>
      <c r="S1282" s="84"/>
      <c r="T1282" s="62"/>
      <c r="U1282" s="62"/>
      <c r="V1282" s="62"/>
      <c r="W1282" s="62"/>
      <c r="X1282" s="62"/>
      <c r="Y1282" s="62"/>
      <c r="Z1282" s="84"/>
      <c r="AA1282" s="84"/>
      <c r="AB1282" s="84"/>
      <c r="AC1282" s="84"/>
      <c r="AD1282" s="84"/>
      <c r="AE1282" s="84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4"/>
      <c r="D1283" s="114"/>
      <c r="E1283" s="114"/>
      <c r="F1283" s="84"/>
      <c r="G1283" s="84"/>
      <c r="H1283" s="62"/>
      <c r="I1283" s="114"/>
      <c r="J1283" s="114"/>
      <c r="K1283" s="113"/>
      <c r="L1283" s="62"/>
      <c r="M1283" s="62"/>
      <c r="N1283" s="65"/>
      <c r="O1283" s="84"/>
      <c r="P1283" s="114"/>
      <c r="Q1283" s="114"/>
      <c r="R1283" s="84"/>
      <c r="S1283" s="84"/>
      <c r="T1283" s="62"/>
      <c r="U1283" s="114"/>
      <c r="V1283" s="114"/>
      <c r="W1283" s="113"/>
      <c r="X1283" s="62"/>
      <c r="Y1283" s="62"/>
      <c r="Z1283" s="65"/>
      <c r="AA1283" s="84"/>
      <c r="AB1283" s="114"/>
      <c r="AC1283" s="114"/>
      <c r="AD1283" s="84"/>
      <c r="AE1283" s="84"/>
      <c r="AF1283" s="62"/>
      <c r="AG1283" s="114"/>
      <c r="AH1283" s="114"/>
      <c r="AI1283" s="113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4"/>
      <c r="C1284" s="84"/>
      <c r="D1284" s="84"/>
      <c r="E1284" s="85"/>
      <c r="F1284" s="85"/>
      <c r="G1284" s="85"/>
      <c r="H1284" s="62"/>
      <c r="I1284" s="85"/>
      <c r="J1284" s="85"/>
      <c r="K1284" s="113"/>
      <c r="L1284" s="62"/>
      <c r="M1284" s="62"/>
      <c r="N1284" s="84"/>
      <c r="O1284" s="84"/>
      <c r="P1284" s="84"/>
      <c r="Q1284" s="85"/>
      <c r="R1284" s="85"/>
      <c r="S1284" s="85"/>
      <c r="T1284" s="62"/>
      <c r="U1284" s="85"/>
      <c r="V1284" s="85"/>
      <c r="W1284" s="113"/>
      <c r="X1284" s="62"/>
      <c r="Y1284" s="62"/>
      <c r="Z1284" s="84"/>
      <c r="AA1284" s="84"/>
      <c r="AB1284" s="84"/>
      <c r="AC1284" s="85"/>
      <c r="AD1284" s="85"/>
      <c r="AE1284" s="85"/>
      <c r="AF1284" s="62"/>
      <c r="AG1284" s="85"/>
      <c r="AH1284" s="85"/>
      <c r="AI1284" s="113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4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4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4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4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4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4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4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4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4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4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4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4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4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4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4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4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4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4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4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4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4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4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4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4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4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4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4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4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4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4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4"/>
      <c r="D1295" s="84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4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4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4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4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4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4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4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4"/>
      <c r="D1298" s="60"/>
      <c r="E1298" s="84"/>
      <c r="F1298" s="84"/>
      <c r="G1298" s="60"/>
      <c r="H1298" s="61"/>
      <c r="I1298" s="61"/>
      <c r="J1298" s="62"/>
      <c r="K1298" s="61"/>
      <c r="L1298" s="62"/>
      <c r="M1298" s="62"/>
      <c r="N1298" s="66"/>
      <c r="O1298" s="84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4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4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4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4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4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4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4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4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4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4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4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4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4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4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4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4"/>
      <c r="D1304" s="84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4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4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4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4"/>
      <c r="P1305" s="67"/>
      <c r="Q1305" s="84"/>
      <c r="R1305" s="84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4"/>
      <c r="AD1305" s="84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4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4"/>
      <c r="P1306" s="68"/>
      <c r="Q1306" s="84"/>
      <c r="R1306" s="84"/>
      <c r="S1306" s="60"/>
      <c r="T1306" s="62"/>
      <c r="U1306" s="62"/>
      <c r="V1306" s="62"/>
      <c r="W1306" s="61"/>
      <c r="X1306" s="62"/>
      <c r="Y1306" s="62"/>
      <c r="Z1306" s="66"/>
      <c r="AA1306" s="84"/>
      <c r="AB1306" s="68"/>
      <c r="AC1306" s="84"/>
      <c r="AD1306" s="84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4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4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4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4"/>
      <c r="P1308" s="69"/>
      <c r="Q1308" s="84"/>
      <c r="R1308" s="84"/>
      <c r="S1308" s="60"/>
      <c r="T1308" s="62"/>
      <c r="U1308" s="62"/>
      <c r="V1308" s="62"/>
      <c r="W1308" s="61"/>
      <c r="X1308" s="62"/>
      <c r="Y1308" s="62"/>
      <c r="Z1308" s="66"/>
      <c r="AA1308" s="84"/>
      <c r="AB1308" s="69"/>
      <c r="AC1308" s="84"/>
      <c r="AD1308" s="84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4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4"/>
      <c r="P1309" s="69"/>
      <c r="Q1309" s="84"/>
      <c r="R1309" s="84"/>
      <c r="S1309" s="60"/>
      <c r="T1309" s="62"/>
      <c r="U1309" s="62"/>
      <c r="V1309" s="62"/>
      <c r="W1309" s="61"/>
      <c r="X1309" s="62"/>
      <c r="Y1309" s="62"/>
      <c r="Z1309" s="66"/>
      <c r="AA1309" s="84"/>
      <c r="AB1309" s="69"/>
      <c r="AC1309" s="84"/>
      <c r="AD1309" s="84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4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4"/>
      <c r="P1310" s="69"/>
      <c r="Q1310" s="84"/>
      <c r="R1310" s="84"/>
      <c r="S1310" s="60"/>
      <c r="T1310" s="62"/>
      <c r="U1310" s="62"/>
      <c r="V1310" s="62"/>
      <c r="W1310" s="61"/>
      <c r="X1310" s="62"/>
      <c r="Y1310" s="62"/>
      <c r="Z1310" s="66"/>
      <c r="AA1310" s="84"/>
      <c r="AB1310" s="69"/>
      <c r="AC1310" s="84"/>
      <c r="AD1310" s="84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4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4"/>
      <c r="P1311" s="69"/>
      <c r="Q1311" s="84"/>
      <c r="R1311" s="84"/>
      <c r="S1311" s="60"/>
      <c r="T1311" s="62"/>
      <c r="U1311" s="62"/>
      <c r="V1311" s="62"/>
      <c r="W1311" s="61"/>
      <c r="X1311" s="62"/>
      <c r="Y1311" s="62"/>
      <c r="Z1311" s="66"/>
      <c r="AA1311" s="84"/>
      <c r="AB1311" s="69"/>
      <c r="AC1311" s="84"/>
      <c r="AD1311" s="84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4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4"/>
      <c r="P1312" s="69"/>
      <c r="Q1312" s="84"/>
      <c r="R1312" s="84"/>
      <c r="S1312" s="60"/>
      <c r="T1312" s="62"/>
      <c r="U1312" s="62"/>
      <c r="V1312" s="62"/>
      <c r="W1312" s="61"/>
      <c r="X1312" s="62"/>
      <c r="Y1312" s="62"/>
      <c r="Z1312" s="66"/>
      <c r="AA1312" s="84"/>
      <c r="AB1312" s="69"/>
      <c r="AC1312" s="84"/>
      <c r="AD1312" s="84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4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4"/>
      <c r="P1313" s="69"/>
      <c r="Q1313" s="84"/>
      <c r="R1313" s="84"/>
      <c r="S1313" s="60"/>
      <c r="T1313" s="62"/>
      <c r="U1313" s="62"/>
      <c r="V1313" s="62"/>
      <c r="W1313" s="61"/>
      <c r="X1313" s="62"/>
      <c r="Y1313" s="62"/>
      <c r="Z1313" s="66"/>
      <c r="AA1313" s="84"/>
      <c r="AB1313" s="69"/>
      <c r="AC1313" s="84"/>
      <c r="AD1313" s="84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4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4"/>
      <c r="P1314" s="69"/>
      <c r="Q1314" s="84"/>
      <c r="R1314" s="84"/>
      <c r="S1314" s="60"/>
      <c r="T1314" s="62"/>
      <c r="U1314" s="62"/>
      <c r="V1314" s="62"/>
      <c r="W1314" s="61"/>
      <c r="X1314" s="62"/>
      <c r="Y1314" s="62"/>
      <c r="Z1314" s="66"/>
      <c r="AA1314" s="84"/>
      <c r="AB1314" s="69"/>
      <c r="AC1314" s="84"/>
      <c r="AD1314" s="84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4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4"/>
      <c r="P1315" s="69"/>
      <c r="Q1315" s="84"/>
      <c r="R1315" s="84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4"/>
      <c r="AD1315" s="84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4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4"/>
      <c r="P1316" s="69"/>
      <c r="Q1316" s="84"/>
      <c r="R1316" s="84"/>
      <c r="S1316" s="60"/>
      <c r="T1316" s="62"/>
      <c r="U1316" s="62"/>
      <c r="V1316" s="62"/>
      <c r="W1316" s="61"/>
      <c r="X1316" s="62"/>
      <c r="Y1316" s="62"/>
      <c r="Z1316" s="66"/>
      <c r="AA1316" s="84"/>
      <c r="AB1316" s="69"/>
      <c r="AC1316" s="84"/>
      <c r="AD1316" s="84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4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4"/>
      <c r="P1317" s="69"/>
      <c r="Q1317" s="84"/>
      <c r="R1317" s="84"/>
      <c r="S1317" s="60"/>
      <c r="T1317" s="62"/>
      <c r="U1317" s="62"/>
      <c r="V1317" s="62"/>
      <c r="W1317" s="61"/>
      <c r="X1317" s="62"/>
      <c r="Y1317" s="62"/>
      <c r="Z1317" s="66"/>
      <c r="AA1317" s="84"/>
      <c r="AB1317" s="69"/>
      <c r="AC1317" s="84"/>
      <c r="AD1317" s="84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4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4"/>
      <c r="P1318" s="69"/>
      <c r="Q1318" s="84"/>
      <c r="R1318" s="84"/>
      <c r="S1318" s="60"/>
      <c r="T1318" s="62"/>
      <c r="U1318" s="62"/>
      <c r="V1318" s="62"/>
      <c r="W1318" s="61"/>
      <c r="X1318" s="62"/>
      <c r="Y1318" s="62"/>
      <c r="Z1318" s="66"/>
      <c r="AA1318" s="84"/>
      <c r="AB1318" s="69"/>
      <c r="AC1318" s="84"/>
      <c r="AD1318" s="84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4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4"/>
      <c r="P1319" s="69"/>
      <c r="Q1319" s="84"/>
      <c r="R1319" s="84"/>
      <c r="S1319" s="60"/>
      <c r="T1319" s="62"/>
      <c r="U1319" s="62"/>
      <c r="V1319" s="62"/>
      <c r="W1319" s="61"/>
      <c r="X1319" s="62"/>
      <c r="Y1319" s="62"/>
      <c r="Z1319" s="66"/>
      <c r="AA1319" s="84"/>
      <c r="AB1319" s="69"/>
      <c r="AC1319" s="84"/>
      <c r="AD1319" s="84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4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4"/>
      <c r="P1320" s="69"/>
      <c r="Q1320" s="84"/>
      <c r="R1320" s="84"/>
      <c r="S1320" s="60"/>
      <c r="T1320" s="62"/>
      <c r="U1320" s="62"/>
      <c r="V1320" s="62"/>
      <c r="W1320" s="61"/>
      <c r="X1320" s="62"/>
      <c r="Y1320" s="62"/>
      <c r="Z1320" s="66"/>
      <c r="AA1320" s="84"/>
      <c r="AB1320" s="69"/>
      <c r="AC1320" s="84"/>
      <c r="AD1320" s="84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73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73"/>
      <c r="R1321" s="76"/>
      <c r="S1321" s="60"/>
      <c r="T1321" s="62"/>
      <c r="U1321" s="62"/>
      <c r="V1321" s="62"/>
      <c r="W1321" s="61"/>
      <c r="X1321" s="62"/>
      <c r="Y1321" s="62"/>
      <c r="Z1321" s="66"/>
      <c r="AA1321" s="73"/>
      <c r="AB1321" s="69"/>
      <c r="AC1321" s="73"/>
      <c r="AD1321" s="7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73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73"/>
      <c r="P1322" s="69"/>
      <c r="Q1322" s="73"/>
      <c r="R1322" s="76"/>
      <c r="S1322" s="60"/>
      <c r="T1322" s="62"/>
      <c r="U1322" s="62"/>
      <c r="V1322" s="62"/>
      <c r="W1322" s="61"/>
      <c r="X1322" s="62"/>
      <c r="Y1322" s="62"/>
      <c r="Z1322" s="66"/>
      <c r="AA1322" s="73"/>
      <c r="AB1322" s="69"/>
      <c r="AC1322" s="73"/>
      <c r="AD1322" s="76"/>
      <c r="AE1322" s="60"/>
      <c r="AF1322" s="62"/>
      <c r="AG1322" s="62"/>
      <c r="AH1322" s="62"/>
      <c r="AI1322" s="61"/>
      <c r="AJ1322" s="62"/>
    </row>
    <row r="1323" spans="1:52" x14ac:dyDescent="0.25">
      <c r="A1323" s="62"/>
      <c r="B1323" s="66"/>
      <c r="C1323" s="73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73"/>
      <c r="P1323" s="69"/>
      <c r="Q1323" s="73"/>
      <c r="R1323" s="76"/>
      <c r="S1323" s="60"/>
      <c r="T1323" s="62"/>
      <c r="U1323" s="62"/>
      <c r="V1323" s="62"/>
      <c r="W1323" s="61"/>
      <c r="X1323" s="62"/>
      <c r="Y1323" s="62"/>
      <c r="Z1323" s="66"/>
      <c r="AA1323" s="73"/>
      <c r="AB1323" s="69"/>
      <c r="AC1323" s="73"/>
      <c r="AD1323" s="76"/>
      <c r="AE1323" s="60"/>
      <c r="AF1323" s="62"/>
      <c r="AG1323" s="62"/>
      <c r="AH1323" s="62"/>
      <c r="AI1323" s="61"/>
      <c r="AJ1323" s="62"/>
    </row>
    <row r="1324" spans="1:52" x14ac:dyDescent="0.25">
      <c r="A1324" s="62"/>
      <c r="B1324" s="66"/>
      <c r="C1324" s="73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73"/>
      <c r="R1324" s="7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73"/>
      <c r="AD1324" s="76"/>
      <c r="AE1324" s="60"/>
      <c r="AF1324" s="62"/>
      <c r="AG1324" s="62"/>
      <c r="AH1324" s="62"/>
      <c r="AI1324" s="61"/>
      <c r="AJ1324" s="62"/>
    </row>
    <row r="1325" spans="1:52" x14ac:dyDescent="0.25">
      <c r="A1325" s="62"/>
      <c r="B1325" s="66"/>
      <c r="C1325" s="73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73"/>
      <c r="P1325" s="69"/>
      <c r="Q1325" s="73"/>
      <c r="R1325" s="76"/>
      <c r="S1325" s="60"/>
      <c r="T1325" s="62"/>
      <c r="U1325" s="62"/>
      <c r="V1325" s="62"/>
      <c r="W1325" s="61"/>
      <c r="X1325" s="62"/>
      <c r="Y1325" s="62"/>
      <c r="Z1325" s="66"/>
      <c r="AA1325" s="73"/>
      <c r="AB1325" s="69"/>
      <c r="AC1325" s="73"/>
      <c r="AD1325" s="76"/>
      <c r="AE1325" s="60"/>
      <c r="AF1325" s="62"/>
      <c r="AG1325" s="62"/>
      <c r="AH1325" s="62"/>
      <c r="AI1325" s="61"/>
      <c r="AJ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73"/>
      <c r="O1326" s="73"/>
      <c r="P1326" s="73"/>
      <c r="Q1326" s="73"/>
      <c r="R1326" s="76"/>
      <c r="S1326" s="73"/>
      <c r="T1326" s="62"/>
      <c r="U1326" s="62"/>
      <c r="V1326" s="62"/>
      <c r="W1326" s="61"/>
      <c r="X1326" s="62"/>
      <c r="Y1326" s="62"/>
      <c r="Z1326" s="73"/>
      <c r="AA1326" s="73"/>
      <c r="AB1326" s="73"/>
      <c r="AC1326" s="73"/>
      <c r="AD1326" s="76"/>
      <c r="AE1326" s="73"/>
      <c r="AF1326" s="62"/>
      <c r="AG1326" s="62"/>
      <c r="AH1326" s="62"/>
      <c r="AI1326" s="61"/>
      <c r="AJ1326" s="62"/>
    </row>
    <row r="1327" spans="1:52" x14ac:dyDescent="0.25">
      <c r="A1327" s="62"/>
      <c r="B1327" s="73"/>
      <c r="C1327" s="73"/>
      <c r="D1327" s="73"/>
      <c r="E1327" s="73"/>
      <c r="F1327" s="76"/>
      <c r="G1327" s="73"/>
      <c r="H1327" s="62"/>
      <c r="I1327" s="62"/>
      <c r="J1327" s="62"/>
      <c r="K1327" s="62"/>
      <c r="L1327" s="62"/>
      <c r="M1327" s="62"/>
      <c r="N1327" s="73"/>
      <c r="O1327" s="73"/>
      <c r="P1327" s="73"/>
      <c r="Q1327" s="73"/>
      <c r="R1327" s="76"/>
      <c r="S1327" s="73"/>
      <c r="T1327" s="62"/>
      <c r="U1327" s="62"/>
      <c r="V1327" s="62"/>
      <c r="W1327" s="62"/>
      <c r="X1327" s="62"/>
      <c r="Y1327" s="62"/>
      <c r="Z1327" s="73"/>
      <c r="AA1327" s="73"/>
      <c r="AB1327" s="73"/>
      <c r="AC1327" s="73"/>
      <c r="AD1327" s="76"/>
      <c r="AE1327" s="73"/>
      <c r="AF1327" s="62"/>
      <c r="AG1327" s="62"/>
      <c r="AH1327" s="62"/>
      <c r="AI1327" s="62"/>
      <c r="AJ1327" s="62"/>
    </row>
    <row r="1328" spans="1:52" x14ac:dyDescent="0.25">
      <c r="A1328" s="62"/>
      <c r="B1328" s="73"/>
      <c r="C1328" s="73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73"/>
      <c r="O1328" s="73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73"/>
      <c r="AA1328" s="73"/>
      <c r="AB1328" s="70"/>
      <c r="AC1328" s="70"/>
      <c r="AD1328" s="70"/>
      <c r="AE1328" s="75"/>
      <c r="AF1328" s="63"/>
      <c r="AG1328" s="71"/>
      <c r="AH1328" s="71"/>
      <c r="AI1328" s="71"/>
      <c r="AJ1328" s="62"/>
    </row>
    <row r="1329" spans="1:36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DECEMBER</vt:lpstr>
      <vt:lpstr>DSIS | DECEMBER 2025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2025-12-17T01:10:10Z</dcterms:modified>
</cp:coreProperties>
</file>