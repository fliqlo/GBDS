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03F13198-9598-43AD-A2E0-16475E83B09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335" i="2" l="1"/>
  <c r="D1334" i="2"/>
  <c r="G1334" i="2" s="1"/>
  <c r="K1334" i="2" s="1"/>
  <c r="D1333" i="2"/>
  <c r="I1332" i="2"/>
  <c r="I1375" i="2" s="1"/>
  <c r="D1332" i="2"/>
  <c r="C1333" i="2"/>
  <c r="C1334" i="2" s="1"/>
  <c r="C1335" i="2" s="1"/>
  <c r="G1335" i="2"/>
  <c r="K1335" i="2" s="1"/>
  <c r="G1336" i="2"/>
  <c r="K1336" i="2"/>
  <c r="G1337" i="2"/>
  <c r="K1337" i="2" s="1"/>
  <c r="G1338" i="2"/>
  <c r="K1338" i="2"/>
  <c r="G1339" i="2"/>
  <c r="K1339" i="2" s="1"/>
  <c r="G1340" i="2"/>
  <c r="K1340" i="2"/>
  <c r="G1341" i="2"/>
  <c r="K1341" i="2" s="1"/>
  <c r="G1342" i="2"/>
  <c r="K1342" i="2" s="1"/>
  <c r="G1343" i="2"/>
  <c r="K1343" i="2" s="1"/>
  <c r="G1344" i="2"/>
  <c r="K1344" i="2" s="1"/>
  <c r="G1345" i="2"/>
  <c r="K1345" i="2" s="1"/>
  <c r="G1346" i="2"/>
  <c r="K1346" i="2"/>
  <c r="G1347" i="2"/>
  <c r="K1347" i="2" s="1"/>
  <c r="G1348" i="2"/>
  <c r="K1348" i="2"/>
  <c r="G1349" i="2"/>
  <c r="K1349" i="2"/>
  <c r="G1350" i="2"/>
  <c r="K1350" i="2" s="1"/>
  <c r="G1351" i="2"/>
  <c r="K1351" i="2" s="1"/>
  <c r="G1352" i="2"/>
  <c r="K1352" i="2"/>
  <c r="G1353" i="2"/>
  <c r="K1353" i="2" s="1"/>
  <c r="G1354" i="2"/>
  <c r="K1354" i="2"/>
  <c r="G1355" i="2"/>
  <c r="K1355" i="2" s="1"/>
  <c r="G1356" i="2"/>
  <c r="K1356" i="2"/>
  <c r="G1357" i="2"/>
  <c r="K1357" i="2"/>
  <c r="G1358" i="2"/>
  <c r="K1358" i="2" s="1"/>
  <c r="G1359" i="2"/>
  <c r="K1359" i="2" s="1"/>
  <c r="G1360" i="2"/>
  <c r="K1360" i="2"/>
  <c r="G1361" i="2"/>
  <c r="K1361" i="2"/>
  <c r="G1362" i="2"/>
  <c r="K1362" i="2"/>
  <c r="G1363" i="2"/>
  <c r="K1363" i="2" s="1"/>
  <c r="G1364" i="2"/>
  <c r="K1364" i="2"/>
  <c r="G1365" i="2"/>
  <c r="K1365" i="2"/>
  <c r="G1372" i="2"/>
  <c r="K1372" i="2" s="1"/>
  <c r="E1375" i="2"/>
  <c r="F1375" i="2"/>
  <c r="J1375" i="2"/>
  <c r="D1375" i="2" l="1"/>
  <c r="G1332" i="2"/>
  <c r="K1332" i="2" s="1"/>
  <c r="G1333" i="2"/>
  <c r="J39" i="1"/>
  <c r="AB1289" i="2"/>
  <c r="AB1288" i="2"/>
  <c r="AB1287" i="2"/>
  <c r="AB1286" i="2"/>
  <c r="AG1285" i="2"/>
  <c r="AB1285" i="2"/>
  <c r="AG1284" i="2"/>
  <c r="AB1284" i="2"/>
  <c r="AB1283" i="2"/>
  <c r="AB1282" i="2"/>
  <c r="AG1281" i="2"/>
  <c r="AB1281" i="2"/>
  <c r="AG1280" i="2"/>
  <c r="AB1280" i="2"/>
  <c r="AB1279" i="2"/>
  <c r="AB1278" i="2"/>
  <c r="AB1277" i="2"/>
  <c r="G1375" i="2" l="1"/>
  <c r="K1333" i="2"/>
  <c r="K1375" i="2" s="1"/>
  <c r="AE1277" i="2"/>
  <c r="AI1277" i="2"/>
  <c r="AA1278" i="2"/>
  <c r="AA1279" i="2" s="1"/>
  <c r="AA1280" i="2" s="1"/>
  <c r="AA1281" i="2" s="1"/>
  <c r="AA1282" i="2" s="1"/>
  <c r="AA1283" i="2" s="1"/>
  <c r="AA1284" i="2" s="1"/>
  <c r="AA1285" i="2" s="1"/>
  <c r="AA1286" i="2" s="1"/>
  <c r="AA1287" i="2" s="1"/>
  <c r="AA1288" i="2" s="1"/>
  <c r="AA1289" i="2" s="1"/>
  <c r="AE1278" i="2"/>
  <c r="AI1278" i="2"/>
  <c r="AE1279" i="2"/>
  <c r="AI1279" i="2" s="1"/>
  <c r="AE1280" i="2"/>
  <c r="AI1280" i="2" s="1"/>
  <c r="AE1281" i="2"/>
  <c r="AI1281" i="2"/>
  <c r="AE1282" i="2"/>
  <c r="AI1282" i="2" s="1"/>
  <c r="AE1283" i="2"/>
  <c r="AI1283" i="2"/>
  <c r="AE1284" i="2"/>
  <c r="AI1284" i="2" s="1"/>
  <c r="AE1285" i="2"/>
  <c r="AI1285" i="2" s="1"/>
  <c r="AE1286" i="2"/>
  <c r="AI1286" i="2" s="1"/>
  <c r="AE1287" i="2"/>
  <c r="AI1287" i="2" s="1"/>
  <c r="AE1288" i="2"/>
  <c r="AI1288" i="2" s="1"/>
  <c r="AE1289" i="2"/>
  <c r="AI1289" i="2" s="1"/>
  <c r="AE1290" i="2"/>
  <c r="AI1290" i="2" s="1"/>
  <c r="AE1291" i="2"/>
  <c r="AI1291" i="2"/>
  <c r="AE1292" i="2"/>
  <c r="AI1292" i="2" s="1"/>
  <c r="AE1293" i="2"/>
  <c r="AI1293" i="2" s="1"/>
  <c r="AE1294" i="2"/>
  <c r="AI1294" i="2" s="1"/>
  <c r="AE1295" i="2"/>
  <c r="AI1295" i="2"/>
  <c r="AE1296" i="2"/>
  <c r="AI1296" i="2"/>
  <c r="AE1297" i="2"/>
  <c r="AI1297" i="2"/>
  <c r="AE1298" i="2"/>
  <c r="AI1298" i="2"/>
  <c r="AE1299" i="2"/>
  <c r="AI1299" i="2"/>
  <c r="AE1300" i="2"/>
  <c r="AI1300" i="2" s="1"/>
  <c r="AE1301" i="2"/>
  <c r="AI1301" i="2"/>
  <c r="AE1302" i="2"/>
  <c r="AI1302" i="2" s="1"/>
  <c r="AE1303" i="2"/>
  <c r="AI1303" i="2"/>
  <c r="AE1304" i="2"/>
  <c r="AI1304" i="2"/>
  <c r="AE1305" i="2"/>
  <c r="AI1305" i="2"/>
  <c r="AE1306" i="2"/>
  <c r="AI1306" i="2"/>
  <c r="AE1307" i="2"/>
  <c r="AI1307" i="2"/>
  <c r="AE1308" i="2"/>
  <c r="AI1308" i="2" s="1"/>
  <c r="AE1309" i="2"/>
  <c r="AI1309" i="2"/>
  <c r="AE1310" i="2"/>
  <c r="AI1310" i="2" s="1"/>
  <c r="AE1311" i="2"/>
  <c r="AI1311" i="2"/>
  <c r="AE1312" i="2"/>
  <c r="AI1312" i="2"/>
  <c r="AE1313" i="2"/>
  <c r="AI1313" i="2"/>
  <c r="AE1314" i="2"/>
  <c r="AI1314" i="2"/>
  <c r="AE1315" i="2"/>
  <c r="AI1315" i="2"/>
  <c r="AI1316" i="2"/>
  <c r="AE1317" i="2"/>
  <c r="AI1317" i="2"/>
  <c r="AI1318" i="2"/>
  <c r="AB1320" i="2"/>
  <c r="AC1320" i="2"/>
  <c r="AD1320" i="2"/>
  <c r="AG1320" i="2"/>
  <c r="AH1320" i="2"/>
  <c r="P1313" i="2"/>
  <c r="S1313" i="2" s="1"/>
  <c r="W1313" i="2" s="1"/>
  <c r="P1312" i="2"/>
  <c r="P1311" i="2"/>
  <c r="S1311" i="2" s="1"/>
  <c r="P1310" i="2"/>
  <c r="P1309" i="2"/>
  <c r="P1308" i="2"/>
  <c r="W1307" i="2"/>
  <c r="P1307" i="2"/>
  <c r="S1307" i="2"/>
  <c r="P1306" i="2"/>
  <c r="S1306" i="2" s="1"/>
  <c r="W1306" i="2" s="1"/>
  <c r="P1305" i="2"/>
  <c r="S1305" i="2" s="1"/>
  <c r="W1305" i="2" s="1"/>
  <c r="P1304" i="2"/>
  <c r="S1304" i="2"/>
  <c r="W1304" i="2" s="1"/>
  <c r="P1303" i="2"/>
  <c r="S1303" i="2" s="1"/>
  <c r="W1303" i="2" s="1"/>
  <c r="P1302" i="2"/>
  <c r="S1302" i="2" s="1"/>
  <c r="W1302" i="2" s="1"/>
  <c r="P1301" i="2"/>
  <c r="P1300" i="2"/>
  <c r="P1299" i="2"/>
  <c r="U1298" i="2"/>
  <c r="P1298" i="2"/>
  <c r="U1297" i="2"/>
  <c r="P1297" i="2"/>
  <c r="P1296" i="2"/>
  <c r="P1295" i="2"/>
  <c r="S1295" i="2" s="1"/>
  <c r="W1295" i="2" s="1"/>
  <c r="P1294" i="2"/>
  <c r="P1293" i="2"/>
  <c r="P1292" i="2"/>
  <c r="U1291" i="2"/>
  <c r="P1291" i="2"/>
  <c r="S1291" i="2" s="1"/>
  <c r="P1290" i="2"/>
  <c r="S1290" i="2" s="1"/>
  <c r="W1290" i="2" s="1"/>
  <c r="U1289" i="2"/>
  <c r="P1289" i="2"/>
  <c r="P1288" i="2"/>
  <c r="S1288" i="2" s="1"/>
  <c r="W1288" i="2" s="1"/>
  <c r="U1287" i="2"/>
  <c r="P1287" i="2"/>
  <c r="P1286" i="2"/>
  <c r="P1285" i="2"/>
  <c r="S1285" i="2" s="1"/>
  <c r="W1285" i="2" s="1"/>
  <c r="P1284" i="2"/>
  <c r="P1283" i="2"/>
  <c r="U1282" i="2"/>
  <c r="P1282" i="2"/>
  <c r="S1282" i="2"/>
  <c r="P1281" i="2"/>
  <c r="S1281" i="2"/>
  <c r="W1281" i="2" s="1"/>
  <c r="P1280" i="2"/>
  <c r="P1279" i="2"/>
  <c r="S1279" i="2" s="1"/>
  <c r="W1279" i="2" s="1"/>
  <c r="P1278" i="2"/>
  <c r="P1277" i="2"/>
  <c r="S1277" i="2" s="1"/>
  <c r="W1277" i="2" s="1"/>
  <c r="O1278" i="2"/>
  <c r="O1279" i="2" s="1"/>
  <c r="O1280" i="2" s="1"/>
  <c r="O1281" i="2" s="1"/>
  <c r="O1282" i="2" s="1"/>
  <c r="O1283" i="2" s="1"/>
  <c r="O1284" i="2" s="1"/>
  <c r="O1285" i="2" s="1"/>
  <c r="O1286" i="2" s="1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O1302" i="2" s="1"/>
  <c r="O1303" i="2" s="1"/>
  <c r="O1304" i="2" s="1"/>
  <c r="O1305" i="2" s="1"/>
  <c r="O1306" i="2" s="1"/>
  <c r="O1307" i="2" s="1"/>
  <c r="O1308" i="2" s="1"/>
  <c r="O1309" i="2" s="1"/>
  <c r="O1310" i="2" s="1"/>
  <c r="O1311" i="2" s="1"/>
  <c r="O1312" i="2" s="1"/>
  <c r="O1313" i="2" s="1"/>
  <c r="S1278" i="2"/>
  <c r="W1278" i="2" s="1"/>
  <c r="S1280" i="2"/>
  <c r="W1280" i="2" s="1"/>
  <c r="S1283" i="2"/>
  <c r="W1283" i="2"/>
  <c r="S1284" i="2"/>
  <c r="W1284" i="2" s="1"/>
  <c r="S1286" i="2"/>
  <c r="W1286" i="2" s="1"/>
  <c r="S1287" i="2"/>
  <c r="W1287" i="2" s="1"/>
  <c r="S1289" i="2"/>
  <c r="W1289" i="2" s="1"/>
  <c r="S1292" i="2"/>
  <c r="W1292" i="2"/>
  <c r="S1293" i="2"/>
  <c r="W1293" i="2" s="1"/>
  <c r="S1294" i="2"/>
  <c r="W1294" i="2" s="1"/>
  <c r="S1296" i="2"/>
  <c r="W1296" i="2" s="1"/>
  <c r="S1297" i="2"/>
  <c r="S1298" i="2"/>
  <c r="W1298" i="2" s="1"/>
  <c r="S1299" i="2"/>
  <c r="W1299" i="2"/>
  <c r="S1300" i="2"/>
  <c r="W1300" i="2" s="1"/>
  <c r="S1301" i="2"/>
  <c r="W1301" i="2" s="1"/>
  <c r="S1308" i="2"/>
  <c r="W1308" i="2" s="1"/>
  <c r="S1309" i="2"/>
  <c r="W1309" i="2" s="1"/>
  <c r="S1310" i="2"/>
  <c r="W1310" i="2" s="1"/>
  <c r="S1312" i="2"/>
  <c r="W1312" i="2" s="1"/>
  <c r="S1314" i="2"/>
  <c r="W1314" i="2"/>
  <c r="S1315" i="2"/>
  <c r="W1315" i="2" s="1"/>
  <c r="W1316" i="2"/>
  <c r="S1317" i="2"/>
  <c r="W1317" i="2"/>
  <c r="W1318" i="2"/>
  <c r="Q1320" i="2"/>
  <c r="R1320" i="2"/>
  <c r="V1320" i="2"/>
  <c r="D1289" i="2"/>
  <c r="D1288" i="2"/>
  <c r="D1287" i="2"/>
  <c r="D1286" i="2"/>
  <c r="D1285" i="2"/>
  <c r="D1284" i="2"/>
  <c r="D1283" i="2"/>
  <c r="D1282" i="2"/>
  <c r="D1281" i="2"/>
  <c r="D1280" i="2"/>
  <c r="I1279" i="2"/>
  <c r="D1279" i="2"/>
  <c r="D1278" i="2"/>
  <c r="I1277" i="2"/>
  <c r="D1277" i="2"/>
  <c r="AE1320" i="2" l="1"/>
  <c r="AI1320" i="2"/>
  <c r="W1311" i="2"/>
  <c r="W1297" i="2"/>
  <c r="W1291" i="2"/>
  <c r="U1320" i="2"/>
  <c r="W1282" i="2"/>
  <c r="P1320" i="2"/>
  <c r="W1320" i="2"/>
  <c r="S1320" i="2"/>
  <c r="G1277" i="2"/>
  <c r="K1277" i="2" s="1"/>
  <c r="I1320" i="2"/>
  <c r="C1278" i="2"/>
  <c r="C1279" i="2" s="1"/>
  <c r="C1280" i="2" s="1"/>
  <c r="C1281" i="2" s="1"/>
  <c r="C1282" i="2" s="1"/>
  <c r="C1283" i="2" s="1"/>
  <c r="C1284" i="2" s="1"/>
  <c r="C1285" i="2" s="1"/>
  <c r="C1286" i="2" s="1"/>
  <c r="C1287" i="2" s="1"/>
  <c r="C1288" i="2" s="1"/>
  <c r="C1289" i="2" s="1"/>
  <c r="D1320" i="2"/>
  <c r="G1279" i="2"/>
  <c r="K1279" i="2" s="1"/>
  <c r="G1280" i="2"/>
  <c r="K1280" i="2" s="1"/>
  <c r="G1281" i="2"/>
  <c r="K1281" i="2" s="1"/>
  <c r="G1282" i="2"/>
  <c r="K1282" i="2" s="1"/>
  <c r="G1283" i="2"/>
  <c r="K1283" i="2"/>
  <c r="G1284" i="2"/>
  <c r="K1284" i="2"/>
  <c r="G1285" i="2"/>
  <c r="K1285" i="2"/>
  <c r="G1286" i="2"/>
  <c r="K1286" i="2"/>
  <c r="G1287" i="2"/>
  <c r="K1287" i="2"/>
  <c r="G1288" i="2"/>
  <c r="K1288" i="2"/>
  <c r="G1289" i="2"/>
  <c r="K1289" i="2" s="1"/>
  <c r="G1290" i="2"/>
  <c r="K1290" i="2"/>
  <c r="G1291" i="2"/>
  <c r="K1291" i="2"/>
  <c r="G1292" i="2"/>
  <c r="K1292" i="2"/>
  <c r="G1293" i="2"/>
  <c r="K1293" i="2"/>
  <c r="G1294" i="2"/>
  <c r="K1294" i="2" s="1"/>
  <c r="G1295" i="2"/>
  <c r="K1295" i="2"/>
  <c r="G1296" i="2"/>
  <c r="K1296" i="2"/>
  <c r="G1297" i="2"/>
  <c r="K1297" i="2" s="1"/>
  <c r="G1298" i="2"/>
  <c r="K1298" i="2"/>
  <c r="G1299" i="2"/>
  <c r="K1299" i="2"/>
  <c r="G1300" i="2"/>
  <c r="K1300" i="2"/>
  <c r="G1301" i="2"/>
  <c r="K1301" i="2"/>
  <c r="G1302" i="2"/>
  <c r="K1302" i="2"/>
  <c r="G1303" i="2"/>
  <c r="K1303" i="2"/>
  <c r="G1304" i="2"/>
  <c r="K1304" i="2"/>
  <c r="G1305" i="2"/>
  <c r="K1305" i="2" s="1"/>
  <c r="G1306" i="2"/>
  <c r="K1306" i="2"/>
  <c r="G1307" i="2"/>
  <c r="K1307" i="2"/>
  <c r="G1308" i="2"/>
  <c r="K1308" i="2"/>
  <c r="G1309" i="2"/>
  <c r="K1309" i="2"/>
  <c r="G1310" i="2"/>
  <c r="K1310" i="2"/>
  <c r="G1317" i="2"/>
  <c r="K1317" i="2"/>
  <c r="E1320" i="2"/>
  <c r="F1320" i="2"/>
  <c r="J1320" i="2"/>
  <c r="G1278" i="2" l="1"/>
  <c r="K1278" i="2" s="1"/>
  <c r="K1320" i="2" s="1"/>
  <c r="G1320" i="2"/>
  <c r="J40" i="1"/>
  <c r="J35" i="1"/>
  <c r="D35" i="1" s="1"/>
  <c r="AN1233" i="2"/>
  <c r="AQ1233" i="2" s="1"/>
  <c r="AU1233" i="2" s="1"/>
  <c r="AS1232" i="2"/>
  <c r="AN1232" i="2"/>
  <c r="AN1231" i="2"/>
  <c r="AN1230" i="2"/>
  <c r="AQ1230" i="2" s="1"/>
  <c r="AU1230" i="2" s="1"/>
  <c r="AN1229" i="2"/>
  <c r="AS1228" i="2"/>
  <c r="AN1228" i="2"/>
  <c r="AM1228" i="2"/>
  <c r="AM1229" i="2" s="1"/>
  <c r="AM1230" i="2" s="1"/>
  <c r="AM1231" i="2" s="1"/>
  <c r="AM1232" i="2" s="1"/>
  <c r="AM1233" i="2" s="1"/>
  <c r="AN1227" i="2"/>
  <c r="AQ1227" i="2" s="1"/>
  <c r="AU1227" i="2" s="1"/>
  <c r="AN1226" i="2"/>
  <c r="AN1225" i="2"/>
  <c r="AS1225" i="2"/>
  <c r="AS1224" i="2"/>
  <c r="AN1224" i="2"/>
  <c r="AQ1224" i="2" s="1"/>
  <c r="AU1224" i="2" s="1"/>
  <c r="AS1223" i="2"/>
  <c r="AN1223" i="2"/>
  <c r="AQ1223" i="2"/>
  <c r="AN1222" i="2"/>
  <c r="AM1223" i="2"/>
  <c r="AM1224" i="2" s="1"/>
  <c r="AM1225" i="2" s="1"/>
  <c r="AM1226" i="2" s="1"/>
  <c r="AM1227" i="2" s="1"/>
  <c r="AQ1225" i="2"/>
  <c r="AU1225" i="2" s="1"/>
  <c r="AQ1226" i="2"/>
  <c r="AU1226" i="2"/>
  <c r="AQ1228" i="2"/>
  <c r="AQ1229" i="2"/>
  <c r="AU1229" i="2" s="1"/>
  <c r="AQ1231" i="2"/>
  <c r="AU1231" i="2" s="1"/>
  <c r="AQ1232" i="2"/>
  <c r="AQ1234" i="2"/>
  <c r="AU1234" i="2" s="1"/>
  <c r="AQ1235" i="2"/>
  <c r="AU1235" i="2" s="1"/>
  <c r="AQ1236" i="2"/>
  <c r="AU1236" i="2"/>
  <c r="AQ1237" i="2"/>
  <c r="AU1237" i="2"/>
  <c r="AQ1238" i="2"/>
  <c r="AU1238" i="2"/>
  <c r="AQ1239" i="2"/>
  <c r="AU1239" i="2" s="1"/>
  <c r="AQ1240" i="2"/>
  <c r="AU1240" i="2"/>
  <c r="AQ1241" i="2"/>
  <c r="AU1241" i="2"/>
  <c r="AQ1242" i="2"/>
  <c r="AU1242" i="2" s="1"/>
  <c r="AQ1243" i="2"/>
  <c r="AU1243" i="2" s="1"/>
  <c r="AQ1244" i="2"/>
  <c r="AU1244" i="2"/>
  <c r="AQ1245" i="2"/>
  <c r="AU1245" i="2"/>
  <c r="AQ1246" i="2"/>
  <c r="AU1246" i="2"/>
  <c r="AQ1247" i="2"/>
  <c r="AU1247" i="2" s="1"/>
  <c r="AQ1248" i="2"/>
  <c r="AU1248" i="2"/>
  <c r="AQ1249" i="2"/>
  <c r="AU1249" i="2"/>
  <c r="AQ1250" i="2"/>
  <c r="AU1250" i="2" s="1"/>
  <c r="AQ1251" i="2"/>
  <c r="AU1251" i="2" s="1"/>
  <c r="AQ1252" i="2"/>
  <c r="AU1252" i="2"/>
  <c r="AQ1253" i="2"/>
  <c r="AU1253" i="2" s="1"/>
  <c r="AQ1254" i="2"/>
  <c r="AU1254" i="2"/>
  <c r="AQ1255" i="2"/>
  <c r="AU1255" i="2" s="1"/>
  <c r="AQ1256" i="2"/>
  <c r="AU1256" i="2"/>
  <c r="AQ1257" i="2"/>
  <c r="AU1257" i="2"/>
  <c r="AQ1258" i="2"/>
  <c r="AU1258" i="2" s="1"/>
  <c r="AQ1259" i="2"/>
  <c r="AU1259" i="2" s="1"/>
  <c r="AQ1260" i="2"/>
  <c r="AU1260" i="2"/>
  <c r="AU1261" i="2"/>
  <c r="AQ1262" i="2"/>
  <c r="AU1262" i="2"/>
  <c r="AU1263" i="2"/>
  <c r="AO1265" i="2"/>
  <c r="AP1265" i="2"/>
  <c r="AT1265" i="2"/>
  <c r="AB1224" i="2"/>
  <c r="AB1223" i="2"/>
  <c r="AG1222" i="2"/>
  <c r="AG1265" i="2" s="1"/>
  <c r="AB1222" i="2"/>
  <c r="AE1222" i="2"/>
  <c r="AA1223" i="2"/>
  <c r="AE1223" i="2"/>
  <c r="AI1223" i="2" s="1"/>
  <c r="AA1224" i="2"/>
  <c r="AE1224" i="2"/>
  <c r="AI1224" i="2" s="1"/>
  <c r="AB1265" i="2"/>
  <c r="AE1225" i="2"/>
  <c r="AE1226" i="2"/>
  <c r="AI1226" i="2" s="1"/>
  <c r="AE1227" i="2"/>
  <c r="AI1227" i="2" s="1"/>
  <c r="AE1228" i="2"/>
  <c r="AI1228" i="2"/>
  <c r="AE1229" i="2"/>
  <c r="AI1229" i="2" s="1"/>
  <c r="AE1230" i="2"/>
  <c r="AI1230" i="2"/>
  <c r="AE1231" i="2"/>
  <c r="AI1231" i="2" s="1"/>
  <c r="AE1232" i="2"/>
  <c r="AI1232" i="2"/>
  <c r="AE1233" i="2"/>
  <c r="AI1233" i="2"/>
  <c r="AE1234" i="2"/>
  <c r="AI1234" i="2"/>
  <c r="AE1235" i="2"/>
  <c r="AI1235" i="2" s="1"/>
  <c r="AE1236" i="2"/>
  <c r="AI1236" i="2"/>
  <c r="AE1237" i="2"/>
  <c r="AI1237" i="2"/>
  <c r="AE1238" i="2"/>
  <c r="AI1238" i="2" s="1"/>
  <c r="AE1239" i="2"/>
  <c r="AI1239" i="2"/>
  <c r="AE1240" i="2"/>
  <c r="AI1240" i="2"/>
  <c r="AE1241" i="2"/>
  <c r="AI1241" i="2"/>
  <c r="AE1242" i="2"/>
  <c r="AI1242" i="2"/>
  <c r="AE1243" i="2"/>
  <c r="AI1243" i="2" s="1"/>
  <c r="AE1244" i="2"/>
  <c r="AI1244" i="2"/>
  <c r="AE1245" i="2"/>
  <c r="AI1245" i="2"/>
  <c r="AE1246" i="2"/>
  <c r="AI1246" i="2" s="1"/>
  <c r="AE1247" i="2"/>
  <c r="AI1247" i="2"/>
  <c r="AE1248" i="2"/>
  <c r="AI1248" i="2"/>
  <c r="AE1249" i="2"/>
  <c r="AI1249" i="2"/>
  <c r="AE1250" i="2"/>
  <c r="AI1250" i="2"/>
  <c r="AE1251" i="2"/>
  <c r="AI1251" i="2" s="1"/>
  <c r="AE1252" i="2"/>
  <c r="AI1252" i="2" s="1"/>
  <c r="AE1253" i="2"/>
  <c r="AI1253" i="2"/>
  <c r="AE1254" i="2"/>
  <c r="AI1254" i="2" s="1"/>
  <c r="AE1255" i="2"/>
  <c r="AI1255" i="2"/>
  <c r="AE1256" i="2"/>
  <c r="AI1256" i="2"/>
  <c r="AE1257" i="2"/>
  <c r="AI1257" i="2"/>
  <c r="AE1258" i="2"/>
  <c r="AI1258" i="2"/>
  <c r="AE1259" i="2"/>
  <c r="AI1259" i="2" s="1"/>
  <c r="AE1260" i="2"/>
  <c r="AI1260" i="2"/>
  <c r="AI1261" i="2"/>
  <c r="AE1262" i="2"/>
  <c r="AI1262" i="2"/>
  <c r="AI1263" i="2"/>
  <c r="AC1265" i="2"/>
  <c r="AD1265" i="2"/>
  <c r="AH1265" i="2"/>
  <c r="P1239" i="2"/>
  <c r="P1238" i="2"/>
  <c r="P1237" i="2"/>
  <c r="P1236" i="2"/>
  <c r="S1236" i="2" s="1"/>
  <c r="W1236" i="2" s="1"/>
  <c r="P1235" i="2"/>
  <c r="P1234" i="2"/>
  <c r="P1233" i="2"/>
  <c r="U1232" i="2"/>
  <c r="P1232" i="2"/>
  <c r="S1232" i="2" s="1"/>
  <c r="W1232" i="2" s="1"/>
  <c r="U1231" i="2"/>
  <c r="P1231" i="2"/>
  <c r="S1231" i="2" s="1"/>
  <c r="W1231" i="2" s="1"/>
  <c r="P1230" i="2"/>
  <c r="S1230" i="2" s="1"/>
  <c r="W1230" i="2" s="1"/>
  <c r="U1229" i="2"/>
  <c r="P1229" i="2"/>
  <c r="P1228" i="2"/>
  <c r="S1228" i="2" s="1"/>
  <c r="W1228" i="2" s="1"/>
  <c r="P1227" i="2"/>
  <c r="S1227" i="2" s="1"/>
  <c r="W1227" i="2" s="1"/>
  <c r="P1226" i="2"/>
  <c r="S1226" i="2" s="1"/>
  <c r="W1226" i="2" s="1"/>
  <c r="P1225" i="2"/>
  <c r="U1224" i="2"/>
  <c r="P1224" i="2"/>
  <c r="S1224" i="2" s="1"/>
  <c r="W1224" i="2" s="1"/>
  <c r="P1223" i="2"/>
  <c r="S1223" i="2"/>
  <c r="W1223" i="2" s="1"/>
  <c r="P1222" i="2"/>
  <c r="S1222" i="2" s="1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S1225" i="2"/>
  <c r="W1225" i="2" s="1"/>
  <c r="S1229" i="2"/>
  <c r="W1229" i="2"/>
  <c r="S1233" i="2"/>
  <c r="W1233" i="2" s="1"/>
  <c r="S1234" i="2"/>
  <c r="W1234" i="2"/>
  <c r="S1235" i="2"/>
  <c r="W1235" i="2" s="1"/>
  <c r="S1237" i="2"/>
  <c r="W1237" i="2" s="1"/>
  <c r="S1238" i="2"/>
  <c r="W1238" i="2"/>
  <c r="S1239" i="2"/>
  <c r="W1239" i="2"/>
  <c r="S1240" i="2"/>
  <c r="W1240" i="2"/>
  <c r="S1241" i="2"/>
  <c r="W1241" i="2" s="1"/>
  <c r="S1242" i="2"/>
  <c r="W1242" i="2" s="1"/>
  <c r="S1243" i="2"/>
  <c r="W1243" i="2" s="1"/>
  <c r="S1244" i="2"/>
  <c r="W1244" i="2"/>
  <c r="S1245" i="2"/>
  <c r="W1245" i="2" s="1"/>
  <c r="S1246" i="2"/>
  <c r="W1246" i="2"/>
  <c r="S1247" i="2"/>
  <c r="W1247" i="2"/>
  <c r="S1248" i="2"/>
  <c r="W1248" i="2"/>
  <c r="S1249" i="2"/>
  <c r="W1249" i="2"/>
  <c r="S1250" i="2"/>
  <c r="W1250" i="2"/>
  <c r="S1251" i="2"/>
  <c r="W1251" i="2" s="1"/>
  <c r="S1252" i="2"/>
  <c r="W1252" i="2"/>
  <c r="S1253" i="2"/>
  <c r="W1253" i="2" s="1"/>
  <c r="S1254" i="2"/>
  <c r="W1254" i="2"/>
  <c r="S1255" i="2"/>
  <c r="W1255" i="2"/>
  <c r="S1256" i="2"/>
  <c r="W1256" i="2" s="1"/>
  <c r="S1257" i="2"/>
  <c r="W1257" i="2"/>
  <c r="S1258" i="2"/>
  <c r="W1258" i="2"/>
  <c r="S1259" i="2"/>
  <c r="W1259" i="2" s="1"/>
  <c r="S1260" i="2"/>
  <c r="W1260" i="2"/>
  <c r="W1261" i="2"/>
  <c r="S1262" i="2"/>
  <c r="W1262" i="2" s="1"/>
  <c r="W1263" i="2"/>
  <c r="Q1265" i="2"/>
  <c r="R1265" i="2"/>
  <c r="U1265" i="2"/>
  <c r="V1265" i="2"/>
  <c r="D1226" i="2"/>
  <c r="D1225" i="2"/>
  <c r="D1224" i="2"/>
  <c r="D1223" i="2"/>
  <c r="AU1232" i="2" l="1"/>
  <c r="AS1265" i="2"/>
  <c r="AU1228" i="2"/>
  <c r="AN1265" i="2"/>
  <c r="AQ1222" i="2"/>
  <c r="AU1222" i="2" s="1"/>
  <c r="AQ1265" i="2"/>
  <c r="AU1223" i="2"/>
  <c r="AI1222" i="2"/>
  <c r="AE1265" i="2"/>
  <c r="AI1225" i="2"/>
  <c r="P1265" i="2"/>
  <c r="S1265" i="2"/>
  <c r="W1222" i="2"/>
  <c r="W1265" i="2" s="1"/>
  <c r="I1222" i="2"/>
  <c r="I1265" i="2" s="1"/>
  <c r="D1222" i="2"/>
  <c r="G1222" i="2" s="1"/>
  <c r="C1223" i="2"/>
  <c r="C1224" i="2" s="1"/>
  <c r="C1225" i="2" s="1"/>
  <c r="C1226" i="2" s="1"/>
  <c r="G1223" i="2"/>
  <c r="K1223" i="2" s="1"/>
  <c r="G1224" i="2"/>
  <c r="K1224" i="2" s="1"/>
  <c r="G1225" i="2"/>
  <c r="K1225" i="2"/>
  <c r="G1226" i="2"/>
  <c r="K1226" i="2" s="1"/>
  <c r="G1227" i="2"/>
  <c r="K1227" i="2"/>
  <c r="G1228" i="2"/>
  <c r="K1228" i="2" s="1"/>
  <c r="G1229" i="2"/>
  <c r="K1229" i="2"/>
  <c r="G1230" i="2"/>
  <c r="K1230" i="2" s="1"/>
  <c r="G1231" i="2"/>
  <c r="K1231" i="2"/>
  <c r="G1232" i="2"/>
  <c r="K1232" i="2" s="1"/>
  <c r="G1233" i="2"/>
  <c r="K1233" i="2"/>
  <c r="G1234" i="2"/>
  <c r="K1234" i="2" s="1"/>
  <c r="G1235" i="2"/>
  <c r="K1235" i="2"/>
  <c r="G1236" i="2"/>
  <c r="K1236" i="2"/>
  <c r="G1237" i="2"/>
  <c r="K1237" i="2"/>
  <c r="G1238" i="2"/>
  <c r="K1238" i="2" s="1"/>
  <c r="G1239" i="2"/>
  <c r="K1239" i="2"/>
  <c r="G1240" i="2"/>
  <c r="K1240" i="2"/>
  <c r="G1241" i="2"/>
  <c r="K1241" i="2"/>
  <c r="G1242" i="2"/>
  <c r="K1242" i="2" s="1"/>
  <c r="G1243" i="2"/>
  <c r="K1243" i="2"/>
  <c r="G1244" i="2"/>
  <c r="K1244" i="2" s="1"/>
  <c r="G1245" i="2"/>
  <c r="K1245" i="2"/>
  <c r="G1246" i="2"/>
  <c r="K1246" i="2" s="1"/>
  <c r="G1247" i="2"/>
  <c r="K1247" i="2"/>
  <c r="G1248" i="2"/>
  <c r="K1248" i="2" s="1"/>
  <c r="G1249" i="2"/>
  <c r="K1249" i="2"/>
  <c r="G1250" i="2"/>
  <c r="K1250" i="2"/>
  <c r="G1251" i="2"/>
  <c r="K1251" i="2"/>
  <c r="G1252" i="2"/>
  <c r="K1252" i="2"/>
  <c r="G1253" i="2"/>
  <c r="K1253" i="2"/>
  <c r="G1254" i="2"/>
  <c r="K1254" i="2" s="1"/>
  <c r="G1255" i="2"/>
  <c r="K1255" i="2"/>
  <c r="G1262" i="2"/>
  <c r="K1262" i="2"/>
  <c r="E1265" i="2"/>
  <c r="F1265" i="2"/>
  <c r="J1265" i="2"/>
  <c r="AU1265" i="2" l="1"/>
  <c r="AI1265" i="2"/>
  <c r="K1222" i="2"/>
  <c r="K1265" i="2" s="1"/>
  <c r="G1265" i="2"/>
  <c r="D1265" i="2"/>
  <c r="AB1172" i="2"/>
  <c r="AH1171" i="2"/>
  <c r="AH1210" i="2" s="1"/>
  <c r="AB1171" i="2"/>
  <c r="AB1170" i="2"/>
  <c r="AE1170" i="2" s="1"/>
  <c r="AI1170" i="2" s="1"/>
  <c r="AB1169" i="2"/>
  <c r="AG1168" i="2"/>
  <c r="AB1168" i="2"/>
  <c r="AB1167" i="2"/>
  <c r="AE1167" i="2"/>
  <c r="AI1167" i="2" s="1"/>
  <c r="AA1168" i="2"/>
  <c r="AE1168" i="2"/>
  <c r="AA1169" i="2"/>
  <c r="AB1210" i="2"/>
  <c r="AA1170" i="2"/>
  <c r="AA1171" i="2" s="1"/>
  <c r="AA1172" i="2" s="1"/>
  <c r="AG1210" i="2"/>
  <c r="AE1171" i="2"/>
  <c r="AI1171" i="2" s="1"/>
  <c r="AE1172" i="2"/>
  <c r="AI1172" i="2" s="1"/>
  <c r="AE1173" i="2"/>
  <c r="AI1173" i="2" s="1"/>
  <c r="AE1174" i="2"/>
  <c r="AI1174" i="2"/>
  <c r="AE1175" i="2"/>
  <c r="AI1175" i="2" s="1"/>
  <c r="AE1176" i="2"/>
  <c r="AI1176" i="2"/>
  <c r="AE1177" i="2"/>
  <c r="AI1177" i="2"/>
  <c r="AE1178" i="2"/>
  <c r="AI1178" i="2" s="1"/>
  <c r="AE1179" i="2"/>
  <c r="AI1179" i="2"/>
  <c r="AE1180" i="2"/>
  <c r="AI1180" i="2"/>
  <c r="AE1181" i="2"/>
  <c r="AI1181" i="2"/>
  <c r="AE1182" i="2"/>
  <c r="AI1182" i="2"/>
  <c r="AE1183" i="2"/>
  <c r="AI1183" i="2" s="1"/>
  <c r="AE1184" i="2"/>
  <c r="AI1184" i="2"/>
  <c r="AE1185" i="2"/>
  <c r="AI1185" i="2"/>
  <c r="AE1186" i="2"/>
  <c r="AI1186" i="2" s="1"/>
  <c r="AE1187" i="2"/>
  <c r="AI1187" i="2"/>
  <c r="AE1188" i="2"/>
  <c r="AI1188" i="2"/>
  <c r="AE1189" i="2"/>
  <c r="AI1189" i="2"/>
  <c r="AE1190" i="2"/>
  <c r="AI1190" i="2"/>
  <c r="AE1191" i="2"/>
  <c r="AI1191" i="2" s="1"/>
  <c r="AE1192" i="2"/>
  <c r="AI1192" i="2"/>
  <c r="AE1193" i="2"/>
  <c r="AI1193" i="2"/>
  <c r="AE1194" i="2"/>
  <c r="AI1194" i="2" s="1"/>
  <c r="AE1195" i="2"/>
  <c r="AI1195" i="2"/>
  <c r="AE1196" i="2"/>
  <c r="AI1196" i="2"/>
  <c r="AE1197" i="2"/>
  <c r="AI1197" i="2"/>
  <c r="AE1198" i="2"/>
  <c r="AI1198" i="2"/>
  <c r="AE1199" i="2"/>
  <c r="AI1199" i="2" s="1"/>
  <c r="AE1200" i="2"/>
  <c r="AI1200" i="2"/>
  <c r="AE1201" i="2"/>
  <c r="AI1201" i="2"/>
  <c r="AE1202" i="2"/>
  <c r="AI1202" i="2" s="1"/>
  <c r="AE1203" i="2"/>
  <c r="AI1203" i="2"/>
  <c r="AE1204" i="2"/>
  <c r="AI1204" i="2"/>
  <c r="AE1205" i="2"/>
  <c r="AI1205" i="2"/>
  <c r="AI1206" i="2"/>
  <c r="AE1207" i="2"/>
  <c r="AI1207" i="2"/>
  <c r="AI1208" i="2"/>
  <c r="AC1210" i="2"/>
  <c r="AD1210" i="2"/>
  <c r="P1176" i="2"/>
  <c r="V1175" i="2"/>
  <c r="P1175" i="2"/>
  <c r="S1175" i="2" s="1"/>
  <c r="P1174" i="2"/>
  <c r="P1173" i="2"/>
  <c r="P1172" i="2"/>
  <c r="S1172" i="2" s="1"/>
  <c r="W1172" i="2" s="1"/>
  <c r="P1171" i="2"/>
  <c r="P1170" i="2"/>
  <c r="S1170" i="2" s="1"/>
  <c r="W1170" i="2" s="1"/>
  <c r="U1169" i="2"/>
  <c r="P1169" i="2"/>
  <c r="P1168" i="2"/>
  <c r="P1167" i="2"/>
  <c r="O1170" i="2"/>
  <c r="O1171" i="2" s="1"/>
  <c r="O1172" i="2" s="1"/>
  <c r="O1173" i="2" s="1"/>
  <c r="O1174" i="2" s="1"/>
  <c r="O1175" i="2" s="1"/>
  <c r="O1176" i="2" s="1"/>
  <c r="O1168" i="2"/>
  <c r="S1168" i="2"/>
  <c r="U1210" i="2"/>
  <c r="V1210" i="2"/>
  <c r="W1168" i="2"/>
  <c r="O1169" i="2"/>
  <c r="S1169" i="2"/>
  <c r="S1171" i="2"/>
  <c r="W1171" i="2" s="1"/>
  <c r="S1173" i="2"/>
  <c r="W1173" i="2" s="1"/>
  <c r="S1174" i="2"/>
  <c r="W1174" i="2" s="1"/>
  <c r="S1176" i="2"/>
  <c r="W1176" i="2"/>
  <c r="S1177" i="2"/>
  <c r="W1177" i="2"/>
  <c r="S1178" i="2"/>
  <c r="W1178" i="2" s="1"/>
  <c r="S1179" i="2"/>
  <c r="W1179" i="2"/>
  <c r="S1180" i="2"/>
  <c r="W1180" i="2"/>
  <c r="S1181" i="2"/>
  <c r="W1181" i="2"/>
  <c r="S1182" i="2"/>
  <c r="W1182" i="2"/>
  <c r="S1183" i="2"/>
  <c r="W1183" i="2"/>
  <c r="S1184" i="2"/>
  <c r="W1184" i="2"/>
  <c r="S1185" i="2"/>
  <c r="W1185" i="2"/>
  <c r="S1186" i="2"/>
  <c r="W1186" i="2"/>
  <c r="S1187" i="2"/>
  <c r="W1187" i="2"/>
  <c r="S1188" i="2"/>
  <c r="W1188" i="2"/>
  <c r="S1189" i="2"/>
  <c r="W1189" i="2"/>
  <c r="S1190" i="2"/>
  <c r="W1190" i="2"/>
  <c r="S1191" i="2"/>
  <c r="W1191" i="2"/>
  <c r="S1192" i="2"/>
  <c r="W1192" i="2"/>
  <c r="S1193" i="2"/>
  <c r="W1193" i="2"/>
  <c r="S1194" i="2"/>
  <c r="W1194" i="2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/>
  <c r="S1203" i="2"/>
  <c r="W1203" i="2"/>
  <c r="S1204" i="2"/>
  <c r="W1204" i="2"/>
  <c r="S1205" i="2"/>
  <c r="W1205" i="2"/>
  <c r="W1206" i="2"/>
  <c r="S1207" i="2"/>
  <c r="W1207" i="2"/>
  <c r="W1208" i="2"/>
  <c r="Q1210" i="2"/>
  <c r="R1210" i="2"/>
  <c r="J1173" i="2"/>
  <c r="J1210" i="2"/>
  <c r="I1173" i="2"/>
  <c r="D1173" i="2"/>
  <c r="G1173" i="2" s="1"/>
  <c r="I1210" i="2"/>
  <c r="D1172" i="2"/>
  <c r="J1172" i="2"/>
  <c r="I1172" i="2"/>
  <c r="G1172" i="2"/>
  <c r="K1172" i="2" s="1"/>
  <c r="D1171" i="2"/>
  <c r="G1171" i="2" s="1"/>
  <c r="K1171" i="2" s="1"/>
  <c r="D1170" i="2"/>
  <c r="G1170" i="2" s="1"/>
  <c r="K1170" i="2" s="1"/>
  <c r="D1169" i="2"/>
  <c r="G1169" i="2" s="1"/>
  <c r="K1169" i="2" s="1"/>
  <c r="D1168" i="2"/>
  <c r="D1167" i="2"/>
  <c r="G1167" i="2"/>
  <c r="K1167" i="2" s="1"/>
  <c r="C1168" i="2"/>
  <c r="G1168" i="2"/>
  <c r="C1169" i="2"/>
  <c r="C1170" i="2" s="1"/>
  <c r="C1171" i="2" s="1"/>
  <c r="C1172" i="2" s="1"/>
  <c r="C1173" i="2" s="1"/>
  <c r="G1174" i="2"/>
  <c r="K1174" i="2" s="1"/>
  <c r="G1175" i="2"/>
  <c r="K1175" i="2" s="1"/>
  <c r="G1176" i="2"/>
  <c r="K1176" i="2"/>
  <c r="G1177" i="2"/>
  <c r="K1177" i="2" s="1"/>
  <c r="G1178" i="2"/>
  <c r="K1178" i="2" s="1"/>
  <c r="G1179" i="2"/>
  <c r="K1179" i="2" s="1"/>
  <c r="G1180" i="2"/>
  <c r="K1180" i="2"/>
  <c r="G1181" i="2"/>
  <c r="K1181" i="2"/>
  <c r="G1182" i="2"/>
  <c r="K1182" i="2"/>
  <c r="G1183" i="2"/>
  <c r="K1183" i="2"/>
  <c r="G1184" i="2"/>
  <c r="K1184" i="2"/>
  <c r="G1185" i="2"/>
  <c r="K1185" i="2"/>
  <c r="G1186" i="2"/>
  <c r="K1186" i="2" s="1"/>
  <c r="G1187" i="2"/>
  <c r="K1187" i="2"/>
  <c r="G1188" i="2"/>
  <c r="K1188" i="2"/>
  <c r="G1189" i="2"/>
  <c r="K1189" i="2"/>
  <c r="G1190" i="2"/>
  <c r="K1190" i="2"/>
  <c r="G1191" i="2"/>
  <c r="K1191" i="2"/>
  <c r="G1192" i="2"/>
  <c r="K1192" i="2"/>
  <c r="G1193" i="2"/>
  <c r="K1193" i="2"/>
  <c r="G1194" i="2"/>
  <c r="K1194" i="2" s="1"/>
  <c r="G1195" i="2"/>
  <c r="K1195" i="2"/>
  <c r="G1196" i="2"/>
  <c r="K1196" i="2"/>
  <c r="G1197" i="2"/>
  <c r="K1197" i="2"/>
  <c r="G1198" i="2"/>
  <c r="K1198" i="2"/>
  <c r="G1199" i="2"/>
  <c r="K1199" i="2"/>
  <c r="G1200" i="2"/>
  <c r="K1200" i="2"/>
  <c r="G1207" i="2"/>
  <c r="K1207" i="2"/>
  <c r="E1210" i="2"/>
  <c r="F1210" i="2"/>
  <c r="AE1169" i="2" l="1"/>
  <c r="AI1169" i="2" s="1"/>
  <c r="AI1168" i="2"/>
  <c r="AI1210" i="2" s="1"/>
  <c r="W1175" i="2"/>
  <c r="W1210" i="2" s="1"/>
  <c r="P1210" i="2"/>
  <c r="W1169" i="2"/>
  <c r="S1167" i="2"/>
  <c r="W1167" i="2" s="1"/>
  <c r="S1210" i="2"/>
  <c r="K1173" i="2"/>
  <c r="D1210" i="2"/>
  <c r="G1210" i="2"/>
  <c r="K1168" i="2"/>
  <c r="AB1118" i="2"/>
  <c r="AB1117" i="2"/>
  <c r="AE1117" i="2" s="1"/>
  <c r="AI1117" i="2" s="1"/>
  <c r="AB1116" i="2"/>
  <c r="AE1116" i="2"/>
  <c r="AI1116" i="2" s="1"/>
  <c r="AG1115" i="2"/>
  <c r="AB1115" i="2"/>
  <c r="AE1115" i="2" s="1"/>
  <c r="AI1115" i="2" s="1"/>
  <c r="AG1114" i="2"/>
  <c r="AG1155" i="2" s="1"/>
  <c r="AB1114" i="2"/>
  <c r="AE1114" i="2" s="1"/>
  <c r="AI1114" i="2" s="1"/>
  <c r="AB1113" i="2"/>
  <c r="AB1112" i="2"/>
  <c r="AE1112" i="2"/>
  <c r="AI1112" i="2"/>
  <c r="AA1113" i="2"/>
  <c r="AE1113" i="2"/>
  <c r="AI1113" i="2"/>
  <c r="AA1114" i="2"/>
  <c r="AA1115" i="2" s="1"/>
  <c r="AA1116" i="2" s="1"/>
  <c r="AA1117" i="2" s="1"/>
  <c r="AA1118" i="2" s="1"/>
  <c r="AE1118" i="2"/>
  <c r="AI1118" i="2" s="1"/>
  <c r="AE1119" i="2"/>
  <c r="AI1119" i="2"/>
  <c r="AE1120" i="2"/>
  <c r="AI1120" i="2" s="1"/>
  <c r="AE1121" i="2"/>
  <c r="AI1121" i="2"/>
  <c r="AE1122" i="2"/>
  <c r="AI1122" i="2"/>
  <c r="AE1123" i="2"/>
  <c r="AI1123" i="2"/>
  <c r="AE1124" i="2"/>
  <c r="AI1124" i="2" s="1"/>
  <c r="AE1125" i="2"/>
  <c r="AI1125" i="2"/>
  <c r="AE1126" i="2"/>
  <c r="AI1126" i="2"/>
  <c r="AE1127" i="2"/>
  <c r="AI1127" i="2"/>
  <c r="AE1128" i="2"/>
  <c r="AI1128" i="2" s="1"/>
  <c r="AE1129" i="2"/>
  <c r="AI1129" i="2"/>
  <c r="AE1130" i="2"/>
  <c r="AI1130" i="2"/>
  <c r="AE1131" i="2"/>
  <c r="AI1131" i="2"/>
  <c r="AE1132" i="2"/>
  <c r="AI1132" i="2" s="1"/>
  <c r="AE1133" i="2"/>
  <c r="AI1133" i="2"/>
  <c r="AE1134" i="2"/>
  <c r="AI1134" i="2"/>
  <c r="AE1135" i="2"/>
  <c r="AI1135" i="2"/>
  <c r="AE1136" i="2"/>
  <c r="AI1136" i="2"/>
  <c r="AE1137" i="2"/>
  <c r="AI1137" i="2"/>
  <c r="AE1138" i="2"/>
  <c r="AI1138" i="2"/>
  <c r="AE1139" i="2"/>
  <c r="AI1139" i="2"/>
  <c r="AE1140" i="2"/>
  <c r="AI1140" i="2" s="1"/>
  <c r="AE1141" i="2"/>
  <c r="AI1141" i="2"/>
  <c r="AE1142" i="2"/>
  <c r="AI1142" i="2"/>
  <c r="AE1143" i="2"/>
  <c r="AI1143" i="2"/>
  <c r="AE1144" i="2"/>
  <c r="AI1144" i="2"/>
  <c r="AE1145" i="2"/>
  <c r="AI1145" i="2"/>
  <c r="AE1146" i="2"/>
  <c r="AI1146" i="2"/>
  <c r="AE1147" i="2"/>
  <c r="AI1147" i="2"/>
  <c r="AE1148" i="2"/>
  <c r="AI1148" i="2" s="1"/>
  <c r="AE1149" i="2"/>
  <c r="AI1149" i="2"/>
  <c r="AE1150" i="2"/>
  <c r="AI1150" i="2"/>
  <c r="AI1151" i="2"/>
  <c r="AE1152" i="2"/>
  <c r="AI1152" i="2"/>
  <c r="AI1153" i="2"/>
  <c r="AC1155" i="2"/>
  <c r="AD1155" i="2"/>
  <c r="AH1155" i="2"/>
  <c r="P1116" i="2"/>
  <c r="S1116" i="2" s="1"/>
  <c r="W1116" i="2" s="1"/>
  <c r="V1115" i="2"/>
  <c r="U1115" i="2"/>
  <c r="P1115" i="2"/>
  <c r="P1114" i="2"/>
  <c r="U1113" i="2"/>
  <c r="V1113" i="2"/>
  <c r="V1155" i="2" s="1"/>
  <c r="P1113" i="2"/>
  <c r="S1113" i="2" s="1"/>
  <c r="P1112" i="2"/>
  <c r="O1113" i="2"/>
  <c r="O1114" i="2" s="1"/>
  <c r="O1116" i="2" s="1"/>
  <c r="S1115" i="2"/>
  <c r="S1117" i="2"/>
  <c r="W1117" i="2" s="1"/>
  <c r="S1118" i="2"/>
  <c r="W1118" i="2" s="1"/>
  <c r="S1119" i="2"/>
  <c r="W1119" i="2" s="1"/>
  <c r="S1120" i="2"/>
  <c r="W1120" i="2" s="1"/>
  <c r="S1121" i="2"/>
  <c r="W1121" i="2" s="1"/>
  <c r="S1122" i="2"/>
  <c r="W1122" i="2"/>
  <c r="S1123" i="2"/>
  <c r="W1123" i="2"/>
  <c r="S1124" i="2"/>
  <c r="W1124" i="2"/>
  <c r="S1125" i="2"/>
  <c r="W1125" i="2"/>
  <c r="S1126" i="2"/>
  <c r="W1126" i="2" s="1"/>
  <c r="S1127" i="2"/>
  <c r="W1127" i="2"/>
  <c r="S1128" i="2"/>
  <c r="W1128" i="2"/>
  <c r="S1129" i="2"/>
  <c r="W1129" i="2"/>
  <c r="S1130" i="2"/>
  <c r="W1130" i="2"/>
  <c r="S1131" i="2"/>
  <c r="W1131" i="2"/>
  <c r="S1132" i="2"/>
  <c r="W1132" i="2"/>
  <c r="S1133" i="2"/>
  <c r="W1133" i="2"/>
  <c r="S1134" i="2"/>
  <c r="W1134" i="2"/>
  <c r="S1135" i="2"/>
  <c r="W1135" i="2"/>
  <c r="S1136" i="2"/>
  <c r="W1136" i="2"/>
  <c r="S1137" i="2"/>
  <c r="W1137" i="2"/>
  <c r="S1138" i="2"/>
  <c r="W1138" i="2"/>
  <c r="S1139" i="2"/>
  <c r="W1139" i="2"/>
  <c r="S1140" i="2"/>
  <c r="W1140" i="2"/>
  <c r="S1141" i="2"/>
  <c r="W1141" i="2"/>
  <c r="S1142" i="2"/>
  <c r="W1142" i="2"/>
  <c r="S1143" i="2"/>
  <c r="W1143" i="2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/>
  <c r="W1151" i="2"/>
  <c r="S1152" i="2"/>
  <c r="W1152" i="2" s="1"/>
  <c r="W1153" i="2"/>
  <c r="Q1155" i="2"/>
  <c r="R1155" i="2"/>
  <c r="D1122" i="2"/>
  <c r="C1122" i="2"/>
  <c r="D1121" i="2"/>
  <c r="D1120" i="2"/>
  <c r="D1119" i="2"/>
  <c r="G1119" i="2" s="1"/>
  <c r="K1119" i="2" s="1"/>
  <c r="D1118" i="2"/>
  <c r="G1118" i="2" s="1"/>
  <c r="K1118" i="2" s="1"/>
  <c r="D1117" i="2"/>
  <c r="G1117" i="2" s="1"/>
  <c r="K1117" i="2" s="1"/>
  <c r="D1116" i="2"/>
  <c r="I1115" i="2"/>
  <c r="D1115" i="2"/>
  <c r="G1115" i="2" s="1"/>
  <c r="I1114" i="2"/>
  <c r="D1114" i="2"/>
  <c r="G1114" i="2" s="1"/>
  <c r="J1113" i="2"/>
  <c r="D1113" i="2"/>
  <c r="I1112" i="2"/>
  <c r="D1112" i="2"/>
  <c r="G1112" i="2" s="1"/>
  <c r="K1112" i="2" s="1"/>
  <c r="C1113" i="2"/>
  <c r="G1113" i="2"/>
  <c r="K1113" i="2" s="1"/>
  <c r="C1114" i="2"/>
  <c r="C1115" i="2"/>
  <c r="C1116" i="2" s="1"/>
  <c r="C1117" i="2" s="1"/>
  <c r="C1118" i="2" s="1"/>
  <c r="C1119" i="2" s="1"/>
  <c r="C1120" i="2" s="1"/>
  <c r="C1121" i="2" s="1"/>
  <c r="G1116" i="2"/>
  <c r="K1116" i="2" s="1"/>
  <c r="G1120" i="2"/>
  <c r="K1120" i="2" s="1"/>
  <c r="G1121" i="2"/>
  <c r="K1121" i="2" s="1"/>
  <c r="G1122" i="2"/>
  <c r="K1122" i="2" s="1"/>
  <c r="G1123" i="2"/>
  <c r="K1123" i="2" s="1"/>
  <c r="G1124" i="2"/>
  <c r="K1124" i="2"/>
  <c r="G1125" i="2"/>
  <c r="K1125" i="2"/>
  <c r="G1126" i="2"/>
  <c r="K1126" i="2"/>
  <c r="G1127" i="2"/>
  <c r="K1127" i="2"/>
  <c r="G1128" i="2"/>
  <c r="K1128" i="2"/>
  <c r="G1129" i="2"/>
  <c r="K1129" i="2"/>
  <c r="G1130" i="2"/>
  <c r="K1130" i="2"/>
  <c r="G1131" i="2"/>
  <c r="K1131" i="2"/>
  <c r="G1132" i="2"/>
  <c r="K1132" i="2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/>
  <c r="G1141" i="2"/>
  <c r="K1141" i="2"/>
  <c r="G1142" i="2"/>
  <c r="K1142" i="2"/>
  <c r="G1143" i="2"/>
  <c r="K1143" i="2" s="1"/>
  <c r="G1144" i="2"/>
  <c r="K1144" i="2"/>
  <c r="G1145" i="2"/>
  <c r="K1145" i="2"/>
  <c r="G1152" i="2"/>
  <c r="K1152" i="2"/>
  <c r="E1155" i="2"/>
  <c r="F1155" i="2"/>
  <c r="AE1210" i="2" l="1"/>
  <c r="K1210" i="2"/>
  <c r="AB1155" i="2"/>
  <c r="AE1155" i="2"/>
  <c r="AI1155" i="2"/>
  <c r="W1115" i="2"/>
  <c r="U1155" i="2"/>
  <c r="W1113" i="2"/>
  <c r="P1155" i="2"/>
  <c r="S1112" i="2"/>
  <c r="W1112" i="2" s="1"/>
  <c r="S1114" i="2"/>
  <c r="I1155" i="2"/>
  <c r="D1155" i="2"/>
  <c r="K1114" i="2"/>
  <c r="K1115" i="2"/>
  <c r="G1155" i="2"/>
  <c r="K1155" i="2"/>
  <c r="J1155" i="2"/>
  <c r="AB1061" i="2"/>
  <c r="AB1100" i="2" s="1"/>
  <c r="AB1060" i="2"/>
  <c r="AE1060" i="2" s="1"/>
  <c r="AI1060" i="2" s="1"/>
  <c r="AB1059" i="2"/>
  <c r="AG1058" i="2"/>
  <c r="AG1100" i="2" s="1"/>
  <c r="AB1058" i="2"/>
  <c r="AB1057" i="2"/>
  <c r="AE1057" i="2"/>
  <c r="AA1058" i="2"/>
  <c r="AE1058" i="2"/>
  <c r="AA1059" i="2"/>
  <c r="AA1060" i="2" s="1"/>
  <c r="AA1061" i="2" s="1"/>
  <c r="AE1059" i="2"/>
  <c r="AI1059" i="2" s="1"/>
  <c r="AE1062" i="2"/>
  <c r="AI1062" i="2" s="1"/>
  <c r="AE1063" i="2"/>
  <c r="AI1063" i="2" s="1"/>
  <c r="AE1064" i="2"/>
  <c r="AI1064" i="2" s="1"/>
  <c r="AE1065" i="2"/>
  <c r="AI1065" i="2"/>
  <c r="AE1066" i="2"/>
  <c r="AI1066" i="2"/>
  <c r="AE1067" i="2"/>
  <c r="AI1067" i="2"/>
  <c r="AE1068" i="2"/>
  <c r="AI1068" i="2"/>
  <c r="AE1069" i="2"/>
  <c r="AI1069" i="2"/>
  <c r="AE1070" i="2"/>
  <c r="AI1070" i="2" s="1"/>
  <c r="AE1071" i="2"/>
  <c r="AI1071" i="2"/>
  <c r="AE1072" i="2"/>
  <c r="AI1072" i="2"/>
  <c r="AE1073" i="2"/>
  <c r="AI1073" i="2"/>
  <c r="AE1074" i="2"/>
  <c r="AI1074" i="2"/>
  <c r="AE1075" i="2"/>
  <c r="AI1075" i="2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/>
  <c r="AE1092" i="2"/>
  <c r="AI1092" i="2"/>
  <c r="AE1093" i="2"/>
  <c r="AI1093" i="2"/>
  <c r="AE1094" i="2"/>
  <c r="AI1094" i="2" s="1"/>
  <c r="AE1095" i="2"/>
  <c r="AI1095" i="2"/>
  <c r="AI1096" i="2"/>
  <c r="AE1097" i="2"/>
  <c r="AI1097" i="2"/>
  <c r="AI1098" i="2"/>
  <c r="AC1100" i="2"/>
  <c r="AD1100" i="2"/>
  <c r="AH1100" i="2"/>
  <c r="V1067" i="2"/>
  <c r="U1067" i="2"/>
  <c r="P1067" i="2"/>
  <c r="P1066" i="2"/>
  <c r="P1065" i="2"/>
  <c r="S1065" i="2" s="1"/>
  <c r="W1065" i="2" s="1"/>
  <c r="P1064" i="2"/>
  <c r="P1063" i="2"/>
  <c r="P1062" i="2"/>
  <c r="S1062" i="2"/>
  <c r="W1062" i="2" s="1"/>
  <c r="P1061" i="2"/>
  <c r="S1061" i="2" s="1"/>
  <c r="W1061" i="2" s="1"/>
  <c r="P1060" i="2"/>
  <c r="S1060" i="2" s="1"/>
  <c r="W1060" i="2" s="1"/>
  <c r="P1059" i="2"/>
  <c r="P1058" i="2"/>
  <c r="P1057" i="2"/>
  <c r="S1057" i="2" s="1"/>
  <c r="O1063" i="2"/>
  <c r="O1064" i="2" s="1"/>
  <c r="O1065" i="2" s="1"/>
  <c r="O1066" i="2" s="1"/>
  <c r="O1067" i="2" s="1"/>
  <c r="O1058" i="2"/>
  <c r="O1059" i="2" s="1"/>
  <c r="O1060" i="2" s="1"/>
  <c r="O1061" i="2" s="1"/>
  <c r="S1059" i="2"/>
  <c r="U1100" i="2"/>
  <c r="V1100" i="2"/>
  <c r="W1059" i="2"/>
  <c r="S1063" i="2"/>
  <c r="W1063" i="2"/>
  <c r="S1064" i="2"/>
  <c r="W1064" i="2" s="1"/>
  <c r="S1066" i="2"/>
  <c r="W1066" i="2" s="1"/>
  <c r="S1067" i="2"/>
  <c r="W1067" i="2" s="1"/>
  <c r="S1068" i="2"/>
  <c r="W1068" i="2"/>
  <c r="S1069" i="2"/>
  <c r="W1069" i="2" s="1"/>
  <c r="S1070" i="2"/>
  <c r="W1070" i="2"/>
  <c r="S1071" i="2"/>
  <c r="W1071" i="2"/>
  <c r="S1072" i="2"/>
  <c r="W1072" i="2" s="1"/>
  <c r="S1073" i="2"/>
  <c r="W1073" i="2" s="1"/>
  <c r="S1074" i="2"/>
  <c r="W1074" i="2" s="1"/>
  <c r="S1075" i="2"/>
  <c r="W1075" i="2"/>
  <c r="S1076" i="2"/>
  <c r="W1076" i="2"/>
  <c r="S1077" i="2"/>
  <c r="W1077" i="2"/>
  <c r="S1078" i="2"/>
  <c r="W1078" i="2"/>
  <c r="S1079" i="2"/>
  <c r="W1079" i="2"/>
  <c r="S1080" i="2"/>
  <c r="W1080" i="2"/>
  <c r="S1081" i="2"/>
  <c r="W1081" i="2"/>
  <c r="S1082" i="2"/>
  <c r="W1082" i="2" s="1"/>
  <c r="S1083" i="2"/>
  <c r="W1083" i="2"/>
  <c r="S1084" i="2"/>
  <c r="W1084" i="2"/>
  <c r="S1085" i="2"/>
  <c r="W1085" i="2"/>
  <c r="S1086" i="2"/>
  <c r="W1086" i="2"/>
  <c r="S1087" i="2"/>
  <c r="W1087" i="2"/>
  <c r="S1088" i="2"/>
  <c r="W1088" i="2"/>
  <c r="S1089" i="2"/>
  <c r="W1089" i="2"/>
  <c r="S1090" i="2"/>
  <c r="W1090" i="2" s="1"/>
  <c r="S1091" i="2"/>
  <c r="W1091" i="2"/>
  <c r="S1092" i="2"/>
  <c r="W1092" i="2"/>
  <c r="S1093" i="2"/>
  <c r="W1093" i="2"/>
  <c r="S1094" i="2"/>
  <c r="W1094" i="2"/>
  <c r="S1095" i="2"/>
  <c r="W1095" i="2"/>
  <c r="W1096" i="2"/>
  <c r="S1097" i="2"/>
  <c r="W1097" i="2" s="1"/>
  <c r="W1098" i="2"/>
  <c r="Q1100" i="2"/>
  <c r="R1100" i="2"/>
  <c r="D1061" i="2"/>
  <c r="G1061" i="2" s="1"/>
  <c r="K1061" i="2" s="1"/>
  <c r="I1060" i="2"/>
  <c r="I1100" i="2" s="1"/>
  <c r="D1060" i="2"/>
  <c r="G1060" i="2"/>
  <c r="J1059" i="2"/>
  <c r="I1059" i="2"/>
  <c r="D1059" i="2"/>
  <c r="G1059" i="2" s="1"/>
  <c r="K1059" i="2" s="1"/>
  <c r="D1058" i="2"/>
  <c r="G1058" i="2" s="1"/>
  <c r="K1058" i="2" s="1"/>
  <c r="D1057" i="2"/>
  <c r="C1058" i="2"/>
  <c r="C1059" i="2" s="1"/>
  <c r="C1060" i="2" s="1"/>
  <c r="C1061" i="2" s="1"/>
  <c r="G1057" i="2"/>
  <c r="K1057" i="2" s="1"/>
  <c r="J1100" i="2"/>
  <c r="G1062" i="2"/>
  <c r="K1062" i="2"/>
  <c r="G1063" i="2"/>
  <c r="K1063" i="2"/>
  <c r="G1064" i="2"/>
  <c r="K1064" i="2"/>
  <c r="G1065" i="2"/>
  <c r="K1065" i="2"/>
  <c r="G1066" i="2"/>
  <c r="K1066" i="2"/>
  <c r="G1067" i="2"/>
  <c r="K1067" i="2"/>
  <c r="G1068" i="2"/>
  <c r="K1068" i="2"/>
  <c r="G1069" i="2"/>
  <c r="K1069" i="2" s="1"/>
  <c r="G1070" i="2"/>
  <c r="K1070" i="2"/>
  <c r="G1071" i="2"/>
  <c r="K1071" i="2"/>
  <c r="G1072" i="2"/>
  <c r="K1072" i="2" s="1"/>
  <c r="G1073" i="2"/>
  <c r="K1073" i="2" s="1"/>
  <c r="G1074" i="2"/>
  <c r="K1074" i="2"/>
  <c r="G1075" i="2"/>
  <c r="K1075" i="2"/>
  <c r="G1076" i="2"/>
  <c r="K1076" i="2"/>
  <c r="G1077" i="2"/>
  <c r="K1077" i="2" s="1"/>
  <c r="G1078" i="2"/>
  <c r="K1078" i="2"/>
  <c r="G1079" i="2"/>
  <c r="K1079" i="2"/>
  <c r="G1080" i="2"/>
  <c r="K1080" i="2"/>
  <c r="G1081" i="2"/>
  <c r="K1081" i="2"/>
  <c r="G1082" i="2"/>
  <c r="K1082" i="2"/>
  <c r="G1083" i="2"/>
  <c r="K1083" i="2"/>
  <c r="G1084" i="2"/>
  <c r="K1084" i="2"/>
  <c r="G1085" i="2"/>
  <c r="K1085" i="2" s="1"/>
  <c r="G1086" i="2"/>
  <c r="K1086" i="2"/>
  <c r="G1087" i="2"/>
  <c r="K1087" i="2"/>
  <c r="G1088" i="2"/>
  <c r="K1088" i="2"/>
  <c r="G1089" i="2"/>
  <c r="K1089" i="2"/>
  <c r="G1090" i="2"/>
  <c r="K1090" i="2"/>
  <c r="G1097" i="2"/>
  <c r="K1097" i="2"/>
  <c r="E1100" i="2"/>
  <c r="F1100" i="2"/>
  <c r="S1155" i="2" l="1"/>
  <c r="W1114" i="2"/>
  <c r="W1155" i="2" s="1"/>
  <c r="AE1061" i="2"/>
  <c r="AI1061" i="2" s="1"/>
  <c r="AI1058" i="2"/>
  <c r="AI1057" i="2"/>
  <c r="P1100" i="2"/>
  <c r="W1057" i="2"/>
  <c r="S1058" i="2"/>
  <c r="K1060" i="2"/>
  <c r="D1100" i="2"/>
  <c r="K1100" i="2"/>
  <c r="G1100" i="2"/>
  <c r="P1006" i="2"/>
  <c r="AE1100" i="2" l="1"/>
  <c r="AI1100" i="2"/>
  <c r="S1100" i="2"/>
  <c r="W1058" i="2"/>
  <c r="W1100" i="2" s="1"/>
  <c r="AB1004" i="2"/>
  <c r="AE1004" i="2" s="1"/>
  <c r="AI1004" i="2" s="1"/>
  <c r="AB1003" i="2"/>
  <c r="AG1002" i="2"/>
  <c r="AB1002" i="2"/>
  <c r="AE1002" i="2"/>
  <c r="AA1003" i="2"/>
  <c r="AA1004" i="2" s="1"/>
  <c r="AE1003" i="2"/>
  <c r="AI1003" i="2"/>
  <c r="AE1005" i="2"/>
  <c r="AI1005" i="2" s="1"/>
  <c r="AG1045" i="2"/>
  <c r="AE1006" i="2"/>
  <c r="AI1006" i="2" s="1"/>
  <c r="AE1007" i="2"/>
  <c r="AI1007" i="2" s="1"/>
  <c r="AE1008" i="2"/>
  <c r="AI1008" i="2" s="1"/>
  <c r="AE1009" i="2"/>
  <c r="AI1009" i="2" s="1"/>
  <c r="AE1010" i="2"/>
  <c r="AI1010" i="2" s="1"/>
  <c r="AE1011" i="2"/>
  <c r="AI1011" i="2"/>
  <c r="AE1012" i="2"/>
  <c r="AI1012" i="2"/>
  <c r="AE1013" i="2"/>
  <c r="AI1013" i="2"/>
  <c r="AE1014" i="2"/>
  <c r="AI1014" i="2"/>
  <c r="AE1015" i="2"/>
  <c r="AI1015" i="2" s="1"/>
  <c r="AE1016" i="2"/>
  <c r="AI1016" i="2"/>
  <c r="AE1017" i="2"/>
  <c r="AI1017" i="2"/>
  <c r="AE1018" i="2"/>
  <c r="AI1018" i="2" s="1"/>
  <c r="AE1019" i="2"/>
  <c r="AI1019" i="2"/>
  <c r="AE1020" i="2"/>
  <c r="AI1020" i="2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 s="1"/>
  <c r="AE1027" i="2"/>
  <c r="AI1027" i="2"/>
  <c r="AE1028" i="2"/>
  <c r="AI1028" i="2"/>
  <c r="AE1029" i="2"/>
  <c r="AI1029" i="2"/>
  <c r="AE1030" i="2"/>
  <c r="AI1030" i="2"/>
  <c r="AE1031" i="2"/>
  <c r="AI1031" i="2" s="1"/>
  <c r="AE1032" i="2"/>
  <c r="AI1032" i="2"/>
  <c r="AE1033" i="2"/>
  <c r="AI1033" i="2"/>
  <c r="AE1034" i="2"/>
  <c r="AI1034" i="2" s="1"/>
  <c r="AE1035" i="2"/>
  <c r="AI1035" i="2"/>
  <c r="AE1036" i="2"/>
  <c r="AI1036" i="2"/>
  <c r="AE1037" i="2"/>
  <c r="AI1037" i="2"/>
  <c r="AE1038" i="2"/>
  <c r="AI1038" i="2"/>
  <c r="AE1039" i="2"/>
  <c r="AI1039" i="2" s="1"/>
  <c r="AE1040" i="2"/>
  <c r="AI1040" i="2"/>
  <c r="AI1041" i="2"/>
  <c r="AE1042" i="2"/>
  <c r="AI1042" i="2"/>
  <c r="AI1043" i="2"/>
  <c r="AC1045" i="2"/>
  <c r="AD1045" i="2"/>
  <c r="AH1045" i="2"/>
  <c r="P1008" i="2"/>
  <c r="P1007" i="2"/>
  <c r="U1006" i="2"/>
  <c r="P1005" i="2"/>
  <c r="O1005" i="2"/>
  <c r="O1006" i="2"/>
  <c r="V1004" i="2"/>
  <c r="U1004" i="2"/>
  <c r="P1004" i="2"/>
  <c r="V1003" i="2"/>
  <c r="P1003" i="2"/>
  <c r="U1002" i="2"/>
  <c r="P1002" i="2"/>
  <c r="D1006" i="2"/>
  <c r="D1005" i="2"/>
  <c r="J1004" i="2"/>
  <c r="I1004" i="2"/>
  <c r="D1004" i="2"/>
  <c r="D1003" i="2"/>
  <c r="D1002" i="2"/>
  <c r="AI1002" i="2" l="1"/>
  <c r="AI1045" i="2" s="1"/>
  <c r="AE1045" i="2"/>
  <c r="AB1045" i="2"/>
  <c r="U1045" i="2"/>
  <c r="P1045" i="2"/>
  <c r="S1002" i="2"/>
  <c r="W1002" i="2" s="1"/>
  <c r="O1003" i="2"/>
  <c r="S1003" i="2"/>
  <c r="O1004" i="2"/>
  <c r="S1004" i="2"/>
  <c r="W1004" i="2"/>
  <c r="S1006" i="2"/>
  <c r="W1006" i="2" s="1"/>
  <c r="S1007" i="2"/>
  <c r="W1007" i="2" s="1"/>
  <c r="S1008" i="2"/>
  <c r="W1008" i="2" s="1"/>
  <c r="S1009" i="2"/>
  <c r="W1009" i="2"/>
  <c r="S1010" i="2"/>
  <c r="W1010" i="2"/>
  <c r="S1011" i="2"/>
  <c r="W1011" i="2" s="1"/>
  <c r="S1012" i="2"/>
  <c r="W1012" i="2"/>
  <c r="S1013" i="2"/>
  <c r="W1013" i="2"/>
  <c r="S1014" i="2"/>
  <c r="W1014" i="2"/>
  <c r="S1015" i="2"/>
  <c r="W1015" i="2"/>
  <c r="S1016" i="2"/>
  <c r="W1016" i="2"/>
  <c r="S1017" i="2"/>
  <c r="W1017" i="2"/>
  <c r="S1018" i="2"/>
  <c r="W1018" i="2"/>
  <c r="S1019" i="2"/>
  <c r="W1019" i="2"/>
  <c r="S1020" i="2"/>
  <c r="W1020" i="2"/>
  <c r="S1021" i="2"/>
  <c r="W1021" i="2"/>
  <c r="S1022" i="2"/>
  <c r="W1022" i="2"/>
  <c r="S1023" i="2"/>
  <c r="W1023" i="2"/>
  <c r="S1024" i="2"/>
  <c r="W1024" i="2"/>
  <c r="S1025" i="2"/>
  <c r="W1025" i="2"/>
  <c r="S1026" i="2"/>
  <c r="W1026" i="2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V1045" i="2"/>
  <c r="G1002" i="2"/>
  <c r="C1004" i="2"/>
  <c r="C1005" i="2" s="1"/>
  <c r="C1006" i="2" s="1"/>
  <c r="G1003" i="2"/>
  <c r="K1003" i="2"/>
  <c r="G1004" i="2"/>
  <c r="K1004" i="2" s="1"/>
  <c r="I1045" i="2"/>
  <c r="G1005" i="2"/>
  <c r="K1005" i="2" s="1"/>
  <c r="G1006" i="2"/>
  <c r="K1006" i="2"/>
  <c r="G1007" i="2"/>
  <c r="K1007" i="2" s="1"/>
  <c r="G1008" i="2"/>
  <c r="K1008" i="2"/>
  <c r="G1009" i="2"/>
  <c r="K1009" i="2" s="1"/>
  <c r="G1010" i="2"/>
  <c r="K1010" i="2"/>
  <c r="G1011" i="2"/>
  <c r="K1011" i="2" s="1"/>
  <c r="G1012" i="2"/>
  <c r="K1012" i="2" s="1"/>
  <c r="G1013" i="2"/>
  <c r="K1013" i="2"/>
  <c r="G1014" i="2"/>
  <c r="K1014" i="2" s="1"/>
  <c r="G1015" i="2"/>
  <c r="K1015" i="2"/>
  <c r="G1016" i="2"/>
  <c r="K1016" i="2"/>
  <c r="G1017" i="2"/>
  <c r="K1017" i="2" s="1"/>
  <c r="G1018" i="2"/>
  <c r="K1018" i="2"/>
  <c r="G1019" i="2"/>
  <c r="K1019" i="2"/>
  <c r="G1020" i="2"/>
  <c r="K1020" i="2"/>
  <c r="G1021" i="2"/>
  <c r="K1021" i="2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D1045" i="2"/>
  <c r="E1045" i="2"/>
  <c r="F1045" i="2"/>
  <c r="J1045" i="2"/>
  <c r="S1005" i="2" l="1"/>
  <c r="W1005" i="2" s="1"/>
  <c r="W1003" i="2"/>
  <c r="G1045" i="2"/>
  <c r="K1002" i="2"/>
  <c r="K1045" i="2" s="1"/>
  <c r="AB956" i="2"/>
  <c r="AG955" i="2"/>
  <c r="AB955" i="2"/>
  <c r="AG954" i="2"/>
  <c r="AB954" i="2"/>
  <c r="AB953" i="2"/>
  <c r="AE953" i="2" s="1"/>
  <c r="AI953" i="2" s="1"/>
  <c r="AB952" i="2"/>
  <c r="AE952" i="2" s="1"/>
  <c r="AI952" i="2" s="1"/>
  <c r="AG951" i="2"/>
  <c r="AB951" i="2"/>
  <c r="AE951" i="2" s="1"/>
  <c r="AG950" i="2"/>
  <c r="AB950" i="2"/>
  <c r="AB949" i="2"/>
  <c r="AB948" i="2"/>
  <c r="AB947" i="2"/>
  <c r="AA952" i="2"/>
  <c r="AA953" i="2" s="1"/>
  <c r="AA954" i="2" s="1"/>
  <c r="AA955" i="2" s="1"/>
  <c r="AA956" i="2" s="1"/>
  <c r="AE947" i="2"/>
  <c r="AI947" i="2"/>
  <c r="AA948" i="2"/>
  <c r="AA949" i="2" s="1"/>
  <c r="AA950" i="2" s="1"/>
  <c r="AA951" i="2" s="1"/>
  <c r="AE948" i="2"/>
  <c r="AE949" i="2"/>
  <c r="AI949" i="2" s="1"/>
  <c r="AE954" i="2"/>
  <c r="AI954" i="2"/>
  <c r="AE955" i="2"/>
  <c r="AI955" i="2" s="1"/>
  <c r="AE956" i="2"/>
  <c r="AI956" i="2"/>
  <c r="AE957" i="2"/>
  <c r="AI957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 s="1"/>
  <c r="AE965" i="2"/>
  <c r="AI965" i="2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AH990" i="2"/>
  <c r="V952" i="2"/>
  <c r="U952" i="2"/>
  <c r="P952" i="2"/>
  <c r="S952" i="2" s="1"/>
  <c r="U951" i="2"/>
  <c r="P951" i="2"/>
  <c r="S951" i="2" s="1"/>
  <c r="P950" i="2"/>
  <c r="P949" i="2"/>
  <c r="P948" i="2"/>
  <c r="S948" i="2" s="1"/>
  <c r="W948" i="2" s="1"/>
  <c r="P947" i="2"/>
  <c r="S947" i="2"/>
  <c r="W947" i="2" s="1"/>
  <c r="O948" i="2"/>
  <c r="O949" i="2"/>
  <c r="O950" i="2" s="1"/>
  <c r="O951" i="2" s="1"/>
  <c r="O952" i="2" s="1"/>
  <c r="S949" i="2"/>
  <c r="W949" i="2" s="1"/>
  <c r="S950" i="2"/>
  <c r="W950" i="2" s="1"/>
  <c r="S953" i="2"/>
  <c r="W953" i="2" s="1"/>
  <c r="S954" i="2"/>
  <c r="W954" i="2" s="1"/>
  <c r="S955" i="2"/>
  <c r="W955" i="2" s="1"/>
  <c r="S956" i="2"/>
  <c r="W956" i="2"/>
  <c r="S957" i="2"/>
  <c r="W957" i="2"/>
  <c r="S958" i="2"/>
  <c r="W958" i="2" s="1"/>
  <c r="S959" i="2"/>
  <c r="W959" i="2"/>
  <c r="S960" i="2"/>
  <c r="W960" i="2"/>
  <c r="S961" i="2"/>
  <c r="W961" i="2" s="1"/>
  <c r="S962" i="2"/>
  <c r="W962" i="2"/>
  <c r="S963" i="2"/>
  <c r="W963" i="2"/>
  <c r="S964" i="2"/>
  <c r="W964" i="2"/>
  <c r="S965" i="2"/>
  <c r="W965" i="2"/>
  <c r="S966" i="2"/>
  <c r="W966" i="2" s="1"/>
  <c r="S967" i="2"/>
  <c r="W967" i="2"/>
  <c r="S968" i="2"/>
  <c r="W968" i="2"/>
  <c r="S969" i="2"/>
  <c r="W969" i="2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/>
  <c r="W986" i="2"/>
  <c r="S987" i="2"/>
  <c r="W987" i="2"/>
  <c r="W988" i="2"/>
  <c r="Q990" i="2"/>
  <c r="R990" i="2"/>
  <c r="V990" i="2"/>
  <c r="D957" i="2"/>
  <c r="G957" i="2" s="1"/>
  <c r="K957" i="2" s="1"/>
  <c r="D956" i="2"/>
  <c r="G956" i="2" s="1"/>
  <c r="K956" i="2" s="1"/>
  <c r="I955" i="2"/>
  <c r="D955" i="2"/>
  <c r="G955" i="2" s="1"/>
  <c r="K955" i="2" s="1"/>
  <c r="D954" i="2"/>
  <c r="D953" i="2"/>
  <c r="D952" i="2"/>
  <c r="G952" i="2" s="1"/>
  <c r="K952" i="2" s="1"/>
  <c r="D951" i="2"/>
  <c r="G951" i="2" s="1"/>
  <c r="K951" i="2" s="1"/>
  <c r="I950" i="2"/>
  <c r="D950" i="2"/>
  <c r="I949" i="2"/>
  <c r="D949" i="2"/>
  <c r="G949" i="2" s="1"/>
  <c r="D948" i="2"/>
  <c r="G948" i="2"/>
  <c r="K948" i="2" s="1"/>
  <c r="D947" i="2"/>
  <c r="G947" i="2" s="1"/>
  <c r="K947" i="2" s="1"/>
  <c r="C954" i="2"/>
  <c r="C955" i="2" s="1"/>
  <c r="C956" i="2" s="1"/>
  <c r="C957" i="2" s="1"/>
  <c r="C948" i="2"/>
  <c r="C949" i="2"/>
  <c r="C950" i="2" s="1"/>
  <c r="C951" i="2" s="1"/>
  <c r="C952" i="2" s="1"/>
  <c r="C953" i="2" s="1"/>
  <c r="G950" i="2"/>
  <c r="J990" i="2"/>
  <c r="G953" i="2"/>
  <c r="K953" i="2" s="1"/>
  <c r="G954" i="2"/>
  <c r="K954" i="2"/>
  <c r="G958" i="2"/>
  <c r="K958" i="2"/>
  <c r="G959" i="2"/>
  <c r="K959" i="2"/>
  <c r="G960" i="2"/>
  <c r="K960" i="2" s="1"/>
  <c r="G961" i="2"/>
  <c r="K961" i="2" s="1"/>
  <c r="G962" i="2"/>
  <c r="K962" i="2"/>
  <c r="G963" i="2"/>
  <c r="K963" i="2"/>
  <c r="G964" i="2"/>
  <c r="K964" i="2" s="1"/>
  <c r="G965" i="2"/>
  <c r="K965" i="2"/>
  <c r="G966" i="2"/>
  <c r="K966" i="2"/>
  <c r="G967" i="2"/>
  <c r="K967" i="2"/>
  <c r="G968" i="2"/>
  <c r="K968" i="2" s="1"/>
  <c r="G969" i="2"/>
  <c r="K969" i="2" s="1"/>
  <c r="G970" i="2"/>
  <c r="K970" i="2"/>
  <c r="G971" i="2"/>
  <c r="K971" i="2"/>
  <c r="G972" i="2"/>
  <c r="K972" i="2" s="1"/>
  <c r="G973" i="2"/>
  <c r="K973" i="2"/>
  <c r="G974" i="2"/>
  <c r="K974" i="2"/>
  <c r="G975" i="2"/>
  <c r="K975" i="2"/>
  <c r="G976" i="2"/>
  <c r="K976" i="2"/>
  <c r="G977" i="2"/>
  <c r="K977" i="2" s="1"/>
  <c r="G978" i="2"/>
  <c r="K978" i="2"/>
  <c r="G979" i="2"/>
  <c r="K979" i="2"/>
  <c r="G980" i="2"/>
  <c r="K980" i="2" s="1"/>
  <c r="G987" i="2"/>
  <c r="K987" i="2"/>
  <c r="E990" i="2"/>
  <c r="F990" i="2"/>
  <c r="W1045" i="2" l="1"/>
  <c r="S1045" i="2"/>
  <c r="AG990" i="2"/>
  <c r="AI951" i="2"/>
  <c r="AB990" i="2"/>
  <c r="AE950" i="2"/>
  <c r="AI950" i="2" s="1"/>
  <c r="AI948" i="2"/>
  <c r="U990" i="2"/>
  <c r="W952" i="2"/>
  <c r="W990" i="2" s="1"/>
  <c r="W951" i="2"/>
  <c r="P990" i="2"/>
  <c r="S990" i="2"/>
  <c r="K950" i="2"/>
  <c r="K990" i="2" s="1"/>
  <c r="I990" i="2"/>
  <c r="K949" i="2"/>
  <c r="D990" i="2"/>
  <c r="G990" i="2"/>
  <c r="AB896" i="2"/>
  <c r="AB895" i="2"/>
  <c r="AE895" i="2" s="1"/>
  <c r="AI895" i="2" s="1"/>
  <c r="AB894" i="2"/>
  <c r="AE894" i="2" s="1"/>
  <c r="AI894" i="2" s="1"/>
  <c r="AB893" i="2"/>
  <c r="AE893" i="2" s="1"/>
  <c r="AI893" i="2" s="1"/>
  <c r="AB892" i="2"/>
  <c r="AE892" i="2" s="1"/>
  <c r="AI892" i="2" s="1"/>
  <c r="AA893" i="2"/>
  <c r="AA894" i="2"/>
  <c r="AA895" i="2" s="1"/>
  <c r="AA896" i="2" s="1"/>
  <c r="AE896" i="2"/>
  <c r="AI896" i="2" s="1"/>
  <c r="AE897" i="2"/>
  <c r="AE898" i="2"/>
  <c r="AI898" i="2" s="1"/>
  <c r="AE899" i="2"/>
  <c r="AI899" i="2" s="1"/>
  <c r="AE900" i="2"/>
  <c r="AI900" i="2" s="1"/>
  <c r="AE901" i="2"/>
  <c r="AI901" i="2"/>
  <c r="AE902" i="2"/>
  <c r="AI902" i="2"/>
  <c r="AE903" i="2"/>
  <c r="AI903" i="2" s="1"/>
  <c r="AE904" i="2"/>
  <c r="AI904" i="2" s="1"/>
  <c r="AE905" i="2"/>
  <c r="AI905" i="2" s="1"/>
  <c r="AE906" i="2"/>
  <c r="AI906" i="2"/>
  <c r="AE907" i="2"/>
  <c r="AI907" i="2" s="1"/>
  <c r="AE908" i="2"/>
  <c r="AI908" i="2"/>
  <c r="AE909" i="2"/>
  <c r="AI909" i="2"/>
  <c r="AE910" i="2"/>
  <c r="AI910" i="2"/>
  <c r="AE911" i="2"/>
  <c r="AI911" i="2" s="1"/>
  <c r="AE912" i="2"/>
  <c r="AI912" i="2" s="1"/>
  <c r="AE913" i="2"/>
  <c r="AI913" i="2" s="1"/>
  <c r="AE914" i="2"/>
  <c r="AI914" i="2"/>
  <c r="AE915" i="2"/>
  <c r="AI915" i="2" s="1"/>
  <c r="AE916" i="2"/>
  <c r="AI916" i="2"/>
  <c r="AE917" i="2"/>
  <c r="AI917" i="2"/>
  <c r="AE918" i="2"/>
  <c r="AI918" i="2"/>
  <c r="AE919" i="2"/>
  <c r="AI919" i="2" s="1"/>
  <c r="AE920" i="2"/>
  <c r="AI920" i="2" s="1"/>
  <c r="AE921" i="2"/>
  <c r="AI921" i="2" s="1"/>
  <c r="AE922" i="2"/>
  <c r="AI922" i="2"/>
  <c r="AE923" i="2"/>
  <c r="AI923" i="2" s="1"/>
  <c r="AE924" i="2"/>
  <c r="AI924" i="2"/>
  <c r="AE925" i="2"/>
  <c r="AI925" i="2"/>
  <c r="AE926" i="2"/>
  <c r="AI926" i="2"/>
  <c r="AE927" i="2"/>
  <c r="AI927" i="2" s="1"/>
  <c r="AE928" i="2"/>
  <c r="AI928" i="2" s="1"/>
  <c r="AE929" i="2"/>
  <c r="AI929" i="2" s="1"/>
  <c r="AE930" i="2"/>
  <c r="AI930" i="2"/>
  <c r="AI931" i="2"/>
  <c r="AE932" i="2"/>
  <c r="AI932" i="2"/>
  <c r="AI933" i="2"/>
  <c r="AC935" i="2"/>
  <c r="AD935" i="2"/>
  <c r="AG935" i="2"/>
  <c r="AH935" i="2"/>
  <c r="P911" i="2"/>
  <c r="S911" i="2" s="1"/>
  <c r="W911" i="2" s="1"/>
  <c r="O911" i="2"/>
  <c r="P910" i="2"/>
  <c r="S910" i="2" s="1"/>
  <c r="W910" i="2" s="1"/>
  <c r="P909" i="2"/>
  <c r="P908" i="2"/>
  <c r="U907" i="2"/>
  <c r="P907" i="2"/>
  <c r="P906" i="2"/>
  <c r="S906" i="2" s="1"/>
  <c r="W906" i="2" s="1"/>
  <c r="P905" i="2"/>
  <c r="S905" i="2" s="1"/>
  <c r="W905" i="2" s="1"/>
  <c r="P904" i="2"/>
  <c r="S904" i="2" s="1"/>
  <c r="W904" i="2" s="1"/>
  <c r="P903" i="2"/>
  <c r="S903" i="2" s="1"/>
  <c r="W903" i="2" s="1"/>
  <c r="P902" i="2"/>
  <c r="S902" i="2" s="1"/>
  <c r="W902" i="2" s="1"/>
  <c r="P901" i="2"/>
  <c r="S901" i="2" s="1"/>
  <c r="W901" i="2" s="1"/>
  <c r="U900" i="2"/>
  <c r="P900" i="2"/>
  <c r="U899" i="2"/>
  <c r="P899" i="2"/>
  <c r="P898" i="2"/>
  <c r="P897" i="2"/>
  <c r="U896" i="2"/>
  <c r="P896" i="2"/>
  <c r="P895" i="2"/>
  <c r="S895" i="2" s="1"/>
  <c r="W895" i="2" s="1"/>
  <c r="P894" i="2"/>
  <c r="S894" i="2" s="1"/>
  <c r="W894" i="2" s="1"/>
  <c r="P893" i="2"/>
  <c r="U892" i="2"/>
  <c r="P892" i="2"/>
  <c r="S892" i="2" s="1"/>
  <c r="W892" i="2" s="1"/>
  <c r="O900" i="2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893" i="2"/>
  <c r="O894" i="2" s="1"/>
  <c r="O895" i="2" s="1"/>
  <c r="O896" i="2" s="1"/>
  <c r="O897" i="2" s="1"/>
  <c r="O898" i="2" s="1"/>
  <c r="O899" i="2" s="1"/>
  <c r="S893" i="2"/>
  <c r="W893" i="2" s="1"/>
  <c r="S896" i="2"/>
  <c r="S897" i="2"/>
  <c r="W897" i="2" s="1"/>
  <c r="S898" i="2"/>
  <c r="W898" i="2" s="1"/>
  <c r="V935" i="2"/>
  <c r="S899" i="2"/>
  <c r="W899" i="2" s="1"/>
  <c r="S900" i="2"/>
  <c r="W900" i="2" s="1"/>
  <c r="S907" i="2"/>
  <c r="W907" i="2" s="1"/>
  <c r="S908" i="2"/>
  <c r="W908" i="2" s="1"/>
  <c r="S909" i="2"/>
  <c r="W909" i="2" s="1"/>
  <c r="S912" i="2"/>
  <c r="W912" i="2" s="1"/>
  <c r="S913" i="2"/>
  <c r="W913" i="2"/>
  <c r="S914" i="2"/>
  <c r="W914" i="2" s="1"/>
  <c r="S915" i="2"/>
  <c r="W915" i="2"/>
  <c r="S916" i="2"/>
  <c r="W916" i="2" s="1"/>
  <c r="S917" i="2"/>
  <c r="W917" i="2"/>
  <c r="S918" i="2"/>
  <c r="W918" i="2"/>
  <c r="S919" i="2"/>
  <c r="W919" i="2" s="1"/>
  <c r="S920" i="2"/>
  <c r="W920" i="2" s="1"/>
  <c r="S921" i="2"/>
  <c r="W921" i="2"/>
  <c r="S922" i="2"/>
  <c r="W922" i="2" s="1"/>
  <c r="S923" i="2"/>
  <c r="W923" i="2"/>
  <c r="S924" i="2"/>
  <c r="W924" i="2" s="1"/>
  <c r="S925" i="2"/>
  <c r="W925" i="2"/>
  <c r="S926" i="2"/>
  <c r="W926" i="2"/>
  <c r="S927" i="2"/>
  <c r="W927" i="2" s="1"/>
  <c r="S928" i="2"/>
  <c r="W928" i="2" s="1"/>
  <c r="S929" i="2"/>
  <c r="W929" i="2"/>
  <c r="S930" i="2"/>
  <c r="W930" i="2" s="1"/>
  <c r="W931" i="2"/>
  <c r="S932" i="2"/>
  <c r="W932" i="2"/>
  <c r="W933" i="2"/>
  <c r="Q935" i="2"/>
  <c r="R935" i="2"/>
  <c r="D898" i="2"/>
  <c r="D897" i="2"/>
  <c r="G897" i="2" s="1"/>
  <c r="K897" i="2" s="1"/>
  <c r="J896" i="2"/>
  <c r="I896" i="2"/>
  <c r="D896" i="2"/>
  <c r="G896" i="2" s="1"/>
  <c r="K896" i="2" s="1"/>
  <c r="D895" i="2"/>
  <c r="G895" i="2" s="1"/>
  <c r="K895" i="2" s="1"/>
  <c r="D894" i="2"/>
  <c r="I893" i="2"/>
  <c r="D893" i="2"/>
  <c r="G893" i="2" s="1"/>
  <c r="K893" i="2" s="1"/>
  <c r="I892" i="2"/>
  <c r="D892" i="2"/>
  <c r="G892" i="2"/>
  <c r="C893" i="2"/>
  <c r="C894" i="2" s="1"/>
  <c r="C895" i="2" s="1"/>
  <c r="C896" i="2" s="1"/>
  <c r="C897" i="2" s="1"/>
  <c r="C898" i="2" s="1"/>
  <c r="G894" i="2"/>
  <c r="K894" i="2" s="1"/>
  <c r="G898" i="2"/>
  <c r="K898" i="2" s="1"/>
  <c r="G899" i="2"/>
  <c r="K899" i="2"/>
  <c r="G900" i="2"/>
  <c r="K900" i="2" s="1"/>
  <c r="G901" i="2"/>
  <c r="K901" i="2"/>
  <c r="G902" i="2"/>
  <c r="K902" i="2"/>
  <c r="G903" i="2"/>
  <c r="K903" i="2" s="1"/>
  <c r="G904" i="2"/>
  <c r="K904" i="2" s="1"/>
  <c r="G905" i="2"/>
  <c r="K905" i="2"/>
  <c r="G906" i="2"/>
  <c r="K906" i="2" s="1"/>
  <c r="G907" i="2"/>
  <c r="K907" i="2"/>
  <c r="G908" i="2"/>
  <c r="K908" i="2" s="1"/>
  <c r="G909" i="2"/>
  <c r="K909" i="2"/>
  <c r="G910" i="2"/>
  <c r="K910" i="2"/>
  <c r="G911" i="2"/>
  <c r="K911" i="2"/>
  <c r="G912" i="2"/>
  <c r="K912" i="2"/>
  <c r="G913" i="2"/>
  <c r="K913" i="2"/>
  <c r="G914" i="2"/>
  <c r="K914" i="2" s="1"/>
  <c r="G915" i="2"/>
  <c r="K915" i="2"/>
  <c r="G916" i="2"/>
  <c r="K916" i="2" s="1"/>
  <c r="G917" i="2"/>
  <c r="K917" i="2"/>
  <c r="G918" i="2"/>
  <c r="K918" i="2"/>
  <c r="G919" i="2"/>
  <c r="K919" i="2"/>
  <c r="G920" i="2"/>
  <c r="K920" i="2"/>
  <c r="G921" i="2"/>
  <c r="K921" i="2"/>
  <c r="G922" i="2"/>
  <c r="K922" i="2" s="1"/>
  <c r="G923" i="2"/>
  <c r="K923" i="2"/>
  <c r="G924" i="2"/>
  <c r="K924" i="2" s="1"/>
  <c r="G925" i="2"/>
  <c r="K925" i="2"/>
  <c r="G932" i="2"/>
  <c r="K932" i="2"/>
  <c r="E935" i="2"/>
  <c r="F935" i="2"/>
  <c r="J935" i="2"/>
  <c r="AI990" i="2" l="1"/>
  <c r="AE990" i="2"/>
  <c r="AB935" i="2"/>
  <c r="AE935" i="2"/>
  <c r="AI897" i="2"/>
  <c r="AI935" i="2" s="1"/>
  <c r="U935" i="2"/>
  <c r="P935" i="2"/>
  <c r="S935" i="2"/>
  <c r="W896" i="2"/>
  <c r="W935" i="2" s="1"/>
  <c r="I935" i="2"/>
  <c r="D935" i="2"/>
  <c r="K892" i="2"/>
  <c r="K935" i="2" s="1"/>
  <c r="G935" i="2"/>
  <c r="AG846" i="2"/>
  <c r="AB846" i="2"/>
  <c r="AG845" i="2"/>
  <c r="AB845" i="2"/>
  <c r="AE845" i="2" s="1"/>
  <c r="AI845" i="2" s="1"/>
  <c r="AB844" i="2"/>
  <c r="AE844" i="2" s="1"/>
  <c r="AI844" i="2" s="1"/>
  <c r="AG843" i="2"/>
  <c r="AG880" i="2" s="1"/>
  <c r="AB843" i="2"/>
  <c r="AB842" i="2"/>
  <c r="AE842" i="2" s="1"/>
  <c r="AI842" i="2" s="1"/>
  <c r="AG841" i="2"/>
  <c r="AB841" i="2"/>
  <c r="AB840" i="2"/>
  <c r="AB839" i="2"/>
  <c r="AG838" i="2"/>
  <c r="AB838" i="2"/>
  <c r="AG837" i="2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8" i="2"/>
  <c r="AI838" i="2" s="1"/>
  <c r="AE839" i="2"/>
  <c r="AI839" i="2" s="1"/>
  <c r="AH880" i="2"/>
  <c r="AE840" i="2"/>
  <c r="AE841" i="2"/>
  <c r="AI841" i="2" s="1"/>
  <c r="AE843" i="2"/>
  <c r="AE846" i="2"/>
  <c r="AI846" i="2"/>
  <c r="AE847" i="2"/>
  <c r="AI847" i="2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 s="1"/>
  <c r="AE854" i="2"/>
  <c r="AI854" i="2"/>
  <c r="AE855" i="2"/>
  <c r="AI855" i="2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 s="1"/>
  <c r="AE862" i="2"/>
  <c r="AI862" i="2"/>
  <c r="AE863" i="2"/>
  <c r="AI863" i="2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 s="1"/>
  <c r="AE870" i="2"/>
  <c r="AI870" i="2"/>
  <c r="AE871" i="2"/>
  <c r="AI871" i="2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P855" i="2"/>
  <c r="P854" i="2"/>
  <c r="P853" i="2"/>
  <c r="P852" i="2"/>
  <c r="P851" i="2"/>
  <c r="P850" i="2"/>
  <c r="S850" i="2" s="1"/>
  <c r="W850" i="2" s="1"/>
  <c r="U849" i="2"/>
  <c r="P849" i="2"/>
  <c r="P848" i="2"/>
  <c r="P847" i="2"/>
  <c r="S847" i="2" s="1"/>
  <c r="W847" i="2" s="1"/>
  <c r="P846" i="2"/>
  <c r="U845" i="2"/>
  <c r="P845" i="2"/>
  <c r="S845" i="2" s="1"/>
  <c r="P844" i="2"/>
  <c r="V843" i="2"/>
  <c r="V880" i="2" s="1"/>
  <c r="U843" i="2"/>
  <c r="P843" i="2"/>
  <c r="S843" i="2" s="1"/>
  <c r="P842" i="2"/>
  <c r="S842" i="2" s="1"/>
  <c r="W842" i="2" s="1"/>
  <c r="P841" i="2"/>
  <c r="U840" i="2"/>
  <c r="P840" i="2"/>
  <c r="S840" i="2" s="1"/>
  <c r="P839" i="2"/>
  <c r="S839" i="2" s="1"/>
  <c r="W839" i="2" s="1"/>
  <c r="P838" i="2"/>
  <c r="S838" i="2" s="1"/>
  <c r="W838" i="2" s="1"/>
  <c r="P837" i="2"/>
  <c r="O847" i="2"/>
  <c r="O848" i="2" s="1"/>
  <c r="O849" i="2" s="1"/>
  <c r="O850" i="2" s="1"/>
  <c r="O851" i="2" s="1"/>
  <c r="O852" i="2" s="1"/>
  <c r="O853" i="2" s="1"/>
  <c r="O854" i="2" s="1"/>
  <c r="O855" i="2" s="1"/>
  <c r="O839" i="2"/>
  <c r="O840" i="2"/>
  <c r="O841" i="2"/>
  <c r="O842" i="2"/>
  <c r="O843" i="2"/>
  <c r="O844" i="2"/>
  <c r="O846" i="2"/>
  <c r="O838" i="2"/>
  <c r="S841" i="2"/>
  <c r="W841" i="2"/>
  <c r="S844" i="2"/>
  <c r="W844" i="2" s="1"/>
  <c r="S846" i="2"/>
  <c r="W846" i="2" s="1"/>
  <c r="S848" i="2"/>
  <c r="W848" i="2" s="1"/>
  <c r="S849" i="2"/>
  <c r="W849" i="2" s="1"/>
  <c r="S851" i="2"/>
  <c r="W851" i="2" s="1"/>
  <c r="S852" i="2"/>
  <c r="W852" i="2" s="1"/>
  <c r="S853" i="2"/>
  <c r="W853" i="2" s="1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Q880" i="2"/>
  <c r="R880" i="2"/>
  <c r="D838" i="2"/>
  <c r="G838" i="2" s="1"/>
  <c r="K838" i="2" s="1"/>
  <c r="I837" i="2"/>
  <c r="I880" i="2" s="1"/>
  <c r="D837" i="2"/>
  <c r="G837" i="2" s="1"/>
  <c r="K837" i="2" s="1"/>
  <c r="C838" i="2"/>
  <c r="G839" i="2"/>
  <c r="G840" i="2"/>
  <c r="K840" i="2" s="1"/>
  <c r="G841" i="2"/>
  <c r="K841" i="2"/>
  <c r="G842" i="2"/>
  <c r="K842" i="2" s="1"/>
  <c r="G843" i="2"/>
  <c r="K843" i="2"/>
  <c r="G844" i="2"/>
  <c r="K844" i="2"/>
  <c r="G845" i="2"/>
  <c r="K845" i="2"/>
  <c r="G846" i="2"/>
  <c r="K846" i="2" s="1"/>
  <c r="G847" i="2"/>
  <c r="K847" i="2"/>
  <c r="G848" i="2"/>
  <c r="K848" i="2"/>
  <c r="G849" i="2"/>
  <c r="K849" i="2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/>
  <c r="G857" i="2"/>
  <c r="K857" i="2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J880" i="2"/>
  <c r="AI843" i="2" l="1"/>
  <c r="AB880" i="2"/>
  <c r="AI840" i="2"/>
  <c r="AE880" i="2"/>
  <c r="AI880" i="2"/>
  <c r="W845" i="2"/>
  <c r="W843" i="2"/>
  <c r="U880" i="2"/>
  <c r="W840" i="2"/>
  <c r="P880" i="2"/>
  <c r="S837" i="2"/>
  <c r="W837" i="2" s="1"/>
  <c r="D880" i="2"/>
  <c r="G880" i="2"/>
  <c r="K839" i="2"/>
  <c r="K880" i="2" s="1"/>
  <c r="AB791" i="2"/>
  <c r="AB790" i="2"/>
  <c r="AG789" i="2"/>
  <c r="AB789" i="2"/>
  <c r="AB788" i="2"/>
  <c r="AB787" i="2"/>
  <c r="AE787" i="2" s="1"/>
  <c r="AI787" i="2" s="1"/>
  <c r="AG825" i="2"/>
  <c r="AH825" i="2"/>
  <c r="AB786" i="2"/>
  <c r="AE786" i="2" s="1"/>
  <c r="AB785" i="2"/>
  <c r="AH784" i="2"/>
  <c r="AB784" i="2"/>
  <c r="AE784" i="2" s="1"/>
  <c r="AI784" i="2" s="1"/>
  <c r="AB783" i="2"/>
  <c r="AE783" i="2" s="1"/>
  <c r="AI783" i="2" s="1"/>
  <c r="AG782" i="2"/>
  <c r="AB782" i="2"/>
  <c r="AE782" i="2" s="1"/>
  <c r="AA785" i="2"/>
  <c r="AA786" i="2"/>
  <c r="AA787" i="2"/>
  <c r="AA788" i="2"/>
  <c r="AA789" i="2"/>
  <c r="AA790" i="2"/>
  <c r="AA791" i="2"/>
  <c r="AA783" i="2"/>
  <c r="AA784" i="2" s="1"/>
  <c r="AE785" i="2"/>
  <c r="AI785" i="2" s="1"/>
  <c r="AE788" i="2"/>
  <c r="AI788" i="2" s="1"/>
  <c r="AE789" i="2"/>
  <c r="AI789" i="2" s="1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 s="1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 s="1"/>
  <c r="AI823" i="2"/>
  <c r="AC825" i="2"/>
  <c r="AD825" i="2"/>
  <c r="V783" i="2"/>
  <c r="P783" i="2"/>
  <c r="V782" i="2"/>
  <c r="V825" i="2" s="1"/>
  <c r="U782" i="2"/>
  <c r="U825" i="2" s="1"/>
  <c r="P782" i="2"/>
  <c r="P825" i="2" s="1"/>
  <c r="O783" i="2"/>
  <c r="S783" i="2"/>
  <c r="W783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 s="1"/>
  <c r="S792" i="2"/>
  <c r="W792" i="2"/>
  <c r="S793" i="2"/>
  <c r="W793" i="2"/>
  <c r="S794" i="2"/>
  <c r="W794" i="2"/>
  <c r="S795" i="2"/>
  <c r="W795" i="2" s="1"/>
  <c r="S796" i="2"/>
  <c r="W796" i="2"/>
  <c r="S797" i="2"/>
  <c r="W797" i="2"/>
  <c r="S798" i="2"/>
  <c r="W798" i="2"/>
  <c r="S799" i="2"/>
  <c r="W799" i="2" s="1"/>
  <c r="S800" i="2"/>
  <c r="W800" i="2"/>
  <c r="S801" i="2"/>
  <c r="W801" i="2"/>
  <c r="S802" i="2"/>
  <c r="W802" i="2"/>
  <c r="S803" i="2"/>
  <c r="W803" i="2" s="1"/>
  <c r="S804" i="2"/>
  <c r="W804" i="2"/>
  <c r="S805" i="2"/>
  <c r="W805" i="2"/>
  <c r="S806" i="2"/>
  <c r="W806" i="2"/>
  <c r="S807" i="2"/>
  <c r="W807" i="2" s="1"/>
  <c r="S808" i="2"/>
  <c r="W808" i="2"/>
  <c r="S809" i="2"/>
  <c r="W809" i="2"/>
  <c r="S810" i="2"/>
  <c r="W810" i="2"/>
  <c r="S811" i="2"/>
  <c r="W811" i="2" s="1"/>
  <c r="S812" i="2"/>
  <c r="W812" i="2" s="1"/>
  <c r="S813" i="2"/>
  <c r="W813" i="2"/>
  <c r="S814" i="2"/>
  <c r="W814" i="2"/>
  <c r="S815" i="2"/>
  <c r="W815" i="2" s="1"/>
  <c r="S816" i="2"/>
  <c r="W816" i="2"/>
  <c r="S817" i="2"/>
  <c r="W817" i="2"/>
  <c r="S818" i="2"/>
  <c r="W818" i="2"/>
  <c r="S819" i="2"/>
  <c r="W819" i="2" s="1"/>
  <c r="S820" i="2"/>
  <c r="W820" i="2" s="1"/>
  <c r="W821" i="2"/>
  <c r="S822" i="2"/>
  <c r="W822" i="2"/>
  <c r="W823" i="2"/>
  <c r="Q825" i="2"/>
  <c r="R825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D783" i="2"/>
  <c r="G783" i="2" s="1"/>
  <c r="K783" i="2" s="1"/>
  <c r="D782" i="2"/>
  <c r="G782" i="2"/>
  <c r="K782" i="2" s="1"/>
  <c r="C783" i="2"/>
  <c r="C784" i="2"/>
  <c r="C785" i="2" s="1"/>
  <c r="C786" i="2" s="1"/>
  <c r="C787" i="2" s="1"/>
  <c r="C788" i="2" s="1"/>
  <c r="C789" i="2" s="1"/>
  <c r="G785" i="2"/>
  <c r="K785" i="2" s="1"/>
  <c r="G788" i="2"/>
  <c r="K788" i="2" s="1"/>
  <c r="G789" i="2"/>
  <c r="K789" i="2" s="1"/>
  <c r="G790" i="2"/>
  <c r="K790" i="2" s="1"/>
  <c r="G791" i="2"/>
  <c r="K791" i="2" s="1"/>
  <c r="G792" i="2"/>
  <c r="K792" i="2" s="1"/>
  <c r="G793" i="2"/>
  <c r="K793" i="2" s="1"/>
  <c r="G794" i="2"/>
  <c r="K794" i="2" s="1"/>
  <c r="G795" i="2"/>
  <c r="K795" i="2" s="1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 s="1"/>
  <c r="G802" i="2"/>
  <c r="K802" i="2" s="1"/>
  <c r="G803" i="2"/>
  <c r="K803" i="2"/>
  <c r="G804" i="2"/>
  <c r="K804" i="2"/>
  <c r="G805" i="2"/>
  <c r="K805" i="2" s="1"/>
  <c r="G806" i="2"/>
  <c r="K806" i="2" s="1"/>
  <c r="G807" i="2"/>
  <c r="K807" i="2"/>
  <c r="G808" i="2"/>
  <c r="K808" i="2" s="1"/>
  <c r="G809" i="2"/>
  <c r="K809" i="2" s="1"/>
  <c r="G810" i="2"/>
  <c r="K810" i="2" s="1"/>
  <c r="G811" i="2"/>
  <c r="K811" i="2"/>
  <c r="G812" i="2"/>
  <c r="K812" i="2"/>
  <c r="G813" i="2"/>
  <c r="K813" i="2" s="1"/>
  <c r="G814" i="2"/>
  <c r="K814" i="2" s="1"/>
  <c r="G815" i="2"/>
  <c r="K815" i="2"/>
  <c r="G822" i="2"/>
  <c r="K822" i="2" s="1"/>
  <c r="E825" i="2"/>
  <c r="F825" i="2"/>
  <c r="J825" i="2"/>
  <c r="W880" i="2" l="1"/>
  <c r="S880" i="2"/>
  <c r="AI786" i="2"/>
  <c r="AI825" i="2" s="1"/>
  <c r="AI782" i="2"/>
  <c r="AB825" i="2"/>
  <c r="AE825" i="2"/>
  <c r="S782" i="2"/>
  <c r="W782" i="2" s="1"/>
  <c r="W825" i="2" s="1"/>
  <c r="S825" i="2"/>
  <c r="K786" i="2"/>
  <c r="D825" i="2"/>
  <c r="K825" i="2"/>
  <c r="G825" i="2"/>
  <c r="AG729" i="2"/>
  <c r="AH729" i="2"/>
  <c r="AH770" i="2" s="1"/>
  <c r="AB729" i="2"/>
  <c r="AB728" i="2"/>
  <c r="AG727" i="2"/>
  <c r="AG770" i="2" s="1"/>
  <c r="AB727" i="2"/>
  <c r="AE727" i="2"/>
  <c r="AI727" i="2" s="1"/>
  <c r="AA728" i="2"/>
  <c r="AE728" i="2"/>
  <c r="AI728" i="2" s="1"/>
  <c r="AA729" i="2"/>
  <c r="AB770" i="2"/>
  <c r="AE730" i="2"/>
  <c r="AI730" i="2" s="1"/>
  <c r="AE731" i="2"/>
  <c r="AI731" i="2" s="1"/>
  <c r="AE732" i="2"/>
  <c r="AI732" i="2"/>
  <c r="AE733" i="2"/>
  <c r="AI733" i="2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 s="1"/>
  <c r="AE747" i="2"/>
  <c r="AI747" i="2"/>
  <c r="AE748" i="2"/>
  <c r="AI748" i="2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 s="1"/>
  <c r="AE755" i="2"/>
  <c r="AI755" i="2"/>
  <c r="AE756" i="2"/>
  <c r="AI756" i="2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 s="1"/>
  <c r="AE763" i="2"/>
  <c r="AI763" i="2"/>
  <c r="AE764" i="2"/>
  <c r="AI764" i="2"/>
  <c r="AE765" i="2"/>
  <c r="AI765" i="2"/>
  <c r="AI766" i="2"/>
  <c r="AE767" i="2"/>
  <c r="AI767" i="2"/>
  <c r="AI768" i="2"/>
  <c r="AC770" i="2"/>
  <c r="AD770" i="2"/>
  <c r="P735" i="2"/>
  <c r="S735" i="2" s="1"/>
  <c r="W735" i="2" s="1"/>
  <c r="P734" i="2"/>
  <c r="V733" i="2"/>
  <c r="V770" i="2" s="1"/>
  <c r="P733" i="2"/>
  <c r="U732" i="2"/>
  <c r="W732" i="2" s="1"/>
  <c r="P732" i="2"/>
  <c r="P731" i="2"/>
  <c r="S731" i="2" s="1"/>
  <c r="W731" i="2" s="1"/>
  <c r="U730" i="2"/>
  <c r="P730" i="2"/>
  <c r="U729" i="2"/>
  <c r="U770" i="2" s="1"/>
  <c r="P729" i="2"/>
  <c r="S729" i="2" s="1"/>
  <c r="P728" i="2"/>
  <c r="S728" i="2" s="1"/>
  <c r="W728" i="2" s="1"/>
  <c r="P727" i="2"/>
  <c r="S727" i="2" s="1"/>
  <c r="O728" i="2"/>
  <c r="O729" i="2" s="1"/>
  <c r="O730" i="2" s="1"/>
  <c r="O731" i="2" s="1"/>
  <c r="O732" i="2" s="1"/>
  <c r="O733" i="2" s="1"/>
  <c r="O734" i="2" s="1"/>
  <c r="O735" i="2" s="1"/>
  <c r="S730" i="2"/>
  <c r="W730" i="2" s="1"/>
  <c r="S732" i="2"/>
  <c r="S733" i="2"/>
  <c r="S734" i="2"/>
  <c r="W734" i="2"/>
  <c r="S736" i="2"/>
  <c r="W736" i="2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/>
  <c r="S744" i="2"/>
  <c r="W744" i="2"/>
  <c r="S745" i="2"/>
  <c r="W745" i="2"/>
  <c r="S746" i="2"/>
  <c r="W746" i="2" s="1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AE729" i="2" l="1"/>
  <c r="W733" i="2"/>
  <c r="W729" i="2"/>
  <c r="W727" i="2"/>
  <c r="W770" i="2" s="1"/>
  <c r="S770" i="2"/>
  <c r="P770" i="2"/>
  <c r="D743" i="2"/>
  <c r="G743" i="2" s="1"/>
  <c r="K743" i="2" s="1"/>
  <c r="D742" i="2"/>
  <c r="G742" i="2" s="1"/>
  <c r="K742" i="2" s="1"/>
  <c r="D741" i="2"/>
  <c r="G741" i="2" s="1"/>
  <c r="K741" i="2" s="1"/>
  <c r="D740" i="2"/>
  <c r="G740" i="2" s="1"/>
  <c r="K740" i="2" s="1"/>
  <c r="D739" i="2"/>
  <c r="D738" i="2"/>
  <c r="D737" i="2"/>
  <c r="D736" i="2"/>
  <c r="G736" i="2" s="1"/>
  <c r="K736" i="2" s="1"/>
  <c r="D735" i="2"/>
  <c r="D734" i="2"/>
  <c r="D733" i="2"/>
  <c r="D732" i="2"/>
  <c r="G732" i="2" s="1"/>
  <c r="K732" i="2" s="1"/>
  <c r="D731" i="2"/>
  <c r="G731" i="2" s="1"/>
  <c r="K731" i="2" s="1"/>
  <c r="D730" i="2"/>
  <c r="D729" i="2"/>
  <c r="G729" i="2" s="1"/>
  <c r="K729" i="2" s="1"/>
  <c r="D728" i="2"/>
  <c r="G728" i="2" s="1"/>
  <c r="K728" i="2" s="1"/>
  <c r="D727" i="2"/>
  <c r="G727" i="2"/>
  <c r="K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J770" i="2"/>
  <c r="G730" i="2"/>
  <c r="K730" i="2"/>
  <c r="G733" i="2"/>
  <c r="K733" i="2" s="1"/>
  <c r="G734" i="2"/>
  <c r="K734" i="2"/>
  <c r="G735" i="2"/>
  <c r="K735" i="2" s="1"/>
  <c r="G737" i="2"/>
  <c r="K737" i="2"/>
  <c r="G738" i="2"/>
  <c r="K738" i="2" s="1"/>
  <c r="G739" i="2"/>
  <c r="K739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 s="1"/>
  <c r="G750" i="2"/>
  <c r="K750" i="2"/>
  <c r="G751" i="2"/>
  <c r="K751" i="2" s="1"/>
  <c r="G752" i="2"/>
  <c r="K752" i="2"/>
  <c r="G753" i="2"/>
  <c r="K753" i="2"/>
  <c r="G754" i="2"/>
  <c r="K754" i="2"/>
  <c r="G755" i="2"/>
  <c r="K755" i="2"/>
  <c r="G756" i="2"/>
  <c r="K756" i="2"/>
  <c r="G757" i="2"/>
  <c r="K757" i="2" s="1"/>
  <c r="G758" i="2"/>
  <c r="K758" i="2"/>
  <c r="G759" i="2"/>
  <c r="K759" i="2" s="1"/>
  <c r="G760" i="2"/>
  <c r="K760" i="2"/>
  <c r="G767" i="2"/>
  <c r="K767" i="2"/>
  <c r="E770" i="2"/>
  <c r="F770" i="2"/>
  <c r="I770" i="2"/>
  <c r="AI729" i="2" l="1"/>
  <c r="AI770" i="2" s="1"/>
  <c r="AE770" i="2"/>
  <c r="D770" i="2"/>
  <c r="K770" i="2"/>
  <c r="G770" i="2"/>
  <c r="AH674" i="2"/>
  <c r="AH715" i="2" s="1"/>
  <c r="AB674" i="2"/>
  <c r="AH673" i="2"/>
  <c r="AB673" i="2"/>
  <c r="AG672" i="2"/>
  <c r="AG715" i="2" s="1"/>
  <c r="AB672" i="2"/>
  <c r="AB715" i="2" s="1"/>
  <c r="AA673" i="2"/>
  <c r="AA674" i="2" s="1"/>
  <c r="AE673" i="2"/>
  <c r="AI673" i="2" s="1"/>
  <c r="AE674" i="2"/>
  <c r="AE675" i="2"/>
  <c r="AI675" i="2" s="1"/>
  <c r="AE676" i="2"/>
  <c r="AI676" i="2"/>
  <c r="AE677" i="2"/>
  <c r="AI677" i="2" s="1"/>
  <c r="AE678" i="2"/>
  <c r="AI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/>
  <c r="AE685" i="2"/>
  <c r="AI685" i="2" s="1"/>
  <c r="AE686" i="2"/>
  <c r="AI686" i="2"/>
  <c r="AE687" i="2"/>
  <c r="AI687" i="2" s="1"/>
  <c r="AE688" i="2"/>
  <c r="AI688" i="2"/>
  <c r="AE689" i="2"/>
  <c r="AI689" i="2"/>
  <c r="AE690" i="2"/>
  <c r="AI690" i="2"/>
  <c r="AE691" i="2"/>
  <c r="AI691" i="2"/>
  <c r="AE692" i="2"/>
  <c r="AI692" i="2"/>
  <c r="AE693" i="2"/>
  <c r="AI693" i="2" s="1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 s="1"/>
  <c r="AE702" i="2"/>
  <c r="AI702" i="2"/>
  <c r="AE703" i="2"/>
  <c r="AI703" i="2" s="1"/>
  <c r="AE704" i="2"/>
  <c r="AI704" i="2"/>
  <c r="AE705" i="2"/>
  <c r="AI705" i="2"/>
  <c r="AE706" i="2"/>
  <c r="AI706" i="2"/>
  <c r="AE707" i="2"/>
  <c r="AI707" i="2"/>
  <c r="AE708" i="2"/>
  <c r="AI708" i="2"/>
  <c r="AE709" i="2"/>
  <c r="AI709" i="2" s="1"/>
  <c r="AE710" i="2"/>
  <c r="AI710" i="2"/>
  <c r="AI711" i="2"/>
  <c r="AE712" i="2"/>
  <c r="AI712" i="2"/>
  <c r="AI713" i="2"/>
  <c r="AC715" i="2"/>
  <c r="AD715" i="2"/>
  <c r="V676" i="2"/>
  <c r="U676" i="2"/>
  <c r="P676" i="2"/>
  <c r="S676" i="2" s="1"/>
  <c r="W676" i="2" s="1"/>
  <c r="P675" i="2"/>
  <c r="S675" i="2" s="1"/>
  <c r="W675" i="2" s="1"/>
  <c r="P674" i="2"/>
  <c r="V673" i="2"/>
  <c r="P672" i="2"/>
  <c r="S672" i="2"/>
  <c r="W672" i="2" s="1"/>
  <c r="O673" i="2"/>
  <c r="S673" i="2"/>
  <c r="O674" i="2"/>
  <c r="O675" i="2" s="1"/>
  <c r="U715" i="2"/>
  <c r="S677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 s="1"/>
  <c r="W711" i="2"/>
  <c r="S712" i="2"/>
  <c r="W712" i="2"/>
  <c r="W713" i="2"/>
  <c r="Q715" i="2"/>
  <c r="R715" i="2"/>
  <c r="V715" i="2"/>
  <c r="J674" i="2"/>
  <c r="D674" i="2"/>
  <c r="G674" i="2" s="1"/>
  <c r="K674" i="2" s="1"/>
  <c r="D673" i="2"/>
  <c r="G673" i="2" s="1"/>
  <c r="K673" i="2" s="1"/>
  <c r="D672" i="2"/>
  <c r="G672" i="2"/>
  <c r="K672" i="2" s="1"/>
  <c r="C673" i="2"/>
  <c r="C674" i="2" s="1"/>
  <c r="G675" i="2"/>
  <c r="I715" i="2"/>
  <c r="G676" i="2"/>
  <c r="K676" i="2" s="1"/>
  <c r="G677" i="2"/>
  <c r="K677" i="2" s="1"/>
  <c r="G678" i="2"/>
  <c r="K678" i="2" s="1"/>
  <c r="G679" i="2"/>
  <c r="K679" i="2"/>
  <c r="G680" i="2"/>
  <c r="K680" i="2" s="1"/>
  <c r="G681" i="2"/>
  <c r="K681" i="2" s="1"/>
  <c r="G682" i="2"/>
  <c r="K682" i="2" s="1"/>
  <c r="G683" i="2"/>
  <c r="K683" i="2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J715" i="2"/>
  <c r="AI674" i="2" l="1"/>
  <c r="AE672" i="2"/>
  <c r="AI672" i="2" s="1"/>
  <c r="AE715" i="2"/>
  <c r="P715" i="2"/>
  <c r="W673" i="2"/>
  <c r="S674" i="2"/>
  <c r="W674" i="2" s="1"/>
  <c r="D715" i="2"/>
  <c r="K675" i="2"/>
  <c r="K715" i="2" s="1"/>
  <c r="G715" i="2"/>
  <c r="AB622" i="2"/>
  <c r="AE622" i="2" s="1"/>
  <c r="AI622" i="2" s="1"/>
  <c r="AB621" i="2"/>
  <c r="AG620" i="2"/>
  <c r="AB620" i="2"/>
  <c r="AB660" i="2" s="1"/>
  <c r="AB619" i="2"/>
  <c r="AB618" i="2"/>
  <c r="AB617" i="2"/>
  <c r="AE617" i="2"/>
  <c r="AA618" i="2"/>
  <c r="AA619" i="2" s="1"/>
  <c r="AA620" i="2" s="1"/>
  <c r="AA621" i="2" s="1"/>
  <c r="AA622" i="2" s="1"/>
  <c r="AE618" i="2"/>
  <c r="AI618" i="2" s="1"/>
  <c r="AE619" i="2"/>
  <c r="AI619" i="2"/>
  <c r="AG660" i="2"/>
  <c r="AE621" i="2"/>
  <c r="AI621" i="2" s="1"/>
  <c r="AE623" i="2"/>
  <c r="AI623" i="2" s="1"/>
  <c r="AE624" i="2"/>
  <c r="AI624" i="2" s="1"/>
  <c r="AE625" i="2"/>
  <c r="AI625" i="2" s="1"/>
  <c r="AE626" i="2"/>
  <c r="AI626" i="2" s="1"/>
  <c r="AE627" i="2"/>
  <c r="AI627" i="2"/>
  <c r="AE628" i="2"/>
  <c r="AI628" i="2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/>
  <c r="AE648" i="2"/>
  <c r="AI648" i="2"/>
  <c r="AE649" i="2"/>
  <c r="AI649" i="2" s="1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/>
  <c r="AI656" i="2"/>
  <c r="AE657" i="2"/>
  <c r="AI657" i="2"/>
  <c r="AI658" i="2"/>
  <c r="AC660" i="2"/>
  <c r="AD660" i="2"/>
  <c r="AH660" i="2"/>
  <c r="V620" i="2"/>
  <c r="U620" i="2"/>
  <c r="P620" i="2"/>
  <c r="U619" i="2"/>
  <c r="P619" i="2"/>
  <c r="P618" i="2"/>
  <c r="S618" i="2" s="1"/>
  <c r="W618" i="2" s="1"/>
  <c r="V617" i="2"/>
  <c r="V660" i="2" s="1"/>
  <c r="P617" i="2"/>
  <c r="S617" i="2" s="1"/>
  <c r="O618" i="2"/>
  <c r="O619" i="2" s="1"/>
  <c r="O620" i="2" s="1"/>
  <c r="S619" i="2"/>
  <c r="W619" i="2" s="1"/>
  <c r="S620" i="2"/>
  <c r="W620" i="2" s="1"/>
  <c r="S621" i="2"/>
  <c r="W621" i="2"/>
  <c r="S622" i="2"/>
  <c r="W622" i="2" s="1"/>
  <c r="S623" i="2"/>
  <c r="W623" i="2"/>
  <c r="S624" i="2"/>
  <c r="W624" i="2"/>
  <c r="S625" i="2"/>
  <c r="W625" i="2" s="1"/>
  <c r="S626" i="2"/>
  <c r="W626" i="2" s="1"/>
  <c r="S627" i="2"/>
  <c r="W627" i="2"/>
  <c r="S628" i="2"/>
  <c r="W628" i="2"/>
  <c r="S629" i="2"/>
  <c r="W629" i="2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 s="1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 s="1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U660" i="2"/>
  <c r="D634" i="2"/>
  <c r="G634" i="2"/>
  <c r="K634" i="2" s="1"/>
  <c r="C634" i="2"/>
  <c r="D633" i="2"/>
  <c r="G633" i="2" s="1"/>
  <c r="K633" i="2" s="1"/>
  <c r="D632" i="2"/>
  <c r="D631" i="2"/>
  <c r="G631" i="2" s="1"/>
  <c r="K631" i="2" s="1"/>
  <c r="D630" i="2"/>
  <c r="G630" i="2" s="1"/>
  <c r="K630" i="2" s="1"/>
  <c r="D629" i="2"/>
  <c r="G629" i="2" s="1"/>
  <c r="K629" i="2" s="1"/>
  <c r="D628" i="2"/>
  <c r="G628" i="2" s="1"/>
  <c r="K628" i="2" s="1"/>
  <c r="D627" i="2"/>
  <c r="D626" i="2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I620" i="2"/>
  <c r="D620" i="2"/>
  <c r="D619" i="2"/>
  <c r="G619" i="2" s="1"/>
  <c r="K619" i="2" s="1"/>
  <c r="D618" i="2"/>
  <c r="D617" i="2"/>
  <c r="G617" i="2"/>
  <c r="K617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G618" i="2"/>
  <c r="K618" i="2" s="1"/>
  <c r="I660" i="2"/>
  <c r="G620" i="2"/>
  <c r="K620" i="2" s="1"/>
  <c r="G626" i="2"/>
  <c r="K626" i="2" s="1"/>
  <c r="G627" i="2"/>
  <c r="K627" i="2" s="1"/>
  <c r="G632" i="2"/>
  <c r="K632" i="2"/>
  <c r="G635" i="2"/>
  <c r="K635" i="2" s="1"/>
  <c r="G636" i="2"/>
  <c r="K636" i="2"/>
  <c r="G637" i="2"/>
  <c r="K637" i="2"/>
  <c r="G638" i="2"/>
  <c r="K638" i="2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/>
  <c r="G647" i="2"/>
  <c r="K647" i="2"/>
  <c r="G648" i="2"/>
  <c r="K648" i="2"/>
  <c r="G649" i="2"/>
  <c r="K649" i="2" s="1"/>
  <c r="G650" i="2"/>
  <c r="K650" i="2"/>
  <c r="G657" i="2"/>
  <c r="K657" i="2"/>
  <c r="E660" i="2"/>
  <c r="F660" i="2"/>
  <c r="J660" i="2"/>
  <c r="AI715" i="2" l="1"/>
  <c r="W715" i="2"/>
  <c r="S715" i="2"/>
  <c r="AE620" i="2"/>
  <c r="AI620" i="2" s="1"/>
  <c r="AI617" i="2"/>
  <c r="W617" i="2"/>
  <c r="P660" i="2"/>
  <c r="S660" i="2"/>
  <c r="W660" i="2"/>
  <c r="D660" i="2"/>
  <c r="K660" i="2"/>
  <c r="G660" i="2"/>
  <c r="P579" i="2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AI660" i="2" l="1"/>
  <c r="AE660" i="2"/>
  <c r="P605" i="2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J32" i="1"/>
  <c r="D32" i="1" s="1"/>
  <c r="J33" i="1"/>
  <c r="D33" i="1" s="1"/>
  <c r="J34" i="1"/>
  <c r="J36" i="1"/>
  <c r="D36" i="1" s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17" authorId="0" shapeId="0" xr:uid="{7D17BFFA-FE56-43C8-9C0A-15956B60A9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617" authorId="0" shapeId="0" xr:uid="{31F20DC8-FEC1-4B0F-8768-A8911820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617" authorId="0" shapeId="0" xr:uid="{E50958D6-D347-4911-91F6-E499459859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C618" authorId="0" shapeId="0" xr:uid="{44D54750-B415-4589-94E8-54D91BCC6E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BATION
PIAO, SINDANGAN</t>
        </r>
      </text>
    </comment>
    <comment ref="O618" authorId="0" shapeId="0" xr:uid="{9C7CC35D-68D8-40A0-9A44-E5B5200612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1A41F10C-8186-4481-9E5C-7A318A1910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BA5C8E6F-EDB3-4553-9248-81C6BE3CF9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19" authorId="0" shapeId="0" xr:uid="{4B9C0296-FCD0-400A-A722-FC63FFF24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ALDRIN TOBIAS / WCDC STORE
MANDIH, SINDANGAN</t>
        </r>
      </text>
    </comment>
    <comment ref="AA619" authorId="0" shapeId="0" xr:uid="{7F6E6689-8D66-402C-82E9-8AD55DABBB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620" authorId="0" shapeId="0" xr:uid="{2C98400E-6E94-4A0D-B00F-F65CAA509D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620" authorId="0" shapeId="0" xr:uid="{D8EF10FC-86EF-4CE5-9450-9D16861D3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620" authorId="0" shapeId="0" xr:uid="{DB8DBB1C-3B4C-4B0F-B3C6-4BB10DA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ALBERT, TAN
BAYBAY, LILOY</t>
        </r>
      </text>
    </comment>
    <comment ref="C621" authorId="0" shapeId="0" xr:uid="{EA5B40F9-765D-4648-B488-F3DA396BD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ALFREDO CATIG
POB, SIAYAN</t>
        </r>
      </text>
    </comment>
    <comment ref="AA621" authorId="0" shapeId="0" xr:uid="{EACF3267-8ECA-4808-8192-39E12177DB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22" authorId="0" shapeId="0" xr:uid="{47D6EBD6-6E36-4070-ACF1-2C8F6EDF1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AA622" authorId="0" shapeId="0" xr:uid="{7D2778D6-3317-4942-B469-4DF3F215AC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623" authorId="0" shapeId="0" xr:uid="{8F1F58AE-200C-4050-8181-0991A4B3F5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C624" authorId="0" shapeId="0" xr:uid="{93152EFB-6081-4018-968B-FE3E352A0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C625" authorId="0" shapeId="0" xr:uid="{FED230A3-C28A-4614-AB8F-AF4EEA5FB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626" authorId="0" shapeId="0" xr:uid="{854D0184-DFA4-413A-8A9D-6DC25A171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627" authorId="0" shapeId="0" xr:uid="{C54C13D4-FB06-4572-B4D2-927C461A7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628" authorId="0" shapeId="0" xr:uid="{4A995678-8424-46F2-BBFB-27E25F5C2C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629" authorId="0" shapeId="0" xr:uid="{3AB64E9E-9F22-493E-9FB1-8CA43A6B2E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630" authorId="0" shapeId="0" xr:uid="{81E5C336-CEA4-4F95-915D-A0D777B122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631" authorId="0" shapeId="0" xr:uid="{1D6B5110-3B94-487C-9793-BDA010EA0E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632" authorId="0" shapeId="0" xr:uid="{85868370-64A7-4486-A444-1269C73A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C633" authorId="0" shapeId="0" xr:uid="{8B416FB6-EB23-404B-B8F8-E3D3A6054F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634" authorId="0" shapeId="0" xr:uid="{E823D804-4519-4277-8ECF-268587F363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SOUNDCHECK
POB, SINDANGAN</t>
        </r>
      </text>
    </comment>
    <comment ref="C672" authorId="0" shapeId="0" xr:uid="{B752CF3B-3334-4802-9E08-131BFC7606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672" authorId="0" shapeId="0" xr:uid="{94D22536-1EAE-427E-9BA5-801AF3C275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672" authorId="0" shapeId="0" xr:uid="{37B53540-5D77-4967-9641-6EE36D416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VILMA
POB, SALUG</t>
        </r>
      </text>
    </comment>
    <comment ref="C673" authorId="0" shapeId="0" xr:uid="{83EFB1AA-C0AD-4935-B7C3-C872359A61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673" authorId="0" shapeId="0" xr:uid="{B065AF2E-A2E9-41BF-9636-E2D3AC9D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3" authorId="0" shapeId="0" xr:uid="{32791BE7-B0DA-471A-9316-16ECE15B5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674" authorId="0" shapeId="0" xr:uid="{24F7DEE5-9E94-4846-9AFD-64C57CBBA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674" authorId="0" shapeId="0" xr:uid="{98E06EE0-4B6B-4FF6-9538-3BB4CD5C9E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74" authorId="0" shapeId="0" xr:uid="{688394F6-3C93-4F03-B756-FC4C8A34EE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SALENAS
SALUG COCKPIT
CARACOL, SALUG</t>
        </r>
      </text>
    </comment>
    <comment ref="O675" authorId="0" shapeId="0" xr:uid="{DB7FEA18-4170-4E3D-8901-A2AC0A3ED1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O676" authorId="0" shapeId="0" xr:uid="{B2A60632-A792-4A0C-81BE-54BE88E0A8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C727" authorId="0" shapeId="0" xr:uid="{91DE84AD-2251-411C-8D12-5D2528DB9C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27" authorId="0" shapeId="0" xr:uid="{5AB72F29-7786-44BA-B39F-BE943813E0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INUMAN, SINDANGAN</t>
        </r>
      </text>
    </comment>
    <comment ref="AA727" authorId="0" shapeId="0" xr:uid="{D47ECA81-007E-4D89-9B7F-67AED9AF6E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728" authorId="0" shapeId="0" xr:uid="{AFFBBD00-8940-4B39-A56E-D91DCE23DA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728" authorId="0" shapeId="0" xr:uid="{D3503D2B-F545-40FF-8EE3-B004E646A8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JAMORA
POB, BACUNGAN</t>
        </r>
      </text>
    </comment>
    <comment ref="AA728" authorId="0" shapeId="0" xr:uid="{13FE3A29-8E90-4F68-BA26-7EE2C89468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729" authorId="0" shapeId="0" xr:uid="{6D7FBD9D-DAA8-4334-A229-577EF442E9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A367DA0B-A9BA-4F05-9F1F-755C9EC6AE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729" authorId="0" shapeId="0" xr:uid="{D2ABA186-D7AA-4B22-B007-46251F1962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814FC09D-64DB-4ABE-8713-004604E8F4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0EC32471-0E3B-4A45-B1DC-1DBA1BD216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JENIFFER AVILA
POB, BACUNGAN</t>
        </r>
      </text>
    </comment>
    <comment ref="C731" authorId="0" shapeId="0" xr:uid="{74FBA3F8-C799-4A0B-A355-94988821E8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731" authorId="0" shapeId="0" xr:uid="{B3D39E6C-1110-4F5B-8335-601E97DFB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C732" authorId="0" shapeId="0" xr:uid="{528A3042-F7E5-47E1-AB55-A3862C1FD9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732" authorId="0" shapeId="0" xr:uid="{9E523A98-0AC8-42AF-B5A8-B17995EFAE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3" authorId="0" shapeId="0" xr:uid="{65ED2C89-106D-4FBE-A0F3-F63CB23F3E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RHM STORE
LAGAG, SINDANGAN</t>
        </r>
      </text>
    </comment>
    <comment ref="O733" authorId="0" shapeId="0" xr:uid="{072D5FCA-0CBD-4C70-BBEC-6D5E174C2B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734" authorId="0" shapeId="0" xr:uid="{94BCFF60-01DD-4B74-8ED6-816F9C3C0E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34" authorId="0" shapeId="0" xr:uid="{6D8EF890-ADC9-4341-8764-EF2DCEB5B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CARIÑO
GOLEO, SINDANGAN</t>
        </r>
      </text>
    </comment>
    <comment ref="C735" authorId="0" shapeId="0" xr:uid="{1B1BF8B7-2D84-493C-8A90-D032AE2C9F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735" authorId="0" shapeId="0" xr:uid="{FC0E5BF6-6C11-4B79-8AF3-273709E469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3FAFBEA0-C027-4638-A7C1-F20DBC8897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C737" authorId="0" shapeId="0" xr:uid="{CA4255DC-0E78-43FA-B412-84B54ECD5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STORE
DENOYAN, SIAYAN</t>
        </r>
      </text>
    </comment>
    <comment ref="C738" authorId="0" shapeId="0" xr:uid="{7BA1F048-38D9-44A5-AC99-9C37F9C849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WILSON VILLARUBIA
DENOYAN, SIAYAN</t>
        </r>
      </text>
    </comment>
    <comment ref="C739" authorId="0" shapeId="0" xr:uid="{D6DB0A81-03DC-4329-B931-4AB08F3107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740" authorId="0" shapeId="0" xr:uid="{D910F4D4-B468-4A52-9DFE-A89B4CDB78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741" authorId="0" shapeId="0" xr:uid="{1980D967-2DC5-4216-8E2C-CCC503B9B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742" authorId="0" shapeId="0" xr:uid="{E1BBE5A7-96D6-4C72-8C39-821DBABBC8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3" authorId="0" shapeId="0" xr:uid="{2BCF37B2-E6D2-4DC0-8B1F-19400262B3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C782" authorId="0" shapeId="0" xr:uid="{BE377993-5EBB-40E4-8165-A48A34868C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782" authorId="0" shapeId="0" xr:uid="{70FFEC61-B46F-4299-989E-F3F6E62890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782" authorId="0" shapeId="0" xr:uid="{11F25488-BE33-4DE1-8AC2-01FF7C2602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3" authorId="0" shapeId="0" xr:uid="{7915F275-1DF8-4769-8E1C-D31DCE1505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O783" authorId="0" shapeId="0" xr:uid="{52DC4688-EB4D-4986-B7C0-7CBABC305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783" authorId="0" shapeId="0" xr:uid="{AAA50B24-505E-49EA-901B-B703B9535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4" authorId="0" shapeId="0" xr:uid="{92AF5874-CAD0-475F-8984-8ADF7EC471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AA784" authorId="0" shapeId="0" xr:uid="{A8081BD7-6B59-4C4A-BA4B-748117F038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785" authorId="0" shapeId="0" xr:uid="{6B232439-C44B-4DDC-AE41-143BEA9D0F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AA785" authorId="0" shapeId="0" xr:uid="{66154677-213F-4F68-AA89-6F2EBB841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786" authorId="0" shapeId="0" xr:uid="{8F11B3C4-F8B1-43A7-80BA-FF54FF7A7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IVY ONES
LABAKID, SINDANGAN</t>
        </r>
      </text>
    </comment>
    <comment ref="AA786" authorId="0" shapeId="0" xr:uid="{C1879D1D-1577-4C9C-954F-3B5B3A0D13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787" authorId="0" shapeId="0" xr:uid="{1868EC73-2A59-4A5E-B030-C04C90A814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CRISTINE DEPOSA
DEPOSA STORE
DICOYONG, SINDANGAN</t>
        </r>
      </text>
    </comment>
    <comment ref="AA787" authorId="0" shapeId="0" xr:uid="{0A344D36-D7D3-4812-9DA4-B5F30A18F1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788" authorId="0" shapeId="0" xr:uid="{30D8B568-6080-4B9A-8D78-CE67B43075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788" authorId="0" shapeId="0" xr:uid="{8C757C70-E919-4B27-BCA2-6034AFC9D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789" authorId="0" shapeId="0" xr:uid="{74758BC9-8D75-49F5-A6F4-C3A37064E9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STORE
DAPAON, SINDANGAN</t>
        </r>
      </text>
    </comment>
    <comment ref="AA789" authorId="0" shapeId="0" xr:uid="{1E95BDE7-DC43-4AB0-A63C-A4F1EA423D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AA790" authorId="0" shapeId="0" xr:uid="{11C52CBA-4774-4C6E-B699-F4B403016A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AA791" authorId="0" shapeId="0" xr:uid="{700422E6-7A8B-4900-86DA-99603B4811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POB, SALUG</t>
        </r>
      </text>
    </comment>
    <comment ref="C837" authorId="0" shapeId="0" xr:uid="{761E29A2-39F1-4740-B07F-A98B57E5D8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37" authorId="0" shapeId="0" xr:uid="{EDFEA8E7-06B4-4908-87ED-C532247A33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APRIL ROSE STORE
GOLEO, SINDANGAN</t>
        </r>
      </text>
    </comment>
    <comment ref="AA837" authorId="0" shapeId="0" xr:uid="{ACFB7C42-26A4-4C96-83AD-00096008AF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7151671D-FE14-4186-BEDB-84B607071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STORE
GUNYAN, SIAYAN</t>
        </r>
      </text>
    </comment>
    <comment ref="O838" authorId="0" shapeId="0" xr:uid="{E7223C79-3E19-477B-A79C-57E648F68D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838" authorId="0" shapeId="0" xr:uid="{AE396F8A-7BE2-4A59-B6BD-3CAC4E36CA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BACONG
BACONG, SALUG</t>
        </r>
      </text>
    </comment>
    <comment ref="O839" authorId="0" shapeId="0" xr:uid="{69F07B3A-6CA2-4CB0-B6EC-07E90EEB02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839" authorId="0" shapeId="0" xr:uid="{CEFBD633-A16E-45DF-A463-99B0B9397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ARLYN AMIT
BACONG, SALUG</t>
        </r>
      </text>
    </comment>
    <comment ref="O840" authorId="0" shapeId="0" xr:uid="{324847EF-FB3F-4757-AFA2-8E73F6BC2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 NILFA
GOLEO, SINDANGAN</t>
        </r>
      </text>
    </comment>
    <comment ref="AA840" authorId="0" shapeId="0" xr:uid="{83F75FE1-96EB-4E3F-8B58-E034AFA67D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 MARY ANN
BACONG, SALUG</t>
        </r>
      </text>
    </comment>
    <comment ref="O841" authorId="0" shapeId="0" xr:uid="{D3580B6B-797D-4F73-8D55-E9CFD55C7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AA841" authorId="0" shapeId="0" xr:uid="{8A296088-0CFA-4EDC-824B-978171DF4D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842" authorId="0" shapeId="0" xr:uid="{849B97F9-4968-48E2-8FCF-876CECED8D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842" authorId="0" shapeId="0" xr:uid="{2F943E6A-B18B-4FD6-94B7-525F84DCC0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POB, SALUG</t>
        </r>
      </text>
    </comment>
    <comment ref="O843" authorId="0" shapeId="0" xr:uid="{9938839E-50E0-4993-9840-B93EA15C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843" authorId="0" shapeId="0" xr:uid="{4985293E-EA91-4837-BCCF-8619338EE5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844" authorId="0" shapeId="0" xr:uid="{C8C9A5E9-DBD7-4ADC-BF50-C6EFCCF527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AA844" authorId="0" shapeId="0" xr:uid="{77922DA7-80BF-40E0-9EE7-CAF950A481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O845" authorId="0" shapeId="0" xr:uid="{7B24122A-418D-4C18-BA31-1F27683E4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845" authorId="0" shapeId="0" xr:uid="{064D56EA-AB76-4D96-88A6-76A946971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846" authorId="0" shapeId="0" xr:uid="{CEA2CA45-397C-4548-BD7C-8703FDC0B4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846" authorId="0" shapeId="0" xr:uid="{B5A7B2E5-2F10-4198-A502-6172766C60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</t>
        </r>
      </text>
    </comment>
    <comment ref="O847" authorId="0" shapeId="0" xr:uid="{CEDB3E9D-129B-473D-808D-87A22A791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848" authorId="0" shapeId="0" xr:uid="{B85284D3-E8BB-4312-B9CC-56413EB50D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EBALES STORE
MARAS, SINDANGAN</t>
        </r>
      </text>
    </comment>
    <comment ref="O849" authorId="0" shapeId="0" xr:uid="{08F18B98-E673-44EC-9DF0-51D40F6E1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850" authorId="0" shapeId="0" xr:uid="{60490A75-5856-4D76-B557-59192C5F5D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851" authorId="0" shapeId="0" xr:uid="{E8671E18-0AD3-4801-B7D8-7006876CFD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CABARDO STORE
MARAS, SINDANGAN</t>
        </r>
      </text>
    </comment>
    <comment ref="O852" authorId="0" shapeId="0" xr:uid="{6B867864-36D9-4EB3-9559-612DFD49EA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ANN KATHLEEN STORE
MARAS, SINDANGAN</t>
        </r>
      </text>
    </comment>
    <comment ref="O853" authorId="0" shapeId="0" xr:uid="{06E8360E-9784-4A9F-AA7F-41419608DD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 STORE
MARAS, SINDANGAN</t>
        </r>
      </text>
    </comment>
    <comment ref="O854" authorId="0" shapeId="0" xr:uid="{09B0AA1B-91BB-4592-9110-65111F979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 &amp; G VALLECER STORE
MARAS, SINDANGAN</t>
        </r>
      </text>
    </comment>
    <comment ref="O855" authorId="0" shapeId="0" xr:uid="{E1D55800-A793-49D7-A05B-7A471E85D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892" authorId="0" shapeId="0" xr:uid="{C01A3EA3-6326-4BBB-A360-36551B76EA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TEBAN
GOLEO, SINDANGAN</t>
        </r>
      </text>
    </comment>
    <comment ref="O892" authorId="0" shapeId="0" xr:uid="{0B257D2D-A75B-4895-B47A-28C4A79F32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AA892" authorId="0" shapeId="0" xr:uid="{015D15A0-0946-49E6-81D5-16E7C1A7AC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893" authorId="0" shapeId="0" xr:uid="{02640998-C2E3-4B60-AF2E-011B274DD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893" authorId="0" shapeId="0" xr:uid="{42F1BC24-5DC0-4684-981D-2ABE1CC39C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893" authorId="0" shapeId="0" xr:uid="{E0F38FE3-C124-4B78-8BB2-31B4B9F73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894" authorId="0" shapeId="0" xr:uid="{602B0A11-3624-48A6-8FE3-179B7E2A6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894" authorId="0" shapeId="0" xr:uid="{A1819E7B-F170-4F76-9699-228479EF0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INUMAN, SINDANGAN</t>
        </r>
      </text>
    </comment>
    <comment ref="AA894" authorId="0" shapeId="0" xr:uid="{3DCE0F52-9A74-41CC-96B9-1F7EFF84A4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JAMOY
BAYBAY, LILOY</t>
        </r>
      </text>
    </comment>
    <comment ref="C895" authorId="0" shapeId="0" xr:uid="{64BC2C6E-B682-4155-85DE-882541B6DF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895" authorId="0" shapeId="0" xr:uid="{4D662D19-AFAD-4567-AA54-894DAF8B93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5" authorId="0" shapeId="0" xr:uid="{1A8204D1-4254-4CB7-96CD-2A8D25E2A4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896" authorId="0" shapeId="0" xr:uid="{FF11F8E8-9F75-4B94-8F0E-EA69AA48A2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96" authorId="0" shapeId="0" xr:uid="{25E4D8FB-D7B2-46A6-9449-52A232598C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896" authorId="0" shapeId="0" xr:uid="{927CD82F-0059-4BE2-8520-038F4B7162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POB, SALUG</t>
        </r>
      </text>
    </comment>
    <comment ref="C897" authorId="0" shapeId="0" xr:uid="{FC24DF31-11E2-49D1-B3C8-E2EA686BB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</t>
        </r>
      </text>
    </comment>
    <comment ref="O897" authorId="0" shapeId="0" xr:uid="{F1122918-CDD9-47BE-8413-DF26AC876F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C898" authorId="0" shapeId="0" xr:uid="{BDA151CF-67DF-4BA8-8696-72D783182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898" authorId="0" shapeId="0" xr:uid="{06FD59CD-757F-474A-AAFB-FB53806624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STORE
RM, SALUG</t>
        </r>
      </text>
    </comment>
    <comment ref="O899" authorId="0" shapeId="0" xr:uid="{C82D12BA-FE3C-4309-B875-664D5AC3D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900" authorId="0" shapeId="0" xr:uid="{47C27607-A5A9-4C93-AC94-4ECBBF6E8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O901" authorId="0" shapeId="0" xr:uid="{832A200B-33C0-4FD9-B7B8-6B3B697CB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902" authorId="0" shapeId="0" xr:uid="{57BBEFFB-DCA7-4F0E-B553-5718376777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903" authorId="0" shapeId="0" xr:uid="{6F30C308-73A2-4E0F-8DD6-E09C0AB59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
BOGABONGAN, BACUNGAN</t>
        </r>
      </text>
    </comment>
    <comment ref="O904" authorId="0" shapeId="0" xr:uid="{458D67E2-63B5-4FC2-826F-C2DB3A1FCB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O905" authorId="0" shapeId="0" xr:uid="{44C6FF99-2843-43BD-A566-4F4B6E0DE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906" authorId="0" shapeId="0" xr:uid="{1CC0E32D-972C-4749-BBD7-41B36A54D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O907" authorId="0" shapeId="0" xr:uid="{A7CA3B46-F6BD-4FF1-9145-526D4694C7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JACKIE CEROS
BOGABONGAN, BACUNGAN</t>
        </r>
      </text>
    </comment>
    <comment ref="O908" authorId="0" shapeId="0" xr:uid="{E9430453-4459-4C93-9750-CB2506DEBC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O909" authorId="0" shapeId="0" xr:uid="{49E3EF53-419C-4FAC-B658-C079E978C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O910" authorId="0" shapeId="0" xr:uid="{1AB5A37C-C4AE-4714-9DC4-50576AF35C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911" authorId="0" shapeId="0" xr:uid="{E95BBF16-4399-43B7-9915-BD9F0A809C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AKT JOY
DAPAON, SINDANGAN</t>
        </r>
      </text>
    </comment>
    <comment ref="C947" authorId="0" shapeId="0" xr:uid="{6BDD9BF1-E36A-4E50-8388-BF75EEFFF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947" authorId="0" shapeId="0" xr:uid="{5314551C-D47C-44AD-9930-C4D02B463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OYLANE STORE
DELOSOM, BACUNGAN</t>
        </r>
      </text>
    </comment>
    <comment ref="AA947" authorId="0" shapeId="0" xr:uid="{4EEC59AD-CB32-4859-BFA6-2B505585E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STORE
POB, SALUG</t>
        </r>
      </text>
    </comment>
    <comment ref="C948" authorId="0" shapeId="0" xr:uid="{FD79D3CC-26AC-4235-A372-FAD03997E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O948" authorId="0" shapeId="0" xr:uid="{78EBA31E-FE11-4B0D-8331-B0DB085A6E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948" authorId="0" shapeId="0" xr:uid="{4B1184EC-5353-4995-B1A5-38B2EF0B7A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CAYACAP, TERESITA
POB, SALUG</t>
        </r>
      </text>
    </comment>
    <comment ref="C949" authorId="0" shapeId="0" xr:uid="{26EF4BC3-71CA-4DC7-BC51-11F5C66AFE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949" authorId="0" shapeId="0" xr:uid="{6BAFFE2B-6919-491F-AAC7-FDB2A2C659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949" authorId="0" shapeId="0" xr:uid="{003D19BA-06DA-459E-8D0D-3D216FA9A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950" authorId="0" shapeId="0" xr:uid="{76508145-684D-42F6-BEF0-61DAD3A621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950" authorId="0" shapeId="0" xr:uid="{C1C9A8A9-1A9E-46FA-910A-B4052568D6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CHERRY STORE
GUSAO, BACUNGAN</t>
        </r>
      </text>
    </comment>
    <comment ref="AA950" authorId="0" shapeId="0" xr:uid="{89168F80-0867-422E-98E6-1B2DD45A8B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ALBERT
BAYBAY, LILOY</t>
        </r>
      </text>
    </comment>
    <comment ref="C951" authorId="0" shapeId="0" xr:uid="{CBB1C2A6-804E-428C-92DC-8228AF76F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951" authorId="0" shapeId="0" xr:uid="{AA41A830-2B75-4A45-913A-D599EC7FC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951" authorId="0" shapeId="0" xr:uid="{625EC9E3-0187-42B2-983C-A618F435B4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952" authorId="0" shapeId="0" xr:uid="{3DEF72A2-54F1-48F6-84FE-1FD281B361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952" authorId="0" shapeId="0" xr:uid="{D3555E4A-5C54-4FA6-B676-8B0A286C7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952" authorId="0" shapeId="0" xr:uid="{D6E5AD90-1164-4362-9110-315667235D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953" authorId="0" shapeId="0" xr:uid="{3F770D94-01BC-43FA-B54C-B89230564C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AA953" authorId="0" shapeId="0" xr:uid="{027DF27A-4393-43E6-8369-C680237E40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954" authorId="0" shapeId="0" xr:uid="{F4D202AC-489A-47C7-8707-2D770A733F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KRYSTAL DAWN STORE
POB, SINDANGAN</t>
        </r>
      </text>
    </comment>
    <comment ref="AA954" authorId="0" shapeId="0" xr:uid="{04B7A178-8533-4691-9AD6-0A082EE19A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955" authorId="0" shapeId="0" xr:uid="{1E76CE08-7FEF-4844-B3F8-AB43C710F0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AA955" authorId="0" shapeId="0" xr:uid="{71902B57-7F06-42E7-94A0-8461E058FA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956" authorId="0" shapeId="0" xr:uid="{DB99E416-D984-46DB-AE35-E28AFB87F8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AA956" authorId="0" shapeId="0" xr:uid="{431D74DA-AEA2-49D3-B3E3-B491236136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TIMAGOS, EATERY
BAYBAY, LILOY</t>
        </r>
      </text>
    </comment>
    <comment ref="C957" authorId="0" shapeId="0" xr:uid="{947DE67C-05E5-499E-95E4-69645CDA5A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1002" authorId="0" shapeId="0" xr:uid="{0612BB8B-A9D6-4595-B291-9EBCE55A63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002" authorId="0" shapeId="0" xr:uid="{08A17DC8-49B9-465C-91C0-1C1D680434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DINGGONG
INUMAN, SINDANGAN</t>
        </r>
      </text>
    </comment>
    <comment ref="AA1002" authorId="0" shapeId="0" xr:uid="{C370B9BA-15C3-4F4B-B88A-9A468A419A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1003" authorId="0" shapeId="0" xr:uid="{0D2FFE39-D2EA-405A-B736-890A85186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003" authorId="0" shapeId="0" xr:uid="{E5394F56-C732-465A-9137-38A4E32C0C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003" authorId="0" shapeId="0" xr:uid="{DEC00184-0894-4F49-AD6F-144A1541A8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004" authorId="0" shapeId="0" xr:uid="{DB91E12A-5BD2-4109-B373-E7AE876C47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004" authorId="0" shapeId="0" xr:uid="{06DB0EE1-7A4D-424D-99B6-BD9C8C12E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1004" authorId="0" shapeId="0" xr:uid="{469504AF-5280-4187-BB89-6E2E7DC70B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005" authorId="0" shapeId="0" xr:uid="{7BA25567-4F84-4264-8B90-3E0BCC7A58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NEILVIN</t>
        </r>
      </text>
    </comment>
    <comment ref="O1005" authorId="0" shapeId="0" xr:uid="{E05AFE22-C5A2-4EE1-BE91-F1B2835B29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1006" authorId="0" shapeId="0" xr:uid="{F25BCBE6-5A1D-4932-9CB6-D095D0A14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006" authorId="0" shapeId="0" xr:uid="{AF0EDAC3-B32F-41AA-AC6D-1ACA924702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007" authorId="0" shapeId="0" xr:uid="{0D6E655B-CFBC-49F6-A568-33AB789608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
DAPAON, SINDANGAN</t>
        </r>
      </text>
    </comment>
    <comment ref="O1008" authorId="0" shapeId="0" xr:uid="{DEAED444-FA64-404D-9686-0E50C48EE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C1057" authorId="0" shapeId="0" xr:uid="{356E37B3-007A-4B7C-9A2B-AE5D0BC20E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DEGURO
BALOK,SINDANGAN</t>
        </r>
      </text>
    </comment>
    <comment ref="O1057" authorId="0" shapeId="0" xr:uid="{A52DB270-5912-4F28-8751-816E5486A7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057" authorId="0" shapeId="0" xr:uid="{3C0BBF42-F329-410A-AB6D-A7E3F5702E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058" authorId="0" shapeId="0" xr:uid="{7D0D8035-7C56-4891-82B0-45338032D5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058" authorId="0" shapeId="0" xr:uid="{96857942-EEED-4258-A0D2-0B2E9BA8A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1058" authorId="0" shapeId="0" xr:uid="{30F262FB-35A1-4807-9921-CC1217C43E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1059" authorId="0" shapeId="0" xr:uid="{CB08381D-A2CD-46EB-9541-B5F99B0463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059" authorId="0" shapeId="0" xr:uid="{B1A7AAFA-2EB0-4829-BBCD-A73633B0C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CECILLE
LOWER INUMAN, SINDANGAN</t>
        </r>
      </text>
    </comment>
    <comment ref="AA1059" authorId="0" shapeId="0" xr:uid="{2BFED030-7898-41D4-93A1-E2183BB325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1060" authorId="0" shapeId="0" xr:uid="{A3F55D44-40AA-4C59-97B6-3E2BE0061A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060" authorId="0" shapeId="0" xr:uid="{EA466C3F-3355-4E08-A9CA-E22C9275BA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ARLENE BEÑAL
LOWER INUMAN, SINDANGAN</t>
        </r>
      </text>
    </comment>
    <comment ref="AA1060" authorId="0" shapeId="0" xr:uid="{EEB19874-9A96-4CFE-94F5-191AFB6859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1061" authorId="0" shapeId="0" xr:uid="{003598F1-E59D-4351-9958-37CD879D47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1061" authorId="0" shapeId="0" xr:uid="{0982D1E3-1542-466F-97F6-C7013CB3D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RUFU ANTIPUESTO
LOWER INUMAN, SINDANGAN</t>
        </r>
      </text>
    </comment>
    <comment ref="AA1061" authorId="0" shapeId="0" xr:uid="{AA32947F-0CC5-4C6F-A05E-F1C5174FFA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062" authorId="0" shapeId="0" xr:uid="{05C8922F-DC3C-4D03-AEAC-5BEF8C1FB2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GUMIMAO
TALINGA, SINDANGAN</t>
        </r>
      </text>
    </comment>
    <comment ref="O1063" authorId="0" shapeId="0" xr:uid="{86E5578B-CBC3-4A22-9446-32D83BF840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MAMOS
TALINGA, BACUNGAN</t>
        </r>
      </text>
    </comment>
    <comment ref="O1064" authorId="0" shapeId="0" xr:uid="{DBA89DD8-F08B-4573-8108-D25F5B2E5D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1065" authorId="0" shapeId="0" xr:uid="{059FA61C-8808-433C-8CE5-A37CDEDC6A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1066" authorId="0" shapeId="0" xr:uid="{C64AFFDA-99AA-4F75-BAA4-CA5B5496B6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ORTEGA
LOWER INUMAN, SINDANGAN</t>
        </r>
      </text>
    </comment>
    <comment ref="O1067" authorId="0" shapeId="0" xr:uid="{45C33654-F8B2-4A81-BEBC-7B29FE8E2E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1112" authorId="0" shapeId="0" xr:uid="{9548FCBA-BDC6-4631-A1BA-7172E6A5AC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KIN IDIAS
POB, SINDANGAN</t>
        </r>
      </text>
    </comment>
    <comment ref="O1112" authorId="0" shapeId="0" xr:uid="{C2B2470C-7F32-4D7D-925E-40FE5CB831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AVILA
GOLEO, SINDANGAN</t>
        </r>
      </text>
    </comment>
    <comment ref="AA1112" authorId="0" shapeId="0" xr:uid="{653B354F-2B85-4E76-8FCF-C5B5AA343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113" authorId="0" shapeId="0" xr:uid="{4AB09223-AF13-4DD2-9B43-8E3816A332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113" authorId="0" shapeId="0" xr:uid="{F32A0678-1341-432D-A082-C0908143E2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1113" authorId="0" shapeId="0" xr:uid="{3CA6125B-71EC-48E4-BE64-BAA58DB02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114" authorId="0" shapeId="0" xr:uid="{3CE863AF-D5DC-4305-A4D0-8D7A074D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114" authorId="0" shapeId="0" xr:uid="{30F4ED7A-8032-4C40-9D36-3525689AFE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1114" authorId="0" shapeId="0" xr:uid="{FAB3F17A-280A-4DFE-8C79-04BD9F3BCF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BENLOT MARK LUOIE
ST. NIÑO, SALUG</t>
        </r>
      </text>
    </comment>
    <comment ref="C1115" authorId="0" shapeId="0" xr:uid="{3678117C-0CEB-4BA7-83FE-B0B26B3B0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1115" authorId="0" shapeId="0" xr:uid="{E2939023-7F03-48A3-A186-9D67739194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115" authorId="0" shapeId="0" xr:uid="{45FBE152-D8F9-4259-B5D9-3148B10D61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116" authorId="0" shapeId="0" xr:uid="{06372F96-F4AC-4586-9EFE-239532AC2E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O1116" authorId="0" shapeId="0" xr:uid="{F83D2C7A-04B3-4BAA-8ACB-6E6D7FE893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116" authorId="0" shapeId="0" xr:uid="{1D9C4EBE-860A-43A1-99EF-D9815486E6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117" authorId="0" shapeId="0" xr:uid="{FD80B610-1A31-42B0-A510-0CA814306E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DENOYAN, SIAYAN</t>
        </r>
      </text>
    </comment>
    <comment ref="AA1117" authorId="0" shapeId="0" xr:uid="{D4C7D6F4-AF28-42C5-BE83-CA27956234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INOCENSIO
POB, SALUG</t>
        </r>
      </text>
    </comment>
    <comment ref="C1118" authorId="0" shapeId="0" xr:uid="{FA5A36F4-2BCF-4DF9-8C6A-F7F630374A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AA1118" authorId="0" shapeId="0" xr:uid="{09F2D0DB-7954-4EBF-A123-22939E78A7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119" authorId="0" shapeId="0" xr:uid="{7A178919-C37B-4E32-885D-0985267D4D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C1120" authorId="0" shapeId="0" xr:uid="{39BC6288-5E13-4C8A-9104-2F19E19EC3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121" authorId="0" shapeId="0" xr:uid="{BE44F150-6C89-488E-B73E-C260D0896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C1122" authorId="0" shapeId="0" xr:uid="{DD0D09FD-C6D5-4193-9450-4633C2BEC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167" authorId="0" shapeId="0" xr:uid="{E5F5C863-6888-4439-A388-9A025FD8B6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167" authorId="0" shapeId="0" xr:uid="{D7942D0D-6469-44C6-AAAE-E3775FE738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ANDY AND CAMILLE
DATU TANGKILAN, SINDANGAN</t>
        </r>
      </text>
    </comment>
    <comment ref="AA1167" authorId="0" shapeId="0" xr:uid="{D4655DAD-16C8-4192-BF9A-5DCAD2F61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168" authorId="0" shapeId="0" xr:uid="{3599C163-6E7B-4843-93F9-F4251436E4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1168" authorId="0" shapeId="0" xr:uid="{2406A682-30CF-4287-9642-B5737E3842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O. JAMORA
POB, BACUNGAN</t>
        </r>
      </text>
    </comment>
    <comment ref="AA1168" authorId="0" shapeId="0" xr:uid="{B0A5005A-17D2-4EE7-9F28-B6CEEA295B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169" authorId="0" shapeId="0" xr:uid="{544B7AD5-21F1-4956-841D-CFF88AD0FF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JAYKIM IDIAS
POB, SINDANGAN</t>
        </r>
      </text>
    </comment>
    <comment ref="O1169" authorId="0" shapeId="0" xr:uid="{0D1A6757-5B80-4AF9-AB7B-7BE94DAEB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169" authorId="0" shapeId="0" xr:uid="{7C4F1E23-CB25-4467-A65B-2D30DE8812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170" authorId="0" shapeId="0" xr:uid="{88483ED9-5E2E-4579-A909-2870C4D426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170" authorId="0" shapeId="0" xr:uid="{E92D216F-D11D-4AC5-BD95-B43274D82C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LILOY
BAYBAY, LILOY</t>
        </r>
      </text>
    </comment>
    <comment ref="AA1170" authorId="0" shapeId="0" xr:uid="{F63097C0-B8F1-47AD-A3FF-0C601A6F00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1171" authorId="0" shapeId="0" xr:uid="{8F0443A3-9B4E-437F-A95A-9ABFA396E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
POB, SINDANGAN</t>
        </r>
      </text>
    </comment>
    <comment ref="O1171" authorId="0" shapeId="0" xr:uid="{6CEF5481-42A9-42B1-BFAE-62F5EFC9A1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LYZA RAMERO
DATU TANGKILAN, SINDANGAN</t>
        </r>
      </text>
    </comment>
    <comment ref="AA1171" authorId="0" shapeId="0" xr:uid="{FCD45010-A9C3-4F73-B7BD-62CE7761DA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LILOY COCKPIT
VIVAN GAMALE
VILLA SUC., LILOY</t>
        </r>
      </text>
    </comment>
    <comment ref="C1172" authorId="0" shapeId="0" xr:uid="{5F0B77FF-D775-4EEC-BFC6-EF840781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172" authorId="0" shapeId="0" xr:uid="{F7F68FE1-9FB4-4C73-AE4C-B5D6E352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
CALUAN, SINDANGAN</t>
        </r>
      </text>
    </comment>
    <comment ref="AA1172" authorId="0" shapeId="0" xr:uid="{13E67FC8-5E86-46EE-8C9A-328C06BBAB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SULO ALVIN
BACONG, SALUG</t>
        </r>
      </text>
    </comment>
    <comment ref="C1173" authorId="0" shapeId="0" xr:uid="{DC0982D1-9851-447E-BD2F-11DCEB84CA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1173" authorId="0" shapeId="0" xr:uid="{93F7CC99-AFA1-400A-BF8A-481D3600FF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174" authorId="0" shapeId="0" xr:uid="{79E16BDE-9F40-491A-9111-CDE877CEC9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LILOY
BAYBAY, LILOY</t>
        </r>
      </text>
    </comment>
    <comment ref="O1175" authorId="0" shapeId="0" xr:uid="{EBAB975A-D1DC-4C0C-A3BB-E746AD678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
ALDRIN TOBIAS
MANDIH, SINDANGAN</t>
        </r>
      </text>
    </comment>
    <comment ref="O1176" authorId="0" shapeId="0" xr:uid="{98BEDB8F-82D7-44C8-BFCB-48701F77FE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1222" authorId="0" shapeId="0" xr:uid="{02884DDC-24EC-414C-8E96-31E3BE921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222" authorId="0" shapeId="0" xr:uid="{9152C5C0-33EA-4E73-B24A-9F87A554A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STORE
TALINGA, SINDANGAN</t>
        </r>
      </text>
    </comment>
    <comment ref="AA1222" authorId="0" shapeId="0" xr:uid="{19CA7535-3B12-49AF-98C7-CB5428BC4A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M1222" authorId="0" shapeId="0" xr:uid="{13A54514-5237-40F2-BD22-5712CD4D7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BALBUENA
POB, SALUG</t>
        </r>
      </text>
    </comment>
    <comment ref="C1223" authorId="0" shapeId="0" xr:uid="{37F44698-145E-4EF8-831A-74FF547DE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223" authorId="0" shapeId="0" xr:uid="{FF273A4F-4CD3-44C9-9899-D47AEB4691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QUIRANTE STORE
DATU TANGKILAN, SINDANGAN</t>
        </r>
      </text>
    </comment>
    <comment ref="AA1223" authorId="0" shapeId="0" xr:uid="{ED764B1F-DA30-42E0-B440-E3796CA42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M1223" authorId="0" shapeId="0" xr:uid="{6F296DAB-7D50-4E8B-B6BA-6653BAFCB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224" authorId="0" shapeId="0" xr:uid="{E7F0DA3F-C702-4F5E-9B91-3BD0EF69E9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224" authorId="0" shapeId="0" xr:uid="{2C32E783-5E03-4F9A-8892-6B5412E82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HAROLD
GOLEO, SINDANGAN</t>
        </r>
      </text>
    </comment>
    <comment ref="AA1224" authorId="0" shapeId="0" xr:uid="{6C6A2854-5082-4406-B418-8DFA6ECD81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M1224" authorId="0" shapeId="0" xr:uid="{75DA6883-0C52-45ED-9554-BDA77C7E8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1225" authorId="0" shapeId="0" xr:uid="{C065B7B7-EA99-42AF-933D-20C943A1A3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225" authorId="0" shapeId="0" xr:uid="{37B0A74F-4BC3-432A-9093-25D271217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RICO LAPIS
TALINGA, SINDANGAN</t>
        </r>
      </text>
    </comment>
    <comment ref="AM1225" authorId="0" shapeId="0" xr:uid="{E385E64F-7939-4881-B884-8F9F997EF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1226" authorId="0" shapeId="0" xr:uid="{BCC8C9E7-08ED-4740-B0E6-022BD76A7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226" authorId="0" shapeId="0" xr:uid="{9CC60E7F-E4CE-45F1-A36A-25D478B61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
GOLEO, SINDANGAN</t>
        </r>
      </text>
    </comment>
    <comment ref="AM1226" authorId="0" shapeId="0" xr:uid="{2243EE27-66FA-400B-AE81-27C782E96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MARIBONG
BAYBAY, LILOY</t>
        </r>
      </text>
    </comment>
    <comment ref="O1227" authorId="0" shapeId="0" xr:uid="{D971189B-D83C-4465-B8F0-A8CCDD60A2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CLYDE AVILLA
GOLEO, SINDANGAN</t>
        </r>
      </text>
    </comment>
    <comment ref="AM1227" authorId="0" shapeId="0" xr:uid="{AA45BF48-C2C6-499E-993C-B113EA3C59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228" authorId="0" shapeId="0" xr:uid="{96667311-0107-4053-88FA-0B737546E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PAUL
GOLEO, SINDANGAN</t>
        </r>
      </text>
    </comment>
    <comment ref="AM1228" authorId="0" shapeId="0" xr:uid="{F4F06246-63CC-4A76-A4D4-C388BE896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229" authorId="0" shapeId="0" xr:uid="{A89F1696-5F9E-4475-B3EF-45CA6D94DD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TRILLONA
GOLEO, SINDANGAN</t>
        </r>
      </text>
    </comment>
    <comment ref="AM1229" authorId="0" shapeId="0" xr:uid="{C05E1238-6DB9-45C3-8261-4A7D91BBB7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O1230" authorId="0" shapeId="0" xr:uid="{76ECA80D-1000-4047-9293-ED5EBDC74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NILO STORE
GOLEO, SINDANGAN</t>
        </r>
      </text>
    </comment>
    <comment ref="AM1230" authorId="0" shapeId="0" xr:uid="{390F477F-E3ED-4594-A8A9-8A8FF931D5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O1231" authorId="0" shapeId="0" xr:uid="{2511D5DA-002C-429B-9A3C-6B965ABEF6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HARRY STORE
GOLEO, SINDANGAN</t>
        </r>
      </text>
    </comment>
    <comment ref="AM1231" authorId="0" shapeId="0" xr:uid="{DE8C6C79-755E-429A-994B-3ADAE92B9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O1232" authorId="0" shapeId="0" xr:uid="{8ECA3991-0D87-47EA-A5F7-FA460179F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 ANN STORE
GOLEO, SINDANGAN</t>
        </r>
      </text>
    </comment>
    <comment ref="AM1232" authorId="0" shapeId="0" xr:uid="{A3CCB075-6FE1-47BD-8FD3-A2DBEB85A1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1233" authorId="0" shapeId="0" xr:uid="{1F54B908-60F7-4F70-B990-5AEF0C665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 ANN STORE
GOLEO, SINDANGAN</t>
        </r>
      </text>
    </comment>
    <comment ref="AM1233" authorId="0" shapeId="0" xr:uid="{4424EBA7-63F1-491E-B608-E4BA5FD400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 STORE
CANAWAN, SALUG</t>
        </r>
      </text>
    </comment>
    <comment ref="O1234" authorId="0" shapeId="0" xr:uid="{DEB6ABE6-04DD-474B-AFCC-2B664A75B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SINDANGAN</t>
        </r>
      </text>
    </comment>
    <comment ref="O1235" authorId="0" shapeId="0" xr:uid="{9B499789-A56A-4F47-A004-8197F252A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EDIAS STORE
POB, SINDANGAN</t>
        </r>
      </text>
    </comment>
    <comment ref="O1236" authorId="0" shapeId="0" xr:uid="{F31DC208-1E4E-458D-B081-D02B92CF5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237" authorId="0" shapeId="0" xr:uid="{43EE3EED-A12B-4672-995B-F567F7A821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O1238" authorId="0" shapeId="0" xr:uid="{989D6EBB-FDDB-4695-93F6-561356A322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239" authorId="0" shapeId="0" xr:uid="{74D78F4F-4675-4BB2-9A95-0514EBBC27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VARIETY STORE
POB, SIAYAN</t>
        </r>
      </text>
    </comment>
    <comment ref="C1277" authorId="0" shapeId="0" xr:uid="{EA198C2B-A9A4-450D-A4CA-D4B1902AF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JIN IDIAS
POB, SINDANGAN</t>
        </r>
      </text>
    </comment>
    <comment ref="O1277" authorId="0" shapeId="0" xr:uid="{315AD0F9-4A6C-49E9-8EA2-74A64219D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AA1277" authorId="0" shapeId="0" xr:uid="{B4319F11-1B9B-4AB7-BA53-E0CB2D819D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78" authorId="0" shapeId="0" xr:uid="{593FD78C-28D2-40C5-9F2F-387B392CF1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O1278" authorId="0" shapeId="0" xr:uid="{A7FA14A5-2168-4408-9885-D352216A1C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MACATUAL</t>
        </r>
      </text>
    </comment>
    <comment ref="AA1278" authorId="0" shapeId="0" xr:uid="{C55ECA7C-67A8-4C37-B4E1-940B988851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279" authorId="0" shapeId="0" xr:uid="{2E4CE39A-B7F1-4133-A77C-C06FDBFA66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CATIG'S VAR. STORE
GUNYAN, SIAYAN</t>
        </r>
      </text>
    </comment>
    <comment ref="O1279" authorId="0" shapeId="0" xr:uid="{D5EED4A4-B942-4BEE-BFA2-AC9923085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JEROME</t>
        </r>
      </text>
    </comment>
    <comment ref="AA1279" authorId="0" shapeId="0" xr:uid="{24B57A6B-8C2C-40B3-91C0-C04EC9DCB8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1280" authorId="0" shapeId="0" xr:uid="{B38583A7-667E-4568-92E0-CCA4A9963D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O1280" authorId="0" shapeId="0" xr:uid="{4F7CC914-1F27-46A0-8E7B-E25B985EB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PORMAN</t>
        </r>
      </text>
    </comment>
    <comment ref="AA1280" authorId="0" shapeId="0" xr:uid="{18D2AF1D-CE70-4A6E-BB8F-C55753CC2F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1281" authorId="0" shapeId="0" xr:uid="{EAFB5AC7-A693-47FF-AC88-8ECD87ADD5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 BAR
POB, SIAYAN</t>
        </r>
      </text>
    </comment>
    <comment ref="O1281" authorId="0" shapeId="0" xr:uid="{188F9B7B-4E81-428D-8319-4B314F98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MALINAO STORE
POB, BACUNGAN</t>
        </r>
      </text>
    </comment>
    <comment ref="AA1281" authorId="0" shapeId="0" xr:uid="{4351C4DE-6E85-4058-8DD9-DC2885CB28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1282" authorId="0" shapeId="0" xr:uid="{72CA5ECB-BF4E-49F9-8A7B-5FFB1B22CF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O1282" authorId="0" shapeId="0" xr:uid="{2BB3D73E-5EA8-49C8-A053-3A350EFD08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MRVIE
GOLEO, SINDANGAN</t>
        </r>
      </text>
    </comment>
    <comment ref="AA1282" authorId="0" shapeId="0" xr:uid="{C4096809-441A-4264-B6A0-E30D5FEACC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1283" authorId="0" shapeId="0" xr:uid="{6C4AEC4E-6EFC-4784-B79E-2466DAC5D3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O1283" authorId="0" shapeId="0" xr:uid="{8CBFDC21-91C2-4FDD-A373-0324D2817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SERDAN STORE
POB, BACUNGAN</t>
        </r>
      </text>
    </comment>
    <comment ref="AA1283" authorId="0" shapeId="0" xr:uid="{8BDB798E-899F-4258-8277-515CF60A24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1284" authorId="0" shapeId="0" xr:uid="{0D7A3D55-343C-4CC4-8BE1-B0D4D832A2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284" authorId="0" shapeId="0" xr:uid="{E698B1DE-A937-4E26-8DED-85A2821B1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DAPAON, SINDANGAN</t>
        </r>
      </text>
    </comment>
    <comment ref="AA1284" authorId="0" shapeId="0" xr:uid="{121615E8-36D0-49B9-89BD-AA71CD1AA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1285" authorId="0" shapeId="0" xr:uid="{0E6885C6-8504-488F-9979-7CE2A20A6F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O1285" authorId="0" shapeId="0" xr:uid="{82BB0723-4594-4606-878D-8E4D16B72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DEBORAH STORE
POB, SIAYAN</t>
        </r>
      </text>
    </comment>
    <comment ref="AA1285" authorId="0" shapeId="0" xr:uid="{A710E79E-7CBE-426E-8511-9F32A7BBD8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1286" authorId="0" shapeId="0" xr:uid="{9677C5C5-CB3E-40DB-AF29-7D12153BF0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LAGAN
DENOYAN, SIAYAN</t>
        </r>
      </text>
    </comment>
    <comment ref="O1286" authorId="0" shapeId="0" xr:uid="{B0F6704E-BAE3-4EEA-9CE6-06A2EA2317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ALEX STORE
TALINGA, SINDANGAN</t>
        </r>
      </text>
    </comment>
    <comment ref="AA1286" authorId="0" shapeId="0" xr:uid="{DEF5A014-A375-4E60-BC1A-7B05AE7B69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87" authorId="0" shapeId="0" xr:uid="{6BDDFA06-EFFC-4EF9-B8B5-9E5E89D3F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87" authorId="0" shapeId="0" xr:uid="{FFAF7428-3434-4FF4-9219-5FAFE3EE37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87" authorId="0" shapeId="0" xr:uid="{2C40FC77-AFF5-4CC1-B2C1-AB8EDC5B0A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288" authorId="0" shapeId="0" xr:uid="{D13921A0-5C18-42BB-B546-FF5E0C6FC2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88" authorId="0" shapeId="0" xr:uid="{794F6C14-F5EF-492E-9F94-496F38C0B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88" authorId="0" shapeId="0" xr:uid="{51034503-C859-460D-9FC7-2D5CCFDA13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1289" authorId="0" shapeId="0" xr:uid="{E41EFE9A-5CC2-4057-B6D7-D035B3DE1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89" authorId="0" shapeId="0" xr:uid="{FFFE60D5-4B21-4286-A095-D8D6FACB1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KOLOY
GOLEO, SINDANGAN</t>
        </r>
      </text>
    </comment>
    <comment ref="AA1289" authorId="0" shapeId="0" xr:uid="{2E7C4020-549E-40B5-AA27-F9F5125623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 EATERY
POB, SALUG</t>
        </r>
      </text>
    </comment>
    <comment ref="O1290" authorId="0" shapeId="0" xr:uid="{6818EF5C-A684-4017-BA68-5E6E78573F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ELNAC
POB, BACUNGAN</t>
        </r>
      </text>
    </comment>
    <comment ref="O1291" authorId="0" shapeId="0" xr:uid="{ED59F9F0-8E1E-4C97-922F-DF17DDBB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O1292" authorId="0" shapeId="0" xr:uid="{59BBF3C6-5A7E-492A-820A-E2A40BB43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DAPAON, SINDANGAN</t>
        </r>
      </text>
    </comment>
    <comment ref="O1293" authorId="0" shapeId="0" xr:uid="{2D099669-E3D8-43C0-994F-D8FF58DCEB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CALING STORE
DAPAON, SINDANGAN</t>
        </r>
      </text>
    </comment>
    <comment ref="O1294" authorId="0" shapeId="0" xr:uid="{DC23894C-007C-413E-946F-611490AE0B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
INUMAN, SINDANGAN</t>
        </r>
      </text>
    </comment>
    <comment ref="O1295" authorId="0" shapeId="0" xr:uid="{8993EE67-18B1-4745-B59F-B0288D935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BOBONG
GOLEO, SINDANGAN</t>
        </r>
      </text>
    </comment>
    <comment ref="O1296" authorId="0" shapeId="0" xr:uid="{D70D5720-FD59-446F-8733-45F7B754B9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QUIRO QUIRO
POB, SINDANGAN</t>
        </r>
      </text>
    </comment>
    <comment ref="O1297" authorId="0" shapeId="0" xr:uid="{7ACC032A-D6EA-429D-B08C-9FC23406FC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WENA RUIZ
BANTAYAN, SINDANGAN</t>
        </r>
      </text>
    </comment>
    <comment ref="O1298" authorId="0" shapeId="0" xr:uid="{E45C6340-A2F7-44C5-AB50-601DFC1FD1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POB, SINDANGAN</t>
        </r>
      </text>
    </comment>
    <comment ref="O1299" authorId="0" shapeId="0" xr:uid="{BED6FAB6-86F2-4D19-9CE5-160B427244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
INUMAN, SINDANGAN</t>
        </r>
      </text>
    </comment>
    <comment ref="O1300" authorId="0" shapeId="0" xr:uid="{5483349A-04E3-4608-B423-49C95A45BB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
MANDIH, SINDANGAN</t>
        </r>
      </text>
    </comment>
    <comment ref="O1301" authorId="0" shapeId="0" xr:uid="{5C995CBD-EE79-4E6A-807B-C435C5FC0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CORA STORE
POB, SINDANGAN</t>
        </r>
      </text>
    </comment>
    <comment ref="O1302" authorId="0" shapeId="0" xr:uid="{FB4BC789-84F8-4B78-90AC-F4326F556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
POB, SINDANGAN</t>
        </r>
      </text>
    </comment>
    <comment ref="O1303" authorId="0" shapeId="0" xr:uid="{70775E1B-BCB9-493C-9BAD-F1266D2D3E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O1304" authorId="0" shapeId="0" xr:uid="{4B7A293A-B3BE-4968-AA83-38EBB05BE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
GOLEO, SINDANGAN</t>
        </r>
      </text>
    </comment>
    <comment ref="O1305" authorId="0" shapeId="0" xr:uid="{24F43488-E34B-4CD4-BFAE-A01855488F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CARLITO
GOLEO, SINDANGAN</t>
        </r>
      </text>
    </comment>
    <comment ref="O1306" authorId="0" shapeId="0" xr:uid="{EFA337A1-C71A-4196-8E2E-C1EBA40FC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GOLDIE
BUYOS, SINDANGAN</t>
        </r>
      </text>
    </comment>
    <comment ref="O1307" authorId="0" shapeId="0" xr:uid="{B045C2A3-A2F5-466C-AADC-C58EF629C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GOLDEE
PIAO, SINDANGAN</t>
        </r>
      </text>
    </comment>
    <comment ref="O1308" authorId="0" shapeId="0" xr:uid="{6CCFB4B4-753C-4AF2-92AC-CEA4B5FBDC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JEOPY ANSUNG
POB, SINDANGAN</t>
        </r>
      </text>
    </comment>
    <comment ref="O1309" authorId="0" shapeId="0" xr:uid="{2C863ED1-7804-4C4D-A6B9-984E334CA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JESSIE
CARACOL, LILOY</t>
        </r>
      </text>
    </comment>
    <comment ref="O1310" authorId="0" shapeId="0" xr:uid="{1E00C890-4405-4468-A804-FF887F725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JESSIE 
CARACOL, SALUG</t>
        </r>
      </text>
    </comment>
    <comment ref="O1311" authorId="0" shapeId="0" xr:uid="{A14617CB-348B-44AF-8A28-278EFAE682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SALUG</t>
        </r>
      </text>
    </comment>
    <comment ref="O1312" authorId="0" shapeId="0" xr:uid="{C2CAEBD6-3E00-4C01-89C6-762437C02B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1313" authorId="0" shapeId="0" xr:uid="{2F79D62A-79ED-4273-A4AD-6CF4C16F3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1332" authorId="0" shapeId="0" xr:uid="{D1E1CECC-3453-46AB-9047-A240E49587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
</t>
        </r>
      </text>
    </comment>
    <comment ref="C1333" authorId="0" shapeId="0" xr:uid="{934DD77E-D051-4750-B783-7779D6450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MANITI STORE
GAMPIS, SINDANGAN</t>
        </r>
      </text>
    </comment>
    <comment ref="C1334" authorId="0" shapeId="0" xr:uid="{DE087B00-2EF9-4740-A063-A0C29826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TRILLANA
LAWIS, SINDANGAN</t>
        </r>
      </text>
    </comment>
    <comment ref="C1335" authorId="0" shapeId="0" xr:uid="{5C2F6BFD-DB76-45D7-B9EF-F971AD8B8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</commentList>
</comments>
</file>

<file path=xl/sharedStrings.xml><?xml version="1.0" encoding="utf-8"?>
<sst xmlns="http://schemas.openxmlformats.org/spreadsheetml/2006/main" count="1890" uniqueCount="112">
  <si>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</si>
  <si>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</si>
  <si>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</si>
  <si>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</si>
  <si>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</si>
  <si>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</si>
  <si>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</si>
  <si>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</si>
  <si>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</si>
  <si>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</si>
  <si>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</si>
  <si>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</si>
  <si>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</si>
  <si>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</si>
  <si>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</si>
  <si>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</si>
  <si>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</si>
  <si>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</si>
  <si>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</si>
  <si>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</si>
  <si>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</si>
  <si>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</si>
  <si>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</si>
  <si>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</si>
  <si>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</si>
  <si>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</si>
  <si>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</si>
  <si>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</si>
  <si>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</si>
  <si>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</si>
  <si>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</si>
  <si>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</si>
  <si>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</si>
  <si>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</si>
  <si>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</si>
  <si>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</si>
  <si>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</si>
  <si>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</si>
  <si>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</si>
  <si>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</si>
  <si>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</si>
  <si>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</si>
  <si>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</si>
  <si>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</si>
  <si>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</si>
  <si>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</si>
  <si>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</si>
  <si>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</si>
  <si>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</si>
  <si>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</si>
  <si>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</si>
  <si>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</si>
  <si>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</si>
  <si>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</si>
  <si>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</si>
  <si>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</si>
  <si>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</si>
  <si>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</si>
  <si>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</si>
  <si>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</si>
  <si>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</si>
  <si>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</si>
  <si>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</si>
  <si>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</si>
  <si>
    <t>DECEMBER 13, 2025</t>
  </si>
  <si>
    <t>12/13/2025</t>
  </si>
  <si>
    <t>7834-7851/7922-7925/7762-7767</t>
  </si>
  <si>
    <t>DECEMBER 15, 2025</t>
  </si>
  <si>
    <t>12/15/2025</t>
  </si>
  <si>
    <t>7952-7954/7926-7931/7768-7770</t>
  </si>
  <si>
    <t>DECEMBER 16, 2025</t>
  </si>
  <si>
    <t>12/16/2025</t>
  </si>
  <si>
    <t>7955-7971/7932-7940/7771-7773</t>
  </si>
  <si>
    <t>DECEMBER 17, 2025</t>
  </si>
  <si>
    <t>12/17/2025</t>
  </si>
  <si>
    <t>7972-7979/7941-7942/7866-7875</t>
  </si>
  <si>
    <t>DECEMBER 18, 2025</t>
  </si>
  <si>
    <t>12/18/2025</t>
  </si>
  <si>
    <t>7980-7981/7943-7950,8001-8011/7876-7885</t>
  </si>
  <si>
    <t>DECEMBER 19, 2025</t>
  </si>
  <si>
    <t>12/19/2025</t>
  </si>
  <si>
    <t>7982-7988/8012-8031/7886-7890</t>
  </si>
  <si>
    <t>DECEMBER 20, 2025</t>
  </si>
  <si>
    <t>12/20/2025</t>
  </si>
  <si>
    <t>7989-7999/8032-8037/7891-7900</t>
  </si>
  <si>
    <t>DECEMBER 22, 2025</t>
  </si>
  <si>
    <t>12/22/2025</t>
  </si>
  <si>
    <t>8000,8051-8054/8038-8045/7774-7776</t>
  </si>
  <si>
    <t>DECEMBER 23, 2025</t>
  </si>
  <si>
    <t>12/23/2025</t>
  </si>
  <si>
    <t>8055-8059/8046-8050,8101-8106/7777-7781</t>
  </si>
  <si>
    <t>DECEMBER 24, 2025</t>
  </si>
  <si>
    <t>12/24/2025</t>
  </si>
  <si>
    <t>8060-8070/8107-8112/7782-7788</t>
  </si>
  <si>
    <t>DECEMBER 26, 2025</t>
  </si>
  <si>
    <t>12/26/2025</t>
  </si>
  <si>
    <t>8071-8077/8113-8122/7789-7794</t>
  </si>
  <si>
    <t>DECEMBER 27, 2025</t>
  </si>
  <si>
    <t>12/27/2025</t>
  </si>
  <si>
    <t>LOPEZ, GINA</t>
  </si>
  <si>
    <t>1-B</t>
  </si>
  <si>
    <t>1-A</t>
  </si>
  <si>
    <t>R1B</t>
  </si>
  <si>
    <t>8078-8082/8251-8268/8123-8125/8201-8212</t>
  </si>
  <si>
    <t>R3</t>
  </si>
  <si>
    <t>NO TRIP</t>
  </si>
  <si>
    <t>DECEMBER 30, 2025</t>
  </si>
  <si>
    <t>12/30/2025</t>
  </si>
  <si>
    <t>8083-8095/8269-8305/8213-8225</t>
  </si>
  <si>
    <t>DECEMBER 31, 2025</t>
  </si>
  <si>
    <t>12/31/2025</t>
  </si>
  <si>
    <t>8096-8099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</si>
</sst>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/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3" zoomScaleNormal="100" workbookViewId="0">
      <selection activeCell="G40" sqref="G4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7" t="s">
        <v>36</v>
      </c>
      <c r="B6" s="11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104</v>
      </c>
      <c r="I8" s="52" t="s">
        <v>102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38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40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41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44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47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50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53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55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57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59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61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63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 t="s">
        <v>66</v>
      </c>
      <c r="D22" s="16">
        <f t="shared" si="0"/>
        <v>1196165.5</v>
      </c>
      <c r="F22" s="14">
        <v>326400.5</v>
      </c>
      <c r="G22" s="14">
        <v>645565</v>
      </c>
      <c r="H22" s="14">
        <v>224200</v>
      </c>
      <c r="I22" s="14"/>
      <c r="J22" s="17">
        <f t="shared" si="1"/>
        <v>1196165.5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 t="s">
        <v>69</v>
      </c>
      <c r="D24" s="16">
        <f t="shared" ref="D24:D28" si="3">J24</f>
        <v>1252109.5</v>
      </c>
      <c r="F24" s="14">
        <v>448967</v>
      </c>
      <c r="G24" s="14">
        <v>449111.5</v>
      </c>
      <c r="H24" s="14">
        <v>354031</v>
      </c>
      <c r="I24" s="14"/>
      <c r="J24" s="17">
        <f t="shared" si="1"/>
        <v>1252109.5</v>
      </c>
    </row>
    <row r="25" spans="1:10" x14ac:dyDescent="0.25">
      <c r="A25" s="10">
        <f t="shared" si="2"/>
        <v>16</v>
      </c>
      <c r="B25" s="43" t="s">
        <v>8</v>
      </c>
      <c r="C25" s="12" t="s">
        <v>72</v>
      </c>
      <c r="D25" s="16">
        <f t="shared" si="3"/>
        <v>958361</v>
      </c>
      <c r="F25" s="14">
        <v>209954.5</v>
      </c>
      <c r="G25" s="14">
        <v>289875.5</v>
      </c>
      <c r="H25" s="14">
        <v>458531</v>
      </c>
      <c r="I25" s="14"/>
      <c r="J25" s="17">
        <f t="shared" si="1"/>
        <v>958361</v>
      </c>
    </row>
    <row r="26" spans="1:10" x14ac:dyDescent="0.25">
      <c r="A26" s="10">
        <f t="shared" si="2"/>
        <v>17</v>
      </c>
      <c r="B26" s="56" t="s">
        <v>9</v>
      </c>
      <c r="C26" s="12" t="s">
        <v>75</v>
      </c>
      <c r="D26" s="16">
        <f t="shared" si="3"/>
        <v>1458706</v>
      </c>
      <c r="F26" s="14">
        <v>157455</v>
      </c>
      <c r="G26" s="14">
        <v>408977</v>
      </c>
      <c r="H26" s="14">
        <v>892274</v>
      </c>
      <c r="I26" s="14"/>
      <c r="J26" s="17">
        <f t="shared" si="1"/>
        <v>1458706</v>
      </c>
    </row>
    <row r="27" spans="1:10" x14ac:dyDescent="0.25">
      <c r="A27" s="10">
        <f t="shared" si="2"/>
        <v>18</v>
      </c>
      <c r="B27" s="11" t="s">
        <v>30</v>
      </c>
      <c r="C27" s="12" t="s">
        <v>78</v>
      </c>
      <c r="D27" s="16">
        <f t="shared" si="3"/>
        <v>948677.5</v>
      </c>
      <c r="F27" s="14">
        <v>407714</v>
      </c>
      <c r="G27" s="14">
        <v>223605.5</v>
      </c>
      <c r="H27" s="14">
        <v>317358</v>
      </c>
      <c r="I27" s="14"/>
      <c r="J27" s="17">
        <f t="shared" si="1"/>
        <v>948677.5</v>
      </c>
    </row>
    <row r="28" spans="1:10" x14ac:dyDescent="0.25">
      <c r="A28" s="10">
        <f t="shared" si="2"/>
        <v>19</v>
      </c>
      <c r="B28" s="43" t="s">
        <v>4</v>
      </c>
      <c r="C28" s="12" t="s">
        <v>81</v>
      </c>
      <c r="D28" s="16">
        <f t="shared" si="3"/>
        <v>1236037.5</v>
      </c>
      <c r="F28" s="14">
        <v>765768</v>
      </c>
      <c r="G28" s="14">
        <v>203572.5</v>
      </c>
      <c r="H28" s="14">
        <v>266697</v>
      </c>
      <c r="I28" s="14"/>
      <c r="J28" s="17">
        <f t="shared" si="1"/>
        <v>1236037.5</v>
      </c>
    </row>
    <row r="29" spans="1:10" x14ac:dyDescent="0.25">
      <c r="A29" s="10">
        <f t="shared" si="2"/>
        <v>20</v>
      </c>
      <c r="B29" s="56" t="s">
        <v>5</v>
      </c>
      <c r="C29" s="12" t="s">
        <v>84</v>
      </c>
      <c r="D29" s="16">
        <f t="shared" ref="D29:D33" si="4">J29</f>
        <v>1221189</v>
      </c>
      <c r="F29" s="14">
        <v>451062.5</v>
      </c>
      <c r="G29" s="14">
        <v>295332.5</v>
      </c>
      <c r="H29" s="14">
        <v>474794</v>
      </c>
      <c r="I29" s="14"/>
      <c r="J29" s="17">
        <f t="shared" si="1"/>
        <v>1221189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87</v>
      </c>
      <c r="D31" s="16">
        <f t="shared" si="4"/>
        <v>1120444</v>
      </c>
      <c r="E31" s="14"/>
      <c r="F31" s="14">
        <v>565954</v>
      </c>
      <c r="G31" s="14">
        <v>347571</v>
      </c>
      <c r="H31" s="14">
        <v>206919</v>
      </c>
      <c r="I31" s="14"/>
      <c r="J31" s="17">
        <f t="shared" si="1"/>
        <v>1120444</v>
      </c>
    </row>
    <row r="32" spans="1:10" x14ac:dyDescent="0.25">
      <c r="A32" s="10">
        <f t="shared" si="2"/>
        <v>23</v>
      </c>
      <c r="B32" s="43" t="s">
        <v>8</v>
      </c>
      <c r="C32" s="12" t="s">
        <v>90</v>
      </c>
      <c r="D32" s="16">
        <f t="shared" si="4"/>
        <v>2221277.5</v>
      </c>
      <c r="E32" s="15"/>
      <c r="F32" s="15">
        <v>1301751</v>
      </c>
      <c r="G32" s="14">
        <v>371260.5</v>
      </c>
      <c r="H32" s="54">
        <v>548266</v>
      </c>
      <c r="I32" s="54"/>
      <c r="J32" s="17">
        <f t="shared" si="1"/>
        <v>2221277.5</v>
      </c>
    </row>
    <row r="33" spans="1:10" x14ac:dyDescent="0.25">
      <c r="A33" s="10">
        <f t="shared" si="2"/>
        <v>24</v>
      </c>
      <c r="B33" s="56" t="s">
        <v>9</v>
      </c>
      <c r="C33" s="12" t="s">
        <v>93</v>
      </c>
      <c r="D33" s="16">
        <f t="shared" si="4"/>
        <v>1441872.5</v>
      </c>
      <c r="E33" s="15"/>
      <c r="F33" s="15">
        <v>335604</v>
      </c>
      <c r="G33" s="14">
        <v>597858.5</v>
      </c>
      <c r="H33" s="14">
        <v>508410</v>
      </c>
      <c r="I33" s="14"/>
      <c r="J33" s="17">
        <f t="shared" si="1"/>
        <v>1441872.5</v>
      </c>
    </row>
    <row r="34" spans="1:10" x14ac:dyDescent="0.25">
      <c r="A34" s="10">
        <f>A33+1</f>
        <v>25</v>
      </c>
      <c r="B34" s="11" t="s">
        <v>30</v>
      </c>
      <c r="C34" s="44" t="s">
        <v>105</v>
      </c>
      <c r="D34" s="55" t="s">
        <v>105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 t="s">
        <v>96</v>
      </c>
      <c r="D35" s="16">
        <f t="shared" ref="D35" si="5">J35</f>
        <v>2355727.5</v>
      </c>
      <c r="E35" s="14"/>
      <c r="F35" s="15">
        <v>1074296.5</v>
      </c>
      <c r="G35" s="14">
        <v>686161</v>
      </c>
      <c r="H35" s="14">
        <v>595270</v>
      </c>
      <c r="I35" s="14"/>
      <c r="J35" s="17">
        <f>F35+G35+H35+I35</f>
        <v>2355727.5</v>
      </c>
    </row>
    <row r="36" spans="1:10" x14ac:dyDescent="0.25">
      <c r="A36" s="10">
        <f t="shared" si="2"/>
        <v>27</v>
      </c>
      <c r="B36" s="56" t="s">
        <v>5</v>
      </c>
      <c r="C36" s="12" t="s">
        <v>103</v>
      </c>
      <c r="D36" s="16">
        <f t="shared" ref="D36" si="6">J36</f>
        <v>2150422</v>
      </c>
      <c r="E36" s="14"/>
      <c r="F36" s="14">
        <v>676677</v>
      </c>
      <c r="G36" s="14">
        <v>320500</v>
      </c>
      <c r="H36" s="14">
        <v>1153245</v>
      </c>
      <c r="I36" s="14">
        <v>258736.5</v>
      </c>
      <c r="J36" s="17">
        <f t="shared" si="1"/>
        <v>2150422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11" t="s">
        <v>7</v>
      </c>
      <c r="C38" s="44" t="s">
        <v>105</v>
      </c>
      <c r="D38" s="55" t="s">
        <v>105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 t="s">
        <v>108</v>
      </c>
      <c r="D39" s="16">
        <f t="shared" ref="D39:D40" si="7">J39</f>
        <v>4009850.5</v>
      </c>
      <c r="E39" s="14"/>
      <c r="F39" s="14">
        <v>391100</v>
      </c>
      <c r="G39" s="14"/>
      <c r="H39" s="14">
        <v>2824003</v>
      </c>
      <c r="I39" s="14">
        <v>794747.5</v>
      </c>
      <c r="J39" s="17">
        <f>F39+G39+H39+I39</f>
        <v>4009850.5</v>
      </c>
    </row>
    <row r="40" spans="1:10" x14ac:dyDescent="0.25">
      <c r="A40" s="10">
        <f t="shared" si="2"/>
        <v>31</v>
      </c>
      <c r="B40" s="56" t="s">
        <v>9</v>
      </c>
      <c r="C40" s="12" t="s">
        <v>111</v>
      </c>
      <c r="D40" s="16">
        <f t="shared" si="7"/>
        <v>99126</v>
      </c>
      <c r="E40" s="14"/>
      <c r="F40" s="14">
        <v>99126</v>
      </c>
      <c r="G40" s="14"/>
      <c r="H40" s="14"/>
      <c r="I40" s="14"/>
      <c r="J40" s="17">
        <f t="shared" si="1"/>
        <v>99126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8" t="s">
        <v>10</v>
      </c>
      <c r="B42" s="119"/>
      <c r="C42" s="120"/>
      <c r="D42" s="48">
        <f>SUM(D2:D41)</f>
        <v>29408748</v>
      </c>
      <c r="J42" s="49">
        <f>SUM(J10:J41)</f>
        <v>29408748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76"/>
  <sheetViews>
    <sheetView tabSelected="1" topLeftCell="H1346" zoomScale="115" zoomScaleNormal="115" workbookViewId="0">
      <selection activeCell="X1377" sqref="X1377"/>
    </sheetView>
  </sheetViews>
  <sheetFormatPr defaultRowHeight="15" x14ac:dyDescent="0.25"/>
  <cols>
    <col min="1" max="1" width="5.28515625" customWidth="1"/>
    <col min="2" max="3" width="13.28515625" style="3" customWidth="1"/>
    <col min="4" max="4" width="17.85546875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2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7" width="13.28515625" customWidth="1"/>
    <col min="28" max="28" width="13.85546875" bestFit="1" customWidth="1"/>
    <col min="29" max="30" width="12.28515625" customWidth="1"/>
    <col min="31" max="31" width="13.85546875" bestFit="1" customWidth="1"/>
    <col min="32" max="32" width="2.5703125" customWidth="1"/>
    <col min="33" max="34" width="13.140625" customWidth="1"/>
    <col min="35" max="35" width="15.28515625" bestFit="1" customWidth="1"/>
    <col min="36" max="36" width="5.5703125" style="18" customWidth="1"/>
    <col min="37" max="37" width="5.140625" customWidth="1"/>
    <col min="38" max="39" width="13.28515625" customWidth="1"/>
    <col min="40" max="40" width="14" bestFit="1" customWidth="1"/>
    <col min="41" max="42" width="12.28515625" customWidth="1"/>
    <col min="43" max="43" width="14" bestFit="1" customWidth="1"/>
    <col min="44" max="44" width="2.5703125" customWidth="1"/>
    <col min="45" max="45" width="14" bestFit="1" customWidth="1"/>
    <col min="46" max="46" width="13.140625" customWidth="1"/>
    <col min="47" max="47" width="15.42578125" bestFit="1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L2" s="18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L3" s="18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L4" s="18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L5" s="18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L6" s="18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L7" s="18"/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L8" s="18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35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L9" s="18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5" t="s">
        <v>17</v>
      </c>
      <c r="E10" s="125"/>
      <c r="F10" s="77"/>
      <c r="G10" s="27"/>
      <c r="I10" s="123" t="s">
        <v>18</v>
      </c>
      <c r="J10" s="124"/>
      <c r="K10" s="121" t="s">
        <v>19</v>
      </c>
      <c r="L10" s="18"/>
      <c r="N10" s="25"/>
      <c r="O10" s="26"/>
      <c r="P10" s="125" t="s">
        <v>17</v>
      </c>
      <c r="Q10" s="125"/>
      <c r="R10" s="77"/>
      <c r="S10" s="27"/>
      <c r="U10" s="123" t="s">
        <v>18</v>
      </c>
      <c r="V10" s="124"/>
      <c r="W10" s="121" t="s">
        <v>19</v>
      </c>
      <c r="Z10" s="25"/>
      <c r="AA10" s="26"/>
      <c r="AB10" s="125" t="s">
        <v>17</v>
      </c>
      <c r="AC10" s="125"/>
      <c r="AD10" s="77"/>
      <c r="AE10" s="27"/>
      <c r="AG10" s="123" t="s">
        <v>18</v>
      </c>
      <c r="AH10" s="124"/>
      <c r="AI10" s="121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2"/>
      <c r="L11" s="18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2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2"/>
    </row>
    <row r="12" spans="1:35" x14ac:dyDescent="0.25">
      <c r="A12" s="10">
        <v>1</v>
      </c>
      <c r="B12" s="30">
        <v>45669</v>
      </c>
      <c r="C12" s="88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L12" s="18"/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88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L13" s="18"/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88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L14" s="18"/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88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L15" s="18"/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88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L16" s="18"/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88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L17" s="18"/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88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L18" s="18"/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88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L19" s="18"/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88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L20" s="18"/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88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L21" s="18"/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88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L22" s="18"/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88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L23" s="18"/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88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L24" s="18"/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88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L25" s="18"/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88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L26" s="18"/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88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L27" s="18"/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L28" s="18"/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8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L29" s="18"/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8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L30" s="18"/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L31" s="18"/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L32" s="18"/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L33" s="18"/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L34" s="18"/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L35" s="18"/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L36" s="18"/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L37" s="18"/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L38" s="18"/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L39" s="18"/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L40" s="18"/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L41" s="18"/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L42" s="18"/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L43" s="18"/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L44" s="18"/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L45" s="18"/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L46" s="18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L47" s="18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L48" s="18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L49" s="18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L50" s="18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L51" s="18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L52" s="18"/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L53" s="18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L54" s="18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L55" s="18"/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L57" s="18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L58" s="18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L59" s="18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L60" s="18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L61" s="18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L62" s="18"/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L63" s="18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35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L64" s="18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5" t="s">
        <v>17</v>
      </c>
      <c r="E65" s="125"/>
      <c r="F65" s="92"/>
      <c r="G65" s="27"/>
      <c r="I65" s="123" t="s">
        <v>18</v>
      </c>
      <c r="J65" s="124"/>
      <c r="K65" s="121" t="s">
        <v>19</v>
      </c>
      <c r="L65" s="18"/>
      <c r="N65" s="25"/>
      <c r="O65" s="26"/>
      <c r="P65" s="125" t="s">
        <v>17</v>
      </c>
      <c r="Q65" s="125"/>
      <c r="R65" s="92"/>
      <c r="S65" s="27"/>
      <c r="U65" s="123" t="s">
        <v>18</v>
      </c>
      <c r="V65" s="124"/>
      <c r="W65" s="121" t="s">
        <v>19</v>
      </c>
      <c r="Z65" s="25"/>
      <c r="AA65" s="26"/>
      <c r="AB65" s="125" t="s">
        <v>17</v>
      </c>
      <c r="AC65" s="125"/>
      <c r="AD65" s="92"/>
      <c r="AE65" s="27"/>
      <c r="AG65" s="123" t="s">
        <v>18</v>
      </c>
      <c r="AH65" s="124"/>
      <c r="AI65" s="121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2"/>
      <c r="L66" s="18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22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2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88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L67" s="18"/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26"/>
      <c r="AO67" s="126"/>
      <c r="AP67" s="87"/>
      <c r="AQ67" s="62"/>
      <c r="AR67" s="126"/>
      <c r="AS67" s="126"/>
      <c r="AT67" s="12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88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L68" s="18"/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2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88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L69" s="18"/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88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L70" s="18"/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88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L71" s="18"/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88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L72" s="18"/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88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L73" s="18"/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88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L74" s="18"/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88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L75" s="18"/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88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L76" s="18"/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88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L77" s="18"/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88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L78" s="18"/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88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L79" s="18"/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88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L80" s="18"/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88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L81" s="18"/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88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L82" s="18"/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88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L83" s="18"/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L84" s="18"/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8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L85" s="18"/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8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L86" s="18"/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8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L87" s="18"/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8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L88" s="18"/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L89" s="18"/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L90" s="18"/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L91" s="18"/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L92" s="18"/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L93" s="18"/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L94" s="18"/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L95" s="18"/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L96" s="18"/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L97" s="18"/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L98" s="18"/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L99" s="18"/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L100" s="18"/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L101" s="18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L102" s="18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L103" s="18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L104" s="18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L105" s="18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L106" s="18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L107" s="18"/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L108" s="18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L109" s="18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L110" s="18"/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L112" s="18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L113" s="18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L114" s="18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L115" s="18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L116" s="18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42</v>
      </c>
      <c r="B117" s="57"/>
      <c r="C117" s="57"/>
      <c r="D117" s="57"/>
      <c r="E117" s="57"/>
      <c r="G117" s="57"/>
      <c r="I117" s="57" t="s">
        <v>15</v>
      </c>
      <c r="J117" s="19">
        <v>1</v>
      </c>
      <c r="L117" s="18"/>
      <c r="M117" t="s">
        <v>42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42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43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L118" s="18"/>
      <c r="M118" s="21" t="s">
        <v>43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35</v>
      </c>
      <c r="W118" s="24"/>
      <c r="Y118" s="21" t="s">
        <v>43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L119" s="18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5" t="s">
        <v>17</v>
      </c>
      <c r="E120" s="125"/>
      <c r="F120" s="93"/>
      <c r="G120" s="27"/>
      <c r="I120" s="123" t="s">
        <v>18</v>
      </c>
      <c r="J120" s="124"/>
      <c r="K120" s="121" t="s">
        <v>19</v>
      </c>
      <c r="L120" s="18"/>
      <c r="N120" s="25"/>
      <c r="O120" s="26"/>
      <c r="P120" s="125" t="s">
        <v>17</v>
      </c>
      <c r="Q120" s="125"/>
      <c r="R120" s="93"/>
      <c r="S120" s="27"/>
      <c r="U120" s="123" t="s">
        <v>18</v>
      </c>
      <c r="V120" s="124"/>
      <c r="W120" s="121" t="s">
        <v>19</v>
      </c>
      <c r="Z120" s="25"/>
      <c r="AA120" s="26"/>
      <c r="AB120" s="125" t="s">
        <v>17</v>
      </c>
      <c r="AC120" s="125"/>
      <c r="AD120" s="93"/>
      <c r="AE120" s="27"/>
      <c r="AG120" s="123" t="s">
        <v>18</v>
      </c>
      <c r="AH120" s="124"/>
      <c r="AI120" s="12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2"/>
      <c r="L121" s="18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2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88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L122" s="18"/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88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L123" s="18"/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88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L124" s="18"/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88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L125" s="18"/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88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L126" s="18"/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88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L127" s="18"/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88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L128" s="18"/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88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L129" s="18"/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88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L130" s="18"/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88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L131" s="18"/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88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L132" s="18"/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88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L133" s="18"/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88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L134" s="18"/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88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L135" s="18"/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88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L136" s="18"/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88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L137" s="18"/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L138" s="18"/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L139" s="18"/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8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L140" s="18"/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8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L141" s="18"/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8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L142" s="18"/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8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L143" s="18"/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L144" s="18"/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L145" s="18"/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L146" s="18"/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L147" s="18"/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L148" s="18"/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L149" s="18"/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L150" s="18"/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L151" s="18"/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L152" s="18"/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L153" s="18"/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L154" s="18"/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L155" s="18"/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L156" s="18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L157" s="18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L158" s="18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L159" s="18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L160" s="18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L161" s="18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L162" s="18"/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L163" s="18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L164" s="18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L165" s="18"/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0"/>
      <c r="C167" s="90"/>
      <c r="D167" s="90"/>
      <c r="E167" s="90"/>
      <c r="F167" s="90"/>
      <c r="G167" s="90"/>
      <c r="H167" s="62"/>
      <c r="I167" s="62"/>
      <c r="J167" s="62"/>
      <c r="K167" s="62"/>
      <c r="L167" s="18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0"/>
      <c r="C168" s="90"/>
      <c r="D168" s="90"/>
      <c r="E168" s="90"/>
      <c r="F168" s="90"/>
      <c r="G168" s="90"/>
      <c r="H168" s="62"/>
      <c r="I168" s="62"/>
      <c r="J168" s="62"/>
      <c r="K168" s="62"/>
      <c r="L168" s="18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0"/>
      <c r="C169" s="90"/>
      <c r="D169" s="90"/>
      <c r="E169" s="90"/>
      <c r="F169" s="90"/>
      <c r="G169" s="90"/>
      <c r="H169" s="62"/>
      <c r="I169" s="62"/>
      <c r="J169" s="62"/>
      <c r="K169" s="62"/>
      <c r="L169" s="18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0"/>
      <c r="C170" s="90"/>
      <c r="D170" s="90"/>
      <c r="E170" s="90"/>
      <c r="F170" s="90"/>
      <c r="G170" s="90"/>
      <c r="H170" s="62"/>
      <c r="I170" s="62"/>
      <c r="J170" s="62"/>
      <c r="K170" s="62"/>
      <c r="L170" s="18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0"/>
      <c r="C171" s="90"/>
      <c r="D171" s="90"/>
      <c r="E171" s="90"/>
      <c r="F171" s="90"/>
      <c r="G171" s="90"/>
      <c r="H171" s="62"/>
      <c r="I171" s="62"/>
      <c r="J171" s="62"/>
      <c r="K171" s="62"/>
      <c r="L171" s="18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0"/>
      <c r="C172" s="90"/>
      <c r="D172" s="90"/>
      <c r="E172" s="90"/>
      <c r="F172" s="90"/>
      <c r="G172" s="90"/>
      <c r="H172" s="62"/>
      <c r="I172" s="90"/>
      <c r="J172" s="74"/>
      <c r="K172" s="62"/>
      <c r="L172" s="18"/>
      <c r="M172" t="s">
        <v>45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45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0"/>
      <c r="C173" s="90"/>
      <c r="D173" s="90"/>
      <c r="E173" s="90"/>
      <c r="F173" s="90"/>
      <c r="G173" s="90"/>
      <c r="H173" s="62"/>
      <c r="I173" s="65"/>
      <c r="J173" s="65"/>
      <c r="K173" s="62"/>
      <c r="L173" s="18"/>
      <c r="M173" s="21" t="s">
        <v>46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35</v>
      </c>
      <c r="W173" s="24"/>
      <c r="Y173" s="21" t="s">
        <v>46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0"/>
      <c r="C174" s="90"/>
      <c r="D174" s="90"/>
      <c r="E174" s="90"/>
      <c r="F174" s="90"/>
      <c r="G174" s="90"/>
      <c r="H174" s="62"/>
      <c r="I174" s="62"/>
      <c r="J174" s="62"/>
      <c r="K174" s="62"/>
      <c r="L174" s="18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0"/>
      <c r="D175" s="126"/>
      <c r="E175" s="126"/>
      <c r="F175" s="90"/>
      <c r="G175" s="90"/>
      <c r="H175" s="62"/>
      <c r="I175" s="126"/>
      <c r="J175" s="126"/>
      <c r="K175" s="127"/>
      <c r="L175" s="18"/>
      <c r="N175" s="25"/>
      <c r="O175" s="26"/>
      <c r="P175" s="125" t="s">
        <v>17</v>
      </c>
      <c r="Q175" s="125"/>
      <c r="R175" s="94"/>
      <c r="S175" s="27"/>
      <c r="U175" s="123" t="s">
        <v>18</v>
      </c>
      <c r="V175" s="124"/>
      <c r="W175" s="121" t="s">
        <v>19</v>
      </c>
      <c r="Z175" s="25"/>
      <c r="AA175" s="26"/>
      <c r="AB175" s="125" t="s">
        <v>17</v>
      </c>
      <c r="AC175" s="125"/>
      <c r="AD175" s="94"/>
      <c r="AE175" s="27"/>
      <c r="AG175" s="123" t="s">
        <v>18</v>
      </c>
      <c r="AH175" s="124"/>
      <c r="AI175" s="121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0"/>
      <c r="C176" s="90"/>
      <c r="D176" s="81"/>
      <c r="E176" s="82"/>
      <c r="F176" s="83"/>
      <c r="G176" s="83"/>
      <c r="H176" s="62"/>
      <c r="I176" s="89"/>
      <c r="J176" s="89"/>
      <c r="K176" s="127"/>
      <c r="L176" s="18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2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1"/>
      <c r="D177" s="60"/>
      <c r="E177" s="60"/>
      <c r="F177" s="60"/>
      <c r="G177" s="60"/>
      <c r="H177" s="61"/>
      <c r="I177" s="61"/>
      <c r="J177" s="61"/>
      <c r="K177" s="61"/>
      <c r="L177" s="18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1"/>
      <c r="D178" s="60"/>
      <c r="E178" s="60"/>
      <c r="F178" s="60"/>
      <c r="G178" s="60"/>
      <c r="H178" s="61"/>
      <c r="I178" s="61"/>
      <c r="J178" s="61"/>
      <c r="K178" s="61"/>
      <c r="L178" s="18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1"/>
      <c r="D179" s="60"/>
      <c r="E179" s="60"/>
      <c r="F179" s="60"/>
      <c r="G179" s="60"/>
      <c r="H179" s="61"/>
      <c r="I179" s="61"/>
      <c r="J179" s="61"/>
      <c r="K179" s="61"/>
      <c r="L179" s="18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1"/>
      <c r="D180" s="60"/>
      <c r="E180" s="60"/>
      <c r="F180" s="60"/>
      <c r="G180" s="60"/>
      <c r="H180" s="61"/>
      <c r="I180" s="61"/>
      <c r="J180" s="61"/>
      <c r="K180" s="61"/>
      <c r="L180" s="18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1"/>
      <c r="D181" s="60"/>
      <c r="E181" s="60"/>
      <c r="F181" s="60"/>
      <c r="G181" s="60"/>
      <c r="H181" s="61"/>
      <c r="I181" s="61"/>
      <c r="J181" s="61"/>
      <c r="K181" s="61"/>
      <c r="L181" s="18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26"/>
      <c r="AO181" s="126"/>
      <c r="AP181" s="87"/>
      <c r="AQ181" s="62"/>
      <c r="AR181" s="126"/>
      <c r="AS181" s="126"/>
      <c r="AT181" s="127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1"/>
      <c r="D182" s="60"/>
      <c r="E182" s="60"/>
      <c r="F182" s="60"/>
      <c r="G182" s="60"/>
      <c r="H182" s="61"/>
      <c r="I182" s="61"/>
      <c r="J182" s="61"/>
      <c r="K182" s="61"/>
      <c r="L182" s="18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27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1"/>
      <c r="D183" s="60"/>
      <c r="E183" s="60"/>
      <c r="F183" s="60"/>
      <c r="G183" s="60"/>
      <c r="H183" s="61"/>
      <c r="I183" s="61"/>
      <c r="J183" s="61"/>
      <c r="K183" s="61"/>
      <c r="L183" s="18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1"/>
      <c r="D184" s="60"/>
      <c r="E184" s="60"/>
      <c r="F184" s="60"/>
      <c r="G184" s="60"/>
      <c r="H184" s="61"/>
      <c r="I184" s="61"/>
      <c r="J184" s="61"/>
      <c r="K184" s="61"/>
      <c r="L184" s="18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1"/>
      <c r="D185" s="60"/>
      <c r="E185" s="60"/>
      <c r="F185" s="60"/>
      <c r="G185" s="60"/>
      <c r="H185" s="61"/>
      <c r="I185" s="61"/>
      <c r="J185" s="61"/>
      <c r="K185" s="61"/>
      <c r="L185" s="18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L186" s="18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1"/>
      <c r="D187" s="60"/>
      <c r="E187" s="60"/>
      <c r="F187" s="60"/>
      <c r="G187" s="60"/>
      <c r="H187" s="61"/>
      <c r="I187" s="61"/>
      <c r="J187" s="61"/>
      <c r="K187" s="61"/>
      <c r="L187" s="18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1"/>
      <c r="D188" s="60"/>
      <c r="E188" s="60"/>
      <c r="F188" s="60"/>
      <c r="G188" s="60"/>
      <c r="H188" s="61"/>
      <c r="I188" s="61"/>
      <c r="J188" s="62"/>
      <c r="K188" s="61"/>
      <c r="L188" s="18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1"/>
      <c r="D189" s="60"/>
      <c r="E189" s="60"/>
      <c r="F189" s="60"/>
      <c r="G189" s="60"/>
      <c r="H189" s="61"/>
      <c r="I189" s="61"/>
      <c r="J189" s="61"/>
      <c r="K189" s="61"/>
      <c r="L189" s="18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1"/>
      <c r="D190" s="60"/>
      <c r="E190" s="60"/>
      <c r="F190" s="60"/>
      <c r="G190" s="60"/>
      <c r="H190" s="61"/>
      <c r="I190" s="61"/>
      <c r="J190" s="61"/>
      <c r="K190" s="61"/>
      <c r="L190" s="18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1"/>
      <c r="D191" s="60"/>
      <c r="E191" s="60"/>
      <c r="F191" s="60"/>
      <c r="G191" s="60"/>
      <c r="H191" s="61"/>
      <c r="I191" s="61"/>
      <c r="J191" s="61"/>
      <c r="K191" s="61"/>
      <c r="L191" s="18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1"/>
      <c r="D192" s="60"/>
      <c r="E192" s="60"/>
      <c r="F192" s="60"/>
      <c r="G192" s="60"/>
      <c r="H192" s="61"/>
      <c r="I192" s="61"/>
      <c r="J192" s="61"/>
      <c r="K192" s="61"/>
      <c r="L192" s="18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1"/>
      <c r="D193" s="60"/>
      <c r="E193" s="60"/>
      <c r="F193" s="60"/>
      <c r="G193" s="60"/>
      <c r="H193" s="61"/>
      <c r="I193" s="61"/>
      <c r="J193" s="61"/>
      <c r="K193" s="61"/>
      <c r="L193" s="18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1"/>
      <c r="D194" s="60"/>
      <c r="E194" s="60"/>
      <c r="F194" s="60"/>
      <c r="G194" s="60"/>
      <c r="H194" s="61"/>
      <c r="I194" s="61"/>
      <c r="J194" s="61"/>
      <c r="K194" s="61"/>
      <c r="L194" s="18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1"/>
      <c r="D195" s="60"/>
      <c r="E195" s="60"/>
      <c r="F195" s="60"/>
      <c r="G195" s="60"/>
      <c r="H195" s="61"/>
      <c r="I195" s="61"/>
      <c r="J195" s="61"/>
      <c r="K195" s="61"/>
      <c r="L195" s="18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1"/>
      <c r="D196" s="60"/>
      <c r="E196" s="60"/>
      <c r="F196" s="60"/>
      <c r="G196" s="60"/>
      <c r="H196" s="61"/>
      <c r="I196" s="61"/>
      <c r="J196" s="61"/>
      <c r="K196" s="61"/>
      <c r="L196" s="18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1"/>
      <c r="D197" s="60"/>
      <c r="E197" s="60"/>
      <c r="F197" s="60"/>
      <c r="G197" s="60"/>
      <c r="H197" s="62"/>
      <c r="I197" s="62"/>
      <c r="J197" s="62"/>
      <c r="K197" s="61"/>
      <c r="L197" s="18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1"/>
      <c r="D198" s="60"/>
      <c r="E198" s="60"/>
      <c r="F198" s="60"/>
      <c r="G198" s="60"/>
      <c r="H198" s="62"/>
      <c r="I198" s="62"/>
      <c r="J198" s="62"/>
      <c r="K198" s="61"/>
      <c r="L198" s="18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1"/>
      <c r="D199" s="60"/>
      <c r="E199" s="60"/>
      <c r="F199" s="60"/>
      <c r="G199" s="60"/>
      <c r="H199" s="62"/>
      <c r="I199" s="62"/>
      <c r="J199" s="61"/>
      <c r="K199" s="61"/>
      <c r="L199" s="18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1"/>
      <c r="D200" s="60"/>
      <c r="E200" s="60"/>
      <c r="F200" s="60"/>
      <c r="G200" s="60"/>
      <c r="H200" s="62"/>
      <c r="I200" s="62"/>
      <c r="J200" s="62"/>
      <c r="K200" s="61"/>
      <c r="L200" s="18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0"/>
      <c r="D201" s="60"/>
      <c r="E201" s="60"/>
      <c r="F201" s="60"/>
      <c r="G201" s="60"/>
      <c r="H201" s="62"/>
      <c r="I201" s="62"/>
      <c r="J201" s="62"/>
      <c r="K201" s="61"/>
      <c r="L201" s="18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1"/>
      <c r="D202" s="60"/>
      <c r="E202" s="60"/>
      <c r="F202" s="60"/>
      <c r="G202" s="60"/>
      <c r="H202" s="62"/>
      <c r="I202" s="62"/>
      <c r="J202" s="62"/>
      <c r="K202" s="61"/>
      <c r="L202" s="18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1"/>
      <c r="D203" s="60"/>
      <c r="E203" s="60"/>
      <c r="F203" s="60"/>
      <c r="G203" s="60"/>
      <c r="H203" s="62"/>
      <c r="I203" s="62"/>
      <c r="J203" s="62"/>
      <c r="K203" s="61"/>
      <c r="L203" s="18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1"/>
      <c r="D204" s="60"/>
      <c r="E204" s="60"/>
      <c r="F204" s="60"/>
      <c r="G204" s="60"/>
      <c r="H204" s="62"/>
      <c r="I204" s="62"/>
      <c r="J204" s="62"/>
      <c r="K204" s="61"/>
      <c r="L204" s="18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1"/>
      <c r="D205" s="60"/>
      <c r="E205" s="60"/>
      <c r="F205" s="60"/>
      <c r="G205" s="60"/>
      <c r="H205" s="62"/>
      <c r="I205" s="62"/>
      <c r="J205" s="62"/>
      <c r="K205" s="61"/>
      <c r="L205" s="18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1"/>
      <c r="D206" s="60"/>
      <c r="E206" s="60"/>
      <c r="F206" s="60"/>
      <c r="G206" s="60"/>
      <c r="H206" s="62"/>
      <c r="I206" s="62"/>
      <c r="J206" s="62"/>
      <c r="K206" s="61"/>
      <c r="L206" s="18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1"/>
      <c r="D207" s="60"/>
      <c r="E207" s="60"/>
      <c r="F207" s="60"/>
      <c r="G207" s="60"/>
      <c r="H207" s="62"/>
      <c r="I207" s="62"/>
      <c r="J207" s="62"/>
      <c r="K207" s="61"/>
      <c r="L207" s="18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1"/>
      <c r="D208" s="60"/>
      <c r="E208" s="60"/>
      <c r="F208" s="60"/>
      <c r="G208" s="60"/>
      <c r="H208" s="62"/>
      <c r="I208" s="62"/>
      <c r="J208" s="62"/>
      <c r="K208" s="61"/>
      <c r="L208" s="18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1"/>
      <c r="D209" s="60"/>
      <c r="E209" s="60"/>
      <c r="F209" s="60"/>
      <c r="G209" s="60"/>
      <c r="H209" s="62"/>
      <c r="I209" s="62"/>
      <c r="J209" s="62"/>
      <c r="K209" s="61"/>
      <c r="L209" s="18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1"/>
      <c r="D210" s="60"/>
      <c r="E210" s="60"/>
      <c r="F210" s="60"/>
      <c r="G210" s="60"/>
      <c r="H210" s="62"/>
      <c r="I210" s="62"/>
      <c r="J210" s="62"/>
      <c r="K210" s="61"/>
      <c r="L210" s="18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0"/>
      <c r="D211" s="60"/>
      <c r="E211" s="60"/>
      <c r="F211" s="60"/>
      <c r="G211" s="60"/>
      <c r="H211" s="62"/>
      <c r="I211" s="62"/>
      <c r="J211" s="62"/>
      <c r="K211" s="61"/>
      <c r="L211" s="18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0"/>
      <c r="D212" s="60"/>
      <c r="E212" s="60"/>
      <c r="F212" s="60"/>
      <c r="G212" s="60"/>
      <c r="H212" s="62"/>
      <c r="I212" s="62"/>
      <c r="J212" s="62"/>
      <c r="K212" s="61"/>
      <c r="L212" s="18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0"/>
      <c r="D213" s="60"/>
      <c r="E213" s="60"/>
      <c r="F213" s="60"/>
      <c r="G213" s="60"/>
      <c r="H213" s="62"/>
      <c r="I213" s="62"/>
      <c r="J213" s="62"/>
      <c r="K213" s="61"/>
      <c r="L213" s="18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0"/>
      <c r="D214" s="60"/>
      <c r="E214" s="60"/>
      <c r="F214" s="60"/>
      <c r="G214" s="60"/>
      <c r="H214" s="62"/>
      <c r="I214" s="62"/>
      <c r="J214" s="62"/>
      <c r="K214" s="61"/>
      <c r="L214" s="18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0"/>
      <c r="D215" s="60"/>
      <c r="E215" s="60"/>
      <c r="F215" s="60"/>
      <c r="G215" s="60"/>
      <c r="H215" s="62"/>
      <c r="I215" s="62"/>
      <c r="J215" s="62"/>
      <c r="K215" s="61"/>
      <c r="L215" s="18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0"/>
      <c r="D216" s="60"/>
      <c r="E216" s="60"/>
      <c r="F216" s="60"/>
      <c r="G216" s="60"/>
      <c r="H216" s="62"/>
      <c r="I216" s="62"/>
      <c r="J216" s="62"/>
      <c r="K216" s="61"/>
      <c r="L216" s="18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0"/>
      <c r="D217" s="60"/>
      <c r="E217" s="60"/>
      <c r="F217" s="60"/>
      <c r="G217" s="60"/>
      <c r="H217" s="62"/>
      <c r="I217" s="62"/>
      <c r="J217" s="62"/>
      <c r="K217" s="61"/>
      <c r="L217" s="18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18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0"/>
      <c r="C219" s="90"/>
      <c r="D219" s="90"/>
      <c r="E219" s="90"/>
      <c r="F219" s="90"/>
      <c r="G219" s="90"/>
      <c r="H219" s="62"/>
      <c r="I219" s="62"/>
      <c r="J219" s="62"/>
      <c r="K219" s="62"/>
      <c r="L219" s="18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0"/>
      <c r="C220" s="90"/>
      <c r="D220" s="70"/>
      <c r="E220" s="70"/>
      <c r="F220" s="70"/>
      <c r="G220" s="70"/>
      <c r="H220" s="63"/>
      <c r="I220" s="70"/>
      <c r="J220" s="70"/>
      <c r="K220" s="70"/>
      <c r="L220" s="18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L222" s="18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L223" s="18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L224" s="18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L225" s="18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L226" s="18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48</v>
      </c>
      <c r="B227" s="57"/>
      <c r="C227" s="57"/>
      <c r="D227" s="57"/>
      <c r="E227" s="57"/>
      <c r="G227" s="57"/>
      <c r="I227" s="57" t="s">
        <v>15</v>
      </c>
      <c r="J227" s="19">
        <v>1</v>
      </c>
      <c r="L227" s="18"/>
      <c r="M227" t="s">
        <v>48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48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49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L228" s="18"/>
      <c r="M228" s="21" t="s">
        <v>49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35</v>
      </c>
      <c r="W228" s="24"/>
      <c r="Y228" s="21" t="s">
        <v>49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L229" s="18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5" t="s">
        <v>17</v>
      </c>
      <c r="E230" s="125"/>
      <c r="F230" s="95"/>
      <c r="G230" s="27"/>
      <c r="I230" s="123" t="s">
        <v>18</v>
      </c>
      <c r="J230" s="124"/>
      <c r="K230" s="121" t="s">
        <v>19</v>
      </c>
      <c r="L230" s="18"/>
      <c r="N230" s="25"/>
      <c r="O230" s="26"/>
      <c r="P230" s="125" t="s">
        <v>17</v>
      </c>
      <c r="Q230" s="125"/>
      <c r="R230" s="95"/>
      <c r="S230" s="27"/>
      <c r="U230" s="123" t="s">
        <v>18</v>
      </c>
      <c r="V230" s="124"/>
      <c r="W230" s="121" t="s">
        <v>19</v>
      </c>
      <c r="Z230" s="25"/>
      <c r="AA230" s="26"/>
      <c r="AB230" s="125" t="s">
        <v>17</v>
      </c>
      <c r="AC230" s="125"/>
      <c r="AD230" s="95"/>
      <c r="AE230" s="27"/>
      <c r="AG230" s="123" t="s">
        <v>18</v>
      </c>
      <c r="AH230" s="124"/>
      <c r="AI230" s="12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2"/>
      <c r="L231" s="18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2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88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L232" s="18"/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88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L233" s="18"/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88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L234" s="18"/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88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L235" s="18"/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88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L236" s="18"/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88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L237" s="18"/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L238" s="18"/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8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L239" s="18"/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8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L240" s="18"/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8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L241" s="18"/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8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L242" s="18"/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8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L243" s="18"/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8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L244" s="18"/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8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L245" s="18"/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8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L246" s="18"/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8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L247" s="18"/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L248" s="18"/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L249" s="18"/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8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L250" s="18"/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8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L251" s="18"/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8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L252" s="18"/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8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L253" s="18"/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L254" s="18"/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L255" s="18"/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L256" s="18"/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L257" s="18"/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L258" s="18"/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L259" s="18"/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L260" s="18"/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L261" s="18"/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L262" s="18"/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L263" s="18"/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L264" s="18"/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L265" s="18"/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L266" s="18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L267" s="18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L268" s="18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L269" s="18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L270" s="18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L271" s="18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L272" s="18"/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L273" s="18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L274" s="18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L275" s="18"/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L277" s="18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L278" s="18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L279" s="18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L280" s="18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L281" s="18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51</v>
      </c>
      <c r="B282" s="57"/>
      <c r="C282" s="57"/>
      <c r="D282" s="57"/>
      <c r="E282" s="57"/>
      <c r="G282" s="57"/>
      <c r="I282" s="57" t="s">
        <v>15</v>
      </c>
      <c r="J282" s="19">
        <v>1</v>
      </c>
      <c r="L282" s="18"/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52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L283" s="18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35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L284" s="18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5" t="s">
        <v>17</v>
      </c>
      <c r="E285" s="125"/>
      <c r="F285" s="96"/>
      <c r="G285" s="27"/>
      <c r="I285" s="123" t="s">
        <v>18</v>
      </c>
      <c r="J285" s="124"/>
      <c r="K285" s="121" t="s">
        <v>19</v>
      </c>
      <c r="L285" s="18"/>
      <c r="N285" s="25"/>
      <c r="O285" s="26"/>
      <c r="P285" s="125" t="s">
        <v>17</v>
      </c>
      <c r="Q285" s="125"/>
      <c r="R285" s="96"/>
      <c r="S285" s="27"/>
      <c r="U285" s="123" t="s">
        <v>18</v>
      </c>
      <c r="V285" s="124"/>
      <c r="W285" s="121" t="s">
        <v>19</v>
      </c>
      <c r="Z285" s="25"/>
      <c r="AA285" s="26"/>
      <c r="AB285" s="125" t="s">
        <v>17</v>
      </c>
      <c r="AC285" s="125"/>
      <c r="AD285" s="96"/>
      <c r="AE285" s="27"/>
      <c r="AG285" s="123" t="s">
        <v>18</v>
      </c>
      <c r="AH285" s="124"/>
      <c r="AI285" s="12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2"/>
      <c r="L286" s="18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2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88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L287" s="18"/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88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L288" s="18"/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88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L289" s="18"/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88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L290" s="18"/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88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L291" s="18"/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88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L292" s="18"/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88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L293" s="18"/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88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L294" s="18"/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88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L295" s="18"/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88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L296" s="18"/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88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L297" s="18"/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L298" s="18"/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8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L299" s="18"/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8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L300" s="18"/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8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L301" s="18"/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L302" s="18"/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L303" s="18"/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L304" s="18"/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8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L305" s="18"/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8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L306" s="18"/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8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L307" s="18"/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8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L308" s="18"/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L309" s="18"/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L310" s="18"/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L311" s="18"/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L312" s="18"/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L313" s="18"/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L314" s="18"/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L315" s="18"/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L316" s="18"/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L317" s="18"/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L318" s="18"/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L319" s="18"/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L320" s="18"/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L321" s="18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L322" s="18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L323" s="18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L324" s="18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L325" s="18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L326" s="18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L327" s="18"/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L328" s="18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L329" s="18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L330" s="18"/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L332" s="18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L333" s="18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L334" s="18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L335" s="18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L336" s="18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L337" s="18"/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54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L338" s="18"/>
      <c r="M338" s="21" t="s">
        <v>54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35</v>
      </c>
      <c r="W338" s="24"/>
      <c r="Y338" s="21" t="s">
        <v>54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L339" s="18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5" t="s">
        <v>17</v>
      </c>
      <c r="E340" s="125"/>
      <c r="F340" s="97"/>
      <c r="G340" s="27"/>
      <c r="I340" s="123" t="s">
        <v>18</v>
      </c>
      <c r="J340" s="124"/>
      <c r="K340" s="121" t="s">
        <v>19</v>
      </c>
      <c r="L340" s="18"/>
      <c r="N340" s="25"/>
      <c r="O340" s="26"/>
      <c r="P340" s="125" t="s">
        <v>17</v>
      </c>
      <c r="Q340" s="125"/>
      <c r="R340" s="97"/>
      <c r="S340" s="27"/>
      <c r="U340" s="123" t="s">
        <v>18</v>
      </c>
      <c r="V340" s="124"/>
      <c r="W340" s="121" t="s">
        <v>19</v>
      </c>
      <c r="Z340" s="25"/>
      <c r="AA340" s="26"/>
      <c r="AB340" s="125" t="s">
        <v>17</v>
      </c>
      <c r="AC340" s="125"/>
      <c r="AD340" s="97"/>
      <c r="AE340" s="27"/>
      <c r="AG340" s="123" t="s">
        <v>18</v>
      </c>
      <c r="AH340" s="124"/>
      <c r="AI340" s="12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2"/>
      <c r="L341" s="18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2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88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L342" s="18"/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88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L343" s="18"/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88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L344" s="18"/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88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L345" s="18"/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88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L346" s="18"/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88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L347" s="18"/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88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L348" s="18"/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88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L349" s="18"/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88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L350" s="18"/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88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L351" s="18"/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88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L352" s="18"/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88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L353" s="18"/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88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L354" s="18"/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88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L355" s="18"/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88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L356" s="18"/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88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L357" s="18"/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88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L358" s="18"/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L359" s="18"/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L360" s="18"/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8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L361" s="18"/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8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L362" s="18"/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8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L363" s="18"/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L364" s="18"/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L365" s="18"/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L366" s="18"/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L367" s="18"/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L368" s="18"/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L369" s="18"/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L370" s="18"/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L371" s="18"/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L372" s="18"/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L373" s="18"/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L374" s="18"/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L375" s="18"/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L376" s="18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L377" s="18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L378" s="18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L379" s="18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L380" s="18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L381" s="18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L382" s="18"/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L383" s="18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L384" s="18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L385" s="18"/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L387" s="18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L388" s="18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L389" s="18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L390" s="18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L391" s="18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L392" s="18"/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56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L393" s="18"/>
      <c r="M393" s="21" t="s">
        <v>56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35</v>
      </c>
      <c r="W393" s="24"/>
      <c r="Y393" s="21" t="s">
        <v>56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L394" s="18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5" t="s">
        <v>17</v>
      </c>
      <c r="E395" s="125"/>
      <c r="F395" s="98"/>
      <c r="G395" s="27"/>
      <c r="I395" s="123" t="s">
        <v>18</v>
      </c>
      <c r="J395" s="124"/>
      <c r="K395" s="121" t="s">
        <v>19</v>
      </c>
      <c r="L395" s="18"/>
      <c r="N395" s="25"/>
      <c r="O395" s="26"/>
      <c r="P395" s="125" t="s">
        <v>17</v>
      </c>
      <c r="Q395" s="125"/>
      <c r="R395" s="98"/>
      <c r="S395" s="27"/>
      <c r="U395" s="123" t="s">
        <v>18</v>
      </c>
      <c r="V395" s="124"/>
      <c r="W395" s="121" t="s">
        <v>19</v>
      </c>
      <c r="Z395" s="25"/>
      <c r="AA395" s="26"/>
      <c r="AB395" s="125" t="s">
        <v>17</v>
      </c>
      <c r="AC395" s="125"/>
      <c r="AD395" s="98"/>
      <c r="AE395" s="27"/>
      <c r="AG395" s="123" t="s">
        <v>18</v>
      </c>
      <c r="AH395" s="124"/>
      <c r="AI395" s="12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2"/>
      <c r="L396" s="18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2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88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L397" s="18"/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88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L398" s="18"/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88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L399" s="18"/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88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L400" s="18"/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88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L401" s="18"/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88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L402" s="18"/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88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L403" s="18"/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88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L404" s="18"/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88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L405" s="18"/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88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L406" s="18"/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88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L407" s="18"/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88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L408" s="18"/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88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L409" s="18"/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88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L410" s="18"/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88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L411" s="18"/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L412" s="18"/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8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L413" s="18"/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L414" s="18"/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L415" s="18"/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8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L416" s="18"/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8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L417" s="18"/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8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L418" s="18"/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L419" s="18"/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L420" s="18"/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L421" s="18"/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L422" s="18"/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L423" s="18"/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L424" s="18"/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L425" s="18"/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L426" s="18"/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L427" s="18"/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L428" s="18"/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L429" s="18"/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L430" s="18"/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L431" s="18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L432" s="18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L433" s="18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L434" s="18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L435" s="18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L436" s="18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L437" s="18"/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L438" s="18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L439" s="18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L440" s="18"/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L442" s="18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L443" s="18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L444" s="18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L445" s="18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L446" s="18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4"/>
      <c r="K447" s="62"/>
      <c r="L447" s="18"/>
      <c r="M447" t="s">
        <v>42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42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L448" s="18"/>
      <c r="M448" s="21" t="s">
        <v>58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35</v>
      </c>
      <c r="W448" s="24"/>
      <c r="Y448" s="21" t="s">
        <v>58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L449" s="18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26"/>
      <c r="E450" s="126"/>
      <c r="F450" s="90"/>
      <c r="G450" s="90"/>
      <c r="H450" s="62"/>
      <c r="I450" s="126"/>
      <c r="J450" s="126"/>
      <c r="K450" s="127"/>
      <c r="L450" s="18"/>
      <c r="N450" s="25"/>
      <c r="O450" s="26"/>
      <c r="P450" s="125" t="s">
        <v>17</v>
      </c>
      <c r="Q450" s="125"/>
      <c r="R450" s="99"/>
      <c r="S450" s="27"/>
      <c r="U450" s="123" t="s">
        <v>18</v>
      </c>
      <c r="V450" s="124"/>
      <c r="W450" s="121" t="s">
        <v>19</v>
      </c>
      <c r="Z450" s="25"/>
      <c r="AA450" s="26"/>
      <c r="AB450" s="125" t="s">
        <v>17</v>
      </c>
      <c r="AC450" s="125"/>
      <c r="AD450" s="99"/>
      <c r="AE450" s="27"/>
      <c r="AG450" s="123" t="s">
        <v>18</v>
      </c>
      <c r="AH450" s="124"/>
      <c r="AI450" s="12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81"/>
      <c r="E451" s="82"/>
      <c r="F451" s="83"/>
      <c r="G451" s="83"/>
      <c r="H451" s="62"/>
      <c r="I451" s="89"/>
      <c r="J451" s="89"/>
      <c r="K451" s="127"/>
      <c r="L451" s="18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2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1"/>
      <c r="D452" s="60"/>
      <c r="E452" s="60"/>
      <c r="F452" s="60"/>
      <c r="G452" s="60"/>
      <c r="H452" s="61"/>
      <c r="I452" s="61"/>
      <c r="J452" s="61"/>
      <c r="K452" s="61"/>
      <c r="L452" s="18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1"/>
      <c r="D453" s="60"/>
      <c r="E453" s="60"/>
      <c r="F453" s="60"/>
      <c r="G453" s="60"/>
      <c r="H453" s="61"/>
      <c r="I453" s="61"/>
      <c r="J453" s="61"/>
      <c r="K453" s="61"/>
      <c r="L453" s="18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1"/>
      <c r="D454" s="60"/>
      <c r="E454" s="60"/>
      <c r="F454" s="60"/>
      <c r="G454" s="60"/>
      <c r="H454" s="61"/>
      <c r="I454" s="61"/>
      <c r="J454" s="61"/>
      <c r="K454" s="61"/>
      <c r="L454" s="18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1"/>
      <c r="D455" s="60"/>
      <c r="E455" s="60"/>
      <c r="F455" s="60"/>
      <c r="G455" s="60"/>
      <c r="H455" s="61"/>
      <c r="I455" s="61"/>
      <c r="J455" s="61"/>
      <c r="K455" s="61"/>
      <c r="L455" s="18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1"/>
      <c r="D456" s="60"/>
      <c r="E456" s="60"/>
      <c r="F456" s="60"/>
      <c r="G456" s="60"/>
      <c r="H456" s="61"/>
      <c r="I456" s="61"/>
      <c r="J456" s="61"/>
      <c r="K456" s="61"/>
      <c r="L456" s="18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1"/>
      <c r="D457" s="60"/>
      <c r="E457" s="60"/>
      <c r="F457" s="60"/>
      <c r="G457" s="60"/>
      <c r="H457" s="61"/>
      <c r="I457" s="61"/>
      <c r="J457" s="61"/>
      <c r="K457" s="61"/>
      <c r="L457" s="18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1"/>
      <c r="D458" s="60"/>
      <c r="E458" s="60"/>
      <c r="F458" s="60"/>
      <c r="G458" s="60"/>
      <c r="H458" s="61"/>
      <c r="I458" s="61"/>
      <c r="J458" s="61"/>
      <c r="K458" s="61"/>
      <c r="L458" s="18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1"/>
      <c r="D459" s="60"/>
      <c r="E459" s="60"/>
      <c r="F459" s="60"/>
      <c r="G459" s="60"/>
      <c r="H459" s="61"/>
      <c r="I459" s="61"/>
      <c r="J459" s="61"/>
      <c r="K459" s="61"/>
      <c r="L459" s="18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1"/>
      <c r="D460" s="60"/>
      <c r="E460" s="60"/>
      <c r="F460" s="60"/>
      <c r="G460" s="60"/>
      <c r="H460" s="61"/>
      <c r="I460" s="61"/>
      <c r="J460" s="61"/>
      <c r="K460" s="61"/>
      <c r="L460" s="18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1"/>
      <c r="D461" s="60"/>
      <c r="E461" s="60"/>
      <c r="F461" s="60"/>
      <c r="G461" s="60"/>
      <c r="H461" s="61"/>
      <c r="I461" s="61"/>
      <c r="J461" s="61"/>
      <c r="K461" s="61"/>
      <c r="L461" s="18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1"/>
      <c r="D462" s="60"/>
      <c r="E462" s="60"/>
      <c r="F462" s="60"/>
      <c r="G462" s="60"/>
      <c r="H462" s="61"/>
      <c r="I462" s="61"/>
      <c r="J462" s="61"/>
      <c r="K462" s="61"/>
      <c r="L462" s="18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1"/>
      <c r="D463" s="60"/>
      <c r="E463" s="60"/>
      <c r="F463" s="60"/>
      <c r="G463" s="60"/>
      <c r="H463" s="61"/>
      <c r="I463" s="61"/>
      <c r="J463" s="62"/>
      <c r="K463" s="61"/>
      <c r="L463" s="18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1"/>
      <c r="D464" s="60"/>
      <c r="E464" s="60"/>
      <c r="F464" s="60"/>
      <c r="G464" s="60"/>
      <c r="H464" s="61"/>
      <c r="I464" s="61"/>
      <c r="J464" s="61"/>
      <c r="K464" s="61"/>
      <c r="L464" s="18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L465" s="18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1"/>
      <c r="D466" s="60"/>
      <c r="E466" s="60"/>
      <c r="F466" s="60"/>
      <c r="G466" s="60"/>
      <c r="H466" s="61"/>
      <c r="I466" s="61"/>
      <c r="J466" s="61"/>
      <c r="K466" s="61"/>
      <c r="L466" s="18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1"/>
      <c r="D467" s="60"/>
      <c r="E467" s="60"/>
      <c r="F467" s="60"/>
      <c r="G467" s="60"/>
      <c r="H467" s="61"/>
      <c r="I467" s="61"/>
      <c r="J467" s="61"/>
      <c r="K467" s="61"/>
      <c r="L467" s="18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1"/>
      <c r="D468" s="60"/>
      <c r="E468" s="60"/>
      <c r="F468" s="60"/>
      <c r="G468" s="60"/>
      <c r="H468" s="61"/>
      <c r="I468" s="61"/>
      <c r="J468" s="61"/>
      <c r="K468" s="61"/>
      <c r="L468" s="18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1"/>
      <c r="D469" s="60"/>
      <c r="E469" s="60"/>
      <c r="F469" s="60"/>
      <c r="G469" s="60"/>
      <c r="H469" s="61"/>
      <c r="I469" s="61"/>
      <c r="J469" s="61"/>
      <c r="K469" s="61"/>
      <c r="L469" s="18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18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1"/>
      <c r="D471" s="60"/>
      <c r="E471" s="60"/>
      <c r="F471" s="60"/>
      <c r="G471" s="60"/>
      <c r="H471" s="61"/>
      <c r="I471" s="61"/>
      <c r="J471" s="61"/>
      <c r="K471" s="61"/>
      <c r="L471" s="18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L472" s="18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1"/>
      <c r="D473" s="60"/>
      <c r="E473" s="60"/>
      <c r="F473" s="60"/>
      <c r="G473" s="60"/>
      <c r="H473" s="62"/>
      <c r="I473" s="62"/>
      <c r="J473" s="62"/>
      <c r="K473" s="61"/>
      <c r="L473" s="18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0"/>
      <c r="D474" s="60"/>
      <c r="E474" s="60"/>
      <c r="F474" s="60"/>
      <c r="G474" s="60"/>
      <c r="H474" s="62"/>
      <c r="I474" s="62"/>
      <c r="J474" s="61"/>
      <c r="K474" s="61"/>
      <c r="L474" s="18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1"/>
      <c r="D475" s="60"/>
      <c r="E475" s="60"/>
      <c r="F475" s="60"/>
      <c r="G475" s="60"/>
      <c r="H475" s="62"/>
      <c r="I475" s="62"/>
      <c r="J475" s="62"/>
      <c r="K475" s="61"/>
      <c r="L475" s="18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1"/>
      <c r="D476" s="60"/>
      <c r="E476" s="60"/>
      <c r="F476" s="60"/>
      <c r="G476" s="60"/>
      <c r="H476" s="62"/>
      <c r="I476" s="62"/>
      <c r="J476" s="62"/>
      <c r="K476" s="61"/>
      <c r="L476" s="18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1"/>
      <c r="D477" s="60"/>
      <c r="E477" s="60"/>
      <c r="F477" s="60"/>
      <c r="G477" s="60"/>
      <c r="H477" s="62"/>
      <c r="I477" s="62"/>
      <c r="J477" s="62"/>
      <c r="K477" s="61"/>
      <c r="L477" s="18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1"/>
      <c r="D478" s="60"/>
      <c r="E478" s="60"/>
      <c r="F478" s="60"/>
      <c r="G478" s="60"/>
      <c r="H478" s="62"/>
      <c r="I478" s="62"/>
      <c r="J478" s="62"/>
      <c r="K478" s="61"/>
      <c r="L478" s="18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1"/>
      <c r="D479" s="60"/>
      <c r="E479" s="60"/>
      <c r="F479" s="60"/>
      <c r="G479" s="60"/>
      <c r="H479" s="62"/>
      <c r="I479" s="62"/>
      <c r="J479" s="62"/>
      <c r="K479" s="61"/>
      <c r="L479" s="18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1"/>
      <c r="D480" s="60"/>
      <c r="E480" s="60"/>
      <c r="F480" s="60"/>
      <c r="G480" s="60"/>
      <c r="H480" s="62"/>
      <c r="I480" s="62"/>
      <c r="J480" s="62"/>
      <c r="K480" s="61"/>
      <c r="L480" s="18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0"/>
      <c r="D481" s="60"/>
      <c r="E481" s="60"/>
      <c r="F481" s="60"/>
      <c r="G481" s="60"/>
      <c r="H481" s="62"/>
      <c r="I481" s="62"/>
      <c r="J481" s="62"/>
      <c r="K481" s="61"/>
      <c r="L481" s="18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1"/>
      <c r="D482" s="60"/>
      <c r="E482" s="60"/>
      <c r="F482" s="60"/>
      <c r="G482" s="60"/>
      <c r="H482" s="62"/>
      <c r="I482" s="62"/>
      <c r="J482" s="62"/>
      <c r="K482" s="61"/>
      <c r="L482" s="18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1"/>
      <c r="D483" s="60"/>
      <c r="E483" s="60"/>
      <c r="F483" s="60"/>
      <c r="G483" s="60"/>
      <c r="H483" s="62"/>
      <c r="I483" s="62"/>
      <c r="J483" s="62"/>
      <c r="K483" s="61"/>
      <c r="L483" s="18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1"/>
      <c r="D484" s="60"/>
      <c r="E484" s="60"/>
      <c r="F484" s="60"/>
      <c r="G484" s="60"/>
      <c r="H484" s="62"/>
      <c r="I484" s="62"/>
      <c r="J484" s="62"/>
      <c r="K484" s="61"/>
      <c r="L484" s="18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1"/>
      <c r="D485" s="60"/>
      <c r="E485" s="60"/>
      <c r="F485" s="60"/>
      <c r="G485" s="60"/>
      <c r="H485" s="62"/>
      <c r="I485" s="62"/>
      <c r="J485" s="62"/>
      <c r="K485" s="61"/>
      <c r="L485" s="18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0"/>
      <c r="D486" s="60"/>
      <c r="E486" s="60"/>
      <c r="F486" s="60"/>
      <c r="G486" s="60"/>
      <c r="H486" s="62"/>
      <c r="I486" s="62"/>
      <c r="J486" s="62"/>
      <c r="K486" s="61"/>
      <c r="L486" s="18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0"/>
      <c r="D487" s="60"/>
      <c r="E487" s="60"/>
      <c r="F487" s="60"/>
      <c r="G487" s="60"/>
      <c r="H487" s="62"/>
      <c r="I487" s="62"/>
      <c r="J487" s="62"/>
      <c r="K487" s="61"/>
      <c r="L487" s="18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L488" s="18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L489" s="18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L490" s="18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L491" s="18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L492" s="18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18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L494" s="18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L495" s="18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L497" s="18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L498" s="18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L499" s="18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L500" s="18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L501" s="18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45</v>
      </c>
      <c r="B502" s="57"/>
      <c r="C502" s="57"/>
      <c r="D502" s="57"/>
      <c r="E502" s="57"/>
      <c r="G502" s="57"/>
      <c r="I502" s="57" t="s">
        <v>15</v>
      </c>
      <c r="J502" s="19">
        <v>1</v>
      </c>
      <c r="L502" s="18"/>
      <c r="M502" t="s">
        <v>45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45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60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L503" s="18"/>
      <c r="M503" s="21" t="s">
        <v>60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35</v>
      </c>
      <c r="W503" s="24"/>
      <c r="Y503" s="21" t="s">
        <v>60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L504" s="18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5" t="s">
        <v>17</v>
      </c>
      <c r="E505" s="125"/>
      <c r="F505" s="100"/>
      <c r="G505" s="27"/>
      <c r="I505" s="123" t="s">
        <v>18</v>
      </c>
      <c r="J505" s="124"/>
      <c r="K505" s="121" t="s">
        <v>19</v>
      </c>
      <c r="L505" s="18"/>
      <c r="N505" s="25"/>
      <c r="O505" s="26"/>
      <c r="P505" s="125" t="s">
        <v>17</v>
      </c>
      <c r="Q505" s="125"/>
      <c r="R505" s="100"/>
      <c r="S505" s="27"/>
      <c r="U505" s="123" t="s">
        <v>18</v>
      </c>
      <c r="V505" s="124"/>
      <c r="W505" s="121" t="s">
        <v>19</v>
      </c>
      <c r="Z505" s="25"/>
      <c r="AA505" s="26"/>
      <c r="AB505" s="125" t="s">
        <v>17</v>
      </c>
      <c r="AC505" s="125"/>
      <c r="AD505" s="100"/>
      <c r="AE505" s="27"/>
      <c r="AG505" s="123" t="s">
        <v>18</v>
      </c>
      <c r="AH505" s="124"/>
      <c r="AI505" s="121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2"/>
      <c r="L506" s="18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2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88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L507" s="18"/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88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L508" s="18"/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88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L509" s="18"/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88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L510" s="18"/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L511" s="18"/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8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L512" s="18"/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8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L513" s="18"/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8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L514" s="18"/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8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L515" s="18"/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8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L516" s="18"/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8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L517" s="18"/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8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L518" s="18"/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8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L519" s="18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8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L520" s="18"/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8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L521" s="18"/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L522" s="18"/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8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L523" s="18"/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L524" s="18"/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L525" s="18"/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8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L526" s="18"/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8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L527" s="18"/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8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L528" s="18"/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L529" s="18"/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L530" s="18"/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L531" s="18"/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L532" s="18"/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L533" s="18"/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L534" s="18"/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L535" s="18"/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L536" s="18"/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L537" s="18"/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L538" s="18"/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L539" s="18"/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L540" s="18"/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L541" s="18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L542" s="18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L543" s="18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L544" s="18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L545" s="18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L546" s="18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L547" s="18"/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L548" s="18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L549" s="18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L550" s="18"/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L552" s="18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L553" s="18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L554" s="18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L555" s="18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L556" s="18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48</v>
      </c>
      <c r="B557" s="57"/>
      <c r="C557" s="57"/>
      <c r="D557" s="57"/>
      <c r="E557" s="57"/>
      <c r="G557" s="57"/>
      <c r="I557" s="57" t="s">
        <v>15</v>
      </c>
      <c r="J557" s="19">
        <v>1</v>
      </c>
      <c r="L557" s="18"/>
      <c r="M557" t="s">
        <v>48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48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62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L558" s="18"/>
      <c r="M558" s="21" t="s">
        <v>62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35</v>
      </c>
      <c r="W558" s="24"/>
      <c r="Y558" s="21" t="s">
        <v>62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L559" s="18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5" t="s">
        <v>17</v>
      </c>
      <c r="E560" s="125"/>
      <c r="F560" s="101"/>
      <c r="G560" s="27"/>
      <c r="I560" s="123" t="s">
        <v>18</v>
      </c>
      <c r="J560" s="124"/>
      <c r="K560" s="121" t="s">
        <v>19</v>
      </c>
      <c r="L560" s="18"/>
      <c r="N560" s="25"/>
      <c r="O560" s="26"/>
      <c r="P560" s="125" t="s">
        <v>17</v>
      </c>
      <c r="Q560" s="125"/>
      <c r="R560" s="101"/>
      <c r="S560" s="27"/>
      <c r="U560" s="123" t="s">
        <v>18</v>
      </c>
      <c r="V560" s="124"/>
      <c r="W560" s="121" t="s">
        <v>19</v>
      </c>
      <c r="Z560" s="25"/>
      <c r="AA560" s="26"/>
      <c r="AB560" s="125" t="s">
        <v>17</v>
      </c>
      <c r="AC560" s="125"/>
      <c r="AD560" s="101"/>
      <c r="AE560" s="27"/>
      <c r="AG560" s="123" t="s">
        <v>18</v>
      </c>
      <c r="AH560" s="124"/>
      <c r="AI560" s="12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22"/>
      <c r="L561" s="18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2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88">
        <v>7831</v>
      </c>
      <c r="D562" s="32">
        <f>6260+4565</f>
        <v>10825</v>
      </c>
      <c r="E562" s="32"/>
      <c r="F562" s="32"/>
      <c r="G562" s="32">
        <f t="shared" ref="G562:G595" si="167">SUM(D562:E562)</f>
        <v>10825</v>
      </c>
      <c r="H562" s="12"/>
      <c r="I562" s="12"/>
      <c r="J562" s="12"/>
      <c r="K562" s="12">
        <f t="shared" ref="K562:K595" si="168">SUM(G562:J562)</f>
        <v>10825</v>
      </c>
      <c r="L562" s="18"/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88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L563" s="18"/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594" si="169">SUM(P563:Q563)</f>
        <v>1271</v>
      </c>
      <c r="T563" s="12"/>
      <c r="U563" s="12"/>
      <c r="V563" s="12"/>
      <c r="W563" s="12">
        <f t="shared" ref="W563:W603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0" si="171">SUM(AB563:AC563)</f>
        <v>22200</v>
      </c>
      <c r="AF563" s="12"/>
      <c r="AG563" s="12"/>
      <c r="AH563" s="12"/>
      <c r="AI563" s="12">
        <f t="shared" ref="AI563:AI594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88">
        <f t="shared" ref="C564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L564" s="18"/>
      <c r="M564" s="10">
        <v>3</v>
      </c>
      <c r="N564" s="30">
        <v>46003</v>
      </c>
      <c r="O564" s="31">
        <f t="shared" ref="O564:O579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67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L565" s="18"/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L566" s="18"/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8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L567" s="18"/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88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L568" s="18"/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8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L569" s="18"/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8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L570" s="18"/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8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L571" s="18"/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L572" s="18"/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8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L573" s="18"/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8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L574" s="18"/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8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L575" s="18"/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8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L576" s="18"/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L577" s="18"/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8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L578" s="18"/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L579" s="18"/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L580" s="18"/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8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L581" s="18"/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8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L582" s="18"/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8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L583" s="18"/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L584" s="18"/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L585" s="18"/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L586" s="18"/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L587" s="18"/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L588" s="18"/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L589" s="18"/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L590" s="18"/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L591" s="18"/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L592" s="18"/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L593" s="18"/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L594" s="18"/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L595" s="18"/>
      <c r="M595" s="10">
        <v>34</v>
      </c>
      <c r="N595" s="30"/>
      <c r="O595" s="31"/>
      <c r="P595" s="47"/>
      <c r="Q595" s="31"/>
      <c r="R595" s="31"/>
      <c r="S595" s="32">
        <f t="shared" ref="S595:S600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3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L596" s="18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L597" s="18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L598" s="18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L599" s="18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L600" s="18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L601" s="18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L602" s="18"/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L603" s="18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L604" s="18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F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L605" s="18"/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L607" s="18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L608" s="18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L609" s="18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L610" s="18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L611" s="18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51</v>
      </c>
      <c r="B612" s="57"/>
      <c r="C612" s="57"/>
      <c r="D612" s="57"/>
      <c r="E612" s="57"/>
      <c r="G612" s="57"/>
      <c r="I612" s="57" t="s">
        <v>15</v>
      </c>
      <c r="J612" s="19">
        <v>1</v>
      </c>
      <c r="L612" s="18"/>
      <c r="M612" t="s">
        <v>51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64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L613" s="18"/>
      <c r="M613" s="21" t="s">
        <v>64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35</v>
      </c>
      <c r="W613" s="24"/>
      <c r="Y613" s="21" t="s">
        <v>64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L614" s="18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5" t="s">
        <v>17</v>
      </c>
      <c r="E615" s="125"/>
      <c r="F615" s="102"/>
      <c r="G615" s="27"/>
      <c r="I615" s="123" t="s">
        <v>18</v>
      </c>
      <c r="J615" s="124"/>
      <c r="K615" s="121" t="s">
        <v>19</v>
      </c>
      <c r="L615" s="18"/>
      <c r="N615" s="25"/>
      <c r="O615" s="26"/>
      <c r="P615" s="125" t="s">
        <v>17</v>
      </c>
      <c r="Q615" s="125"/>
      <c r="R615" s="102"/>
      <c r="S615" s="27"/>
      <c r="U615" s="123" t="s">
        <v>18</v>
      </c>
      <c r="V615" s="124"/>
      <c r="W615" s="121" t="s">
        <v>19</v>
      </c>
      <c r="Z615" s="25"/>
      <c r="AA615" s="26"/>
      <c r="AB615" s="125" t="s">
        <v>17</v>
      </c>
      <c r="AC615" s="125"/>
      <c r="AD615" s="102"/>
      <c r="AE615" s="27"/>
      <c r="AG615" s="123" t="s">
        <v>18</v>
      </c>
      <c r="AH615" s="124"/>
      <c r="AI615" s="121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2"/>
      <c r="L616" s="18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2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65</v>
      </c>
      <c r="C617" s="88">
        <v>7834</v>
      </c>
      <c r="D617" s="32">
        <f>1005+832</f>
        <v>1837</v>
      </c>
      <c r="E617" s="32"/>
      <c r="F617" s="32"/>
      <c r="G617" s="32">
        <f t="shared" ref="G617:G650" si="183">SUM(D617:E617)</f>
        <v>1837</v>
      </c>
      <c r="H617" s="12"/>
      <c r="I617" s="12">
        <v>240</v>
      </c>
      <c r="J617" s="12"/>
      <c r="K617" s="12">
        <f t="shared" ref="K617:K650" si="184">SUM(G617:J617)</f>
        <v>2077</v>
      </c>
      <c r="L617" s="18"/>
      <c r="M617" s="10">
        <v>1</v>
      </c>
      <c r="N617" s="30" t="s">
        <v>65</v>
      </c>
      <c r="O617" s="31">
        <v>7922</v>
      </c>
      <c r="P617" s="32">
        <f>81380+4298+14900+1704+916</f>
        <v>103198</v>
      </c>
      <c r="Q617" s="32"/>
      <c r="R617" s="32"/>
      <c r="S617" s="32">
        <f>SUM(P617:Q617)</f>
        <v>103198</v>
      </c>
      <c r="T617" s="12"/>
      <c r="U617" s="12"/>
      <c r="V617" s="12">
        <f>-111+-78+-84</f>
        <v>-273</v>
      </c>
      <c r="W617" s="12">
        <f>SUM(S617:V617)</f>
        <v>102925</v>
      </c>
      <c r="Y617" s="10">
        <v>1</v>
      </c>
      <c r="Z617" s="30" t="s">
        <v>65</v>
      </c>
      <c r="AA617" s="31">
        <v>7762</v>
      </c>
      <c r="AB617" s="32">
        <f>626*15+614+2980+832+229</f>
        <v>14045</v>
      </c>
      <c r="AC617" s="32"/>
      <c r="AD617" s="32"/>
      <c r="AE617" s="32">
        <f>SUM(AB617:AC617)</f>
        <v>14045</v>
      </c>
      <c r="AF617" s="12"/>
      <c r="AG617" s="12"/>
      <c r="AH617" s="12"/>
      <c r="AI617" s="12">
        <f>SUM(AE617:AH617)</f>
        <v>14045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65</v>
      </c>
      <c r="C618" s="88">
        <f>C617+1</f>
        <v>7835</v>
      </c>
      <c r="D618" s="32">
        <f>4382+1788+95</f>
        <v>6265</v>
      </c>
      <c r="E618" s="32"/>
      <c r="F618" s="32"/>
      <c r="G618" s="32">
        <f t="shared" si="183"/>
        <v>6265</v>
      </c>
      <c r="H618" s="12"/>
      <c r="I618" s="12"/>
      <c r="J618" s="12"/>
      <c r="K618" s="12">
        <f t="shared" si="184"/>
        <v>6265</v>
      </c>
      <c r="L618" s="18"/>
      <c r="M618" s="10">
        <v>2</v>
      </c>
      <c r="N618" s="30" t="s">
        <v>65</v>
      </c>
      <c r="O618" s="31">
        <f>O617+1</f>
        <v>7923</v>
      </c>
      <c r="P618" s="32">
        <f>8138+614+2980+832+171</f>
        <v>12735</v>
      </c>
      <c r="Q618" s="32"/>
      <c r="R618" s="32"/>
      <c r="S618" s="32">
        <f t="shared" ref="S618:S649" si="185">SUM(P618:Q618)</f>
        <v>12735</v>
      </c>
      <c r="T618" s="12"/>
      <c r="U618" s="12">
        <v>36</v>
      </c>
      <c r="V618" s="12"/>
      <c r="W618" s="12">
        <f t="shared" ref="W618:W658" si="186">SUM(S618:V618)</f>
        <v>12771</v>
      </c>
      <c r="Y618" s="10">
        <v>2</v>
      </c>
      <c r="Z618" s="30" t="s">
        <v>65</v>
      </c>
      <c r="AA618" s="31">
        <f>AA617+1</f>
        <v>7763</v>
      </c>
      <c r="AB618" s="32">
        <f>626*40+614*2+596*10+229</f>
        <v>32457</v>
      </c>
      <c r="AC618" s="32">
        <v>-312</v>
      </c>
      <c r="AD618" s="32"/>
      <c r="AE618" s="32">
        <f t="shared" ref="AE618:AE655" si="187">SUM(AB618:AC618)</f>
        <v>32145</v>
      </c>
      <c r="AF618" s="12"/>
      <c r="AG618" s="12">
        <v>81</v>
      </c>
      <c r="AH618" s="12"/>
      <c r="AI618" s="12">
        <f t="shared" ref="AI618:AI649" si="188">SUM(AE618:AH618)</f>
        <v>32226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65</v>
      </c>
      <c r="C619" s="88">
        <f t="shared" ref="C619:C634" si="189">C618+1</f>
        <v>7836</v>
      </c>
      <c r="D619" s="33">
        <f>2504+38</f>
        <v>2542</v>
      </c>
      <c r="E619" s="33"/>
      <c r="F619" s="33"/>
      <c r="G619" s="33">
        <f t="shared" si="183"/>
        <v>2542</v>
      </c>
      <c r="H619" s="34"/>
      <c r="I619" s="34"/>
      <c r="J619" s="34"/>
      <c r="K619" s="34">
        <f t="shared" si="184"/>
        <v>2542</v>
      </c>
      <c r="L619" s="18"/>
      <c r="M619" s="10">
        <v>3</v>
      </c>
      <c r="N619" s="30" t="s">
        <v>65</v>
      </c>
      <c r="O619" s="31">
        <f t="shared" ref="O619:O620" si="190">O618+1</f>
        <v>7924</v>
      </c>
      <c r="P619" s="32">
        <f>338040+64368+4580</f>
        <v>406988</v>
      </c>
      <c r="Q619" s="32">
        <v>-3888</v>
      </c>
      <c r="R619" s="32"/>
      <c r="S619" s="32">
        <f t="shared" si="185"/>
        <v>403100</v>
      </c>
      <c r="T619" s="12"/>
      <c r="U619" s="12">
        <f>1560</f>
        <v>1560</v>
      </c>
      <c r="V619" s="12"/>
      <c r="W619" s="12">
        <f t="shared" si="186"/>
        <v>404660</v>
      </c>
      <c r="Y619" s="10">
        <v>3</v>
      </c>
      <c r="Z619" s="30" t="s">
        <v>65</v>
      </c>
      <c r="AA619" s="31">
        <f t="shared" ref="AA619:AA622" si="191">AA618+1</f>
        <v>7764</v>
      </c>
      <c r="AB619" s="33">
        <f>4260+832*8</f>
        <v>10916</v>
      </c>
      <c r="AC619" s="33"/>
      <c r="AD619" s="32"/>
      <c r="AE619" s="32">
        <f t="shared" si="187"/>
        <v>10916</v>
      </c>
      <c r="AF619" s="12"/>
      <c r="AG619" s="12">
        <v>46.5</v>
      </c>
      <c r="AH619" s="12"/>
      <c r="AI619" s="12">
        <f t="shared" si="188"/>
        <v>10962.5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65</v>
      </c>
      <c r="C620" s="88">
        <f t="shared" si="189"/>
        <v>7837</v>
      </c>
      <c r="D620" s="32">
        <f>31300+229+1300</f>
        <v>32829</v>
      </c>
      <c r="E620" s="32"/>
      <c r="F620" s="32"/>
      <c r="G620" s="32">
        <f t="shared" si="183"/>
        <v>32829</v>
      </c>
      <c r="H620" s="12"/>
      <c r="I620" s="12">
        <f>222+168</f>
        <v>390</v>
      </c>
      <c r="J620" s="12"/>
      <c r="K620" s="12">
        <f t="shared" si="184"/>
        <v>33219</v>
      </c>
      <c r="L620" s="18"/>
      <c r="M620" s="10">
        <v>4</v>
      </c>
      <c r="N620" s="30" t="s">
        <v>65</v>
      </c>
      <c r="O620" s="31">
        <f t="shared" si="190"/>
        <v>7925</v>
      </c>
      <c r="P620" s="32">
        <f>112680+11920+1832+1300</f>
        <v>127732</v>
      </c>
      <c r="Q620" s="32">
        <v>-1200</v>
      </c>
      <c r="R620" s="32"/>
      <c r="S620" s="32">
        <f t="shared" si="185"/>
        <v>126532</v>
      </c>
      <c r="T620" s="12"/>
      <c r="U620" s="12">
        <f>2220+468</f>
        <v>2688</v>
      </c>
      <c r="V620" s="12">
        <f>-168+-168</f>
        <v>-336</v>
      </c>
      <c r="W620" s="12">
        <f t="shared" si="186"/>
        <v>128884</v>
      </c>
      <c r="Y620" s="10">
        <v>4</v>
      </c>
      <c r="Z620" s="30" t="s">
        <v>65</v>
      </c>
      <c r="AA620" s="31">
        <f t="shared" si="191"/>
        <v>7765</v>
      </c>
      <c r="AB620" s="32">
        <f>125200+2010+1832+650</f>
        <v>129692</v>
      </c>
      <c r="AC620" s="32">
        <v>-1212</v>
      </c>
      <c r="AD620" s="32"/>
      <c r="AE620" s="32">
        <f t="shared" si="187"/>
        <v>128480</v>
      </c>
      <c r="AF620" s="12"/>
      <c r="AG620">
        <f>5328+78+216</f>
        <v>5622</v>
      </c>
      <c r="AH620" s="12"/>
      <c r="AI620" s="12">
        <f t="shared" si="188"/>
        <v>134102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65</v>
      </c>
      <c r="C621" s="88">
        <f t="shared" si="189"/>
        <v>7838</v>
      </c>
      <c r="D621" s="32">
        <f>24414+229</f>
        <v>24643</v>
      </c>
      <c r="E621" s="32"/>
      <c r="F621" s="32"/>
      <c r="G621" s="32">
        <f t="shared" si="183"/>
        <v>24643</v>
      </c>
      <c r="H621" s="12"/>
      <c r="I621" s="12"/>
      <c r="J621" s="12"/>
      <c r="K621" s="12">
        <f t="shared" si="184"/>
        <v>24643</v>
      </c>
      <c r="L621" s="18"/>
      <c r="M621" s="10">
        <v>5</v>
      </c>
      <c r="N621" s="30"/>
      <c r="O621" s="11" t="s">
        <v>27</v>
      </c>
      <c r="P621" s="32"/>
      <c r="Q621" s="32"/>
      <c r="R621" s="32"/>
      <c r="S621" s="32">
        <f t="shared" si="185"/>
        <v>0</v>
      </c>
      <c r="T621" s="12"/>
      <c r="U621" s="12"/>
      <c r="V621" s="12"/>
      <c r="W621" s="12">
        <f t="shared" si="186"/>
        <v>0</v>
      </c>
      <c r="Y621" s="10">
        <v>5</v>
      </c>
      <c r="Z621" s="30" t="s">
        <v>65</v>
      </c>
      <c r="AA621" s="31">
        <f t="shared" si="191"/>
        <v>7766</v>
      </c>
      <c r="AB621" s="32">
        <f>21300</f>
        <v>21300</v>
      </c>
      <c r="AC621" s="32"/>
      <c r="AD621" s="32"/>
      <c r="AE621" s="32">
        <f t="shared" si="187"/>
        <v>21300</v>
      </c>
      <c r="AF621" s="12"/>
      <c r="AG621" s="12"/>
      <c r="AH621" s="12"/>
      <c r="AI621" s="12">
        <f t="shared" si="188"/>
        <v>21300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65</v>
      </c>
      <c r="C622" s="88">
        <f t="shared" si="189"/>
        <v>7839</v>
      </c>
      <c r="D622" s="32">
        <f>5634+596+95</f>
        <v>6325</v>
      </c>
      <c r="E622" s="32"/>
      <c r="F622" s="32"/>
      <c r="G622" s="32">
        <f t="shared" si="183"/>
        <v>6325</v>
      </c>
      <c r="H622" s="12"/>
      <c r="I622" s="12"/>
      <c r="J622" s="12"/>
      <c r="K622" s="12">
        <f t="shared" si="184"/>
        <v>6325</v>
      </c>
      <c r="L622" s="18"/>
      <c r="M622" s="10">
        <v>6</v>
      </c>
      <c r="N622" s="30"/>
      <c r="O622" s="31"/>
      <c r="P622" s="32"/>
      <c r="Q622" s="32"/>
      <c r="R622" s="32"/>
      <c r="S622" s="32">
        <f t="shared" si="185"/>
        <v>0</v>
      </c>
      <c r="T622" s="12"/>
      <c r="U622" s="12"/>
      <c r="V622" s="10"/>
      <c r="W622" s="12">
        <f t="shared" si="186"/>
        <v>0</v>
      </c>
      <c r="Y622" s="10">
        <v>6</v>
      </c>
      <c r="Z622" s="30" t="s">
        <v>65</v>
      </c>
      <c r="AA622" s="31">
        <f t="shared" si="191"/>
        <v>7767</v>
      </c>
      <c r="AB622" s="32">
        <f>15650+1664</f>
        <v>17314</v>
      </c>
      <c r="AC622" s="32"/>
      <c r="AD622" s="32"/>
      <c r="AE622" s="32">
        <f t="shared" si="187"/>
        <v>17314</v>
      </c>
      <c r="AF622" s="12"/>
      <c r="AG622" s="12"/>
      <c r="AH622" s="10">
        <v>-5550</v>
      </c>
      <c r="AI622" s="12">
        <f t="shared" si="188"/>
        <v>11764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65</v>
      </c>
      <c r="C623" s="88">
        <f t="shared" si="189"/>
        <v>7840</v>
      </c>
      <c r="D623" s="32">
        <f>2504+1192+57</f>
        <v>3753</v>
      </c>
      <c r="E623" s="32"/>
      <c r="F623" s="32"/>
      <c r="G623" s="32">
        <f t="shared" si="183"/>
        <v>3753</v>
      </c>
      <c r="H623" s="12"/>
      <c r="I623" s="12"/>
      <c r="J623" s="12"/>
      <c r="K623" s="12">
        <f t="shared" si="184"/>
        <v>3753</v>
      </c>
      <c r="L623" s="18"/>
      <c r="M623" s="10">
        <v>7</v>
      </c>
      <c r="N623" s="30"/>
      <c r="O623" s="31"/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11" t="s">
        <v>27</v>
      </c>
      <c r="AB623" s="32"/>
      <c r="AC623" s="32"/>
      <c r="AD623" s="32"/>
      <c r="AE623" s="32">
        <f t="shared" si="187"/>
        <v>0</v>
      </c>
      <c r="AF623" s="12"/>
      <c r="AG623" s="58"/>
      <c r="AH623" s="12"/>
      <c r="AI623" s="12">
        <f t="shared" si="18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65</v>
      </c>
      <c r="C624" s="88">
        <f t="shared" si="189"/>
        <v>7841</v>
      </c>
      <c r="D624" s="32">
        <f>63852+8344+458</f>
        <v>72654</v>
      </c>
      <c r="E624" s="32"/>
      <c r="F624" s="32"/>
      <c r="G624" s="32">
        <f t="shared" si="183"/>
        <v>72654</v>
      </c>
      <c r="H624" s="12"/>
      <c r="I624" s="12"/>
      <c r="J624" s="12"/>
      <c r="K624" s="12">
        <f t="shared" si="184"/>
        <v>72654</v>
      </c>
      <c r="L624" s="18"/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87"/>
        <v>0</v>
      </c>
      <c r="AF624" s="12"/>
      <c r="AG624" s="12"/>
      <c r="AH624" s="12"/>
      <c r="AI624" s="12">
        <f t="shared" si="18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65</v>
      </c>
      <c r="C625" s="88">
        <f t="shared" si="189"/>
        <v>7842</v>
      </c>
      <c r="D625" s="32">
        <f>17528+229</f>
        <v>17757</v>
      </c>
      <c r="E625" s="32"/>
      <c r="F625" s="32"/>
      <c r="G625" s="32">
        <f t="shared" si="183"/>
        <v>17757</v>
      </c>
      <c r="H625" s="12"/>
      <c r="I625" s="12">
        <v>81</v>
      </c>
      <c r="J625" s="12"/>
      <c r="K625" s="12">
        <f t="shared" si="184"/>
        <v>17838</v>
      </c>
      <c r="L625" s="18"/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87"/>
        <v>0</v>
      </c>
      <c r="AF625" s="12"/>
      <c r="AH625" s="12"/>
      <c r="AI625" s="12">
        <f t="shared" si="18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65</v>
      </c>
      <c r="C626" s="88">
        <f t="shared" si="189"/>
        <v>7843</v>
      </c>
      <c r="D626" s="32">
        <f>5634+614+832+85+1000</f>
        <v>8165</v>
      </c>
      <c r="E626" s="32"/>
      <c r="F626" s="32"/>
      <c r="G626" s="32">
        <f t="shared" si="183"/>
        <v>8165</v>
      </c>
      <c r="H626" s="12"/>
      <c r="I626" s="12"/>
      <c r="J626" s="12"/>
      <c r="K626" s="12">
        <f t="shared" si="184"/>
        <v>8165</v>
      </c>
      <c r="L626" s="18"/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87"/>
        <v>0</v>
      </c>
      <c r="AF626" s="12"/>
      <c r="AG626" s="12"/>
      <c r="AH626" s="12"/>
      <c r="AI626" s="12">
        <f t="shared" si="18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65</v>
      </c>
      <c r="C627" s="88">
        <f t="shared" si="189"/>
        <v>7844</v>
      </c>
      <c r="D627" s="32">
        <f>8764+133</f>
        <v>8897</v>
      </c>
      <c r="E627" s="32"/>
      <c r="F627" s="32"/>
      <c r="G627" s="32">
        <f t="shared" si="183"/>
        <v>8897</v>
      </c>
      <c r="H627" s="12"/>
      <c r="I627" s="12"/>
      <c r="J627" s="12"/>
      <c r="K627" s="12">
        <f t="shared" si="184"/>
        <v>8897</v>
      </c>
      <c r="L627" s="18"/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B627" s="32"/>
      <c r="AC627" s="32"/>
      <c r="AD627" s="32"/>
      <c r="AE627" s="32">
        <f t="shared" si="187"/>
        <v>0</v>
      </c>
      <c r="AF627" s="12"/>
      <c r="AG627" s="12"/>
      <c r="AH627" s="12"/>
      <c r="AI627" s="12">
        <f t="shared" si="18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65</v>
      </c>
      <c r="C628" s="88">
        <f t="shared" si="189"/>
        <v>7845</v>
      </c>
      <c r="D628" s="32">
        <f>1252+19</f>
        <v>1271</v>
      </c>
      <c r="E628" s="32"/>
      <c r="F628" s="32"/>
      <c r="G628" s="32">
        <f t="shared" si="183"/>
        <v>1271</v>
      </c>
      <c r="H628" s="12"/>
      <c r="I628" s="12"/>
      <c r="J628" s="10"/>
      <c r="K628" s="12">
        <f t="shared" si="184"/>
        <v>1271</v>
      </c>
      <c r="L628" s="18"/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B628" s="32"/>
      <c r="AC628" s="32"/>
      <c r="AD628" s="32"/>
      <c r="AE628" s="32">
        <f t="shared" si="187"/>
        <v>0</v>
      </c>
      <c r="AF628" s="12"/>
      <c r="AG628" s="12"/>
      <c r="AH628" s="12"/>
      <c r="AI628" s="12">
        <f t="shared" si="18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65</v>
      </c>
      <c r="C629" s="88">
        <f t="shared" si="189"/>
        <v>7846</v>
      </c>
      <c r="D629" s="32">
        <f>18780+2022+832</f>
        <v>21634</v>
      </c>
      <c r="E629" s="32"/>
      <c r="F629" s="32"/>
      <c r="G629" s="32">
        <f t="shared" si="183"/>
        <v>21634</v>
      </c>
      <c r="H629" s="12"/>
      <c r="I629" s="12"/>
      <c r="J629" s="12"/>
      <c r="K629" s="12">
        <f t="shared" si="184"/>
        <v>21634</v>
      </c>
      <c r="L629" s="18"/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7"/>
        <v>0</v>
      </c>
      <c r="AF629" s="12"/>
      <c r="AG629" s="12"/>
      <c r="AH629" s="12"/>
      <c r="AI629" s="12">
        <f t="shared" si="18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65</v>
      </c>
      <c r="C630" s="88">
        <f t="shared" si="189"/>
        <v>7847</v>
      </c>
      <c r="D630" s="32">
        <f>10642+161.5</f>
        <v>10803.5</v>
      </c>
      <c r="E630" s="32"/>
      <c r="F630" s="32"/>
      <c r="G630" s="32">
        <f t="shared" si="183"/>
        <v>10803.5</v>
      </c>
      <c r="H630" s="12"/>
      <c r="I630" s="12"/>
      <c r="J630" s="12"/>
      <c r="K630" s="12">
        <f t="shared" si="184"/>
        <v>10803.5</v>
      </c>
      <c r="L630" s="18"/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7"/>
        <v>0</v>
      </c>
      <c r="AF630" s="12"/>
      <c r="AG630" s="12"/>
      <c r="AH630" s="12"/>
      <c r="AI630" s="12">
        <f t="shared" si="18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65</v>
      </c>
      <c r="C631" s="88">
        <f t="shared" si="189"/>
        <v>7848</v>
      </c>
      <c r="D631" s="32">
        <f>22536+832</f>
        <v>23368</v>
      </c>
      <c r="E631" s="32"/>
      <c r="F631" s="32"/>
      <c r="G631" s="32">
        <f t="shared" si="183"/>
        <v>23368</v>
      </c>
      <c r="H631" s="12"/>
      <c r="I631" s="12"/>
      <c r="J631" s="12"/>
      <c r="K631" s="12">
        <f t="shared" si="184"/>
        <v>23368</v>
      </c>
      <c r="L631" s="18"/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87"/>
        <v>0</v>
      </c>
      <c r="AF631" s="12"/>
      <c r="AG631" s="12"/>
      <c r="AH631" s="12"/>
      <c r="AI631" s="12">
        <f t="shared" si="18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65</v>
      </c>
      <c r="C632" s="88">
        <f t="shared" si="189"/>
        <v>7849</v>
      </c>
      <c r="D632" s="32">
        <f>25040+229</f>
        <v>25269</v>
      </c>
      <c r="E632" s="32"/>
      <c r="F632" s="32"/>
      <c r="G632" s="32">
        <f t="shared" si="183"/>
        <v>25269</v>
      </c>
      <c r="H632" s="12"/>
      <c r="I632" s="12"/>
      <c r="J632" s="12"/>
      <c r="K632" s="12">
        <f t="shared" si="184"/>
        <v>25269</v>
      </c>
      <c r="L632" s="18"/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87"/>
        <v>0</v>
      </c>
      <c r="AF632" s="12"/>
      <c r="AG632" s="12"/>
      <c r="AH632" s="12"/>
      <c r="AI632" s="12">
        <f t="shared" si="18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65</v>
      </c>
      <c r="C633" s="88">
        <f t="shared" si="189"/>
        <v>7850</v>
      </c>
      <c r="D633" s="32">
        <f>6260+95</f>
        <v>6355</v>
      </c>
      <c r="E633" s="32"/>
      <c r="F633" s="32"/>
      <c r="G633" s="32">
        <f t="shared" si="183"/>
        <v>6355</v>
      </c>
      <c r="H633" s="12"/>
      <c r="I633" s="12"/>
      <c r="J633" s="12"/>
      <c r="K633" s="12">
        <f t="shared" si="184"/>
        <v>6355</v>
      </c>
      <c r="L633" s="18"/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7"/>
        <v>0</v>
      </c>
      <c r="AF633" s="12"/>
      <c r="AG633" s="12"/>
      <c r="AH633" s="12"/>
      <c r="AI633" s="12">
        <f t="shared" si="18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65</v>
      </c>
      <c r="C634" s="88">
        <f t="shared" si="189"/>
        <v>7851</v>
      </c>
      <c r="D634" s="32">
        <f>45650+1704+3015+1664</f>
        <v>52033</v>
      </c>
      <c r="E634" s="32"/>
      <c r="F634" s="32"/>
      <c r="G634" s="32">
        <f t="shared" si="183"/>
        <v>52033</v>
      </c>
      <c r="H634" s="12"/>
      <c r="I634" s="12"/>
      <c r="J634" s="12"/>
      <c r="K634" s="12">
        <f t="shared" si="184"/>
        <v>52033</v>
      </c>
      <c r="L634" s="18"/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7"/>
        <v>0</v>
      </c>
      <c r="AF634" s="12"/>
      <c r="AG634" s="12"/>
      <c r="AH634" s="12"/>
      <c r="AI634" s="12">
        <f t="shared" si="18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11" t="s">
        <v>27</v>
      </c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L635" s="18"/>
      <c r="M635" s="10">
        <v>19</v>
      </c>
      <c r="N635" s="30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7"/>
        <v>0</v>
      </c>
      <c r="AF635" s="12"/>
      <c r="AG635" s="12"/>
      <c r="AH635" s="12"/>
      <c r="AI635" s="12">
        <f t="shared" si="18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L636" s="18"/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87"/>
        <v>0</v>
      </c>
      <c r="AF636" s="12"/>
      <c r="AG636" s="12"/>
      <c r="AH636" s="12"/>
      <c r="AI636" s="12">
        <f t="shared" si="18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8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L637" s="18"/>
      <c r="M637" s="10">
        <v>21</v>
      </c>
      <c r="N637" s="30"/>
      <c r="O637" s="31"/>
      <c r="P637" s="46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B637" s="46"/>
      <c r="AC637" s="31"/>
      <c r="AD637" s="31"/>
      <c r="AE637" s="32">
        <f t="shared" si="187"/>
        <v>0</v>
      </c>
      <c r="AF637" s="10"/>
      <c r="AG637" s="10"/>
      <c r="AH637" s="10"/>
      <c r="AI637" s="12">
        <f t="shared" si="18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8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L638" s="18"/>
      <c r="M638" s="10">
        <v>22</v>
      </c>
      <c r="N638" s="30"/>
      <c r="O638" s="31"/>
      <c r="P638" s="45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B638" s="45"/>
      <c r="AC638" s="31"/>
      <c r="AD638" s="31"/>
      <c r="AE638" s="32">
        <f t="shared" si="187"/>
        <v>0</v>
      </c>
      <c r="AF638" s="10"/>
      <c r="AG638" s="10"/>
      <c r="AH638" s="10"/>
      <c r="AI638" s="12">
        <f t="shared" si="18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57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L639" s="18"/>
      <c r="M639" s="10">
        <v>23</v>
      </c>
      <c r="N639" s="30"/>
      <c r="O639" s="31"/>
      <c r="P639" s="47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E639" s="32">
        <f t="shared" si="187"/>
        <v>0</v>
      </c>
      <c r="AF639" s="10"/>
      <c r="AG639" s="10"/>
      <c r="AH639" s="10"/>
      <c r="AI639" s="12">
        <f t="shared" si="18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L640" s="18"/>
      <c r="M640" s="10">
        <v>24</v>
      </c>
      <c r="N640" s="30"/>
      <c r="O640" s="31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7"/>
        <v>0</v>
      </c>
      <c r="AF640" s="10"/>
      <c r="AG640" s="10"/>
      <c r="AH640" s="10"/>
      <c r="AI640" s="12">
        <f t="shared" si="18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L641" s="18"/>
      <c r="M641" s="10">
        <v>25</v>
      </c>
      <c r="N641" s="30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11"/>
      <c r="AB641" s="47"/>
      <c r="AC641" s="31"/>
      <c r="AD641" s="31"/>
      <c r="AE641" s="32">
        <f t="shared" si="187"/>
        <v>0</v>
      </c>
      <c r="AF641" s="10"/>
      <c r="AG641" s="10"/>
      <c r="AH641" s="10"/>
      <c r="AI641" s="12">
        <f t="shared" si="18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11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L642" s="18"/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B642" s="47"/>
      <c r="AC642" s="31"/>
      <c r="AD642" s="31"/>
      <c r="AE642" s="32">
        <f t="shared" si="187"/>
        <v>0</v>
      </c>
      <c r="AF642" s="10"/>
      <c r="AG642" s="10"/>
      <c r="AH642" s="10"/>
      <c r="AI642" s="12">
        <f t="shared" si="18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57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L643" s="18"/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7"/>
        <v>0</v>
      </c>
      <c r="AF643" s="10"/>
      <c r="AG643" s="10"/>
      <c r="AH643" s="10"/>
      <c r="AI643" s="12">
        <f t="shared" si="18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L644" s="18"/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7"/>
        <v>0</v>
      </c>
      <c r="AF644" s="10"/>
      <c r="AG644" s="10"/>
      <c r="AH644" s="10"/>
      <c r="AI644" s="12">
        <f t="shared" si="18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L645" s="18"/>
      <c r="M645" s="10">
        <v>29</v>
      </c>
      <c r="N645" s="30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7"/>
        <v>0</v>
      </c>
      <c r="AF645" s="10"/>
      <c r="AG645" s="10"/>
      <c r="AH645" s="10"/>
      <c r="AI645" s="12">
        <f t="shared" si="18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57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L646" s="18"/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B646" s="47"/>
      <c r="AC646" s="31"/>
      <c r="AD646" s="31"/>
      <c r="AE646" s="32">
        <f t="shared" si="187"/>
        <v>0</v>
      </c>
      <c r="AF646" s="10"/>
      <c r="AG646" s="10"/>
      <c r="AH646" s="10"/>
      <c r="AI646" s="12">
        <f t="shared" si="18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57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L647" s="18"/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B647" s="47"/>
      <c r="AC647" s="31"/>
      <c r="AD647" s="31"/>
      <c r="AE647" s="32">
        <f t="shared" si="187"/>
        <v>0</v>
      </c>
      <c r="AF647" s="10"/>
      <c r="AG647" s="10"/>
      <c r="AH647" s="10"/>
      <c r="AI647" s="12">
        <f t="shared" si="18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31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L648" s="18"/>
      <c r="M648" s="10">
        <v>32</v>
      </c>
      <c r="N648" s="30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7"/>
        <v>0</v>
      </c>
      <c r="AF648" s="10"/>
      <c r="AG648" s="10"/>
      <c r="AH648" s="10"/>
      <c r="AI648" s="12">
        <f t="shared" si="18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57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L649" s="18"/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7"/>
        <v>0</v>
      </c>
      <c r="AF649" s="10"/>
      <c r="AG649" s="10"/>
      <c r="AH649" s="10"/>
      <c r="AI649" s="12">
        <f t="shared" si="18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57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L650" s="18"/>
      <c r="M650" s="10">
        <v>34</v>
      </c>
      <c r="N650" s="30"/>
      <c r="O650" s="31"/>
      <c r="P650" s="47"/>
      <c r="Q650" s="31"/>
      <c r="R650" s="31"/>
      <c r="S650" s="32">
        <f t="shared" ref="S650:S655" si="192">SUM(P650:Q650)</f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B650" s="47"/>
      <c r="AC650" s="31"/>
      <c r="AD650" s="31"/>
      <c r="AE650" s="32">
        <f t="shared" si="187"/>
        <v>0</v>
      </c>
      <c r="AF650" s="10"/>
      <c r="AG650" s="10"/>
      <c r="AH650" s="10"/>
      <c r="AI650" s="12">
        <f t="shared" ref="AI650:AI658" si="193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L651" s="18"/>
      <c r="M651" s="10">
        <v>35</v>
      </c>
      <c r="N651" s="30"/>
      <c r="O651" s="31"/>
      <c r="P651" s="47"/>
      <c r="Q651" s="31"/>
      <c r="R651" s="31"/>
      <c r="S651" s="32">
        <f t="shared" si="192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7"/>
        <v>0</v>
      </c>
      <c r="AF651" s="10"/>
      <c r="AG651" s="10"/>
      <c r="AH651" s="10"/>
      <c r="AI651" s="12">
        <f t="shared" si="193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L652" s="18"/>
      <c r="M652" s="10">
        <v>36</v>
      </c>
      <c r="N652" s="30"/>
      <c r="O652" s="31"/>
      <c r="P652" s="47"/>
      <c r="Q652" s="31"/>
      <c r="R652" s="31"/>
      <c r="S652" s="32">
        <f t="shared" si="192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7"/>
        <v>0</v>
      </c>
      <c r="AF652" s="10"/>
      <c r="AG652" s="10"/>
      <c r="AH652" s="10"/>
      <c r="AI652" s="12">
        <f t="shared" si="193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L653" s="18"/>
      <c r="M653" s="10">
        <v>37</v>
      </c>
      <c r="N653" s="30"/>
      <c r="P653" s="47"/>
      <c r="Q653" s="31"/>
      <c r="R653" s="31"/>
      <c r="S653" s="32">
        <f t="shared" si="192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7"/>
        <v>0</v>
      </c>
      <c r="AF653" s="10"/>
      <c r="AG653" s="10"/>
      <c r="AH653" s="10"/>
      <c r="AI653" s="12">
        <f t="shared" si="193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L654" s="18"/>
      <c r="M654" s="10">
        <v>38</v>
      </c>
      <c r="N654" s="30"/>
      <c r="O654" s="31"/>
      <c r="P654" s="47"/>
      <c r="Q654" s="31"/>
      <c r="R654" s="31"/>
      <c r="S654" s="32">
        <f t="shared" si="192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7"/>
        <v>0</v>
      </c>
      <c r="AF654" s="10"/>
      <c r="AG654" s="10"/>
      <c r="AH654" s="10"/>
      <c r="AI654" s="12">
        <f t="shared" si="193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L655" s="18"/>
      <c r="M655" s="10">
        <v>39</v>
      </c>
      <c r="N655" s="30"/>
      <c r="O655" s="31"/>
      <c r="P655" s="47"/>
      <c r="Q655" s="31"/>
      <c r="R655" s="31"/>
      <c r="S655" s="32">
        <f t="shared" si="192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7"/>
        <v>0</v>
      </c>
      <c r="AF655" s="10"/>
      <c r="AG655" s="10"/>
      <c r="AH655" s="10"/>
      <c r="AI655" s="12">
        <f t="shared" si="193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L656" s="18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3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L657" s="18"/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3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L658" s="18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3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L659" s="18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326400.5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326400.5</v>
      </c>
      <c r="H660" s="4"/>
      <c r="I660" s="39">
        <f>SUM(I617:I659)</f>
        <v>711</v>
      </c>
      <c r="J660" s="39">
        <f>SUM(J617:J659)</f>
        <v>0</v>
      </c>
      <c r="K660" s="40">
        <f>SUM(K617:K659)</f>
        <v>327111.5</v>
      </c>
      <c r="L660" s="18"/>
      <c r="N660" s="57"/>
      <c r="O660" s="57"/>
      <c r="P660" s="38">
        <f>SUM(P617:P659)</f>
        <v>650653</v>
      </c>
      <c r="Q660" s="38">
        <f>SUM(Q617:Q641)</f>
        <v>-5088</v>
      </c>
      <c r="R660" s="38">
        <f>SUM(R617:R641)</f>
        <v>0</v>
      </c>
      <c r="S660" s="38">
        <f>SUM(S617:S659)</f>
        <v>645565</v>
      </c>
      <c r="T660" s="4"/>
      <c r="U660" s="41">
        <f>SUM(U617:U659)</f>
        <v>4284</v>
      </c>
      <c r="V660" s="41">
        <f>SUM(V617:V641)</f>
        <v>-609</v>
      </c>
      <c r="W660" s="42">
        <f>SUM(W617:W659)</f>
        <v>649240</v>
      </c>
      <c r="Z660" s="57"/>
      <c r="AA660" s="57"/>
      <c r="AB660" s="38">
        <f>SUM(AB617:AB659)</f>
        <v>225724</v>
      </c>
      <c r="AC660" s="38">
        <f>SUM(AC617:AC641)</f>
        <v>-1524</v>
      </c>
      <c r="AD660" s="38">
        <f>SUM(AD617:AD641)</f>
        <v>0</v>
      </c>
      <c r="AE660" s="38">
        <f>SUM(AE617:AE659)</f>
        <v>224200</v>
      </c>
      <c r="AF660" s="4"/>
      <c r="AG660" s="41">
        <f>SUM(AG617:AG659)</f>
        <v>5749.5</v>
      </c>
      <c r="AH660" s="41">
        <f>SUM(AH617:AH641)</f>
        <v>-5550</v>
      </c>
      <c r="AI660" s="42">
        <f>SUM(AI617:AI659)</f>
        <v>224399.5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L662" s="18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L663" s="18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L664" s="18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L665" s="18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L666" s="18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L667" s="18"/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67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L668" s="18"/>
      <c r="M668" s="21" t="s">
        <v>67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35</v>
      </c>
      <c r="W668" s="24"/>
      <c r="Y668" s="21" t="s">
        <v>67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L669" s="18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5" t="s">
        <v>17</v>
      </c>
      <c r="E670" s="125"/>
      <c r="F670" s="103"/>
      <c r="G670" s="27"/>
      <c r="I670" s="123" t="s">
        <v>18</v>
      </c>
      <c r="J670" s="124"/>
      <c r="K670" s="121" t="s">
        <v>19</v>
      </c>
      <c r="L670" s="18"/>
      <c r="N670" s="25"/>
      <c r="O670" s="26"/>
      <c r="P670" s="125" t="s">
        <v>17</v>
      </c>
      <c r="Q670" s="125"/>
      <c r="R670" s="103"/>
      <c r="S670" s="27"/>
      <c r="U670" s="123" t="s">
        <v>18</v>
      </c>
      <c r="V670" s="124"/>
      <c r="W670" s="121" t="s">
        <v>19</v>
      </c>
      <c r="Z670" s="25"/>
      <c r="AA670" s="26"/>
      <c r="AB670" s="125" t="s">
        <v>17</v>
      </c>
      <c r="AC670" s="125"/>
      <c r="AD670" s="103"/>
      <c r="AE670" s="27"/>
      <c r="AG670" s="123" t="s">
        <v>18</v>
      </c>
      <c r="AH670" s="124"/>
      <c r="AI670" s="121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2"/>
      <c r="L671" s="18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2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68</v>
      </c>
      <c r="C672" s="88">
        <v>7952</v>
      </c>
      <c r="D672" s="32">
        <f>31300+1228+5960</f>
        <v>38488</v>
      </c>
      <c r="E672" s="32"/>
      <c r="F672" s="32"/>
      <c r="G672" s="32">
        <f t="shared" ref="G672:G705" si="199">SUM(D672:E672)</f>
        <v>38488</v>
      </c>
      <c r="H672" s="12"/>
      <c r="I672" s="12">
        <v>216</v>
      </c>
      <c r="J672" s="12"/>
      <c r="K672" s="12">
        <f t="shared" ref="K672:K705" si="200">SUM(G672:J672)</f>
        <v>38704</v>
      </c>
      <c r="L672" s="18"/>
      <c r="M672" s="10">
        <v>1</v>
      </c>
      <c r="N672" s="30" t="s">
        <v>68</v>
      </c>
      <c r="O672" s="31">
        <v>7926</v>
      </c>
      <c r="P672" s="32">
        <f>1252+614+47.5</f>
        <v>1913.5</v>
      </c>
      <c r="Q672" s="32"/>
      <c r="R672" s="32"/>
      <c r="S672" s="32">
        <f>SUM(P672:Q672)</f>
        <v>1913.5</v>
      </c>
      <c r="T672" s="12"/>
      <c r="U672" s="12"/>
      <c r="V672" s="12"/>
      <c r="W672" s="12">
        <f>SUM(S672:V672)</f>
        <v>1913.5</v>
      </c>
      <c r="Y672" s="10">
        <v>1</v>
      </c>
      <c r="Z672" s="30" t="s">
        <v>68</v>
      </c>
      <c r="AA672" s="31">
        <v>7768</v>
      </c>
      <c r="AB672" s="32">
        <f>626*324+913*2+108*596+229*6</f>
        <v>270392</v>
      </c>
      <c r="AC672" s="32">
        <v>-2604</v>
      </c>
      <c r="AD672" s="32"/>
      <c r="AE672" s="32">
        <f>SUM(AB672:AC672)</f>
        <v>267788</v>
      </c>
      <c r="AF672" s="12"/>
      <c r="AG672" s="12">
        <f>140*111</f>
        <v>15540</v>
      </c>
      <c r="AH672" s="12"/>
      <c r="AI672" s="12">
        <f>SUM(AE672:AH672)</f>
        <v>283328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68</v>
      </c>
      <c r="C673" s="88">
        <f>C672+1</f>
        <v>7953</v>
      </c>
      <c r="D673" s="32">
        <f>2504+614+38</f>
        <v>3156</v>
      </c>
      <c r="E673" s="32"/>
      <c r="F673" s="32"/>
      <c r="G673" s="32">
        <f t="shared" si="199"/>
        <v>3156</v>
      </c>
      <c r="H673" s="12"/>
      <c r="I673" s="12">
        <v>72</v>
      </c>
      <c r="J673" s="12"/>
      <c r="K673" s="12">
        <f t="shared" si="200"/>
        <v>3228</v>
      </c>
      <c r="L673" s="18"/>
      <c r="M673" s="10">
        <v>2</v>
      </c>
      <c r="N673" s="30" t="s">
        <v>68</v>
      </c>
      <c r="O673" s="31">
        <f>O672+1</f>
        <v>7927</v>
      </c>
      <c r="P673" s="32">
        <v>6260</v>
      </c>
      <c r="Q673" s="32"/>
      <c r="R673" s="32"/>
      <c r="S673" s="32">
        <f t="shared" ref="S673:S704" si="201">SUM(P673:Q673)</f>
        <v>6260</v>
      </c>
      <c r="T673" s="12"/>
      <c r="U673" s="12"/>
      <c r="V673" s="12">
        <f>-111+-84</f>
        <v>-195</v>
      </c>
      <c r="W673" s="12">
        <f t="shared" ref="W673:W713" si="202">SUM(S673:V673)</f>
        <v>6065</v>
      </c>
      <c r="Y673" s="10">
        <v>2</v>
      </c>
      <c r="Z673" s="30" t="s">
        <v>68</v>
      </c>
      <c r="AA673" s="31">
        <f>AA672+1</f>
        <v>7769</v>
      </c>
      <c r="AB673" s="32">
        <f>626*100+5*229</f>
        <v>63745</v>
      </c>
      <c r="AC673" s="32">
        <v>-600</v>
      </c>
      <c r="AD673" s="32"/>
      <c r="AE673" s="32">
        <f t="shared" ref="AE673:AE710" si="203">SUM(AB673:AC673)</f>
        <v>63145</v>
      </c>
      <c r="AF673" s="12"/>
      <c r="AG673" s="12"/>
      <c r="AH673" s="12">
        <f>-91*111+-5*78</f>
        <v>-10491</v>
      </c>
      <c r="AI673" s="12">
        <f t="shared" ref="AI673:AI704" si="204">SUM(AE673:AH673)</f>
        <v>52654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68</v>
      </c>
      <c r="C674" s="88">
        <f t="shared" ref="C674" si="205">C673+1</f>
        <v>7954</v>
      </c>
      <c r="D674" s="33">
        <f>405022+6183</f>
        <v>411205</v>
      </c>
      <c r="E674" s="33">
        <v>-3882</v>
      </c>
      <c r="F674" s="33"/>
      <c r="G674" s="33">
        <f t="shared" si="199"/>
        <v>407323</v>
      </c>
      <c r="H674" s="34"/>
      <c r="I674" s="34">
        <v>1950</v>
      </c>
      <c r="J674" s="34">
        <f>-11*120+-224*111+-28*111+-84*3</f>
        <v>-29544</v>
      </c>
      <c r="K674" s="34">
        <f t="shared" si="200"/>
        <v>379729</v>
      </c>
      <c r="L674" s="18"/>
      <c r="M674" s="10">
        <v>3</v>
      </c>
      <c r="N674" s="30" t="s">
        <v>68</v>
      </c>
      <c r="O674" s="31">
        <f t="shared" ref="O674:O675" si="206">O673+1</f>
        <v>7928</v>
      </c>
      <c r="P674" s="32">
        <f>6260</f>
        <v>6260</v>
      </c>
      <c r="Q674" s="32"/>
      <c r="R674" s="32"/>
      <c r="S674" s="32">
        <f t="shared" si="201"/>
        <v>6260</v>
      </c>
      <c r="T674" s="12"/>
      <c r="U674" s="12">
        <v>58.5</v>
      </c>
      <c r="V674" s="12"/>
      <c r="W674" s="12">
        <f t="shared" si="202"/>
        <v>6318.5</v>
      </c>
      <c r="Y674" s="10">
        <v>3</v>
      </c>
      <c r="Z674" s="30" t="s">
        <v>68</v>
      </c>
      <c r="AA674" s="31">
        <f t="shared" ref="AA674" si="207">AA673+1</f>
        <v>7770</v>
      </c>
      <c r="AB674" s="33">
        <f>626*27+596*9+832</f>
        <v>23098</v>
      </c>
      <c r="AC674" s="33"/>
      <c r="AD674" s="32"/>
      <c r="AE674" s="32">
        <f t="shared" si="203"/>
        <v>23098</v>
      </c>
      <c r="AF674" s="12"/>
      <c r="AG674" s="12"/>
      <c r="AH674" s="12">
        <f>-111*22</f>
        <v>-2442</v>
      </c>
      <c r="AI674" s="12">
        <f t="shared" si="204"/>
        <v>20656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/>
      <c r="C675" s="11" t="s">
        <v>27</v>
      </c>
      <c r="D675" s="32"/>
      <c r="E675" s="32"/>
      <c r="F675" s="32"/>
      <c r="G675" s="32">
        <f t="shared" si="199"/>
        <v>0</v>
      </c>
      <c r="H675" s="12"/>
      <c r="I675" s="12"/>
      <c r="J675" s="12"/>
      <c r="K675" s="12">
        <f t="shared" si="200"/>
        <v>0</v>
      </c>
      <c r="L675" s="18"/>
      <c r="M675" s="10">
        <v>4</v>
      </c>
      <c r="N675" s="30" t="s">
        <v>68</v>
      </c>
      <c r="O675" s="31">
        <f t="shared" si="206"/>
        <v>7929</v>
      </c>
      <c r="P675" s="32">
        <f>25040</f>
        <v>25040</v>
      </c>
      <c r="Q675" s="32"/>
      <c r="R675" s="32"/>
      <c r="S675" s="32">
        <f t="shared" si="201"/>
        <v>25040</v>
      </c>
      <c r="T675" s="12"/>
      <c r="U675" s="12">
        <v>40.5</v>
      </c>
      <c r="V675" s="12"/>
      <c r="W675" s="12">
        <f t="shared" si="202"/>
        <v>25080.5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203"/>
        <v>0</v>
      </c>
      <c r="AF675" s="12"/>
      <c r="AH675" s="12"/>
      <c r="AI675" s="12">
        <f t="shared" si="204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88"/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L676" s="18"/>
      <c r="M676" s="10">
        <v>5</v>
      </c>
      <c r="N676" s="30" t="s">
        <v>68</v>
      </c>
      <c r="O676" s="31">
        <v>7931</v>
      </c>
      <c r="P676" s="32">
        <f>338040+6140+64368+5038</f>
        <v>413586</v>
      </c>
      <c r="Q676" s="32">
        <v>-3948</v>
      </c>
      <c r="R676" s="32"/>
      <c r="S676" s="32">
        <f t="shared" si="201"/>
        <v>409638</v>
      </c>
      <c r="T676" s="12"/>
      <c r="U676" s="12">
        <f>48951+1404</f>
        <v>50355</v>
      </c>
      <c r="V676" s="12">
        <f>-756+-1260</f>
        <v>-2016</v>
      </c>
      <c r="W676" s="12">
        <f t="shared" si="202"/>
        <v>457977</v>
      </c>
      <c r="Y676" s="10">
        <v>5</v>
      </c>
      <c r="Z676" s="30"/>
      <c r="AA676" s="31"/>
      <c r="AB676" s="32"/>
      <c r="AC676" s="32"/>
      <c r="AD676" s="32"/>
      <c r="AE676" s="32">
        <f t="shared" si="203"/>
        <v>0</v>
      </c>
      <c r="AF676" s="12"/>
      <c r="AG676" s="12"/>
      <c r="AH676" s="12"/>
      <c r="AI676" s="12">
        <f t="shared" si="204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8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L677" s="18"/>
      <c r="M677" s="10">
        <v>6</v>
      </c>
      <c r="N677" s="30"/>
      <c r="O677" s="11" t="s">
        <v>27</v>
      </c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si="203"/>
        <v>0</v>
      </c>
      <c r="AF677" s="12"/>
      <c r="AG677" s="12"/>
      <c r="AH677" s="10"/>
      <c r="AI677" s="12">
        <f t="shared" si="204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8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L678" s="18"/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B678" s="32"/>
      <c r="AC678" s="32"/>
      <c r="AD678" s="32"/>
      <c r="AE678" s="32">
        <f t="shared" si="203"/>
        <v>0</v>
      </c>
      <c r="AF678" s="12"/>
      <c r="AG678" s="58"/>
      <c r="AH678" s="12"/>
      <c r="AI678" s="12">
        <f t="shared" si="204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8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L679" s="18"/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3"/>
        <v>0</v>
      </c>
      <c r="AF679" s="12"/>
      <c r="AG679" s="12"/>
      <c r="AH679" s="12"/>
      <c r="AI679" s="12">
        <f t="shared" si="204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8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L680" s="18"/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3"/>
        <v>0</v>
      </c>
      <c r="AF680" s="12"/>
      <c r="AH680" s="12"/>
      <c r="AI680" s="12">
        <f t="shared" si="204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8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L681" s="18"/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3"/>
        <v>0</v>
      </c>
      <c r="AF681" s="12"/>
      <c r="AG681" s="12"/>
      <c r="AH681" s="12"/>
      <c r="AI681" s="12">
        <f t="shared" si="204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8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L682" s="18"/>
      <c r="M682" s="10">
        <v>11</v>
      </c>
      <c r="N682" s="30"/>
      <c r="O682" s="31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03"/>
        <v>0</v>
      </c>
      <c r="AF682" s="12"/>
      <c r="AG682" s="12"/>
      <c r="AH682" s="12"/>
      <c r="AI682" s="12">
        <f t="shared" si="204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8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L683" s="18"/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3"/>
        <v>0</v>
      </c>
      <c r="AF683" s="12"/>
      <c r="AG683" s="12"/>
      <c r="AH683" s="12"/>
      <c r="AI683" s="12">
        <f t="shared" si="204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8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L684" s="18"/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3"/>
        <v>0</v>
      </c>
      <c r="AF684" s="12"/>
      <c r="AG684" s="12"/>
      <c r="AH684" s="12"/>
      <c r="AI684" s="12">
        <f t="shared" si="204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8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L685" s="18"/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3"/>
        <v>0</v>
      </c>
      <c r="AF685" s="12"/>
      <c r="AG685" s="12"/>
      <c r="AH685" s="12"/>
      <c r="AI685" s="12">
        <f t="shared" si="204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8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L686" s="18"/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03"/>
        <v>0</v>
      </c>
      <c r="AF686" s="12"/>
      <c r="AG686" s="12"/>
      <c r="AH686" s="12"/>
      <c r="AI686" s="12">
        <f t="shared" si="204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8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L687" s="18"/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A687" s="31"/>
      <c r="AB687" s="32"/>
      <c r="AC687" s="32"/>
      <c r="AD687" s="32"/>
      <c r="AE687" s="32">
        <f t="shared" si="203"/>
        <v>0</v>
      </c>
      <c r="AF687" s="12"/>
      <c r="AG687" s="12"/>
      <c r="AH687" s="12"/>
      <c r="AI687" s="12">
        <f t="shared" si="204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8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L688" s="18"/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3"/>
        <v>0</v>
      </c>
      <c r="AF688" s="12"/>
      <c r="AG688" s="12"/>
      <c r="AH688" s="12"/>
      <c r="AI688" s="12">
        <f t="shared" si="204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8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L689" s="18"/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3"/>
        <v>0</v>
      </c>
      <c r="AF689" s="12"/>
      <c r="AG689" s="12"/>
      <c r="AH689" s="12"/>
      <c r="AI689" s="12">
        <f t="shared" si="204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L690" s="18"/>
      <c r="M690" s="10">
        <v>19</v>
      </c>
      <c r="N690" s="30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3"/>
        <v>0</v>
      </c>
      <c r="AF690" s="12"/>
      <c r="AG690" s="12"/>
      <c r="AH690" s="12"/>
      <c r="AI690" s="12">
        <f t="shared" si="204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57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L691" s="18"/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A691" s="31"/>
      <c r="AB691" s="32"/>
      <c r="AC691" s="32"/>
      <c r="AD691" s="32"/>
      <c r="AE691" s="32">
        <f t="shared" si="203"/>
        <v>0</v>
      </c>
      <c r="AF691" s="12"/>
      <c r="AG691" s="12"/>
      <c r="AH691" s="12"/>
      <c r="AI691" s="12">
        <f t="shared" si="204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8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L692" s="18"/>
      <c r="M692" s="10">
        <v>21</v>
      </c>
      <c r="N692" s="30"/>
      <c r="O692" s="31"/>
      <c r="P692" s="46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3"/>
        <v>0</v>
      </c>
      <c r="AF692" s="10"/>
      <c r="AG692" s="10"/>
      <c r="AH692" s="10"/>
      <c r="AI692" s="12">
        <f t="shared" si="204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8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L693" s="18"/>
      <c r="M693" s="10">
        <v>22</v>
      </c>
      <c r="N693" s="30"/>
      <c r="O693" s="31"/>
      <c r="P693" s="45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3"/>
        <v>0</v>
      </c>
      <c r="AF693" s="10"/>
      <c r="AG693" s="10"/>
      <c r="AH693" s="10"/>
      <c r="AI693" s="12">
        <f t="shared" si="204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57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L694" s="18"/>
      <c r="M694" s="10">
        <v>23</v>
      </c>
      <c r="N694" s="30"/>
      <c r="O694" s="31"/>
      <c r="P694" s="47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E694" s="32">
        <f t="shared" si="203"/>
        <v>0</v>
      </c>
      <c r="AF694" s="10"/>
      <c r="AG694" s="10"/>
      <c r="AH694" s="10"/>
      <c r="AI694" s="12">
        <f t="shared" si="204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L695" s="18"/>
      <c r="M695" s="10">
        <v>24</v>
      </c>
      <c r="N695" s="30"/>
      <c r="O695" s="31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3"/>
        <v>0</v>
      </c>
      <c r="AF695" s="10"/>
      <c r="AG695" s="10"/>
      <c r="AH695" s="10"/>
      <c r="AI695" s="12">
        <f t="shared" si="204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L696" s="18"/>
      <c r="M696" s="10">
        <v>25</v>
      </c>
      <c r="N696" s="30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11"/>
      <c r="AB696" s="47"/>
      <c r="AC696" s="31"/>
      <c r="AD696" s="31"/>
      <c r="AE696" s="32">
        <f t="shared" si="203"/>
        <v>0</v>
      </c>
      <c r="AF696" s="10"/>
      <c r="AG696" s="10"/>
      <c r="AH696" s="10"/>
      <c r="AI696" s="12">
        <f t="shared" si="204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11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L697" s="18"/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B697" s="47"/>
      <c r="AC697" s="31"/>
      <c r="AD697" s="31"/>
      <c r="AE697" s="32">
        <f t="shared" si="203"/>
        <v>0</v>
      </c>
      <c r="AF697" s="10"/>
      <c r="AG697" s="10"/>
      <c r="AH697" s="10"/>
      <c r="AI697" s="12">
        <f t="shared" si="204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57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L698" s="18"/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3"/>
        <v>0</v>
      </c>
      <c r="AF698" s="10"/>
      <c r="AG698" s="10"/>
      <c r="AH698" s="10"/>
      <c r="AI698" s="12">
        <f t="shared" si="204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L699" s="18"/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3"/>
        <v>0</v>
      </c>
      <c r="AF699" s="10"/>
      <c r="AG699" s="10"/>
      <c r="AH699" s="10"/>
      <c r="AI699" s="12">
        <f t="shared" si="204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31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L700" s="18"/>
      <c r="M700" s="10">
        <v>29</v>
      </c>
      <c r="N700" s="30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3"/>
        <v>0</v>
      </c>
      <c r="AF700" s="10"/>
      <c r="AG700" s="10"/>
      <c r="AH700" s="10"/>
      <c r="AI700" s="12">
        <f t="shared" si="204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L701" s="18"/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B701" s="47"/>
      <c r="AC701" s="31"/>
      <c r="AD701" s="31"/>
      <c r="AE701" s="32">
        <f t="shared" si="203"/>
        <v>0</v>
      </c>
      <c r="AF701" s="10"/>
      <c r="AG701" s="10"/>
      <c r="AH701" s="10"/>
      <c r="AI701" s="12">
        <f t="shared" si="204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57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L702" s="18"/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B702" s="47"/>
      <c r="AC702" s="31"/>
      <c r="AD702" s="31"/>
      <c r="AE702" s="32">
        <f t="shared" si="203"/>
        <v>0</v>
      </c>
      <c r="AF702" s="10"/>
      <c r="AG702" s="10"/>
      <c r="AH702" s="10"/>
      <c r="AI702" s="12">
        <f t="shared" si="204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31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L703" s="18"/>
      <c r="M703" s="10">
        <v>32</v>
      </c>
      <c r="N703" s="30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3"/>
        <v>0</v>
      </c>
      <c r="AF703" s="10"/>
      <c r="AG703" s="10"/>
      <c r="AH703" s="10"/>
      <c r="AI703" s="12">
        <f t="shared" si="204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57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L704" s="18"/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3"/>
        <v>0</v>
      </c>
      <c r="AF704" s="10"/>
      <c r="AG704" s="10"/>
      <c r="AH704" s="10"/>
      <c r="AI704" s="12">
        <f t="shared" si="204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57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L705" s="18"/>
      <c r="M705" s="10">
        <v>34</v>
      </c>
      <c r="N705" s="30"/>
      <c r="O705" s="31"/>
      <c r="P705" s="47"/>
      <c r="Q705" s="31"/>
      <c r="R705" s="31"/>
      <c r="S705" s="32">
        <f t="shared" ref="S705:S710" si="208">SUM(P705:Q705)</f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B705" s="47"/>
      <c r="AC705" s="31"/>
      <c r="AD705" s="31"/>
      <c r="AE705" s="32">
        <f t="shared" si="203"/>
        <v>0</v>
      </c>
      <c r="AF705" s="10"/>
      <c r="AG705" s="10"/>
      <c r="AH705" s="10"/>
      <c r="AI705" s="12">
        <f t="shared" ref="AI705:AI713" si="209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L706" s="18"/>
      <c r="M706" s="10">
        <v>35</v>
      </c>
      <c r="N706" s="30"/>
      <c r="O706" s="31"/>
      <c r="P706" s="47"/>
      <c r="Q706" s="31"/>
      <c r="R706" s="31"/>
      <c r="S706" s="32">
        <f t="shared" si="208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3"/>
        <v>0</v>
      </c>
      <c r="AF706" s="10"/>
      <c r="AG706" s="10"/>
      <c r="AH706" s="10"/>
      <c r="AI706" s="12">
        <f t="shared" si="209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L707" s="18"/>
      <c r="M707" s="10">
        <v>36</v>
      </c>
      <c r="N707" s="30"/>
      <c r="O707" s="31"/>
      <c r="P707" s="47"/>
      <c r="Q707" s="31"/>
      <c r="R707" s="31"/>
      <c r="S707" s="32">
        <f t="shared" si="208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3"/>
        <v>0</v>
      </c>
      <c r="AF707" s="10"/>
      <c r="AG707" s="10"/>
      <c r="AH707" s="10"/>
      <c r="AI707" s="12">
        <f t="shared" si="209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L708" s="18"/>
      <c r="M708" s="10">
        <v>37</v>
      </c>
      <c r="N708" s="30"/>
      <c r="P708" s="47"/>
      <c r="Q708" s="31"/>
      <c r="R708" s="31"/>
      <c r="S708" s="32">
        <f t="shared" si="208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3"/>
        <v>0</v>
      </c>
      <c r="AF708" s="10"/>
      <c r="AG708" s="10"/>
      <c r="AH708" s="10"/>
      <c r="AI708" s="12">
        <f t="shared" si="209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L709" s="18"/>
      <c r="M709" s="10">
        <v>38</v>
      </c>
      <c r="N709" s="30"/>
      <c r="O709" s="31"/>
      <c r="P709" s="47"/>
      <c r="Q709" s="31"/>
      <c r="R709" s="31"/>
      <c r="S709" s="32">
        <f t="shared" si="208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3"/>
        <v>0</v>
      </c>
      <c r="AF709" s="10"/>
      <c r="AG709" s="10"/>
      <c r="AH709" s="10"/>
      <c r="AI709" s="12">
        <f t="shared" si="209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L710" s="18"/>
      <c r="M710" s="10">
        <v>39</v>
      </c>
      <c r="N710" s="30"/>
      <c r="O710" s="31"/>
      <c r="P710" s="47"/>
      <c r="Q710" s="31"/>
      <c r="R710" s="31"/>
      <c r="S710" s="32">
        <f t="shared" si="208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3"/>
        <v>0</v>
      </c>
      <c r="AF710" s="10"/>
      <c r="AG710" s="10"/>
      <c r="AH710" s="10"/>
      <c r="AI710" s="12">
        <f t="shared" si="209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L711" s="18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9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L712" s="18"/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9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L713" s="18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9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L714" s="18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452849</v>
      </c>
      <c r="E715" s="38">
        <f t="shared" ref="E715:F715" si="214">SUM(E672:E712)</f>
        <v>-3882</v>
      </c>
      <c r="F715" s="38">
        <f t="shared" si="214"/>
        <v>0</v>
      </c>
      <c r="G715" s="38">
        <f>SUM(G672:G714)</f>
        <v>448967</v>
      </c>
      <c r="H715" s="4"/>
      <c r="I715" s="39">
        <f>SUM(I672:I714)</f>
        <v>2238</v>
      </c>
      <c r="J715" s="39">
        <f>SUM(J672:J714)</f>
        <v>-29544</v>
      </c>
      <c r="K715" s="40">
        <f>SUM(K672:K714)</f>
        <v>421661</v>
      </c>
      <c r="L715" s="18"/>
      <c r="N715" s="57"/>
      <c r="O715" s="57"/>
      <c r="P715" s="38">
        <f>SUM(P672:P714)</f>
        <v>453059.5</v>
      </c>
      <c r="Q715" s="38">
        <f>SUM(Q672:Q696)</f>
        <v>-3948</v>
      </c>
      <c r="R715" s="38">
        <f>SUM(R672:R696)</f>
        <v>0</v>
      </c>
      <c r="S715" s="38">
        <f>SUM(S672:S714)</f>
        <v>449111.5</v>
      </c>
      <c r="T715" s="4"/>
      <c r="U715" s="41">
        <f>SUM(U672:U714)</f>
        <v>50454</v>
      </c>
      <c r="V715" s="41">
        <f>SUM(V672:V696)</f>
        <v>-2211</v>
      </c>
      <c r="W715" s="42">
        <f>SUM(W672:W714)</f>
        <v>497354.5</v>
      </c>
      <c r="Z715" s="57"/>
      <c r="AA715" s="57"/>
      <c r="AB715" s="38">
        <f>SUM(AB672:AB714)</f>
        <v>357235</v>
      </c>
      <c r="AC715" s="38">
        <f>SUM(AC672:AC696)</f>
        <v>-3204</v>
      </c>
      <c r="AD715" s="38">
        <f>SUM(AD672:AD696)</f>
        <v>0</v>
      </c>
      <c r="AE715" s="38">
        <f>SUM(AE672:AE714)</f>
        <v>354031</v>
      </c>
      <c r="AF715" s="4"/>
      <c r="AG715" s="41">
        <f>SUM(AG672:AG714)</f>
        <v>15540</v>
      </c>
      <c r="AH715" s="41">
        <f>SUM(AH672:AH696)</f>
        <v>-12933</v>
      </c>
      <c r="AI715" s="42">
        <f>SUM(AI672:AI714)</f>
        <v>356638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L717" s="18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L718" s="18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L719" s="18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L720" s="18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L721" s="18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L722" s="18"/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70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L723" s="18"/>
      <c r="M723" s="21" t="s">
        <v>70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35</v>
      </c>
      <c r="W723" s="24"/>
      <c r="Y723" s="21" t="s">
        <v>70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L724" s="18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5" t="s">
        <v>17</v>
      </c>
      <c r="E725" s="125"/>
      <c r="F725" s="104"/>
      <c r="G725" s="27"/>
      <c r="I725" s="123" t="s">
        <v>18</v>
      </c>
      <c r="J725" s="124"/>
      <c r="K725" s="121" t="s">
        <v>19</v>
      </c>
      <c r="L725" s="18"/>
      <c r="N725" s="25"/>
      <c r="O725" s="26"/>
      <c r="P725" s="125" t="s">
        <v>17</v>
      </c>
      <c r="Q725" s="125"/>
      <c r="R725" s="105"/>
      <c r="S725" s="27"/>
      <c r="U725" s="123" t="s">
        <v>18</v>
      </c>
      <c r="V725" s="124"/>
      <c r="W725" s="121" t="s">
        <v>19</v>
      </c>
      <c r="Z725" s="25"/>
      <c r="AA725" s="26"/>
      <c r="AB725" s="125" t="s">
        <v>17</v>
      </c>
      <c r="AC725" s="125"/>
      <c r="AD725" s="105"/>
      <c r="AE725" s="27"/>
      <c r="AG725" s="123" t="s">
        <v>18</v>
      </c>
      <c r="AH725" s="124"/>
      <c r="AI725" s="121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2"/>
      <c r="L726" s="18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2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71</v>
      </c>
      <c r="C727" s="88">
        <v>7955</v>
      </c>
      <c r="D727" s="32">
        <f>9390+5960+229</f>
        <v>15579</v>
      </c>
      <c r="E727" s="32"/>
      <c r="F727" s="32"/>
      <c r="G727" s="32">
        <f t="shared" ref="G727:G760" si="215">SUM(D727:E727)</f>
        <v>15579</v>
      </c>
      <c r="H727" s="12"/>
      <c r="I727" s="12"/>
      <c r="J727" s="12"/>
      <c r="K727" s="12">
        <f t="shared" ref="K727:K760" si="216">SUM(G727:J727)</f>
        <v>15579</v>
      </c>
      <c r="L727" s="18"/>
      <c r="M727" s="10">
        <v>1</v>
      </c>
      <c r="N727" s="30" t="s">
        <v>71</v>
      </c>
      <c r="O727" s="31">
        <v>7932</v>
      </c>
      <c r="P727" s="32">
        <f>3130+1192+66.5</f>
        <v>4388.5</v>
      </c>
      <c r="Q727" s="32"/>
      <c r="R727" s="32"/>
      <c r="S727" s="32">
        <f>SUM(P727:Q727)</f>
        <v>4388.5</v>
      </c>
      <c r="T727" s="12"/>
      <c r="U727" s="12"/>
      <c r="V727" s="12"/>
      <c r="W727" s="12">
        <f>SUM(S727:V727)</f>
        <v>4388.5</v>
      </c>
      <c r="Y727" s="10">
        <v>1</v>
      </c>
      <c r="Z727" s="30" t="s">
        <v>71</v>
      </c>
      <c r="AA727" s="31">
        <v>7771</v>
      </c>
      <c r="AB727" s="32">
        <f>626*360+596*80+852*2+1005*10+832*20+229*19</f>
        <v>305785</v>
      </c>
      <c r="AC727" s="32">
        <v>-2946</v>
      </c>
      <c r="AD727" s="32"/>
      <c r="AE727" s="32">
        <f>SUM(AB727:AC727)</f>
        <v>302839</v>
      </c>
      <c r="AF727" s="12"/>
      <c r="AG727" s="12">
        <f>2331+108</f>
        <v>2439</v>
      </c>
      <c r="AH727" s="12"/>
      <c r="AI727" s="12">
        <f>SUM(AE727:AH727)</f>
        <v>305278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71</v>
      </c>
      <c r="C728" s="88">
        <f>C727+1</f>
        <v>7956</v>
      </c>
      <c r="D728" s="32">
        <f>1878+596+38</f>
        <v>2512</v>
      </c>
      <c r="E728" s="32"/>
      <c r="F728" s="32"/>
      <c r="G728" s="32">
        <f t="shared" si="215"/>
        <v>2512</v>
      </c>
      <c r="H728" s="12"/>
      <c r="I728" s="12">
        <v>6</v>
      </c>
      <c r="J728" s="12"/>
      <c r="K728" s="12">
        <f t="shared" si="216"/>
        <v>2518</v>
      </c>
      <c r="L728" s="18"/>
      <c r="M728" s="10">
        <v>2</v>
      </c>
      <c r="N728" s="30" t="s">
        <v>71</v>
      </c>
      <c r="O728" s="31">
        <f>O727+1</f>
        <v>7933</v>
      </c>
      <c r="P728" s="32">
        <f>62600+5364+458</f>
        <v>68422</v>
      </c>
      <c r="Q728" s="32">
        <v>-654</v>
      </c>
      <c r="R728" s="32"/>
      <c r="S728" s="32">
        <f t="shared" ref="S728:S759" si="217">SUM(P728:Q728)</f>
        <v>67768</v>
      </c>
      <c r="T728" s="12"/>
      <c r="U728" s="12"/>
      <c r="V728" s="12"/>
      <c r="W728" s="12">
        <f t="shared" ref="W728:W768" si="218">SUM(S728:V728)</f>
        <v>67768</v>
      </c>
      <c r="Y728" s="10">
        <v>2</v>
      </c>
      <c r="Z728" s="30" t="s">
        <v>71</v>
      </c>
      <c r="AA728" s="31">
        <f>AA727+1</f>
        <v>7772</v>
      </c>
      <c r="AB728" s="32">
        <f>626*61+229*5</f>
        <v>39331</v>
      </c>
      <c r="AC728" s="32"/>
      <c r="AD728" s="32"/>
      <c r="AE728" s="32">
        <f t="shared" ref="AE728:AE765" si="219">SUM(AB728:AC728)</f>
        <v>39331</v>
      </c>
      <c r="AF728" s="12"/>
      <c r="AG728" s="12"/>
      <c r="AH728" s="12"/>
      <c r="AI728" s="12">
        <f t="shared" ref="AI728:AI759" si="220">SUM(AE728:AH728)</f>
        <v>39331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71</v>
      </c>
      <c r="C729" s="88">
        <f t="shared" ref="C729:C743" si="221">C728+1</f>
        <v>7957</v>
      </c>
      <c r="D729" s="33">
        <f>10642+614+1192+180.5</f>
        <v>12628.5</v>
      </c>
      <c r="E729" s="33"/>
      <c r="F729" s="33"/>
      <c r="G729" s="33">
        <f t="shared" si="215"/>
        <v>12628.5</v>
      </c>
      <c r="H729" s="34"/>
      <c r="I729" s="34"/>
      <c r="J729" s="34"/>
      <c r="K729" s="34">
        <f t="shared" si="216"/>
        <v>12628.5</v>
      </c>
      <c r="L729" s="18"/>
      <c r="M729" s="10">
        <v>3</v>
      </c>
      <c r="N729" s="30" t="s">
        <v>71</v>
      </c>
      <c r="O729" s="31">
        <f t="shared" ref="O729:O735" si="222">O728+1</f>
        <v>7934</v>
      </c>
      <c r="P729" s="32">
        <f>25040+674+5960</f>
        <v>31674</v>
      </c>
      <c r="Q729" s="32"/>
      <c r="R729" s="32"/>
      <c r="S729" s="32">
        <f t="shared" si="217"/>
        <v>31674</v>
      </c>
      <c r="T729" s="12"/>
      <c r="U729" s="12">
        <f>5106+13.5</f>
        <v>5119.5</v>
      </c>
      <c r="V729" s="12"/>
      <c r="W729" s="12">
        <f t="shared" si="218"/>
        <v>36793.5</v>
      </c>
      <c r="Y729" s="10">
        <v>3</v>
      </c>
      <c r="Z729" s="30" t="s">
        <v>71</v>
      </c>
      <c r="AA729" s="31">
        <f t="shared" ref="AA729" si="223">AA728+1</f>
        <v>7773</v>
      </c>
      <c r="AB729" s="33">
        <f>100160+3070+11920+1664+687</f>
        <v>117501</v>
      </c>
      <c r="AC729" s="33">
        <v>-1140</v>
      </c>
      <c r="AD729" s="32"/>
      <c r="AE729" s="32">
        <f t="shared" si="219"/>
        <v>116361</v>
      </c>
      <c r="AF729" s="12"/>
      <c r="AG729" s="12">
        <f>5661+36+54</f>
        <v>5751</v>
      </c>
      <c r="AH729" s="12">
        <f>-240</f>
        <v>-240</v>
      </c>
      <c r="AI729" s="12">
        <f t="shared" si="220"/>
        <v>121872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71</v>
      </c>
      <c r="C730" s="88">
        <f t="shared" si="221"/>
        <v>7958</v>
      </c>
      <c r="D730" s="32">
        <f>7512+1228+1192+832</f>
        <v>10764</v>
      </c>
      <c r="E730" s="32"/>
      <c r="F730" s="32"/>
      <c r="G730" s="32">
        <f t="shared" si="215"/>
        <v>10764</v>
      </c>
      <c r="H730" s="12"/>
      <c r="I730" s="12"/>
      <c r="J730" s="12"/>
      <c r="K730" s="12">
        <f t="shared" si="216"/>
        <v>10764</v>
      </c>
      <c r="L730" s="18"/>
      <c r="M730" s="10">
        <v>4</v>
      </c>
      <c r="N730" s="30" t="s">
        <v>71</v>
      </c>
      <c r="O730" s="31">
        <f t="shared" si="222"/>
        <v>7935</v>
      </c>
      <c r="P730" s="32">
        <f>6886+1788+133</f>
        <v>8807</v>
      </c>
      <c r="Q730" s="32"/>
      <c r="R730" s="32"/>
      <c r="S730" s="32">
        <f t="shared" si="217"/>
        <v>8807</v>
      </c>
      <c r="T730" s="12"/>
      <c r="U730" s="12">
        <f>81+18</f>
        <v>99</v>
      </c>
      <c r="V730" s="12"/>
      <c r="W730" s="12">
        <f t="shared" si="218"/>
        <v>8906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 t="shared" si="219"/>
        <v>0</v>
      </c>
      <c r="AF730" s="12"/>
      <c r="AH730" s="12"/>
      <c r="AI730" s="12">
        <f t="shared" si="220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71</v>
      </c>
      <c r="C731" s="88">
        <f t="shared" si="221"/>
        <v>7959</v>
      </c>
      <c r="D731" s="32">
        <f>1878+596+832+38</f>
        <v>3344</v>
      </c>
      <c r="E731" s="32"/>
      <c r="F731" s="32"/>
      <c r="G731" s="32">
        <f t="shared" si="215"/>
        <v>3344</v>
      </c>
      <c r="H731" s="12"/>
      <c r="I731" s="12"/>
      <c r="J731" s="12"/>
      <c r="K731" s="12">
        <f t="shared" si="216"/>
        <v>3344</v>
      </c>
      <c r="L731" s="18"/>
      <c r="M731" s="10">
        <v>5</v>
      </c>
      <c r="N731" s="30" t="s">
        <v>71</v>
      </c>
      <c r="O731" s="31">
        <f t="shared" si="222"/>
        <v>7936</v>
      </c>
      <c r="P731" s="32">
        <f>3756+57</f>
        <v>3813</v>
      </c>
      <c r="Q731" s="32"/>
      <c r="R731" s="32"/>
      <c r="S731" s="32">
        <f t="shared" si="217"/>
        <v>3813</v>
      </c>
      <c r="T731" s="12"/>
      <c r="U731" s="12"/>
      <c r="V731" s="12"/>
      <c r="W731" s="12">
        <f t="shared" si="218"/>
        <v>3813</v>
      </c>
      <c r="Y731" s="10">
        <v>5</v>
      </c>
      <c r="Z731" s="30"/>
      <c r="AA731" s="31"/>
      <c r="AB731" s="32"/>
      <c r="AC731" s="32"/>
      <c r="AD731" s="32"/>
      <c r="AE731" s="32">
        <f t="shared" si="219"/>
        <v>0</v>
      </c>
      <c r="AF731" s="12"/>
      <c r="AG731" s="12"/>
      <c r="AH731" s="12"/>
      <c r="AI731" s="12">
        <f t="shared" si="220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71</v>
      </c>
      <c r="C732" s="88">
        <f t="shared" si="221"/>
        <v>7960</v>
      </c>
      <c r="D732" s="32">
        <f>3130+47.5</f>
        <v>3177.5</v>
      </c>
      <c r="E732" s="32"/>
      <c r="F732" s="32"/>
      <c r="G732" s="32">
        <f t="shared" si="215"/>
        <v>3177.5</v>
      </c>
      <c r="H732" s="12"/>
      <c r="I732" s="12"/>
      <c r="J732" s="12"/>
      <c r="K732" s="12">
        <f t="shared" si="216"/>
        <v>3177.5</v>
      </c>
      <c r="L732" s="18"/>
      <c r="M732" s="10">
        <v>6</v>
      </c>
      <c r="N732" s="30" t="s">
        <v>71</v>
      </c>
      <c r="O732" s="31">
        <f t="shared" si="222"/>
        <v>7937</v>
      </c>
      <c r="P732" s="32">
        <f>25040+1228+11920+832+229</f>
        <v>39249</v>
      </c>
      <c r="Q732" s="32"/>
      <c r="R732" s="32"/>
      <c r="S732" s="32">
        <f t="shared" si="217"/>
        <v>39249</v>
      </c>
      <c r="T732" s="12"/>
      <c r="U732" s="12">
        <f>4329+324+6.75</f>
        <v>4659.75</v>
      </c>
      <c r="V732" s="10"/>
      <c r="W732" s="12">
        <f t="shared" si="218"/>
        <v>43908.75</v>
      </c>
      <c r="Y732" s="10">
        <v>6</v>
      </c>
      <c r="Z732" s="30"/>
      <c r="AA732" s="31"/>
      <c r="AB732" s="32"/>
      <c r="AC732" s="32"/>
      <c r="AD732" s="32"/>
      <c r="AE732" s="32">
        <f t="shared" si="219"/>
        <v>0</v>
      </c>
      <c r="AF732" s="12"/>
      <c r="AG732" s="12"/>
      <c r="AH732" s="10"/>
      <c r="AI732" s="12">
        <f t="shared" si="220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71</v>
      </c>
      <c r="C733" s="88">
        <f t="shared" si="221"/>
        <v>7961</v>
      </c>
      <c r="D733" s="32">
        <f>626+614+1788+38</f>
        <v>3066</v>
      </c>
      <c r="E733" s="32"/>
      <c r="F733" s="32"/>
      <c r="G733" s="32">
        <f t="shared" si="215"/>
        <v>3066</v>
      </c>
      <c r="H733" s="12"/>
      <c r="I733" s="12">
        <v>13.5</v>
      </c>
      <c r="J733" s="12"/>
      <c r="K733" s="12">
        <f t="shared" si="216"/>
        <v>3079.5</v>
      </c>
      <c r="L733" s="18"/>
      <c r="M733" s="10">
        <v>7</v>
      </c>
      <c r="N733" s="30" t="s">
        <v>71</v>
      </c>
      <c r="O733" s="31">
        <f t="shared" si="222"/>
        <v>7938</v>
      </c>
      <c r="P733" s="32">
        <f>112680+1175+11920+1704+1832+650</f>
        <v>129961</v>
      </c>
      <c r="Q733" s="32">
        <v>-1212</v>
      </c>
      <c r="R733" s="32"/>
      <c r="S733" s="32">
        <f t="shared" si="217"/>
        <v>128749</v>
      </c>
      <c r="T733" s="12"/>
      <c r="U733" s="12">
        <v>546</v>
      </c>
      <c r="V733" s="12">
        <f>-168+-210</f>
        <v>-378</v>
      </c>
      <c r="W733" s="12">
        <f t="shared" si="218"/>
        <v>128917</v>
      </c>
      <c r="Y733" s="10">
        <v>7</v>
      </c>
      <c r="Z733" s="30"/>
      <c r="AA733" s="31"/>
      <c r="AB733" s="32"/>
      <c r="AC733" s="32"/>
      <c r="AD733" s="32"/>
      <c r="AE733" s="32">
        <f t="shared" si="219"/>
        <v>0</v>
      </c>
      <c r="AF733" s="12"/>
      <c r="AG733" s="58"/>
      <c r="AH733" s="12"/>
      <c r="AI733" s="12">
        <f t="shared" si="220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71</v>
      </c>
      <c r="C734" s="88">
        <f t="shared" si="221"/>
        <v>7962</v>
      </c>
      <c r="D734" s="32">
        <f>40690+2980</f>
        <v>43670</v>
      </c>
      <c r="E734" s="32"/>
      <c r="F734" s="32"/>
      <c r="G734" s="32">
        <f t="shared" si="215"/>
        <v>43670</v>
      </c>
      <c r="H734" s="12"/>
      <c r="I734" s="12">
        <v>666</v>
      </c>
      <c r="J734" s="12"/>
      <c r="K734" s="12">
        <f t="shared" si="216"/>
        <v>44336</v>
      </c>
      <c r="L734" s="18"/>
      <c r="M734" s="10">
        <v>8</v>
      </c>
      <c r="N734" s="30" t="s">
        <v>71</v>
      </c>
      <c r="O734" s="31">
        <f t="shared" si="222"/>
        <v>7939</v>
      </c>
      <c r="P734" s="32">
        <f>1252</f>
        <v>1252</v>
      </c>
      <c r="Q734" s="32"/>
      <c r="R734" s="32"/>
      <c r="S734" s="32">
        <f t="shared" si="217"/>
        <v>1252</v>
      </c>
      <c r="T734" s="12"/>
      <c r="U734" s="12"/>
      <c r="V734" s="12"/>
      <c r="W734" s="12">
        <f t="shared" si="218"/>
        <v>1252</v>
      </c>
      <c r="Y734" s="10">
        <v>8</v>
      </c>
      <c r="Z734" s="30"/>
      <c r="AA734" s="31"/>
      <c r="AB734" s="32"/>
      <c r="AC734" s="32"/>
      <c r="AE734" s="32">
        <f t="shared" si="219"/>
        <v>0</v>
      </c>
      <c r="AF734" s="12"/>
      <c r="AG734" s="12"/>
      <c r="AH734" s="12"/>
      <c r="AI734" s="12">
        <f t="shared" si="220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71</v>
      </c>
      <c r="C735" s="88">
        <f t="shared" si="221"/>
        <v>7963</v>
      </c>
      <c r="D735" s="32">
        <f>4382+66.5</f>
        <v>4448.5</v>
      </c>
      <c r="E735" s="32"/>
      <c r="F735" s="32"/>
      <c r="G735" s="32">
        <f t="shared" si="215"/>
        <v>4448.5</v>
      </c>
      <c r="H735" s="12"/>
      <c r="I735" s="12">
        <v>9</v>
      </c>
      <c r="J735" s="12"/>
      <c r="K735" s="12">
        <f t="shared" si="216"/>
        <v>4457.5</v>
      </c>
      <c r="L735" s="18"/>
      <c r="M735" s="10">
        <v>9</v>
      </c>
      <c r="N735" s="30" t="s">
        <v>71</v>
      </c>
      <c r="O735" s="31">
        <f t="shared" si="222"/>
        <v>7940</v>
      </c>
      <c r="P735" s="32">
        <f>1175+1175+1175+650</f>
        <v>4175</v>
      </c>
      <c r="Q735" s="32"/>
      <c r="R735" s="32"/>
      <c r="S735" s="32">
        <f t="shared" si="217"/>
        <v>4175</v>
      </c>
      <c r="T735" s="12"/>
      <c r="U735" s="12"/>
      <c r="V735" s="12"/>
      <c r="W735" s="12">
        <f t="shared" si="218"/>
        <v>4175</v>
      </c>
      <c r="Y735" s="10">
        <v>9</v>
      </c>
      <c r="Z735" s="30"/>
      <c r="AA735" s="31"/>
      <c r="AC735" s="32"/>
      <c r="AD735" s="32"/>
      <c r="AE735" s="32">
        <f t="shared" si="219"/>
        <v>0</v>
      </c>
      <c r="AF735" s="12"/>
      <c r="AH735" s="12"/>
      <c r="AI735" s="12">
        <f t="shared" si="220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71</v>
      </c>
      <c r="C736" s="88">
        <f t="shared" si="221"/>
        <v>7964</v>
      </c>
      <c r="D736" s="32">
        <f>31300+229</f>
        <v>31529</v>
      </c>
      <c r="E736" s="32"/>
      <c r="F736" s="32"/>
      <c r="G736" s="32">
        <f t="shared" si="215"/>
        <v>31529</v>
      </c>
      <c r="H736" s="12"/>
      <c r="I736" s="12">
        <v>2220</v>
      </c>
      <c r="J736" s="12"/>
      <c r="K736" s="12">
        <f t="shared" si="216"/>
        <v>33749</v>
      </c>
      <c r="L736" s="18"/>
      <c r="M736" s="10">
        <v>10</v>
      </c>
      <c r="N736" s="30"/>
      <c r="O736" s="11" t="s">
        <v>27</v>
      </c>
      <c r="P736" s="32"/>
      <c r="Q736" s="32"/>
      <c r="R736" s="32"/>
      <c r="S736" s="32">
        <f t="shared" si="217"/>
        <v>0</v>
      </c>
      <c r="T736" s="12"/>
      <c r="U736" s="12"/>
      <c r="V736" s="12"/>
      <c r="W736" s="12">
        <f t="shared" si="218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19"/>
        <v>0</v>
      </c>
      <c r="AF736" s="12"/>
      <c r="AG736" s="12"/>
      <c r="AH736" s="12"/>
      <c r="AI736" s="12">
        <f t="shared" si="220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71</v>
      </c>
      <c r="C737" s="88">
        <f t="shared" si="221"/>
        <v>7965</v>
      </c>
      <c r="D737" s="32">
        <f>3130+47.5</f>
        <v>3177.5</v>
      </c>
      <c r="E737" s="32"/>
      <c r="F737" s="32"/>
      <c r="G737" s="32">
        <f t="shared" si="215"/>
        <v>3177.5</v>
      </c>
      <c r="H737" s="12"/>
      <c r="I737" s="12"/>
      <c r="J737" s="12"/>
      <c r="K737" s="12">
        <f t="shared" si="216"/>
        <v>3177.5</v>
      </c>
      <c r="L737" s="18"/>
      <c r="M737" s="10">
        <v>11</v>
      </c>
      <c r="N737" s="30"/>
      <c r="O737" s="31"/>
      <c r="P737" s="32"/>
      <c r="Q737" s="32"/>
      <c r="R737" s="32"/>
      <c r="S737" s="32">
        <f t="shared" si="217"/>
        <v>0</v>
      </c>
      <c r="T737" s="12"/>
      <c r="U737" s="12"/>
      <c r="V737" s="12"/>
      <c r="W737" s="12">
        <f t="shared" si="218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19"/>
        <v>0</v>
      </c>
      <c r="AF737" s="12"/>
      <c r="AG737" s="12"/>
      <c r="AH737" s="12"/>
      <c r="AI737" s="12">
        <f t="shared" si="220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71</v>
      </c>
      <c r="C738" s="88">
        <f t="shared" si="221"/>
        <v>7966</v>
      </c>
      <c r="D738" s="32">
        <f>2504+38</f>
        <v>2542</v>
      </c>
      <c r="E738" s="32"/>
      <c r="F738" s="32"/>
      <c r="G738" s="32">
        <f t="shared" si="215"/>
        <v>2542</v>
      </c>
      <c r="H738" s="12"/>
      <c r="I738" s="12"/>
      <c r="J738" s="10"/>
      <c r="K738" s="12">
        <f t="shared" si="216"/>
        <v>2542</v>
      </c>
      <c r="L738" s="18"/>
      <c r="M738" s="10">
        <v>12</v>
      </c>
      <c r="N738" s="30"/>
      <c r="O738" s="31"/>
      <c r="P738" s="32"/>
      <c r="Q738" s="32"/>
      <c r="R738" s="32"/>
      <c r="S738" s="32">
        <f t="shared" si="217"/>
        <v>0</v>
      </c>
      <c r="T738" s="12"/>
      <c r="U738" s="12"/>
      <c r="V738" s="12"/>
      <c r="W738" s="12">
        <f t="shared" si="218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19"/>
        <v>0</v>
      </c>
      <c r="AF738" s="12"/>
      <c r="AG738" s="12"/>
      <c r="AH738" s="12"/>
      <c r="AI738" s="12">
        <f t="shared" si="220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71</v>
      </c>
      <c r="C739" s="88">
        <f t="shared" si="221"/>
        <v>7967</v>
      </c>
      <c r="D739" s="32">
        <f>5008+76+650</f>
        <v>5734</v>
      </c>
      <c r="E739" s="32"/>
      <c r="F739" s="32"/>
      <c r="G739" s="32">
        <f t="shared" si="215"/>
        <v>5734</v>
      </c>
      <c r="H739" s="12"/>
      <c r="I739" s="12"/>
      <c r="J739" s="12"/>
      <c r="K739" s="12">
        <f t="shared" si="216"/>
        <v>5734</v>
      </c>
      <c r="L739" s="18"/>
      <c r="M739" s="10">
        <v>13</v>
      </c>
      <c r="N739" s="30"/>
      <c r="O739" s="31"/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19"/>
        <v>0</v>
      </c>
      <c r="AF739" s="12"/>
      <c r="AG739" s="12"/>
      <c r="AH739" s="12"/>
      <c r="AI739" s="12">
        <f t="shared" si="220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71</v>
      </c>
      <c r="C740" s="88">
        <f t="shared" si="221"/>
        <v>7968</v>
      </c>
      <c r="D740" s="32">
        <f>14398+2384+229</f>
        <v>17011</v>
      </c>
      <c r="E740" s="32"/>
      <c r="F740" s="32"/>
      <c r="G740" s="32">
        <f t="shared" si="215"/>
        <v>17011</v>
      </c>
      <c r="H740" s="12"/>
      <c r="I740" s="12"/>
      <c r="J740" s="12"/>
      <c r="K740" s="12">
        <f t="shared" si="216"/>
        <v>17011</v>
      </c>
      <c r="L740" s="18"/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19"/>
        <v>0</v>
      </c>
      <c r="AF740" s="12"/>
      <c r="AG740" s="12"/>
      <c r="AH740" s="12"/>
      <c r="AI740" s="12">
        <f t="shared" si="220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71</v>
      </c>
      <c r="C741" s="88">
        <f t="shared" si="221"/>
        <v>7969</v>
      </c>
      <c r="D741" s="32">
        <f>26292+1788+229+650</f>
        <v>28959</v>
      </c>
      <c r="E741" s="32"/>
      <c r="F741" s="32"/>
      <c r="G741" s="32">
        <f t="shared" si="215"/>
        <v>28959</v>
      </c>
      <c r="H741" s="12"/>
      <c r="I741" s="12">
        <v>27</v>
      </c>
      <c r="J741" s="12"/>
      <c r="K741" s="12">
        <f t="shared" si="216"/>
        <v>28986</v>
      </c>
      <c r="L741" s="18"/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19"/>
        <v>0</v>
      </c>
      <c r="AF741" s="12"/>
      <c r="AG741" s="12"/>
      <c r="AH741" s="12"/>
      <c r="AI741" s="12">
        <f t="shared" si="220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71</v>
      </c>
      <c r="C742" s="88">
        <f t="shared" si="221"/>
        <v>7970</v>
      </c>
      <c r="D742" s="32">
        <f>1252+614+19</f>
        <v>1885</v>
      </c>
      <c r="E742" s="32"/>
      <c r="F742" s="32"/>
      <c r="G742" s="32">
        <f t="shared" si="215"/>
        <v>1885</v>
      </c>
      <c r="H742" s="12"/>
      <c r="I742" s="12">
        <v>3</v>
      </c>
      <c r="J742" s="12"/>
      <c r="K742" s="12">
        <f t="shared" si="216"/>
        <v>1888</v>
      </c>
      <c r="L742" s="18"/>
      <c r="M742" s="10">
        <v>16</v>
      </c>
      <c r="N742" s="30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B742" s="32"/>
      <c r="AC742" s="32"/>
      <c r="AD742" s="32"/>
      <c r="AE742" s="32">
        <f t="shared" si="219"/>
        <v>0</v>
      </c>
      <c r="AF742" s="12"/>
      <c r="AG742" s="12"/>
      <c r="AH742" s="12"/>
      <c r="AI742" s="12">
        <f t="shared" si="220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71</v>
      </c>
      <c r="C743" s="88">
        <f t="shared" si="221"/>
        <v>7971</v>
      </c>
      <c r="D743" s="32">
        <f>18780+502.5+416+229</f>
        <v>19927.5</v>
      </c>
      <c r="E743" s="32"/>
      <c r="F743" s="32"/>
      <c r="G743" s="32">
        <f t="shared" si="215"/>
        <v>19927.5</v>
      </c>
      <c r="H743" s="12"/>
      <c r="I743" s="12">
        <v>135</v>
      </c>
      <c r="J743" s="12"/>
      <c r="K743" s="12">
        <f t="shared" si="216"/>
        <v>20062.5</v>
      </c>
      <c r="L743" s="18"/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19"/>
        <v>0</v>
      </c>
      <c r="AF743" s="12"/>
      <c r="AG743" s="12"/>
      <c r="AH743" s="12"/>
      <c r="AI743" s="12">
        <f t="shared" si="220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11" t="s">
        <v>27</v>
      </c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L744" s="18"/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19"/>
        <v>0</v>
      </c>
      <c r="AF744" s="12"/>
      <c r="AG744" s="12"/>
      <c r="AH744" s="12"/>
      <c r="AI744" s="12">
        <f t="shared" si="220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8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L745" s="18"/>
      <c r="M745" s="10">
        <v>19</v>
      </c>
      <c r="N745" s="30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19"/>
        <v>0</v>
      </c>
      <c r="AF745" s="12"/>
      <c r="AG745" s="12"/>
      <c r="AH745" s="12"/>
      <c r="AI745" s="12">
        <f t="shared" si="220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8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L746" s="18"/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19"/>
        <v>0</v>
      </c>
      <c r="AF746" s="12"/>
      <c r="AG746" s="12"/>
      <c r="AH746" s="12"/>
      <c r="AI746" s="12">
        <f t="shared" si="220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8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L747" s="18"/>
      <c r="M747" s="10">
        <v>21</v>
      </c>
      <c r="N747" s="30"/>
      <c r="O747" s="31"/>
      <c r="P747" s="46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19"/>
        <v>0</v>
      </c>
      <c r="AF747" s="10"/>
      <c r="AG747" s="10"/>
      <c r="AH747" s="10"/>
      <c r="AI747" s="12">
        <f t="shared" si="220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8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L748" s="18"/>
      <c r="M748" s="10">
        <v>22</v>
      </c>
      <c r="N748" s="30"/>
      <c r="O748" s="31"/>
      <c r="P748" s="45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19"/>
        <v>0</v>
      </c>
      <c r="AF748" s="10"/>
      <c r="AG748" s="10"/>
      <c r="AH748" s="10"/>
      <c r="AI748" s="12">
        <f t="shared" si="220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8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L749" s="18"/>
      <c r="M749" s="10">
        <v>23</v>
      </c>
      <c r="N749" s="30"/>
      <c r="O749" s="31"/>
      <c r="P749" s="47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E749" s="32">
        <f t="shared" si="219"/>
        <v>0</v>
      </c>
      <c r="AF749" s="10"/>
      <c r="AG749" s="10"/>
      <c r="AH749" s="10"/>
      <c r="AI749" s="12">
        <f t="shared" si="220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L750" s="18"/>
      <c r="M750" s="10">
        <v>24</v>
      </c>
      <c r="N750" s="30"/>
      <c r="O750" s="31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19"/>
        <v>0</v>
      </c>
      <c r="AF750" s="10"/>
      <c r="AG750" s="10"/>
      <c r="AH750" s="10"/>
      <c r="AI750" s="12">
        <f t="shared" si="220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L751" s="18"/>
      <c r="M751" s="10">
        <v>25</v>
      </c>
      <c r="N751" s="30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19"/>
        <v>0</v>
      </c>
      <c r="AF751" s="10"/>
      <c r="AG751" s="10"/>
      <c r="AH751" s="10"/>
      <c r="AI751" s="12">
        <f t="shared" si="220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11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L752" s="18"/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B752" s="47"/>
      <c r="AC752" s="31"/>
      <c r="AD752" s="31"/>
      <c r="AE752" s="32">
        <f t="shared" si="219"/>
        <v>0</v>
      </c>
      <c r="AF752" s="10"/>
      <c r="AG752" s="10"/>
      <c r="AH752" s="10"/>
      <c r="AI752" s="12">
        <f t="shared" si="220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57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L753" s="18"/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19"/>
        <v>0</v>
      </c>
      <c r="AF753" s="10"/>
      <c r="AG753" s="10"/>
      <c r="AH753" s="10"/>
      <c r="AI753" s="12">
        <f t="shared" si="220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L754" s="18"/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19"/>
        <v>0</v>
      </c>
      <c r="AF754" s="10"/>
      <c r="AG754" s="10"/>
      <c r="AH754" s="10"/>
      <c r="AI754" s="12">
        <f t="shared" si="220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L755" s="18"/>
      <c r="M755" s="10">
        <v>29</v>
      </c>
      <c r="N755" s="30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19"/>
        <v>0</v>
      </c>
      <c r="AF755" s="10"/>
      <c r="AG755" s="10"/>
      <c r="AH755" s="10"/>
      <c r="AI755" s="12">
        <f t="shared" si="220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57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L756" s="18"/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B756" s="47"/>
      <c r="AC756" s="31"/>
      <c r="AD756" s="31"/>
      <c r="AE756" s="32">
        <f t="shared" si="219"/>
        <v>0</v>
      </c>
      <c r="AF756" s="10"/>
      <c r="AG756" s="10"/>
      <c r="AH756" s="10"/>
      <c r="AI756" s="12">
        <f t="shared" si="220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57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L757" s="18"/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B757" s="47"/>
      <c r="AC757" s="31"/>
      <c r="AD757" s="31"/>
      <c r="AE757" s="32">
        <f t="shared" si="219"/>
        <v>0</v>
      </c>
      <c r="AF757" s="10"/>
      <c r="AG757" s="10"/>
      <c r="AH757" s="10"/>
      <c r="AI757" s="12">
        <f t="shared" si="220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31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L758" s="18"/>
      <c r="M758" s="10">
        <v>32</v>
      </c>
      <c r="N758" s="30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19"/>
        <v>0</v>
      </c>
      <c r="AF758" s="10"/>
      <c r="AG758" s="10"/>
      <c r="AH758" s="10"/>
      <c r="AI758" s="12">
        <f t="shared" si="220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57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L759" s="18"/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19"/>
        <v>0</v>
      </c>
      <c r="AF759" s="10"/>
      <c r="AG759" s="10"/>
      <c r="AH759" s="10"/>
      <c r="AI759" s="12">
        <f t="shared" si="220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57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L760" s="18"/>
      <c r="M760" s="10">
        <v>34</v>
      </c>
      <c r="N760" s="30"/>
      <c r="O760" s="31"/>
      <c r="P760" s="47"/>
      <c r="Q760" s="31"/>
      <c r="R760" s="31"/>
      <c r="S760" s="32">
        <f t="shared" ref="S760:S765" si="224">SUM(P760:Q760)</f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B760" s="47"/>
      <c r="AC760" s="31"/>
      <c r="AD760" s="31"/>
      <c r="AE760" s="32">
        <f t="shared" si="219"/>
        <v>0</v>
      </c>
      <c r="AF760" s="10"/>
      <c r="AG760" s="10"/>
      <c r="AH760" s="10"/>
      <c r="AI760" s="12">
        <f t="shared" ref="AI760:AI768" si="225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L761" s="18"/>
      <c r="M761" s="10">
        <v>35</v>
      </c>
      <c r="N761" s="30"/>
      <c r="O761" s="31"/>
      <c r="P761" s="47"/>
      <c r="Q761" s="31"/>
      <c r="R761" s="31"/>
      <c r="S761" s="32">
        <f t="shared" si="224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19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L762" s="18"/>
      <c r="M762" s="10">
        <v>36</v>
      </c>
      <c r="N762" s="30"/>
      <c r="O762" s="31"/>
      <c r="P762" s="47"/>
      <c r="Q762" s="31"/>
      <c r="R762" s="31"/>
      <c r="S762" s="32">
        <f t="shared" si="224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19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L763" s="18"/>
      <c r="M763" s="10">
        <v>37</v>
      </c>
      <c r="N763" s="30"/>
      <c r="P763" s="47"/>
      <c r="Q763" s="31"/>
      <c r="R763" s="31"/>
      <c r="S763" s="32">
        <f t="shared" si="224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19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L764" s="18"/>
      <c r="M764" s="10">
        <v>38</v>
      </c>
      <c r="N764" s="30"/>
      <c r="O764" s="31"/>
      <c r="P764" s="47"/>
      <c r="Q764" s="31"/>
      <c r="R764" s="31"/>
      <c r="S764" s="32">
        <f t="shared" si="224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19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L765" s="18"/>
      <c r="M765" s="10">
        <v>39</v>
      </c>
      <c r="N765" s="30"/>
      <c r="O765" s="31"/>
      <c r="P765" s="47"/>
      <c r="Q765" s="31"/>
      <c r="R765" s="31"/>
      <c r="S765" s="32">
        <f t="shared" si="224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19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L766" s="18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L767" s="18"/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L768" s="18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L769" s="18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209954.5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209954.5</v>
      </c>
      <c r="H770" s="4"/>
      <c r="I770" s="39">
        <f>SUM(I727:I769)</f>
        <v>3079.5</v>
      </c>
      <c r="J770" s="39">
        <f>SUM(J727:J769)</f>
        <v>0</v>
      </c>
      <c r="K770" s="40">
        <f>SUM(K727:K769)</f>
        <v>213034</v>
      </c>
      <c r="L770" s="18"/>
      <c r="N770" s="57"/>
      <c r="O770" s="57"/>
      <c r="P770" s="38">
        <f>SUM(P727:P769)</f>
        <v>291741.5</v>
      </c>
      <c r="Q770" s="38">
        <f>SUM(Q727:Q751)</f>
        <v>-1866</v>
      </c>
      <c r="R770" s="38">
        <f>SUM(R727:R751)</f>
        <v>0</v>
      </c>
      <c r="S770" s="38">
        <f>SUM(S727:S769)</f>
        <v>289875.5</v>
      </c>
      <c r="T770" s="4"/>
      <c r="U770" s="41">
        <f>SUM(U727:U769)</f>
        <v>10424.25</v>
      </c>
      <c r="V770" s="41">
        <f>SUM(V727:V751)</f>
        <v>-378</v>
      </c>
      <c r="W770" s="42">
        <f>SUM(W727:W769)</f>
        <v>299921.75</v>
      </c>
      <c r="Z770" s="57"/>
      <c r="AA770" s="57"/>
      <c r="AB770" s="38">
        <f>SUM(AB727:AB769)</f>
        <v>462617</v>
      </c>
      <c r="AC770" s="38">
        <f>SUM(AC727:AC751)</f>
        <v>-4086</v>
      </c>
      <c r="AD770" s="38">
        <f>SUM(AD727:AD751)</f>
        <v>0</v>
      </c>
      <c r="AE770" s="38">
        <f>SUM(AE727:AE769)</f>
        <v>458531</v>
      </c>
      <c r="AF770" s="4"/>
      <c r="AG770" s="41">
        <f>SUM(AG727:AG769)</f>
        <v>8190</v>
      </c>
      <c r="AH770" s="41">
        <f>SUM(AH727:AH751)</f>
        <v>-240</v>
      </c>
      <c r="AI770" s="42">
        <f>SUM(AI727:AI769)</f>
        <v>466481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L772" s="18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L773" s="18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L774" s="18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L775" s="18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L776" s="18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42</v>
      </c>
      <c r="B777" s="57"/>
      <c r="C777" s="57"/>
      <c r="D777" s="57"/>
      <c r="E777" s="57"/>
      <c r="G777" s="57"/>
      <c r="I777" s="57" t="s">
        <v>15</v>
      </c>
      <c r="J777" s="19">
        <v>1</v>
      </c>
      <c r="L777" s="18"/>
      <c r="M777" t="s">
        <v>42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42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73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L778" s="18"/>
      <c r="M778" s="21" t="s">
        <v>73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35</v>
      </c>
      <c r="W778" s="24"/>
      <c r="Y778" s="21" t="s">
        <v>73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L779" s="18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5" t="s">
        <v>17</v>
      </c>
      <c r="E780" s="125"/>
      <c r="F780" s="106"/>
      <c r="G780" s="27"/>
      <c r="I780" s="123" t="s">
        <v>18</v>
      </c>
      <c r="J780" s="124"/>
      <c r="K780" s="121" t="s">
        <v>19</v>
      </c>
      <c r="L780" s="18"/>
      <c r="N780" s="25"/>
      <c r="O780" s="26"/>
      <c r="P780" s="125" t="s">
        <v>17</v>
      </c>
      <c r="Q780" s="125"/>
      <c r="R780" s="106"/>
      <c r="S780" s="27"/>
      <c r="U780" s="123" t="s">
        <v>18</v>
      </c>
      <c r="V780" s="124"/>
      <c r="W780" s="121" t="s">
        <v>19</v>
      </c>
      <c r="Z780" s="25"/>
      <c r="AA780" s="26"/>
      <c r="AB780" s="125" t="s">
        <v>17</v>
      </c>
      <c r="AC780" s="125"/>
      <c r="AD780" s="106"/>
      <c r="AE780" s="27"/>
      <c r="AG780" s="123" t="s">
        <v>18</v>
      </c>
      <c r="AH780" s="124"/>
      <c r="AI780" s="121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2"/>
      <c r="L781" s="18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2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74</v>
      </c>
      <c r="C782" s="88">
        <v>7972</v>
      </c>
      <c r="D782" s="32">
        <f>61974+1842+1826+2980+1704+2010+1664+1374+1000</f>
        <v>76374</v>
      </c>
      <c r="E782" s="32"/>
      <c r="F782" s="32"/>
      <c r="G782" s="32">
        <f t="shared" ref="G782:G815" si="231">SUM(D782:E782)</f>
        <v>76374</v>
      </c>
      <c r="H782" s="12"/>
      <c r="I782" s="12">
        <v>135</v>
      </c>
      <c r="J782" s="12"/>
      <c r="K782" s="12">
        <f t="shared" ref="K782:K815" si="232">SUM(G782:J782)</f>
        <v>76509</v>
      </c>
      <c r="L782" s="18"/>
      <c r="M782" s="10">
        <v>1</v>
      </c>
      <c r="N782" s="30" t="s">
        <v>74</v>
      </c>
      <c r="O782" s="31">
        <v>7941</v>
      </c>
      <c r="P782" s="32">
        <f>338040+64368+1102+6183+1300</f>
        <v>410993</v>
      </c>
      <c r="Q782" s="32">
        <v>-3894</v>
      </c>
      <c r="R782" s="32"/>
      <c r="S782" s="32">
        <f>SUM(P782:Q782)</f>
        <v>407099</v>
      </c>
      <c r="T782" s="12"/>
      <c r="U782" s="12">
        <f>24642+1872</f>
        <v>26514</v>
      </c>
      <c r="V782" s="12">
        <f>-1428+-882</f>
        <v>-2310</v>
      </c>
      <c r="W782" s="12">
        <f>SUM(S782:V782)</f>
        <v>431303</v>
      </c>
      <c r="Y782" s="10">
        <v>1</v>
      </c>
      <c r="Z782" s="30" t="s">
        <v>74</v>
      </c>
      <c r="AA782" s="31">
        <v>7866</v>
      </c>
      <c r="AB782" s="32">
        <f>626*150+596*30+1005+832+1374+650</f>
        <v>115641</v>
      </c>
      <c r="AC782" s="32">
        <v>-1092</v>
      </c>
      <c r="AD782" s="32"/>
      <c r="AE782" s="32">
        <f>SUM(AB782:AC782)</f>
        <v>114549</v>
      </c>
      <c r="AF782" s="12"/>
      <c r="AG782" s="12">
        <f>63*111</f>
        <v>6993</v>
      </c>
      <c r="AH782" s="12"/>
      <c r="AI782" s="12">
        <f>SUM(AE782:AH782)</f>
        <v>121542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74</v>
      </c>
      <c r="C783" s="88">
        <f>C782+1</f>
        <v>7973</v>
      </c>
      <c r="D783" s="32">
        <f>4382+66.5</f>
        <v>4448.5</v>
      </c>
      <c r="E783" s="32"/>
      <c r="F783" s="32"/>
      <c r="G783" s="32">
        <f t="shared" si="231"/>
        <v>4448.5</v>
      </c>
      <c r="H783" s="12"/>
      <c r="I783" s="12"/>
      <c r="J783" s="12"/>
      <c r="K783" s="12">
        <f t="shared" si="232"/>
        <v>4448.5</v>
      </c>
      <c r="L783" s="18"/>
      <c r="M783" s="10">
        <v>2</v>
      </c>
      <c r="N783" s="30" t="s">
        <v>74</v>
      </c>
      <c r="O783" s="31">
        <f>O782+1</f>
        <v>7942</v>
      </c>
      <c r="P783" s="32">
        <f>1878</f>
        <v>1878</v>
      </c>
      <c r="Q783" s="32"/>
      <c r="R783" s="32"/>
      <c r="S783" s="32">
        <f t="shared" ref="S783:S814" si="233">SUM(P783:Q783)</f>
        <v>1878</v>
      </c>
      <c r="T783" s="12"/>
      <c r="U783" s="12">
        <v>54</v>
      </c>
      <c r="V783" s="12">
        <f>-84</f>
        <v>-84</v>
      </c>
      <c r="W783" s="12">
        <f t="shared" ref="W783:W823" si="234">SUM(S783:V783)</f>
        <v>1848</v>
      </c>
      <c r="Y783" s="10">
        <v>2</v>
      </c>
      <c r="Z783" s="30" t="s">
        <v>74</v>
      </c>
      <c r="AA783" s="31">
        <f>AA782+1</f>
        <v>7867</v>
      </c>
      <c r="AB783" s="32">
        <f>17430</f>
        <v>17430</v>
      </c>
      <c r="AC783" s="32"/>
      <c r="AD783" s="32"/>
      <c r="AE783" s="32">
        <f t="shared" ref="AE783:AE820" si="235">SUM(AB783:AC783)</f>
        <v>17430</v>
      </c>
      <c r="AF783" s="12"/>
      <c r="AG783" s="12"/>
      <c r="AH783" s="12"/>
      <c r="AI783" s="12">
        <f t="shared" ref="AI783:AI814" si="236">SUM(AE783:AH783)</f>
        <v>17430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74</v>
      </c>
      <c r="C784" s="88">
        <f t="shared" ref="C784:C789" si="237">C783+1</f>
        <v>7974</v>
      </c>
      <c r="D784" s="33">
        <f>21910+1842+2980</f>
        <v>26732</v>
      </c>
      <c r="E784" s="33"/>
      <c r="F784" s="33"/>
      <c r="G784" s="33">
        <f t="shared" si="231"/>
        <v>26732</v>
      </c>
      <c r="H784" s="34"/>
      <c r="I784" s="34"/>
      <c r="J784" s="34"/>
      <c r="K784" s="34">
        <f t="shared" si="232"/>
        <v>26732</v>
      </c>
      <c r="L784" s="18"/>
      <c r="M784" s="10">
        <v>3</v>
      </c>
      <c r="N784" s="30"/>
      <c r="O784" s="11" t="s">
        <v>27</v>
      </c>
      <c r="P784" s="32"/>
      <c r="Q784" s="32"/>
      <c r="R784" s="32"/>
      <c r="S784" s="32">
        <f t="shared" si="233"/>
        <v>0</v>
      </c>
      <c r="T784" s="12"/>
      <c r="U784" s="12"/>
      <c r="V784" s="12"/>
      <c r="W784" s="12">
        <f t="shared" si="234"/>
        <v>0</v>
      </c>
      <c r="Y784" s="10">
        <v>3</v>
      </c>
      <c r="Z784" s="30" t="s">
        <v>74</v>
      </c>
      <c r="AA784" s="31">
        <f t="shared" ref="AA784:AA791" si="238">AA783+1</f>
        <v>7868</v>
      </c>
      <c r="AB784" s="33">
        <f>10642+3070+596*5</f>
        <v>16692</v>
      </c>
      <c r="AC784" s="33"/>
      <c r="AD784" s="32"/>
      <c r="AE784" s="32">
        <f t="shared" si="235"/>
        <v>16692</v>
      </c>
      <c r="AF784" s="12"/>
      <c r="AG784" s="12"/>
      <c r="AH784" s="12">
        <f>-55*111</f>
        <v>-6105</v>
      </c>
      <c r="AI784" s="12">
        <f t="shared" si="236"/>
        <v>10587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74</v>
      </c>
      <c r="C785" s="88">
        <f t="shared" si="237"/>
        <v>7975</v>
      </c>
      <c r="D785" s="32">
        <f>9390+142.5</f>
        <v>9532.5</v>
      </c>
      <c r="E785" s="32"/>
      <c r="F785" s="32"/>
      <c r="G785" s="32">
        <f t="shared" si="231"/>
        <v>9532.5</v>
      </c>
      <c r="H785" s="12"/>
      <c r="I785" s="12"/>
      <c r="J785" s="12">
        <v>-222</v>
      </c>
      <c r="K785" s="12">
        <f t="shared" si="232"/>
        <v>9310.5</v>
      </c>
      <c r="L785" s="18"/>
      <c r="M785" s="10">
        <v>4</v>
      </c>
      <c r="N785" s="30"/>
      <c r="O785" s="31"/>
      <c r="P785" s="32"/>
      <c r="Q785" s="32"/>
      <c r="R785" s="32"/>
      <c r="S785" s="32">
        <f t="shared" si="233"/>
        <v>0</v>
      </c>
      <c r="T785" s="12"/>
      <c r="U785" s="12"/>
      <c r="V785" s="12"/>
      <c r="W785" s="12">
        <f t="shared" si="234"/>
        <v>0</v>
      </c>
      <c r="Y785" s="10">
        <v>4</v>
      </c>
      <c r="Z785" s="30" t="s">
        <v>74</v>
      </c>
      <c r="AA785" s="31">
        <f t="shared" si="238"/>
        <v>7869</v>
      </c>
      <c r="AB785" s="32">
        <f>3070+832</f>
        <v>3902</v>
      </c>
      <c r="AC785" s="32"/>
      <c r="AD785" s="32"/>
      <c r="AE785" s="32">
        <f t="shared" si="235"/>
        <v>3902</v>
      </c>
      <c r="AF785" s="12"/>
      <c r="AH785" s="12"/>
      <c r="AI785" s="12">
        <f t="shared" si="236"/>
        <v>3902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74</v>
      </c>
      <c r="C786" s="88">
        <f t="shared" si="237"/>
        <v>7976</v>
      </c>
      <c r="D786" s="32">
        <f>10642+2980+832+1300</f>
        <v>15754</v>
      </c>
      <c r="E786" s="32"/>
      <c r="F786" s="32"/>
      <c r="G786" s="32">
        <f t="shared" si="231"/>
        <v>15754</v>
      </c>
      <c r="H786" s="12"/>
      <c r="I786" s="12">
        <f>19.5+162</f>
        <v>181.5</v>
      </c>
      <c r="J786" s="12"/>
      <c r="K786" s="12">
        <f t="shared" si="232"/>
        <v>15935.5</v>
      </c>
      <c r="L786" s="18"/>
      <c r="M786" s="10">
        <v>5</v>
      </c>
      <c r="N786" s="30"/>
      <c r="O786" s="31"/>
      <c r="P786" s="32"/>
      <c r="Q786" s="32"/>
      <c r="R786" s="32"/>
      <c r="S786" s="32">
        <f t="shared" si="233"/>
        <v>0</v>
      </c>
      <c r="T786" s="12"/>
      <c r="U786" s="12"/>
      <c r="V786" s="12"/>
      <c r="W786" s="12">
        <f t="shared" si="234"/>
        <v>0</v>
      </c>
      <c r="Y786" s="10">
        <v>5</v>
      </c>
      <c r="Z786" s="30" t="s">
        <v>74</v>
      </c>
      <c r="AA786" s="31">
        <f t="shared" si="238"/>
        <v>7870</v>
      </c>
      <c r="AB786" s="32">
        <f>375600+49120+13480+59600+17040+2894+4160+2500+5000</f>
        <v>529394</v>
      </c>
      <c r="AC786" s="32"/>
      <c r="AD786" s="32"/>
      <c r="AE786" s="32">
        <f t="shared" si="235"/>
        <v>529394</v>
      </c>
      <c r="AF786" s="12"/>
      <c r="AG786" s="12">
        <v>59643</v>
      </c>
      <c r="AH786" s="12"/>
      <c r="AI786" s="12">
        <f t="shared" si="236"/>
        <v>589037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74</v>
      </c>
      <c r="C787" s="88">
        <f t="shared" si="237"/>
        <v>7977</v>
      </c>
      <c r="D787" s="32">
        <f>626*9+614+76</f>
        <v>6324</v>
      </c>
      <c r="E787" s="32"/>
      <c r="F787" s="32"/>
      <c r="G787" s="32">
        <f t="shared" si="231"/>
        <v>6324</v>
      </c>
      <c r="H787" s="12"/>
      <c r="I787" s="12">
        <v>13.5</v>
      </c>
      <c r="J787" s="12"/>
      <c r="K787" s="12">
        <f t="shared" si="232"/>
        <v>6337.5</v>
      </c>
      <c r="L787" s="18"/>
      <c r="M787" s="10">
        <v>6</v>
      </c>
      <c r="N787" s="30"/>
      <c r="O787" s="31"/>
      <c r="P787" s="32"/>
      <c r="Q787" s="32"/>
      <c r="R787" s="32"/>
      <c r="S787" s="32">
        <f t="shared" si="233"/>
        <v>0</v>
      </c>
      <c r="T787" s="12"/>
      <c r="U787" s="12"/>
      <c r="V787" s="10"/>
      <c r="W787" s="12">
        <f t="shared" si="234"/>
        <v>0</v>
      </c>
      <c r="Y787" s="10">
        <v>6</v>
      </c>
      <c r="Z787" s="30" t="s">
        <v>74</v>
      </c>
      <c r="AA787" s="31">
        <f t="shared" si="238"/>
        <v>7871</v>
      </c>
      <c r="AB787" s="32">
        <f>1728+1447+1020+2204</f>
        <v>6399</v>
      </c>
      <c r="AC787" s="32"/>
      <c r="AD787" s="32"/>
      <c r="AE787" s="32">
        <f t="shared" si="235"/>
        <v>6399</v>
      </c>
      <c r="AF787" s="12"/>
      <c r="AG787" s="12"/>
      <c r="AH787" s="10"/>
      <c r="AI787" s="12">
        <f t="shared" si="236"/>
        <v>6399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74</v>
      </c>
      <c r="C788" s="88">
        <f t="shared" si="237"/>
        <v>7978</v>
      </c>
      <c r="D788" s="32">
        <f>15650+1788</f>
        <v>17438</v>
      </c>
      <c r="E788" s="32"/>
      <c r="F788" s="32"/>
      <c r="G788" s="32">
        <f t="shared" si="231"/>
        <v>17438</v>
      </c>
      <c r="H788" s="12"/>
      <c r="I788" s="12"/>
      <c r="J788" s="12">
        <v>-333</v>
      </c>
      <c r="K788" s="12">
        <f t="shared" si="232"/>
        <v>17105</v>
      </c>
      <c r="L788" s="18"/>
      <c r="M788" s="10">
        <v>7</v>
      </c>
      <c r="N788" s="30"/>
      <c r="O788" s="31"/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 t="s">
        <v>74</v>
      </c>
      <c r="AA788" s="31">
        <f t="shared" si="238"/>
        <v>7872</v>
      </c>
      <c r="AB788" s="32">
        <f>11750+1582+2204+1582+2350+11750+1102+3250+6500+1582</f>
        <v>43652</v>
      </c>
      <c r="AC788" s="32"/>
      <c r="AD788" s="32"/>
      <c r="AE788" s="32">
        <f t="shared" si="235"/>
        <v>43652</v>
      </c>
      <c r="AF788" s="12"/>
      <c r="AG788" s="58"/>
      <c r="AH788" s="12"/>
      <c r="AI788" s="12">
        <f t="shared" si="236"/>
        <v>43652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74</v>
      </c>
      <c r="C789" s="88">
        <f t="shared" si="237"/>
        <v>7979</v>
      </c>
      <c r="D789" s="32">
        <f>852</f>
        <v>852</v>
      </c>
      <c r="E789" s="32"/>
      <c r="F789" s="32"/>
      <c r="G789" s="32">
        <f t="shared" si="231"/>
        <v>852</v>
      </c>
      <c r="H789" s="12"/>
      <c r="I789" s="12"/>
      <c r="J789" s="12"/>
      <c r="K789" s="12">
        <f t="shared" si="232"/>
        <v>852</v>
      </c>
      <c r="L789" s="18"/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 t="s">
        <v>74</v>
      </c>
      <c r="AA789" s="31">
        <f t="shared" si="238"/>
        <v>7873</v>
      </c>
      <c r="AB789" s="32">
        <f>125200</f>
        <v>125200</v>
      </c>
      <c r="AC789" s="32"/>
      <c r="AE789" s="32">
        <f t="shared" si="235"/>
        <v>125200</v>
      </c>
      <c r="AF789" s="12"/>
      <c r="AG789" s="12">
        <f>22200</f>
        <v>22200</v>
      </c>
      <c r="AH789" s="12"/>
      <c r="AI789" s="12">
        <f t="shared" si="236"/>
        <v>147400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11" t="s">
        <v>27</v>
      </c>
      <c r="D790" s="32"/>
      <c r="E790" s="32"/>
      <c r="F790" s="32"/>
      <c r="G790" s="32">
        <f t="shared" si="231"/>
        <v>0</v>
      </c>
      <c r="H790" s="12"/>
      <c r="I790" s="12"/>
      <c r="J790" s="12"/>
      <c r="K790" s="12">
        <f t="shared" si="232"/>
        <v>0</v>
      </c>
      <c r="L790" s="18"/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 t="s">
        <v>74</v>
      </c>
      <c r="AA790" s="31">
        <f t="shared" si="238"/>
        <v>7874</v>
      </c>
      <c r="AB790">
        <f>18780</f>
        <v>18780</v>
      </c>
      <c r="AC790" s="32"/>
      <c r="AD790" s="32"/>
      <c r="AE790" s="32">
        <f t="shared" si="235"/>
        <v>18780</v>
      </c>
      <c r="AF790" s="12"/>
      <c r="AH790" s="12"/>
      <c r="AI790" s="12">
        <f t="shared" si="236"/>
        <v>18780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88"/>
      <c r="D791" s="32"/>
      <c r="E791" s="32"/>
      <c r="F791" s="32"/>
      <c r="G791" s="32">
        <f t="shared" si="231"/>
        <v>0</v>
      </c>
      <c r="H791" s="12"/>
      <c r="I791" s="12"/>
      <c r="J791" s="12"/>
      <c r="K791" s="12">
        <f t="shared" si="232"/>
        <v>0</v>
      </c>
      <c r="L791" s="18"/>
      <c r="M791" s="10">
        <v>10</v>
      </c>
      <c r="N791" s="30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 t="s">
        <v>74</v>
      </c>
      <c r="AA791" s="31">
        <f t="shared" si="238"/>
        <v>7875</v>
      </c>
      <c r="AB791" s="32">
        <f>16276</f>
        <v>16276</v>
      </c>
      <c r="AC791" s="32"/>
      <c r="AD791" s="32"/>
      <c r="AE791" s="32">
        <f t="shared" si="235"/>
        <v>16276</v>
      </c>
      <c r="AF791" s="12"/>
      <c r="AG791" s="12"/>
      <c r="AH791" s="12">
        <v>-8400</v>
      </c>
      <c r="AI791" s="12">
        <f t="shared" si="236"/>
        <v>7876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88"/>
      <c r="D792" s="32"/>
      <c r="E792" s="32"/>
      <c r="F792" s="32"/>
      <c r="G792" s="32">
        <f t="shared" si="231"/>
        <v>0</v>
      </c>
      <c r="H792" s="12"/>
      <c r="I792" s="12"/>
      <c r="J792" s="12"/>
      <c r="K792" s="12">
        <f t="shared" si="232"/>
        <v>0</v>
      </c>
      <c r="L792" s="18"/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88"/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L793" s="18"/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8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L794" s="18"/>
      <c r="M794" s="10">
        <v>13</v>
      </c>
      <c r="N794" s="30"/>
      <c r="O794" s="31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8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L795" s="18"/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8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L796" s="18"/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88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L797" s="18"/>
      <c r="M797" s="10">
        <v>16</v>
      </c>
      <c r="N797" s="30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8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L798" s="18"/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L799" s="18"/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8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L800" s="18"/>
      <c r="M800" s="10">
        <v>19</v>
      </c>
      <c r="N800" s="30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8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L801" s="18"/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88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L802" s="18"/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88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L803" s="18"/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8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L804" s="18"/>
      <c r="M804" s="10">
        <v>23</v>
      </c>
      <c r="N804" s="30"/>
      <c r="O804" s="31"/>
      <c r="P804" s="47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57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L805" s="18"/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L806" s="18"/>
      <c r="M806" s="10">
        <v>25</v>
      </c>
      <c r="N806" s="30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1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L807" s="18"/>
      <c r="M807" s="10">
        <v>26</v>
      </c>
      <c r="N807" s="30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57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L808" s="18"/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L809" s="18"/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L810" s="18"/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L811" s="18"/>
      <c r="M811" s="10">
        <v>30</v>
      </c>
      <c r="N811" s="30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57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L812" s="18"/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31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L813" s="18"/>
      <c r="M813" s="10">
        <v>32</v>
      </c>
      <c r="N813" s="30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57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L814" s="18"/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57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L815" s="18"/>
      <c r="M815" s="10">
        <v>34</v>
      </c>
      <c r="N815" s="30"/>
      <c r="O815" s="31"/>
      <c r="P815" s="47"/>
      <c r="Q815" s="31"/>
      <c r="R815" s="31"/>
      <c r="S815" s="32">
        <f t="shared" ref="S815:S820" si="239">SUM(P815:Q815)</f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B815" s="47"/>
      <c r="AC815" s="31"/>
      <c r="AD815" s="31"/>
      <c r="AE815" s="32">
        <f t="shared" si="235"/>
        <v>0</v>
      </c>
      <c r="AF815" s="10"/>
      <c r="AG815" s="10"/>
      <c r="AH815" s="10"/>
      <c r="AI815" s="12">
        <f t="shared" ref="AI815:AI823" si="240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L816" s="18"/>
      <c r="M816" s="10">
        <v>35</v>
      </c>
      <c r="N816" s="30"/>
      <c r="O816" s="31"/>
      <c r="P816" s="47"/>
      <c r="Q816" s="31"/>
      <c r="R816" s="31"/>
      <c r="S816" s="32">
        <f t="shared" si="239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5"/>
        <v>0</v>
      </c>
      <c r="AF816" s="10"/>
      <c r="AG816" s="10"/>
      <c r="AH816" s="10"/>
      <c r="AI816" s="12">
        <f t="shared" si="24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L817" s="18"/>
      <c r="M817" s="10">
        <v>36</v>
      </c>
      <c r="N817" s="30"/>
      <c r="O817" s="31"/>
      <c r="P817" s="47"/>
      <c r="Q817" s="31"/>
      <c r="R817" s="31"/>
      <c r="S817" s="32">
        <f t="shared" si="239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5"/>
        <v>0</v>
      </c>
      <c r="AF817" s="10"/>
      <c r="AG817" s="10"/>
      <c r="AH817" s="10"/>
      <c r="AI817" s="12">
        <f t="shared" si="24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L818" s="18"/>
      <c r="M818" s="10">
        <v>37</v>
      </c>
      <c r="N818" s="30"/>
      <c r="P818" s="47"/>
      <c r="Q818" s="31"/>
      <c r="R818" s="31"/>
      <c r="S818" s="32">
        <f t="shared" si="239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5"/>
        <v>0</v>
      </c>
      <c r="AF818" s="10"/>
      <c r="AG818" s="10"/>
      <c r="AH818" s="10"/>
      <c r="AI818" s="12">
        <f t="shared" si="24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L819" s="18"/>
      <c r="M819" s="10">
        <v>38</v>
      </c>
      <c r="N819" s="30"/>
      <c r="O819" s="31"/>
      <c r="P819" s="47"/>
      <c r="Q819" s="31"/>
      <c r="R819" s="31"/>
      <c r="S819" s="32">
        <f t="shared" si="239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5"/>
        <v>0</v>
      </c>
      <c r="AF819" s="10"/>
      <c r="AG819" s="10"/>
      <c r="AH819" s="10"/>
      <c r="AI819" s="12">
        <f t="shared" si="24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L820" s="18"/>
      <c r="M820" s="10">
        <v>39</v>
      </c>
      <c r="N820" s="30"/>
      <c r="O820" s="31"/>
      <c r="P820" s="47"/>
      <c r="Q820" s="31"/>
      <c r="R820" s="31"/>
      <c r="S820" s="32">
        <f t="shared" si="239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5"/>
        <v>0</v>
      </c>
      <c r="AF820" s="10"/>
      <c r="AG820" s="10"/>
      <c r="AH820" s="10"/>
      <c r="AI820" s="12">
        <f t="shared" si="24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L821" s="18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L822" s="18"/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4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L823" s="18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L824" s="18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157455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157455</v>
      </c>
      <c r="H825" s="4"/>
      <c r="I825" s="39">
        <f>SUM(I782:I824)</f>
        <v>330</v>
      </c>
      <c r="J825" s="39">
        <f>SUM(J782:J824)</f>
        <v>-555</v>
      </c>
      <c r="K825" s="40">
        <f>SUM(K782:K824)</f>
        <v>157230</v>
      </c>
      <c r="L825" s="18"/>
      <c r="N825" s="57"/>
      <c r="O825" s="57"/>
      <c r="P825" s="38">
        <f>SUM(P782:P824)</f>
        <v>412871</v>
      </c>
      <c r="Q825" s="38">
        <f>SUM(Q782:Q806)</f>
        <v>-3894</v>
      </c>
      <c r="R825" s="38">
        <f>SUM(R782:R806)</f>
        <v>0</v>
      </c>
      <c r="S825" s="38">
        <f>SUM(S782:S824)</f>
        <v>408977</v>
      </c>
      <c r="T825" s="4"/>
      <c r="U825" s="41">
        <f>SUM(U782:U824)</f>
        <v>26568</v>
      </c>
      <c r="V825" s="41">
        <f>SUM(V782:V806)</f>
        <v>-2394</v>
      </c>
      <c r="W825" s="42">
        <f>SUM(W782:W824)</f>
        <v>433151</v>
      </c>
      <c r="Z825" s="57"/>
      <c r="AA825" s="57"/>
      <c r="AB825" s="38">
        <f>SUM(AB782:AB824)</f>
        <v>893366</v>
      </c>
      <c r="AC825" s="38">
        <f>SUM(AC782:AC806)</f>
        <v>-1092</v>
      </c>
      <c r="AD825" s="38">
        <f>SUM(AD782:AD806)</f>
        <v>0</v>
      </c>
      <c r="AE825" s="38">
        <f>SUM(AE782:AE824)</f>
        <v>892274</v>
      </c>
      <c r="AF825" s="4"/>
      <c r="AG825" s="41">
        <f>SUM(AG782:AG824)</f>
        <v>88836</v>
      </c>
      <c r="AH825" s="41">
        <f>SUM(AH782:AH806)</f>
        <v>-14505</v>
      </c>
      <c r="AI825" s="42">
        <f>SUM(AI782:AI824)</f>
        <v>966605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L827" s="18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L828" s="18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L829" s="18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L830" s="18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L831" s="18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45</v>
      </c>
      <c r="B832" s="57"/>
      <c r="C832" s="57"/>
      <c r="D832" s="57"/>
      <c r="E832" s="57"/>
      <c r="G832" s="57"/>
      <c r="I832" s="57" t="s">
        <v>15</v>
      </c>
      <c r="J832" s="19">
        <v>1</v>
      </c>
      <c r="L832" s="18"/>
      <c r="M832" t="s">
        <v>45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45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76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L833" s="18"/>
      <c r="M833" s="21" t="s">
        <v>76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35</v>
      </c>
      <c r="W833" s="24"/>
      <c r="Y833" s="21" t="s">
        <v>76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L834" s="18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5" t="s">
        <v>17</v>
      </c>
      <c r="E835" s="125"/>
      <c r="F835" s="107"/>
      <c r="G835" s="27"/>
      <c r="I835" s="123" t="s">
        <v>18</v>
      </c>
      <c r="J835" s="124"/>
      <c r="K835" s="121" t="s">
        <v>19</v>
      </c>
      <c r="L835" s="18"/>
      <c r="N835" s="25"/>
      <c r="O835" s="26"/>
      <c r="P835" s="125" t="s">
        <v>17</v>
      </c>
      <c r="Q835" s="125"/>
      <c r="R835" s="107"/>
      <c r="S835" s="27"/>
      <c r="U835" s="123" t="s">
        <v>18</v>
      </c>
      <c r="V835" s="124"/>
      <c r="W835" s="121" t="s">
        <v>19</v>
      </c>
      <c r="Z835" s="25"/>
      <c r="AA835" s="26"/>
      <c r="AB835" s="125" t="s">
        <v>17</v>
      </c>
      <c r="AC835" s="125"/>
      <c r="AD835" s="107"/>
      <c r="AE835" s="27"/>
      <c r="AG835" s="123" t="s">
        <v>18</v>
      </c>
      <c r="AH835" s="124"/>
      <c r="AI835" s="121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2"/>
      <c r="L836" s="18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2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77</v>
      </c>
      <c r="C837" s="88">
        <v>7980</v>
      </c>
      <c r="D837" s="32">
        <f>202824+2977</f>
        <v>205801</v>
      </c>
      <c r="E837" s="32">
        <v>-1944</v>
      </c>
      <c r="F837" s="32"/>
      <c r="G837" s="32">
        <f t="shared" ref="G837:G870" si="246">SUM(D837:E837)</f>
        <v>203857</v>
      </c>
      <c r="H837" s="12"/>
      <c r="I837" s="12">
        <f>702</f>
        <v>702</v>
      </c>
      <c r="J837" s="12">
        <v>-420</v>
      </c>
      <c r="K837" s="12">
        <f t="shared" ref="K837:K870" si="247">SUM(G837:J837)</f>
        <v>204139</v>
      </c>
      <c r="L837" s="18"/>
      <c r="M837" s="10">
        <v>1</v>
      </c>
      <c r="N837" s="30" t="s">
        <v>77</v>
      </c>
      <c r="O837" s="31">
        <v>7943</v>
      </c>
      <c r="P837" s="32">
        <f>626+832+9.5+650</f>
        <v>2117.5</v>
      </c>
      <c r="Q837" s="32"/>
      <c r="R837" s="32"/>
      <c r="S837" s="32">
        <f>SUM(P837:Q837)</f>
        <v>2117.5</v>
      </c>
      <c r="T837" s="12"/>
      <c r="U837" s="12"/>
      <c r="V837" s="12"/>
      <c r="W837" s="12">
        <f>SUM(S837:V837)</f>
        <v>2117.5</v>
      </c>
      <c r="Y837" s="10">
        <v>1</v>
      </c>
      <c r="Z837" s="30" t="s">
        <v>77</v>
      </c>
      <c r="AA837" s="31">
        <v>7876</v>
      </c>
      <c r="AB837" s="32">
        <f>17528+2456+596*12+852+832+229</f>
        <v>29049</v>
      </c>
      <c r="AC837" s="32"/>
      <c r="AD837" s="32"/>
      <c r="AE837" s="32">
        <f>SUM(AB837:AC837)</f>
        <v>29049</v>
      </c>
      <c r="AF837" s="12"/>
      <c r="AG837" s="12">
        <f>222+18</f>
        <v>240</v>
      </c>
      <c r="AH837" s="12"/>
      <c r="AI837" s="12">
        <f>SUM(AE837:AH837)</f>
        <v>29289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77</v>
      </c>
      <c r="C838" s="88">
        <f>C837+1</f>
        <v>7981</v>
      </c>
      <c r="D838" s="32">
        <f>626*324+229*13</f>
        <v>205801</v>
      </c>
      <c r="E838" s="32">
        <v>-1944</v>
      </c>
      <c r="F838" s="32"/>
      <c r="G838" s="32">
        <f t="shared" si="246"/>
        <v>203857</v>
      </c>
      <c r="H838" s="12"/>
      <c r="I838" s="12"/>
      <c r="J838" s="12"/>
      <c r="K838" s="12">
        <f t="shared" si="247"/>
        <v>203857</v>
      </c>
      <c r="L838" s="18"/>
      <c r="M838" s="10">
        <v>2</v>
      </c>
      <c r="N838" s="30" t="s">
        <v>77</v>
      </c>
      <c r="O838" s="31">
        <f>O837+1</f>
        <v>7944</v>
      </c>
      <c r="P838" s="32">
        <f>1878+614+28.5</f>
        <v>2520.5</v>
      </c>
      <c r="Q838" s="32"/>
      <c r="R838" s="32"/>
      <c r="S838" s="32">
        <f t="shared" ref="S838:S869" si="248">SUM(P838:Q838)</f>
        <v>2520.5</v>
      </c>
      <c r="T838" s="12"/>
      <c r="U838" s="12"/>
      <c r="V838" s="12"/>
      <c r="W838" s="12">
        <f t="shared" ref="W838:W878" si="249">SUM(S838:V838)</f>
        <v>2520.5</v>
      </c>
      <c r="Y838" s="10">
        <v>2</v>
      </c>
      <c r="Z838" s="30" t="s">
        <v>77</v>
      </c>
      <c r="AA838" s="31">
        <f>AA837+1</f>
        <v>7877</v>
      </c>
      <c r="AB838" s="32">
        <f>21910+8940+229</f>
        <v>31079</v>
      </c>
      <c r="AC838" s="32"/>
      <c r="AD838" s="32"/>
      <c r="AE838" s="32">
        <f t="shared" ref="AE838:AE875" si="250">SUM(AB838:AC838)</f>
        <v>31079</v>
      </c>
      <c r="AF838" s="12"/>
      <c r="AG838" s="12">
        <f>1776+78</f>
        <v>1854</v>
      </c>
      <c r="AH838" s="12"/>
      <c r="AI838" s="12">
        <f t="shared" ref="AI838:AI869" si="251">SUM(AE838:AH838)</f>
        <v>32933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/>
      <c r="C839" s="11" t="s">
        <v>27</v>
      </c>
      <c r="D839" s="33"/>
      <c r="E839" s="33"/>
      <c r="F839" s="33"/>
      <c r="G839" s="33">
        <f t="shared" si="246"/>
        <v>0</v>
      </c>
      <c r="H839" s="34"/>
      <c r="I839" s="34"/>
      <c r="J839" s="34"/>
      <c r="K839" s="34">
        <f t="shared" si="247"/>
        <v>0</v>
      </c>
      <c r="L839" s="18"/>
      <c r="M839" s="10">
        <v>3</v>
      </c>
      <c r="N839" s="30" t="s">
        <v>77</v>
      </c>
      <c r="O839" s="31">
        <f t="shared" ref="O839:O855" si="252">O838+1</f>
        <v>7945</v>
      </c>
      <c r="P839" s="32">
        <f>4382+614+66.5</f>
        <v>5062.5</v>
      </c>
      <c r="Q839" s="32"/>
      <c r="R839" s="32"/>
      <c r="S839" s="32">
        <f t="shared" si="248"/>
        <v>5062.5</v>
      </c>
      <c r="T839" s="12"/>
      <c r="U839" s="12"/>
      <c r="V839" s="12"/>
      <c r="W839" s="12">
        <f t="shared" si="249"/>
        <v>5062.5</v>
      </c>
      <c r="Y839" s="10">
        <v>3</v>
      </c>
      <c r="Z839" s="30" t="s">
        <v>77</v>
      </c>
      <c r="AA839" s="31">
        <f t="shared" ref="AA839:AA846" si="253">AA838+1</f>
        <v>7878</v>
      </c>
      <c r="AB839" s="33">
        <f>3756</f>
        <v>3756</v>
      </c>
      <c r="AC839" s="33"/>
      <c r="AD839" s="32"/>
      <c r="AE839" s="32">
        <f t="shared" si="250"/>
        <v>3756</v>
      </c>
      <c r="AF839" s="12"/>
      <c r="AG839" s="12"/>
      <c r="AH839" s="12"/>
      <c r="AI839" s="12">
        <f t="shared" si="251"/>
        <v>3756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88"/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L840" s="18"/>
      <c r="M840" s="10">
        <v>4</v>
      </c>
      <c r="N840" s="30" t="s">
        <v>77</v>
      </c>
      <c r="O840" s="31">
        <f t="shared" si="252"/>
        <v>7946</v>
      </c>
      <c r="P840" s="32">
        <f>10016+1228+1788</f>
        <v>13032</v>
      </c>
      <c r="Q840" s="32"/>
      <c r="R840" s="32"/>
      <c r="S840" s="32">
        <f t="shared" si="248"/>
        <v>13032</v>
      </c>
      <c r="T840" s="12"/>
      <c r="U840" s="12">
        <f>4.5+2.25</f>
        <v>6.75</v>
      </c>
      <c r="V840" s="12"/>
      <c r="W840" s="12">
        <f t="shared" si="249"/>
        <v>13038.75</v>
      </c>
      <c r="Y840" s="10">
        <v>4</v>
      </c>
      <c r="Z840" s="30" t="s">
        <v>77</v>
      </c>
      <c r="AA840" s="31">
        <f t="shared" si="253"/>
        <v>7879</v>
      </c>
      <c r="AB840" s="32">
        <f>9390+2980+190</f>
        <v>12560</v>
      </c>
      <c r="AC840" s="32"/>
      <c r="AD840" s="32"/>
      <c r="AE840" s="32">
        <f t="shared" si="250"/>
        <v>12560</v>
      </c>
      <c r="AF840" s="12"/>
      <c r="AH840" s="12"/>
      <c r="AI840" s="12">
        <f t="shared" si="251"/>
        <v>12560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88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L841" s="18"/>
      <c r="M841" s="10">
        <v>5</v>
      </c>
      <c r="N841" s="30" t="s">
        <v>77</v>
      </c>
      <c r="O841" s="31">
        <f t="shared" si="252"/>
        <v>7947</v>
      </c>
      <c r="P841" s="32">
        <f>1878+596+38</f>
        <v>2512</v>
      </c>
      <c r="Q841" s="32"/>
      <c r="R841" s="32"/>
      <c r="S841" s="32">
        <f t="shared" si="248"/>
        <v>2512</v>
      </c>
      <c r="T841" s="12"/>
      <c r="U841" s="12"/>
      <c r="V841" s="12"/>
      <c r="W841" s="12">
        <f t="shared" si="249"/>
        <v>2512</v>
      </c>
      <c r="Y841" s="10">
        <v>5</v>
      </c>
      <c r="Z841" s="30" t="s">
        <v>77</v>
      </c>
      <c r="AA841" s="31">
        <f t="shared" si="253"/>
        <v>7880</v>
      </c>
      <c r="AB841" s="32">
        <f>9390+2980+10816+3250</f>
        <v>26436</v>
      </c>
      <c r="AC841" s="32"/>
      <c r="AD841" s="32"/>
      <c r="AE841" s="32">
        <f t="shared" si="250"/>
        <v>26436</v>
      </c>
      <c r="AF841" s="12"/>
      <c r="AG841" s="12">
        <f>1200+108</f>
        <v>1308</v>
      </c>
      <c r="AH841" s="12"/>
      <c r="AI841" s="12">
        <f t="shared" si="251"/>
        <v>27744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8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L842" s="18"/>
      <c r="M842" s="10">
        <v>6</v>
      </c>
      <c r="N842" s="30" t="s">
        <v>77</v>
      </c>
      <c r="O842" s="31">
        <f t="shared" si="252"/>
        <v>7948</v>
      </c>
      <c r="P842" s="32">
        <f>2504+224+1788</f>
        <v>4516</v>
      </c>
      <c r="Q842" s="32"/>
      <c r="R842" s="32"/>
      <c r="S842" s="32">
        <f t="shared" si="248"/>
        <v>4516</v>
      </c>
      <c r="T842" s="12"/>
      <c r="U842" s="12">
        <v>9</v>
      </c>
      <c r="V842" s="10"/>
      <c r="W842" s="12">
        <f t="shared" si="249"/>
        <v>4525</v>
      </c>
      <c r="Y842" s="10">
        <v>6</v>
      </c>
      <c r="Z842" s="30" t="s">
        <v>77</v>
      </c>
      <c r="AA842" s="31">
        <f t="shared" si="253"/>
        <v>7881</v>
      </c>
      <c r="AB842" s="32">
        <f>37560+8940+458</f>
        <v>46958</v>
      </c>
      <c r="AC842" s="32"/>
      <c r="AD842" s="32"/>
      <c r="AE842" s="32">
        <f t="shared" si="250"/>
        <v>46958</v>
      </c>
      <c r="AF842" s="12"/>
      <c r="AG842" s="12"/>
      <c r="AH842" s="10"/>
      <c r="AI842" s="12">
        <f t="shared" si="251"/>
        <v>46958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8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L843" s="18"/>
      <c r="M843" s="10">
        <v>7</v>
      </c>
      <c r="N843" s="30" t="s">
        <v>77</v>
      </c>
      <c r="O843" s="31">
        <f t="shared" si="252"/>
        <v>7949</v>
      </c>
      <c r="P843" s="32">
        <f>112680+3070+5960+1704+2010+1664+229*7</f>
        <v>128691</v>
      </c>
      <c r="Q843" s="32">
        <v>-1206</v>
      </c>
      <c r="R843" s="32"/>
      <c r="S843" s="32">
        <f t="shared" si="248"/>
        <v>127485</v>
      </c>
      <c r="T843" s="12"/>
      <c r="U843" s="12">
        <f>720+10101+468</f>
        <v>11289</v>
      </c>
      <c r="V843" s="12">
        <f>-840+-84</f>
        <v>-924</v>
      </c>
      <c r="W843" s="12">
        <f t="shared" si="249"/>
        <v>137850</v>
      </c>
      <c r="Y843" s="10">
        <v>7</v>
      </c>
      <c r="Z843" s="30" t="s">
        <v>77</v>
      </c>
      <c r="AA843" s="31">
        <f t="shared" si="253"/>
        <v>7882</v>
      </c>
      <c r="AB843" s="32">
        <f>109550+14900+1664+1832</f>
        <v>127946</v>
      </c>
      <c r="AC843" s="32">
        <v>-1212</v>
      </c>
      <c r="AD843" s="32"/>
      <c r="AE843" s="32">
        <f t="shared" si="250"/>
        <v>126734</v>
      </c>
      <c r="AF843" s="12"/>
      <c r="AG843" s="58">
        <f>120+3441+78+81</f>
        <v>3720</v>
      </c>
      <c r="AH843" s="12"/>
      <c r="AI843" s="12">
        <f t="shared" si="251"/>
        <v>130454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8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L844" s="18"/>
      <c r="M844" s="10">
        <v>8</v>
      </c>
      <c r="N844" s="30" t="s">
        <v>77</v>
      </c>
      <c r="O844" s="31">
        <f t="shared" si="252"/>
        <v>7950</v>
      </c>
      <c r="P844" s="32">
        <f>2504</f>
        <v>2504</v>
      </c>
      <c r="Q844" s="32"/>
      <c r="R844" s="32"/>
      <c r="S844" s="32">
        <f t="shared" si="248"/>
        <v>2504</v>
      </c>
      <c r="T844" s="12"/>
      <c r="U844" s="12"/>
      <c r="V844" s="12"/>
      <c r="W844" s="12">
        <f t="shared" si="249"/>
        <v>2504</v>
      </c>
      <c r="Y844" s="10">
        <v>8</v>
      </c>
      <c r="Z844" s="30" t="s">
        <v>77</v>
      </c>
      <c r="AA844" s="31">
        <f t="shared" si="253"/>
        <v>7883</v>
      </c>
      <c r="AB844" s="32">
        <f>8138+913</f>
        <v>9051</v>
      </c>
      <c r="AC844" s="32"/>
      <c r="AE844" s="32">
        <f t="shared" si="250"/>
        <v>9051</v>
      </c>
      <c r="AF844" s="12"/>
      <c r="AG844" s="12"/>
      <c r="AH844" s="12"/>
      <c r="AI844" s="12">
        <f t="shared" si="251"/>
        <v>9051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8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L845" s="18"/>
      <c r="M845" s="10">
        <v>9</v>
      </c>
      <c r="N845" s="30" t="s">
        <v>77</v>
      </c>
      <c r="O845" s="31">
        <v>8001</v>
      </c>
      <c r="P845" s="32">
        <f>3130+614+224+596+832</f>
        <v>5396</v>
      </c>
      <c r="Q845" s="32"/>
      <c r="R845" s="32"/>
      <c r="S845" s="32">
        <f t="shared" si="248"/>
        <v>5396</v>
      </c>
      <c r="T845" s="12"/>
      <c r="U845" s="12">
        <f>31.5+36</f>
        <v>67.5</v>
      </c>
      <c r="V845" s="12"/>
      <c r="W845" s="12">
        <f t="shared" si="249"/>
        <v>5463.5</v>
      </c>
      <c r="Y845" s="10">
        <v>9</v>
      </c>
      <c r="Z845" s="30" t="s">
        <v>77</v>
      </c>
      <c r="AA845" s="31">
        <f t="shared" si="253"/>
        <v>7884</v>
      </c>
      <c r="AB845">
        <f>25040+229</f>
        <v>25269</v>
      </c>
      <c r="AC845" s="32"/>
      <c r="AD845" s="32"/>
      <c r="AE845" s="32">
        <f t="shared" si="250"/>
        <v>25269</v>
      </c>
      <c r="AF845" s="12"/>
      <c r="AG845">
        <f>1554+486</f>
        <v>2040</v>
      </c>
      <c r="AH845" s="12"/>
      <c r="AI845" s="12">
        <f t="shared" si="251"/>
        <v>27309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8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L846" s="18"/>
      <c r="M846" s="10">
        <v>10</v>
      </c>
      <c r="N846" s="30" t="s">
        <v>77</v>
      </c>
      <c r="O846" s="31">
        <f t="shared" si="252"/>
        <v>8002</v>
      </c>
      <c r="P846" s="32">
        <f>1252+614+19</f>
        <v>1885</v>
      </c>
      <c r="Q846" s="32"/>
      <c r="R846" s="32"/>
      <c r="S846" s="32">
        <f t="shared" si="248"/>
        <v>1885</v>
      </c>
      <c r="T846" s="12"/>
      <c r="U846" s="12"/>
      <c r="V846" s="12"/>
      <c r="W846" s="12">
        <f t="shared" si="249"/>
        <v>1885</v>
      </c>
      <c r="Y846" s="10">
        <v>10</v>
      </c>
      <c r="Z846" s="30" t="s">
        <v>77</v>
      </c>
      <c r="AA846" s="31">
        <f t="shared" si="253"/>
        <v>7885</v>
      </c>
      <c r="AB846" s="32">
        <f>5634+832</f>
        <v>6466</v>
      </c>
      <c r="AC846" s="32"/>
      <c r="AD846" s="32"/>
      <c r="AE846" s="32">
        <f t="shared" si="250"/>
        <v>6466</v>
      </c>
      <c r="AF846" s="12"/>
      <c r="AG846" s="12">
        <f>111*9</f>
        <v>999</v>
      </c>
      <c r="AH846" s="12">
        <v>-120</v>
      </c>
      <c r="AI846" s="12">
        <f t="shared" si="251"/>
        <v>7345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L847" s="18"/>
      <c r="M847" s="10">
        <v>11</v>
      </c>
      <c r="N847" s="30" t="s">
        <v>77</v>
      </c>
      <c r="O847" s="31">
        <f t="shared" si="252"/>
        <v>8003</v>
      </c>
      <c r="P847" s="32">
        <f>626+9.5</f>
        <v>635.5</v>
      </c>
      <c r="Q847" s="32"/>
      <c r="R847" s="32"/>
      <c r="S847" s="32">
        <f t="shared" si="248"/>
        <v>635.5</v>
      </c>
      <c r="T847" s="12"/>
      <c r="U847" s="12"/>
      <c r="V847" s="12"/>
      <c r="W847" s="12">
        <f t="shared" si="249"/>
        <v>635.5</v>
      </c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8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L848" s="18"/>
      <c r="M848" s="10">
        <v>12</v>
      </c>
      <c r="N848" s="30" t="s">
        <v>77</v>
      </c>
      <c r="O848" s="31">
        <f t="shared" si="252"/>
        <v>8004</v>
      </c>
      <c r="P848" s="32">
        <f>3130+1192+66.5</f>
        <v>4388.5</v>
      </c>
      <c r="Q848" s="32"/>
      <c r="R848" s="32"/>
      <c r="S848" s="32">
        <f t="shared" si="248"/>
        <v>4388.5</v>
      </c>
      <c r="T848" s="12"/>
      <c r="U848" s="12"/>
      <c r="V848" s="12"/>
      <c r="W848" s="12">
        <f t="shared" si="249"/>
        <v>4388.5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8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L849" s="18"/>
      <c r="M849" s="10">
        <v>13</v>
      </c>
      <c r="N849" s="30" t="s">
        <v>77</v>
      </c>
      <c r="O849" s="31">
        <f t="shared" si="252"/>
        <v>8005</v>
      </c>
      <c r="P849" s="32">
        <f>1878+1192+229</f>
        <v>3299</v>
      </c>
      <c r="Q849" s="32"/>
      <c r="R849" s="32"/>
      <c r="S849" s="32">
        <f t="shared" si="248"/>
        <v>3299</v>
      </c>
      <c r="T849" s="12"/>
      <c r="U849" s="12">
        <f>109.5</f>
        <v>109.5</v>
      </c>
      <c r="V849" s="12"/>
      <c r="W849" s="12">
        <f t="shared" si="249"/>
        <v>3408.5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8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L850" s="18"/>
      <c r="M850" s="10">
        <v>14</v>
      </c>
      <c r="N850" s="30" t="s">
        <v>77</v>
      </c>
      <c r="O850" s="31">
        <f t="shared" si="252"/>
        <v>8006</v>
      </c>
      <c r="P850" s="32">
        <f>626*5+1192+85.5</f>
        <v>4407.5</v>
      </c>
      <c r="Q850" s="32"/>
      <c r="R850" s="32"/>
      <c r="S850" s="32">
        <f t="shared" si="248"/>
        <v>4407.5</v>
      </c>
      <c r="T850" s="12"/>
      <c r="U850" s="12"/>
      <c r="V850" s="12">
        <v>-1994</v>
      </c>
      <c r="W850" s="12">
        <f t="shared" si="249"/>
        <v>2413.5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8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L851" s="18"/>
      <c r="M851" s="10">
        <v>15</v>
      </c>
      <c r="N851" s="30" t="s">
        <v>77</v>
      </c>
      <c r="O851" s="31">
        <f t="shared" si="252"/>
        <v>8007</v>
      </c>
      <c r="P851" s="32">
        <f>1252+19</f>
        <v>1271</v>
      </c>
      <c r="Q851" s="32"/>
      <c r="R851" s="32"/>
      <c r="S851" s="32">
        <f t="shared" si="248"/>
        <v>1271</v>
      </c>
      <c r="T851" s="12"/>
      <c r="U851" s="12"/>
      <c r="V851" s="12"/>
      <c r="W851" s="12">
        <f t="shared" si="249"/>
        <v>1271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8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L852" s="18"/>
      <c r="M852" s="10">
        <v>16</v>
      </c>
      <c r="N852" s="30" t="s">
        <v>77</v>
      </c>
      <c r="O852" s="31">
        <f t="shared" si="252"/>
        <v>8008</v>
      </c>
      <c r="P852" s="32">
        <f>1252+614+1788+47.5+500</f>
        <v>4201.5</v>
      </c>
      <c r="Q852" s="32"/>
      <c r="R852" s="32"/>
      <c r="S852" s="32">
        <f t="shared" si="248"/>
        <v>4201.5</v>
      </c>
      <c r="T852" s="12"/>
      <c r="U852" s="12"/>
      <c r="V852" s="12"/>
      <c r="W852" s="12">
        <f t="shared" si="249"/>
        <v>4201.5</v>
      </c>
      <c r="Y852" s="10">
        <v>16</v>
      </c>
      <c r="Z852" s="30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8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L853" s="18"/>
      <c r="M853" s="10">
        <v>17</v>
      </c>
      <c r="N853" s="30" t="s">
        <v>77</v>
      </c>
      <c r="O853" s="31">
        <f t="shared" si="252"/>
        <v>8009</v>
      </c>
      <c r="P853" s="35">
        <f>3756+57</f>
        <v>3813</v>
      </c>
      <c r="Q853" s="32"/>
      <c r="R853" s="32"/>
      <c r="S853" s="32">
        <f t="shared" si="248"/>
        <v>3813</v>
      </c>
      <c r="T853" s="12"/>
      <c r="U853" s="12"/>
      <c r="V853" s="12"/>
      <c r="W853" s="12">
        <f t="shared" si="249"/>
        <v>3813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57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L854" s="18"/>
      <c r="M854" s="10">
        <v>18</v>
      </c>
      <c r="N854" s="30" t="s">
        <v>77</v>
      </c>
      <c r="O854" s="31">
        <f t="shared" si="252"/>
        <v>8010</v>
      </c>
      <c r="P854" s="32">
        <f>15650+3576+832</f>
        <v>20058</v>
      </c>
      <c r="Q854" s="32"/>
      <c r="R854" s="32"/>
      <c r="S854" s="32">
        <f t="shared" si="248"/>
        <v>20058</v>
      </c>
      <c r="T854" s="12"/>
      <c r="U854" s="12">
        <v>13.5</v>
      </c>
      <c r="V854" s="12"/>
      <c r="W854" s="12">
        <f t="shared" si="249"/>
        <v>20071.5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8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L855" s="18"/>
      <c r="M855" s="10">
        <v>19</v>
      </c>
      <c r="N855" s="30" t="s">
        <v>77</v>
      </c>
      <c r="O855" s="31">
        <f t="shared" si="252"/>
        <v>8011</v>
      </c>
      <c r="P855" s="32">
        <f>12520+1102+229+650</f>
        <v>14501</v>
      </c>
      <c r="Q855" s="32"/>
      <c r="R855" s="32"/>
      <c r="S855" s="32">
        <f t="shared" si="248"/>
        <v>14501</v>
      </c>
      <c r="T855" s="12"/>
      <c r="U855" s="12"/>
      <c r="V855" s="12"/>
      <c r="W855" s="12">
        <f t="shared" si="249"/>
        <v>14501</v>
      </c>
      <c r="Y855" s="10">
        <v>19</v>
      </c>
      <c r="Z855" s="30"/>
      <c r="AA855" s="31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8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L856" s="18"/>
      <c r="M856" s="10">
        <v>20</v>
      </c>
      <c r="N856" s="30"/>
      <c r="O856" s="11" t="s">
        <v>27</v>
      </c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8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L857" s="18"/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8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L858" s="18"/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8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L859" s="18"/>
      <c r="M859" s="10">
        <v>23</v>
      </c>
      <c r="N859" s="30"/>
      <c r="O859" s="31"/>
      <c r="P859" s="47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57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L860" s="18"/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L861" s="18"/>
      <c r="M861" s="10">
        <v>25</v>
      </c>
      <c r="N861" s="30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1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1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L862" s="18"/>
      <c r="M862" s="10">
        <v>26</v>
      </c>
      <c r="N862" s="30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57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L863" s="18"/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L864" s="18"/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L865" s="18"/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L866" s="18"/>
      <c r="M866" s="10">
        <v>30</v>
      </c>
      <c r="N866" s="30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57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L867" s="18"/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31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L868" s="18"/>
      <c r="M868" s="10">
        <v>32</v>
      </c>
      <c r="N868" s="30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57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L869" s="18"/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57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L870" s="18"/>
      <c r="M870" s="10">
        <v>34</v>
      </c>
      <c r="N870" s="30"/>
      <c r="O870" s="31"/>
      <c r="P870" s="47"/>
      <c r="Q870" s="31"/>
      <c r="R870" s="31"/>
      <c r="S870" s="32">
        <f t="shared" ref="S870:S875" si="254">SUM(P870:Q870)</f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B870" s="47"/>
      <c r="AC870" s="31"/>
      <c r="AD870" s="31"/>
      <c r="AE870" s="32">
        <f t="shared" si="250"/>
        <v>0</v>
      </c>
      <c r="AF870" s="10"/>
      <c r="AG870" s="10"/>
      <c r="AH870" s="10"/>
      <c r="AI870" s="12">
        <f t="shared" ref="AI870:AI878" si="255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L871" s="18"/>
      <c r="M871" s="10">
        <v>35</v>
      </c>
      <c r="N871" s="30"/>
      <c r="O871" s="31"/>
      <c r="P871" s="47"/>
      <c r="Q871" s="31"/>
      <c r="R871" s="31"/>
      <c r="S871" s="32">
        <f t="shared" si="254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0"/>
        <v>0</v>
      </c>
      <c r="AF871" s="10"/>
      <c r="AG871" s="10"/>
      <c r="AH871" s="10"/>
      <c r="AI871" s="12">
        <f t="shared" si="25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L872" s="18"/>
      <c r="M872" s="10">
        <v>36</v>
      </c>
      <c r="N872" s="30"/>
      <c r="O872" s="31"/>
      <c r="P872" s="47"/>
      <c r="Q872" s="31"/>
      <c r="R872" s="31"/>
      <c r="S872" s="32">
        <f t="shared" si="254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0"/>
        <v>0</v>
      </c>
      <c r="AF872" s="10"/>
      <c r="AG872" s="10"/>
      <c r="AH872" s="10"/>
      <c r="AI872" s="12">
        <f t="shared" si="25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L873" s="18"/>
      <c r="M873" s="10">
        <v>37</v>
      </c>
      <c r="N873" s="30"/>
      <c r="P873" s="47"/>
      <c r="Q873" s="31"/>
      <c r="R873" s="31"/>
      <c r="S873" s="32">
        <f t="shared" si="254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0"/>
        <v>0</v>
      </c>
      <c r="AF873" s="10"/>
      <c r="AG873" s="10"/>
      <c r="AH873" s="10"/>
      <c r="AI873" s="12">
        <f t="shared" si="25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L874" s="18"/>
      <c r="M874" s="10">
        <v>38</v>
      </c>
      <c r="N874" s="30"/>
      <c r="O874" s="31"/>
      <c r="P874" s="47"/>
      <c r="Q874" s="31"/>
      <c r="R874" s="31"/>
      <c r="S874" s="32">
        <f t="shared" si="254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0"/>
        <v>0</v>
      </c>
      <c r="AF874" s="10"/>
      <c r="AG874" s="10"/>
      <c r="AH874" s="10"/>
      <c r="AI874" s="12">
        <f t="shared" si="25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L875" s="18"/>
      <c r="M875" s="10">
        <v>39</v>
      </c>
      <c r="N875" s="30"/>
      <c r="O875" s="31"/>
      <c r="P875" s="47"/>
      <c r="Q875" s="31"/>
      <c r="R875" s="31"/>
      <c r="S875" s="32">
        <f t="shared" si="254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0"/>
        <v>0</v>
      </c>
      <c r="AF875" s="10"/>
      <c r="AG875" s="10"/>
      <c r="AH875" s="10"/>
      <c r="AI875" s="12">
        <f t="shared" si="25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L876" s="18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L877" s="18"/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L878" s="18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L879" s="18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411602</v>
      </c>
      <c r="E880" s="38">
        <f t="shared" ref="E880:F880" si="260">SUM(E837:E877)</f>
        <v>-3888</v>
      </c>
      <c r="F880" s="38">
        <f t="shared" si="260"/>
        <v>0</v>
      </c>
      <c r="G880" s="38">
        <f>SUM(G837:G879)</f>
        <v>407714</v>
      </c>
      <c r="H880" s="4"/>
      <c r="I880" s="39">
        <f>SUM(I837:I879)</f>
        <v>702</v>
      </c>
      <c r="J880" s="39">
        <f>SUM(J837:J879)</f>
        <v>-420</v>
      </c>
      <c r="K880" s="40">
        <f>SUM(K837:K879)</f>
        <v>407996</v>
      </c>
      <c r="L880" s="18"/>
      <c r="N880" s="57"/>
      <c r="O880" s="57"/>
      <c r="P880" s="38">
        <f>SUM(P837:P879)</f>
        <v>224811.5</v>
      </c>
      <c r="Q880" s="38">
        <f>SUM(Q837:Q861)</f>
        <v>-1206</v>
      </c>
      <c r="R880" s="38">
        <f>SUM(R837:R861)</f>
        <v>0</v>
      </c>
      <c r="S880" s="38">
        <f>SUM(S837:S879)</f>
        <v>223605.5</v>
      </c>
      <c r="T880" s="4"/>
      <c r="U880" s="41">
        <f>SUM(U837:U879)</f>
        <v>11495.25</v>
      </c>
      <c r="V880" s="41">
        <f>SUM(V837:V861)</f>
        <v>-2918</v>
      </c>
      <c r="W880" s="42">
        <f>SUM(W837:W879)</f>
        <v>232182.75</v>
      </c>
      <c r="Z880" s="57"/>
      <c r="AA880" s="57"/>
      <c r="AB880" s="38">
        <f>SUM(AB837:AB879)</f>
        <v>318570</v>
      </c>
      <c r="AC880" s="38">
        <f>SUM(AC837:AC861)</f>
        <v>-1212</v>
      </c>
      <c r="AD880" s="38">
        <f>SUM(AD837:AD861)</f>
        <v>0</v>
      </c>
      <c r="AE880" s="38">
        <f>SUM(AE837:AE879)</f>
        <v>317358</v>
      </c>
      <c r="AF880" s="4"/>
      <c r="AG880" s="41">
        <f>SUM(AG837:AG879)</f>
        <v>10161</v>
      </c>
      <c r="AH880" s="41">
        <f>SUM(AH837:AH861)</f>
        <v>-120</v>
      </c>
      <c r="AI880" s="42">
        <f>SUM(AI837:AI879)</f>
        <v>327399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L882" s="18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L883" s="18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L884" s="18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L885" s="18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L886" s="18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48</v>
      </c>
      <c r="B887" s="57"/>
      <c r="C887" s="57"/>
      <c r="D887" s="57"/>
      <c r="E887" s="57"/>
      <c r="G887" s="57"/>
      <c r="I887" s="57" t="s">
        <v>15</v>
      </c>
      <c r="J887" s="19">
        <v>1</v>
      </c>
      <c r="L887" s="18"/>
      <c r="M887" t="s">
        <v>48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48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79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L888" s="18"/>
      <c r="M888" s="21" t="s">
        <v>79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35</v>
      </c>
      <c r="W888" s="24"/>
      <c r="Y888" s="21" t="s">
        <v>79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L889" s="18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5" t="s">
        <v>17</v>
      </c>
      <c r="E890" s="125"/>
      <c r="F890" s="108"/>
      <c r="G890" s="27"/>
      <c r="I890" s="123" t="s">
        <v>18</v>
      </c>
      <c r="J890" s="124"/>
      <c r="K890" s="121" t="s">
        <v>19</v>
      </c>
      <c r="L890" s="18"/>
      <c r="N890" s="25"/>
      <c r="O890" s="26"/>
      <c r="P890" s="125" t="s">
        <v>17</v>
      </c>
      <c r="Q890" s="125"/>
      <c r="R890" s="108"/>
      <c r="S890" s="27"/>
      <c r="U890" s="123" t="s">
        <v>18</v>
      </c>
      <c r="V890" s="124"/>
      <c r="W890" s="121" t="s">
        <v>19</v>
      </c>
      <c r="Z890" s="25"/>
      <c r="AA890" s="26"/>
      <c r="AB890" s="125" t="s">
        <v>17</v>
      </c>
      <c r="AC890" s="125"/>
      <c r="AD890" s="108"/>
      <c r="AE890" s="27"/>
      <c r="AG890" s="123" t="s">
        <v>18</v>
      </c>
      <c r="AH890" s="124"/>
      <c r="AI890" s="121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2"/>
      <c r="L891" s="18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2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80</v>
      </c>
      <c r="C892" s="88">
        <v>7982</v>
      </c>
      <c r="D892" s="32">
        <f>37560+11920</f>
        <v>49480</v>
      </c>
      <c r="E892" s="32"/>
      <c r="F892" s="32"/>
      <c r="G892" s="32">
        <f t="shared" ref="G892:G925" si="261">SUM(D892:E892)</f>
        <v>49480</v>
      </c>
      <c r="H892" s="12"/>
      <c r="I892" s="12">
        <f>8880</f>
        <v>8880</v>
      </c>
      <c r="J892" s="12"/>
      <c r="K892" s="12">
        <f t="shared" ref="K892:K925" si="262">SUM(G892:J892)</f>
        <v>58360</v>
      </c>
      <c r="L892" s="18"/>
      <c r="M892" s="10">
        <v>1</v>
      </c>
      <c r="N892" s="30" t="s">
        <v>80</v>
      </c>
      <c r="O892" s="31">
        <v>8012</v>
      </c>
      <c r="P892" s="32">
        <f>13772+1788+458</f>
        <v>16018</v>
      </c>
      <c r="Q892" s="32"/>
      <c r="R892" s="32"/>
      <c r="S892" s="32">
        <f>SUM(P892:Q892)</f>
        <v>16018</v>
      </c>
      <c r="T892" s="12"/>
      <c r="U892" s="12">
        <f>72+3</f>
        <v>75</v>
      </c>
      <c r="V892" s="12"/>
      <c r="W892" s="12">
        <f>SUM(S892:V892)</f>
        <v>16093</v>
      </c>
      <c r="Y892" s="10">
        <v>1</v>
      </c>
      <c r="Z892" s="30" t="s">
        <v>80</v>
      </c>
      <c r="AA892" s="31">
        <v>7886</v>
      </c>
      <c r="AB892" s="32">
        <f>138972+852+2010+1664</f>
        <v>143498</v>
      </c>
      <c r="AC892" s="32">
        <v>-1362</v>
      </c>
      <c r="AD892" s="32"/>
      <c r="AE892" s="32">
        <f>SUM(AB892:AC892)</f>
        <v>142136</v>
      </c>
      <c r="AF892" s="12"/>
      <c r="AG892" s="12">
        <v>1332</v>
      </c>
      <c r="AH892" s="12"/>
      <c r="AI892" s="12">
        <f>SUM(AE892:AH892)</f>
        <v>143468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80</v>
      </c>
      <c r="C893" s="88">
        <f>C892+1</f>
        <v>7983</v>
      </c>
      <c r="D893" s="32">
        <f>56340+1842+5960+832</f>
        <v>64974</v>
      </c>
      <c r="E893" s="32"/>
      <c r="F893" s="32"/>
      <c r="G893" s="32">
        <f t="shared" si="261"/>
        <v>64974</v>
      </c>
      <c r="H893" s="12"/>
      <c r="I893" s="12">
        <f>2220+648</f>
        <v>2868</v>
      </c>
      <c r="J893" s="12"/>
      <c r="K893" s="12">
        <f t="shared" si="262"/>
        <v>67842</v>
      </c>
      <c r="L893" s="18"/>
      <c r="M893" s="10">
        <v>2</v>
      </c>
      <c r="N893" s="30" t="s">
        <v>80</v>
      </c>
      <c r="O893" s="31">
        <f>O892+1</f>
        <v>8013</v>
      </c>
      <c r="P893" s="32">
        <f>1878+28.5</f>
        <v>1906.5</v>
      </c>
      <c r="Q893" s="32"/>
      <c r="R893" s="32"/>
      <c r="S893" s="32">
        <f t="shared" ref="S893:S924" si="263">SUM(P893:Q893)</f>
        <v>1906.5</v>
      </c>
      <c r="T893" s="12"/>
      <c r="U893" s="12"/>
      <c r="V893" s="12"/>
      <c r="W893" s="12">
        <f t="shared" ref="W893:W933" si="264">SUM(S893:V893)</f>
        <v>1906.5</v>
      </c>
      <c r="Y893" s="10">
        <v>2</v>
      </c>
      <c r="Z893" s="30" t="s">
        <v>80</v>
      </c>
      <c r="AA893" s="31">
        <f>AA892+1</f>
        <v>7887</v>
      </c>
      <c r="AB893" s="32">
        <f>75120+7368+2980+687</f>
        <v>86155</v>
      </c>
      <c r="AC893" s="32">
        <v>-762</v>
      </c>
      <c r="AD893" s="32"/>
      <c r="AE893" s="32">
        <f t="shared" ref="AE893:AE930" si="265">SUM(AB893:AC893)</f>
        <v>85393</v>
      </c>
      <c r="AF893" s="12"/>
      <c r="AG893" s="12"/>
      <c r="AH893" s="12"/>
      <c r="AI893" s="12">
        <f t="shared" ref="AI893:AI924" si="266">SUM(AE893:AH893)</f>
        <v>85393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80</v>
      </c>
      <c r="C894" s="88">
        <f t="shared" ref="C894:C898" si="267">C893+1</f>
        <v>7984</v>
      </c>
      <c r="D894" s="33">
        <f>18780+614+114</f>
        <v>19508</v>
      </c>
      <c r="E894" s="33"/>
      <c r="F894" s="33"/>
      <c r="G894" s="33">
        <f t="shared" si="261"/>
        <v>19508</v>
      </c>
      <c r="H894" s="34"/>
      <c r="I894" s="34"/>
      <c r="J894" s="34"/>
      <c r="K894" s="34">
        <f t="shared" si="262"/>
        <v>19508</v>
      </c>
      <c r="L894" s="18"/>
      <c r="M894" s="10">
        <v>3</v>
      </c>
      <c r="N894" s="30" t="s">
        <v>80</v>
      </c>
      <c r="O894" s="31">
        <f t="shared" ref="O894:O911" si="268">O893+1</f>
        <v>8014</v>
      </c>
      <c r="P894" s="32">
        <f>626+9.5</f>
        <v>635.5</v>
      </c>
      <c r="Q894" s="32"/>
      <c r="R894" s="32"/>
      <c r="S894" s="32">
        <f t="shared" si="263"/>
        <v>635.5</v>
      </c>
      <c r="T894" s="12"/>
      <c r="U894" s="12"/>
      <c r="V894" s="12"/>
      <c r="W894" s="12">
        <f t="shared" si="264"/>
        <v>635.5</v>
      </c>
      <c r="Y894" s="10">
        <v>3</v>
      </c>
      <c r="Z894" s="30" t="s">
        <v>80</v>
      </c>
      <c r="AA894" s="31">
        <f t="shared" ref="AA894:AA896" si="269">AA893+1</f>
        <v>7888</v>
      </c>
      <c r="AB894" s="33">
        <f>6260+2384+133</f>
        <v>8777</v>
      </c>
      <c r="AC894" s="33"/>
      <c r="AD894" s="32"/>
      <c r="AE894" s="32">
        <f t="shared" si="265"/>
        <v>8777</v>
      </c>
      <c r="AF894" s="12"/>
      <c r="AG894" s="12"/>
      <c r="AH894" s="12"/>
      <c r="AI894" s="12">
        <f t="shared" si="266"/>
        <v>8777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80</v>
      </c>
      <c r="C895" s="88">
        <f t="shared" si="267"/>
        <v>7985</v>
      </c>
      <c r="D895" s="32">
        <f>21284+3576</f>
        <v>24860</v>
      </c>
      <c r="E895" s="32"/>
      <c r="F895" s="32"/>
      <c r="G895" s="32">
        <f t="shared" si="261"/>
        <v>24860</v>
      </c>
      <c r="H895" s="12"/>
      <c r="I895" s="12"/>
      <c r="J895" s="12"/>
      <c r="K895" s="12">
        <f t="shared" si="262"/>
        <v>24860</v>
      </c>
      <c r="L895" s="18"/>
      <c r="M895" s="10">
        <v>4</v>
      </c>
      <c r="N895" s="30" t="s">
        <v>80</v>
      </c>
      <c r="O895" s="31">
        <f t="shared" si="268"/>
        <v>8015</v>
      </c>
      <c r="P895" s="32">
        <f>21910+674</f>
        <v>22584</v>
      </c>
      <c r="Q895" s="32"/>
      <c r="R895" s="32"/>
      <c r="S895" s="32">
        <f t="shared" si="263"/>
        <v>22584</v>
      </c>
      <c r="T895" s="12"/>
      <c r="U895" s="12">
        <v>45</v>
      </c>
      <c r="V895" s="12"/>
      <c r="W895" s="12">
        <f t="shared" si="264"/>
        <v>22629</v>
      </c>
      <c r="Y895" s="10">
        <v>4</v>
      </c>
      <c r="Z895" s="30" t="s">
        <v>80</v>
      </c>
      <c r="AA895" s="31">
        <f t="shared" si="269"/>
        <v>7889</v>
      </c>
      <c r="AB895" s="32">
        <f>8764+913+458+1000</f>
        <v>11135</v>
      </c>
      <c r="AC895" s="32"/>
      <c r="AD895" s="32"/>
      <c r="AE895" s="32">
        <f t="shared" si="265"/>
        <v>11135</v>
      </c>
      <c r="AF895" s="12"/>
      <c r="AG895">
        <v>148.5</v>
      </c>
      <c r="AH895" s="12"/>
      <c r="AI895" s="12">
        <f t="shared" si="266"/>
        <v>11283.5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80</v>
      </c>
      <c r="C896" s="88">
        <f t="shared" si="267"/>
        <v>7986</v>
      </c>
      <c r="D896" s="32">
        <f>540238+25560+6870</f>
        <v>572668</v>
      </c>
      <c r="E896" s="32">
        <v>-5358</v>
      </c>
      <c r="F896" s="32"/>
      <c r="G896" s="32">
        <f t="shared" si="261"/>
        <v>567310</v>
      </c>
      <c r="H896" s="12"/>
      <c r="I896" s="12">
        <f>34188+312</f>
        <v>34500</v>
      </c>
      <c r="J896" s="12">
        <f>-240+-3480+-3996+-2100+-630</f>
        <v>-10446</v>
      </c>
      <c r="K896" s="12">
        <f t="shared" si="262"/>
        <v>591364</v>
      </c>
      <c r="L896" s="18"/>
      <c r="M896" s="10">
        <v>5</v>
      </c>
      <c r="N896" s="30" t="s">
        <v>80</v>
      </c>
      <c r="O896" s="31">
        <f t="shared" si="268"/>
        <v>8016</v>
      </c>
      <c r="P896" s="32">
        <f>12*626+1192+114</f>
        <v>8818</v>
      </c>
      <c r="Q896" s="32"/>
      <c r="R896" s="32"/>
      <c r="S896" s="32">
        <f t="shared" si="263"/>
        <v>8818</v>
      </c>
      <c r="T896" s="12"/>
      <c r="U896" s="12">
        <f>9*4.5</f>
        <v>40.5</v>
      </c>
      <c r="V896" s="12"/>
      <c r="W896" s="12">
        <f t="shared" si="264"/>
        <v>8858.5</v>
      </c>
      <c r="Y896" s="10">
        <v>5</v>
      </c>
      <c r="Z896" s="30" t="s">
        <v>80</v>
      </c>
      <c r="AA896" s="31">
        <f t="shared" si="269"/>
        <v>7890</v>
      </c>
      <c r="AB896" s="32">
        <f>626*26+596*5</f>
        <v>19256</v>
      </c>
      <c r="AC896" s="32"/>
      <c r="AD896" s="32"/>
      <c r="AE896" s="32">
        <f t="shared" si="265"/>
        <v>19256</v>
      </c>
      <c r="AF896" s="12"/>
      <c r="AG896" s="12"/>
      <c r="AH896" s="12">
        <v>-2886</v>
      </c>
      <c r="AI896" s="12">
        <f t="shared" si="266"/>
        <v>16370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80</v>
      </c>
      <c r="C897" s="88">
        <f t="shared" si="267"/>
        <v>7987</v>
      </c>
      <c r="D897" s="32">
        <f>11268+3328</f>
        <v>14596</v>
      </c>
      <c r="E897" s="32"/>
      <c r="F897" s="32"/>
      <c r="G897" s="32">
        <f t="shared" si="261"/>
        <v>14596</v>
      </c>
      <c r="H897" s="12"/>
      <c r="I897" s="12"/>
      <c r="J897" s="12"/>
      <c r="K897" s="12">
        <f t="shared" si="262"/>
        <v>14596</v>
      </c>
      <c r="L897" s="18"/>
      <c r="M897" s="10">
        <v>6</v>
      </c>
      <c r="N897" s="30" t="s">
        <v>80</v>
      </c>
      <c r="O897" s="31">
        <f t="shared" si="268"/>
        <v>8017</v>
      </c>
      <c r="P897" s="32">
        <f>1252+596+28.5</f>
        <v>1876.5</v>
      </c>
      <c r="Q897" s="32"/>
      <c r="R897" s="32"/>
      <c r="S897" s="32">
        <f t="shared" si="263"/>
        <v>1876.5</v>
      </c>
      <c r="T897" s="12"/>
      <c r="U897" s="12"/>
      <c r="V897" s="10"/>
      <c r="W897" s="12">
        <f t="shared" si="264"/>
        <v>1876.5</v>
      </c>
      <c r="Y897" s="10">
        <v>6</v>
      </c>
      <c r="Z897" s="30"/>
      <c r="AA897" s="11" t="s">
        <v>27</v>
      </c>
      <c r="AB897" s="32"/>
      <c r="AC897" s="32"/>
      <c r="AD897" s="32"/>
      <c r="AE897" s="32">
        <f t="shared" si="265"/>
        <v>0</v>
      </c>
      <c r="AF897" s="12"/>
      <c r="AG897" s="12"/>
      <c r="AH897" s="10"/>
      <c r="AI897" s="12">
        <f t="shared" si="266"/>
        <v>0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80</v>
      </c>
      <c r="C898" s="88">
        <f t="shared" si="267"/>
        <v>7988</v>
      </c>
      <c r="D898" s="32">
        <f>25040</f>
        <v>25040</v>
      </c>
      <c r="E898" s="32"/>
      <c r="F898" s="32"/>
      <c r="G898" s="32">
        <f t="shared" si="261"/>
        <v>25040</v>
      </c>
      <c r="H898" s="12"/>
      <c r="I898" s="12"/>
      <c r="J898" s="12"/>
      <c r="K898" s="12">
        <f t="shared" si="262"/>
        <v>25040</v>
      </c>
      <c r="L898" s="18"/>
      <c r="M898" s="10">
        <v>7</v>
      </c>
      <c r="N898" s="30" t="s">
        <v>80</v>
      </c>
      <c r="O898" s="31">
        <f t="shared" si="268"/>
        <v>8018</v>
      </c>
      <c r="P898" s="32">
        <f>1252+1192+852+38</f>
        <v>3334</v>
      </c>
      <c r="Q898" s="32"/>
      <c r="R898" s="32"/>
      <c r="S898" s="32">
        <f t="shared" si="263"/>
        <v>3334</v>
      </c>
      <c r="T898" s="12"/>
      <c r="U898" s="12"/>
      <c r="V898" s="12"/>
      <c r="W898" s="12">
        <f t="shared" si="264"/>
        <v>3334</v>
      </c>
      <c r="Y898" s="10">
        <v>7</v>
      </c>
      <c r="Z898" s="30"/>
      <c r="AA898" s="31"/>
      <c r="AB898" s="32"/>
      <c r="AC898" s="32"/>
      <c r="AD898" s="32"/>
      <c r="AE898" s="32">
        <f t="shared" si="265"/>
        <v>0</v>
      </c>
      <c r="AF898" s="12"/>
      <c r="AG898" s="58"/>
      <c r="AH898" s="12"/>
      <c r="AI898" s="12">
        <f t="shared" si="266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11" t="s">
        <v>27</v>
      </c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L899" s="18"/>
      <c r="M899" s="10">
        <v>8</v>
      </c>
      <c r="N899" s="30" t="s">
        <v>80</v>
      </c>
      <c r="O899" s="31">
        <f t="shared" si="268"/>
        <v>8019</v>
      </c>
      <c r="P899" s="32">
        <f>40064+458</f>
        <v>40522</v>
      </c>
      <c r="Q899" s="32"/>
      <c r="R899" s="32"/>
      <c r="S899" s="32">
        <f t="shared" si="263"/>
        <v>40522</v>
      </c>
      <c r="T899" s="12"/>
      <c r="U899" s="12">
        <f>126+72</f>
        <v>198</v>
      </c>
      <c r="V899" s="12"/>
      <c r="W899" s="12">
        <f t="shared" si="264"/>
        <v>40720</v>
      </c>
      <c r="Y899" s="10">
        <v>8</v>
      </c>
      <c r="Z899" s="30"/>
      <c r="AA899" s="31"/>
      <c r="AB899" s="32"/>
      <c r="AC899" s="32"/>
      <c r="AE899" s="32">
        <f t="shared" si="265"/>
        <v>0</v>
      </c>
      <c r="AF899" s="12"/>
      <c r="AG899" s="12"/>
      <c r="AH899" s="12"/>
      <c r="AI899" s="12">
        <f t="shared" si="266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88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L900" s="18"/>
      <c r="M900" s="10">
        <v>9</v>
      </c>
      <c r="N900" s="30" t="s">
        <v>80</v>
      </c>
      <c r="O900" s="31">
        <f t="shared" si="268"/>
        <v>8020</v>
      </c>
      <c r="P900" s="32">
        <f>17528+1228+5960+458+1300</f>
        <v>26474</v>
      </c>
      <c r="Q900" s="32"/>
      <c r="R900" s="32"/>
      <c r="S900" s="32">
        <f t="shared" si="263"/>
        <v>26474</v>
      </c>
      <c r="T900" s="12"/>
      <c r="U900" s="12">
        <f>333+72</f>
        <v>405</v>
      </c>
      <c r="V900" s="12"/>
      <c r="W900" s="12">
        <f t="shared" si="264"/>
        <v>26879</v>
      </c>
      <c r="Y900" s="10">
        <v>9</v>
      </c>
      <c r="Z900" s="30"/>
      <c r="AA900" s="31"/>
      <c r="AC900" s="32"/>
      <c r="AD900" s="32"/>
      <c r="AE900" s="32">
        <f t="shared" si="265"/>
        <v>0</v>
      </c>
      <c r="AF900" s="12"/>
      <c r="AH900" s="12"/>
      <c r="AI900" s="12">
        <f t="shared" si="26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88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L901" s="18"/>
      <c r="M901" s="10">
        <v>10</v>
      </c>
      <c r="N901" s="30" t="s">
        <v>80</v>
      </c>
      <c r="O901" s="31">
        <f t="shared" si="268"/>
        <v>8021</v>
      </c>
      <c r="P901" s="32">
        <f>1878+112</f>
        <v>1990</v>
      </c>
      <c r="Q901" s="32"/>
      <c r="R901" s="32"/>
      <c r="S901" s="32">
        <f t="shared" si="263"/>
        <v>1990</v>
      </c>
      <c r="T901" s="12"/>
      <c r="U901" s="12"/>
      <c r="V901" s="12"/>
      <c r="W901" s="12">
        <f t="shared" si="264"/>
        <v>1990</v>
      </c>
      <c r="Y901" s="10">
        <v>10</v>
      </c>
      <c r="Z901" s="30"/>
      <c r="AA901" s="31"/>
      <c r="AB901" s="32"/>
      <c r="AC901" s="32"/>
      <c r="AD901" s="32"/>
      <c r="AE901" s="32">
        <f t="shared" si="265"/>
        <v>0</v>
      </c>
      <c r="AF901" s="12"/>
      <c r="AG901" s="12"/>
      <c r="AH901" s="12"/>
      <c r="AI901" s="12">
        <f t="shared" si="26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88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L902" s="18"/>
      <c r="M902" s="10">
        <v>11</v>
      </c>
      <c r="N902" s="30" t="s">
        <v>80</v>
      </c>
      <c r="O902" s="31">
        <f t="shared" si="268"/>
        <v>8022</v>
      </c>
      <c r="P902" s="32">
        <f>1878+112</f>
        <v>1990</v>
      </c>
      <c r="Q902" s="32"/>
      <c r="R902" s="32"/>
      <c r="S902" s="32">
        <f t="shared" si="263"/>
        <v>1990</v>
      </c>
      <c r="T902" s="12"/>
      <c r="U902" s="12"/>
      <c r="V902" s="12"/>
      <c r="W902" s="12">
        <f t="shared" si="264"/>
        <v>1990</v>
      </c>
      <c r="Y902" s="10">
        <v>11</v>
      </c>
      <c r="Z902" s="30"/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88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L903" s="18"/>
      <c r="M903" s="10">
        <v>12</v>
      </c>
      <c r="N903" s="30" t="s">
        <v>80</v>
      </c>
      <c r="O903" s="31">
        <f t="shared" si="268"/>
        <v>8023</v>
      </c>
      <c r="P903" s="32">
        <f>1252+19</f>
        <v>1271</v>
      </c>
      <c r="Q903" s="32"/>
      <c r="R903" s="32"/>
      <c r="S903" s="32">
        <f t="shared" si="263"/>
        <v>1271</v>
      </c>
      <c r="T903" s="12"/>
      <c r="U903" s="12"/>
      <c r="V903" s="12"/>
      <c r="W903" s="12">
        <f t="shared" si="264"/>
        <v>1271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8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L904" s="18"/>
      <c r="M904" s="10">
        <v>13</v>
      </c>
      <c r="N904" s="30" t="s">
        <v>80</v>
      </c>
      <c r="O904" s="31">
        <f t="shared" si="268"/>
        <v>8024</v>
      </c>
      <c r="P904" s="32">
        <f>6260+95</f>
        <v>6355</v>
      </c>
      <c r="Q904" s="32"/>
      <c r="R904" s="32"/>
      <c r="S904" s="32">
        <f t="shared" si="263"/>
        <v>6355</v>
      </c>
      <c r="T904" s="12"/>
      <c r="U904" s="12">
        <v>9</v>
      </c>
      <c r="V904" s="12"/>
      <c r="W904" s="12">
        <f t="shared" si="264"/>
        <v>6364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8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L905" s="18"/>
      <c r="M905" s="10">
        <v>14</v>
      </c>
      <c r="N905" s="30" t="s">
        <v>80</v>
      </c>
      <c r="O905" s="31">
        <f t="shared" si="268"/>
        <v>8025</v>
      </c>
      <c r="P905" s="32">
        <f>5008+596+9.5*9</f>
        <v>5689.5</v>
      </c>
      <c r="Q905" s="32"/>
      <c r="R905" s="32"/>
      <c r="S905" s="32">
        <f t="shared" si="263"/>
        <v>5689.5</v>
      </c>
      <c r="T905" s="12"/>
      <c r="U905" s="12"/>
      <c r="V905" s="12"/>
      <c r="W905" s="12">
        <f t="shared" si="264"/>
        <v>5689.5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8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L906" s="18"/>
      <c r="M906" s="10">
        <v>15</v>
      </c>
      <c r="N906" s="30" t="s">
        <v>80</v>
      </c>
      <c r="O906" s="31">
        <f t="shared" si="268"/>
        <v>8026</v>
      </c>
      <c r="P906" s="32">
        <f>3130+47.5</f>
        <v>3177.5</v>
      </c>
      <c r="Q906" s="32"/>
      <c r="R906" s="32"/>
      <c r="S906" s="32">
        <f t="shared" si="263"/>
        <v>3177.5</v>
      </c>
      <c r="T906" s="12"/>
      <c r="U906" s="12">
        <v>22.5</v>
      </c>
      <c r="V906" s="12"/>
      <c r="W906" s="12">
        <f t="shared" si="264"/>
        <v>3200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L907" s="18"/>
      <c r="M907" s="10">
        <v>16</v>
      </c>
      <c r="N907" s="30" t="s">
        <v>80</v>
      </c>
      <c r="O907" s="31">
        <f t="shared" si="268"/>
        <v>8027</v>
      </c>
      <c r="P907" s="32">
        <f>626+9.5</f>
        <v>635.5</v>
      </c>
      <c r="Q907" s="32"/>
      <c r="R907" s="32"/>
      <c r="S907" s="32">
        <f t="shared" si="263"/>
        <v>635.5</v>
      </c>
      <c r="T907" s="12"/>
      <c r="U907" s="12">
        <f>111</f>
        <v>111</v>
      </c>
      <c r="V907" s="12"/>
      <c r="W907" s="12">
        <f t="shared" si="264"/>
        <v>746.5</v>
      </c>
      <c r="Y907" s="10">
        <v>16</v>
      </c>
      <c r="Z907" s="30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8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L908" s="18"/>
      <c r="M908" s="10">
        <v>17</v>
      </c>
      <c r="N908" s="30" t="s">
        <v>80</v>
      </c>
      <c r="O908" s="31">
        <f t="shared" si="268"/>
        <v>8028</v>
      </c>
      <c r="P908" s="35">
        <f>1878+38</f>
        <v>1916</v>
      </c>
      <c r="Q908" s="32"/>
      <c r="R908" s="32"/>
      <c r="S908" s="32">
        <f t="shared" si="263"/>
        <v>1916</v>
      </c>
      <c r="T908" s="12"/>
      <c r="U908" s="12"/>
      <c r="V908" s="12">
        <v>-111</v>
      </c>
      <c r="W908" s="12">
        <f t="shared" si="264"/>
        <v>1805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57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L909" s="18"/>
      <c r="M909" s="10">
        <v>18</v>
      </c>
      <c r="N909" s="30" t="s">
        <v>80</v>
      </c>
      <c r="O909" s="31">
        <f t="shared" si="268"/>
        <v>8029</v>
      </c>
      <c r="P909" s="32">
        <f>25040</f>
        <v>25040</v>
      </c>
      <c r="Q909" s="32"/>
      <c r="R909" s="32"/>
      <c r="S909" s="32">
        <f t="shared" si="263"/>
        <v>25040</v>
      </c>
      <c r="T909" s="12"/>
      <c r="U909" s="12"/>
      <c r="V909" s="12"/>
      <c r="W909" s="12">
        <f t="shared" si="264"/>
        <v>25040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8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L910" s="18"/>
      <c r="M910" s="10">
        <v>19</v>
      </c>
      <c r="N910" s="30" t="s">
        <v>80</v>
      </c>
      <c r="O910" s="31">
        <f t="shared" si="268"/>
        <v>8030</v>
      </c>
      <c r="P910" s="32">
        <f>28170+1842+1192+229</f>
        <v>31433</v>
      </c>
      <c r="Q910" s="32"/>
      <c r="R910" s="32"/>
      <c r="S910" s="32">
        <f t="shared" si="263"/>
        <v>31433</v>
      </c>
      <c r="T910" s="12"/>
      <c r="U910" s="12">
        <v>783</v>
      </c>
      <c r="V910" s="12"/>
      <c r="W910" s="12">
        <f t="shared" si="264"/>
        <v>32216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8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L911" s="18"/>
      <c r="M911" s="10">
        <v>20</v>
      </c>
      <c r="N911" s="30" t="s">
        <v>80</v>
      </c>
      <c r="O911" s="31">
        <f t="shared" si="268"/>
        <v>8031</v>
      </c>
      <c r="P911" s="32">
        <f>1878+28.5</f>
        <v>1906.5</v>
      </c>
      <c r="Q911" s="32"/>
      <c r="R911" s="32"/>
      <c r="S911" s="32">
        <f t="shared" si="263"/>
        <v>1906.5</v>
      </c>
      <c r="T911" s="12"/>
      <c r="U911" s="12"/>
      <c r="V911" s="12"/>
      <c r="W911" s="12">
        <f t="shared" si="264"/>
        <v>1906.5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8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L912" s="18"/>
      <c r="M912" s="10">
        <v>21</v>
      </c>
      <c r="N912" s="30"/>
      <c r="O912" s="11" t="s">
        <v>27</v>
      </c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8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L913" s="18"/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8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L914" s="18"/>
      <c r="M914" s="10">
        <v>23</v>
      </c>
      <c r="N914" s="30"/>
      <c r="O914" s="31"/>
      <c r="P914" s="47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A914" s="31"/>
      <c r="AB914" s="47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57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L915" s="18"/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L916" s="18"/>
      <c r="M916" s="10">
        <v>25</v>
      </c>
      <c r="N916" s="30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1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1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L917" s="18"/>
      <c r="M917" s="10">
        <v>26</v>
      </c>
      <c r="N917" s="30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57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L918" s="18"/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L919" s="18"/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L920" s="18"/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L921" s="18"/>
      <c r="M921" s="10">
        <v>30</v>
      </c>
      <c r="N921" s="30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57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L922" s="18"/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31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L923" s="18"/>
      <c r="M923" s="10">
        <v>32</v>
      </c>
      <c r="N923" s="30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57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L924" s="18"/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57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L925" s="18"/>
      <c r="M925" s="10">
        <v>34</v>
      </c>
      <c r="N925" s="30"/>
      <c r="O925" s="31"/>
      <c r="P925" s="47"/>
      <c r="Q925" s="31"/>
      <c r="R925" s="31"/>
      <c r="S925" s="32">
        <f t="shared" ref="S925:S930" si="270">SUM(P925:Q925)</f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B925" s="47"/>
      <c r="AC925" s="31"/>
      <c r="AD925" s="31"/>
      <c r="AE925" s="32">
        <f t="shared" si="265"/>
        <v>0</v>
      </c>
      <c r="AF925" s="10"/>
      <c r="AG925" s="10"/>
      <c r="AH925" s="10"/>
      <c r="AI925" s="12">
        <f t="shared" ref="AI925:AI933" si="271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L926" s="18"/>
      <c r="M926" s="10">
        <v>35</v>
      </c>
      <c r="N926" s="30"/>
      <c r="O926" s="31"/>
      <c r="P926" s="47"/>
      <c r="Q926" s="31"/>
      <c r="R926" s="31"/>
      <c r="S926" s="32">
        <f t="shared" si="270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5"/>
        <v>0</v>
      </c>
      <c r="AF926" s="10"/>
      <c r="AG926" s="10"/>
      <c r="AH926" s="10"/>
      <c r="AI926" s="12">
        <f t="shared" si="271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L927" s="18"/>
      <c r="M927" s="10">
        <v>36</v>
      </c>
      <c r="N927" s="30"/>
      <c r="O927" s="31"/>
      <c r="P927" s="47"/>
      <c r="Q927" s="31"/>
      <c r="R927" s="31"/>
      <c r="S927" s="32">
        <f t="shared" si="270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5"/>
        <v>0</v>
      </c>
      <c r="AF927" s="10"/>
      <c r="AG927" s="10"/>
      <c r="AH927" s="10"/>
      <c r="AI927" s="12">
        <f t="shared" si="271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L928" s="18"/>
      <c r="M928" s="10">
        <v>37</v>
      </c>
      <c r="N928" s="30"/>
      <c r="P928" s="47"/>
      <c r="Q928" s="31"/>
      <c r="R928" s="31"/>
      <c r="S928" s="32">
        <f t="shared" si="270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5"/>
        <v>0</v>
      </c>
      <c r="AF928" s="10"/>
      <c r="AG928" s="10"/>
      <c r="AH928" s="10"/>
      <c r="AI928" s="12">
        <f t="shared" si="271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L929" s="18"/>
      <c r="M929" s="10">
        <v>38</v>
      </c>
      <c r="N929" s="30"/>
      <c r="O929" s="31"/>
      <c r="P929" s="47"/>
      <c r="Q929" s="31"/>
      <c r="R929" s="31"/>
      <c r="S929" s="32">
        <f t="shared" si="270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5"/>
        <v>0</v>
      </c>
      <c r="AF929" s="10"/>
      <c r="AG929" s="10"/>
      <c r="AH929" s="10"/>
      <c r="AI929" s="12">
        <f t="shared" si="271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L930" s="18"/>
      <c r="M930" s="10">
        <v>39</v>
      </c>
      <c r="N930" s="30"/>
      <c r="O930" s="31"/>
      <c r="P930" s="47"/>
      <c r="Q930" s="31"/>
      <c r="R930" s="31"/>
      <c r="S930" s="32">
        <f t="shared" si="270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5"/>
        <v>0</v>
      </c>
      <c r="AF930" s="10"/>
      <c r="AG930" s="10"/>
      <c r="AH930" s="10"/>
      <c r="AI930" s="12">
        <f t="shared" si="271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L931" s="18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1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2">SUM(D932:E932)</f>
        <v>0</v>
      </c>
      <c r="H932" s="10"/>
      <c r="I932" s="10"/>
      <c r="J932" s="10"/>
      <c r="K932" s="12">
        <f t="shared" ref="K932" si="273">SUM(G932:J932)</f>
        <v>0</v>
      </c>
      <c r="L932" s="18"/>
      <c r="M932" s="10"/>
      <c r="N932" s="30"/>
      <c r="O932" s="31"/>
      <c r="P932" s="47"/>
      <c r="Q932" s="31"/>
      <c r="R932" s="31"/>
      <c r="S932" s="32">
        <f t="shared" ref="S932" si="274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5">SUM(AB932:AC932)</f>
        <v>0</v>
      </c>
      <c r="AF932" s="10"/>
      <c r="AG932" s="10"/>
      <c r="AH932" s="10"/>
      <c r="AI932" s="12">
        <f t="shared" si="271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L933" s="18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1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L934" s="18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771126</v>
      </c>
      <c r="E935" s="38">
        <f t="shared" ref="E935:F935" si="276">SUM(E892:E932)</f>
        <v>-5358</v>
      </c>
      <c r="F935" s="38">
        <f t="shared" si="276"/>
        <v>0</v>
      </c>
      <c r="G935" s="38">
        <f>SUM(G892:G934)</f>
        <v>765768</v>
      </c>
      <c r="H935" s="4"/>
      <c r="I935" s="39">
        <f>SUM(I892:I934)</f>
        <v>46248</v>
      </c>
      <c r="J935" s="39">
        <f>SUM(J892:J934)</f>
        <v>-10446</v>
      </c>
      <c r="K935" s="40">
        <f>SUM(K892:K934)</f>
        <v>801570</v>
      </c>
      <c r="L935" s="18"/>
      <c r="N935" s="57"/>
      <c r="O935" s="57"/>
      <c r="P935" s="38">
        <f>SUM(P892:P934)</f>
        <v>203572.5</v>
      </c>
      <c r="Q935" s="38">
        <f>SUM(Q892:Q916)</f>
        <v>0</v>
      </c>
      <c r="R935" s="38">
        <f>SUM(R892:R916)</f>
        <v>0</v>
      </c>
      <c r="S935" s="38">
        <f>SUM(S892:S934)</f>
        <v>203572.5</v>
      </c>
      <c r="T935" s="4"/>
      <c r="U935" s="41">
        <f>SUM(U892:U934)</f>
        <v>1689</v>
      </c>
      <c r="V935" s="41">
        <f>SUM(V892:V916)</f>
        <v>-111</v>
      </c>
      <c r="W935" s="42">
        <f>SUM(W892:W934)</f>
        <v>205150.5</v>
      </c>
      <c r="Z935" s="57"/>
      <c r="AA935" s="57"/>
      <c r="AB935" s="38">
        <f>SUM(AB892:AB934)</f>
        <v>268821</v>
      </c>
      <c r="AC935" s="38">
        <f>SUM(AC892:AC916)</f>
        <v>-2124</v>
      </c>
      <c r="AD935" s="38">
        <f>SUM(AD892:AD916)</f>
        <v>0</v>
      </c>
      <c r="AE935" s="38">
        <f>SUM(AE892:AE934)</f>
        <v>266697</v>
      </c>
      <c r="AF935" s="4"/>
      <c r="AG935" s="41">
        <f>SUM(AG892:AG934)</f>
        <v>1480.5</v>
      </c>
      <c r="AH935" s="41">
        <f>SUM(AH892:AH916)</f>
        <v>-2886</v>
      </c>
      <c r="AI935" s="42">
        <f>SUM(AI892:AI934)</f>
        <v>265291.5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L937" s="18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L938" s="18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L939" s="18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L940" s="18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L941" s="18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51</v>
      </c>
      <c r="B942" s="57"/>
      <c r="C942" s="57"/>
      <c r="D942" s="57"/>
      <c r="E942" s="57"/>
      <c r="G942" s="57"/>
      <c r="I942" s="57" t="s">
        <v>15</v>
      </c>
      <c r="J942" s="19">
        <v>1</v>
      </c>
      <c r="L942" s="18"/>
      <c r="M942" t="s">
        <v>51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51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82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L943" s="18"/>
      <c r="M943" s="21" t="s">
        <v>82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35</v>
      </c>
      <c r="W943" s="24"/>
      <c r="Y943" s="21" t="s">
        <v>82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L944" s="18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5" t="s">
        <v>17</v>
      </c>
      <c r="E945" s="125"/>
      <c r="F945" s="109"/>
      <c r="G945" s="27"/>
      <c r="I945" s="123" t="s">
        <v>18</v>
      </c>
      <c r="J945" s="124"/>
      <c r="K945" s="121" t="s">
        <v>19</v>
      </c>
      <c r="L945" s="18"/>
      <c r="N945" s="25"/>
      <c r="O945" s="26"/>
      <c r="P945" s="125" t="s">
        <v>17</v>
      </c>
      <c r="Q945" s="125"/>
      <c r="R945" s="109"/>
      <c r="S945" s="27"/>
      <c r="U945" s="123" t="s">
        <v>18</v>
      </c>
      <c r="V945" s="124"/>
      <c r="W945" s="121" t="s">
        <v>19</v>
      </c>
      <c r="Z945" s="25"/>
      <c r="AA945" s="26"/>
      <c r="AB945" s="125" t="s">
        <v>17</v>
      </c>
      <c r="AC945" s="125"/>
      <c r="AD945" s="109"/>
      <c r="AE945" s="27"/>
      <c r="AG945" s="123" t="s">
        <v>18</v>
      </c>
      <c r="AH945" s="124"/>
      <c r="AI945" s="121" t="s">
        <v>19</v>
      </c>
      <c r="AK945" s="62"/>
      <c r="AL945" s="65"/>
      <c r="AM945" s="87"/>
      <c r="AN945" s="126"/>
      <c r="AO945" s="126"/>
      <c r="AP945" s="87"/>
      <c r="AQ945" s="84"/>
      <c r="AR945" s="62"/>
      <c r="AS945" s="126"/>
      <c r="AT945" s="126"/>
      <c r="AU945" s="127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2"/>
      <c r="L946" s="18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2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27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83</v>
      </c>
      <c r="C947" s="88">
        <v>7989</v>
      </c>
      <c r="D947" s="32">
        <f>12520+832+190+500</f>
        <v>14042</v>
      </c>
      <c r="E947" s="32"/>
      <c r="F947" s="32"/>
      <c r="G947" s="32">
        <f t="shared" ref="G947:G980" si="277">SUM(D947:E947)</f>
        <v>14042</v>
      </c>
      <c r="H947" s="12"/>
      <c r="I947" s="12">
        <v>270</v>
      </c>
      <c r="J947" s="12"/>
      <c r="K947" s="12">
        <f t="shared" ref="K947:K980" si="278">SUM(G947:J947)</f>
        <v>14312</v>
      </c>
      <c r="L947" s="18"/>
      <c r="M947" s="10">
        <v>1</v>
      </c>
      <c r="N947" s="30" t="s">
        <v>83</v>
      </c>
      <c r="O947" s="31">
        <v>8032</v>
      </c>
      <c r="P947" s="32">
        <f>6260+1228+674</f>
        <v>8162</v>
      </c>
      <c r="Q947" s="32"/>
      <c r="R947" s="32"/>
      <c r="S947" s="32">
        <f>SUM(P947:Q947)</f>
        <v>8162</v>
      </c>
      <c r="T947" s="12"/>
      <c r="U947" s="12"/>
      <c r="V947" s="12"/>
      <c r="W947" s="12">
        <f>SUM(S947:V947)</f>
        <v>8162</v>
      </c>
      <c r="Y947" s="10">
        <v>1</v>
      </c>
      <c r="Z947" s="30" t="s">
        <v>83</v>
      </c>
      <c r="AA947" s="31">
        <v>7891</v>
      </c>
      <c r="AB947" s="32">
        <f>62600+458</f>
        <v>63058</v>
      </c>
      <c r="AC947" s="32">
        <v>-600</v>
      </c>
      <c r="AD947" s="32"/>
      <c r="AE947" s="32">
        <f>SUM(AB947:AC947)</f>
        <v>62458</v>
      </c>
      <c r="AF947" s="12"/>
      <c r="AG947" s="12">
        <v>156</v>
      </c>
      <c r="AH947" s="12"/>
      <c r="AI947" s="12">
        <f>SUM(AE947:AH947)</f>
        <v>62614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83</v>
      </c>
      <c r="C948" s="88">
        <f>C947+1</f>
        <v>7990</v>
      </c>
      <c r="D948" s="32">
        <f>626*13+9.5*13</f>
        <v>8261.5</v>
      </c>
      <c r="E948" s="32"/>
      <c r="F948" s="32"/>
      <c r="G948" s="32">
        <f t="shared" si="277"/>
        <v>8261.5</v>
      </c>
      <c r="H948" s="12"/>
      <c r="I948" s="12"/>
      <c r="J948" s="12"/>
      <c r="K948" s="12">
        <f t="shared" si="278"/>
        <v>8261.5</v>
      </c>
      <c r="L948" s="18"/>
      <c r="M948" s="10">
        <v>2</v>
      </c>
      <c r="N948" s="30" t="s">
        <v>83</v>
      </c>
      <c r="O948" s="31">
        <f>O947+1</f>
        <v>8033</v>
      </c>
      <c r="P948" s="32">
        <f>1878+832+28.5</f>
        <v>2738.5</v>
      </c>
      <c r="Q948" s="32"/>
      <c r="R948" s="32"/>
      <c r="S948" s="32">
        <f t="shared" ref="S948:S979" si="279">SUM(P948:Q948)</f>
        <v>2738.5</v>
      </c>
      <c r="T948" s="12"/>
      <c r="U948" s="12"/>
      <c r="V948" s="12">
        <v>-444</v>
      </c>
      <c r="W948" s="12">
        <f t="shared" ref="W948:W988" si="280">SUM(S948:V948)</f>
        <v>2294.5</v>
      </c>
      <c r="Y948" s="10">
        <v>2</v>
      </c>
      <c r="Z948" s="30" t="s">
        <v>83</v>
      </c>
      <c r="AA948" s="31">
        <f>AA947+1</f>
        <v>7892</v>
      </c>
      <c r="AB948" s="32">
        <f>626*7+229</f>
        <v>4611</v>
      </c>
      <c r="AC948" s="32"/>
      <c r="AD948" s="32"/>
      <c r="AE948" s="32">
        <f t="shared" ref="AE948:AE985" si="281">SUM(AB948:AC948)</f>
        <v>4611</v>
      </c>
      <c r="AF948" s="12"/>
      <c r="AG948" s="12"/>
      <c r="AH948" s="12"/>
      <c r="AI948" s="12">
        <f t="shared" ref="AI948:AI979" si="282">SUM(AE948:AH948)</f>
        <v>4611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83</v>
      </c>
      <c r="C949" s="88">
        <f t="shared" ref="C949:C957" si="283">C948+1</f>
        <v>7991</v>
      </c>
      <c r="D949" s="33">
        <f>626*324+229*13</f>
        <v>205801</v>
      </c>
      <c r="E949" s="33">
        <v>-1944</v>
      </c>
      <c r="F949" s="33"/>
      <c r="G949" s="33">
        <f t="shared" si="277"/>
        <v>203857</v>
      </c>
      <c r="H949" s="34"/>
      <c r="I949" s="34">
        <f>35964+1014</f>
        <v>36978</v>
      </c>
      <c r="J949" s="34"/>
      <c r="K949" s="34">
        <f t="shared" si="278"/>
        <v>240835</v>
      </c>
      <c r="L949" s="18"/>
      <c r="M949" s="10">
        <v>3</v>
      </c>
      <c r="N949" s="30" t="s">
        <v>83</v>
      </c>
      <c r="O949" s="31">
        <f t="shared" ref="O949:O952" si="284">O948+1</f>
        <v>8034</v>
      </c>
      <c r="P949" s="32">
        <f>68860+229</f>
        <v>69089</v>
      </c>
      <c r="Q949" s="32">
        <v>-660</v>
      </c>
      <c r="R949" s="32"/>
      <c r="S949" s="32">
        <f t="shared" si="279"/>
        <v>68429</v>
      </c>
      <c r="T949" s="12"/>
      <c r="U949" s="12">
        <v>837</v>
      </c>
      <c r="V949" s="12"/>
      <c r="W949" s="12">
        <f t="shared" si="280"/>
        <v>69266</v>
      </c>
      <c r="Y949" s="10">
        <v>3</v>
      </c>
      <c r="Z949" s="30" t="s">
        <v>83</v>
      </c>
      <c r="AA949" s="31">
        <f t="shared" ref="AA949:AA956" si="285">AA948+1</f>
        <v>7893</v>
      </c>
      <c r="AB949" s="33">
        <f>31300+5960+1664</f>
        <v>38924</v>
      </c>
      <c r="AC949" s="33"/>
      <c r="AD949" s="32"/>
      <c r="AE949" s="32">
        <f t="shared" si="281"/>
        <v>38924</v>
      </c>
      <c r="AF949" s="12"/>
      <c r="AG949" s="12">
        <v>405</v>
      </c>
      <c r="AH949" s="12"/>
      <c r="AI949" s="12">
        <f t="shared" si="282"/>
        <v>39329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83</v>
      </c>
      <c r="C950" s="88">
        <f t="shared" si="283"/>
        <v>7992</v>
      </c>
      <c r="D950" s="32">
        <f>81380+1300</f>
        <v>82680</v>
      </c>
      <c r="E950" s="32"/>
      <c r="F950" s="32"/>
      <c r="G950" s="32">
        <f t="shared" si="277"/>
        <v>82680</v>
      </c>
      <c r="H950" s="12"/>
      <c r="I950" s="12">
        <f>444+27</f>
        <v>471</v>
      </c>
      <c r="J950" s="12"/>
      <c r="K950" s="12">
        <f t="shared" si="278"/>
        <v>83151</v>
      </c>
      <c r="L950" s="18"/>
      <c r="M950" s="10">
        <v>4</v>
      </c>
      <c r="N950" s="30" t="s">
        <v>83</v>
      </c>
      <c r="O950" s="31">
        <f t="shared" si="284"/>
        <v>8035</v>
      </c>
      <c r="P950" s="32">
        <f>6260+336</f>
        <v>6596</v>
      </c>
      <c r="Q950" s="32"/>
      <c r="R950" s="32"/>
      <c r="S950" s="32">
        <f t="shared" si="279"/>
        <v>6596</v>
      </c>
      <c r="T950" s="12"/>
      <c r="U950" s="12"/>
      <c r="V950" s="12"/>
      <c r="W950" s="12">
        <f t="shared" si="280"/>
        <v>6596</v>
      </c>
      <c r="Y950" s="10">
        <v>4</v>
      </c>
      <c r="Z950" s="30" t="s">
        <v>83</v>
      </c>
      <c r="AA950" s="31">
        <f t="shared" si="285"/>
        <v>7894</v>
      </c>
      <c r="AB950" s="32">
        <f>626*100+614*5+11920+852*3+832*2+229*5+650*5</f>
        <v>86205</v>
      </c>
      <c r="AC950" s="32">
        <v>-780</v>
      </c>
      <c r="AD950" s="32"/>
      <c r="AE950" s="32">
        <f t="shared" si="281"/>
        <v>85425</v>
      </c>
      <c r="AF950" s="12"/>
      <c r="AG950">
        <f>240+144</f>
        <v>384</v>
      </c>
      <c r="AH950" s="12"/>
      <c r="AI950" s="12">
        <f t="shared" si="282"/>
        <v>85809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83</v>
      </c>
      <c r="C951" s="88">
        <f t="shared" si="283"/>
        <v>7993</v>
      </c>
      <c r="D951" s="32">
        <f>45072</f>
        <v>45072</v>
      </c>
      <c r="E951" s="32"/>
      <c r="F951" s="32"/>
      <c r="G951" s="32">
        <f t="shared" si="277"/>
        <v>45072</v>
      </c>
      <c r="H951" s="12"/>
      <c r="I951" s="12"/>
      <c r="J951" s="12"/>
      <c r="K951" s="12">
        <f t="shared" si="278"/>
        <v>45072</v>
      </c>
      <c r="L951" s="18"/>
      <c r="M951" s="10">
        <v>5</v>
      </c>
      <c r="N951" s="30" t="s">
        <v>83</v>
      </c>
      <c r="O951" s="31">
        <f t="shared" si="284"/>
        <v>8036</v>
      </c>
      <c r="P951" s="32">
        <f>68860+1842+5960+852+2496+916</f>
        <v>80926</v>
      </c>
      <c r="Q951" s="32"/>
      <c r="R951" s="32"/>
      <c r="S951" s="32">
        <f t="shared" si="279"/>
        <v>80926</v>
      </c>
      <c r="T951" s="12"/>
      <c r="U951" s="12">
        <f>2886+1566</f>
        <v>4452</v>
      </c>
      <c r="V951" s="12"/>
      <c r="W951" s="12">
        <f t="shared" si="280"/>
        <v>85378</v>
      </c>
      <c r="Y951" s="10">
        <v>5</v>
      </c>
      <c r="Z951" s="30" t="s">
        <v>83</v>
      </c>
      <c r="AA951" s="31">
        <f t="shared" si="285"/>
        <v>7895</v>
      </c>
      <c r="AB951" s="32">
        <f>62600+10050+16640+916</f>
        <v>90206</v>
      </c>
      <c r="AC951" s="32">
        <v>-780</v>
      </c>
      <c r="AD951" s="32"/>
      <c r="AE951" s="32">
        <f t="shared" si="281"/>
        <v>89426</v>
      </c>
      <c r="AF951" s="12"/>
      <c r="AG951" s="12">
        <f>120*19+42</f>
        <v>2322</v>
      </c>
      <c r="AH951" s="12"/>
      <c r="AI951" s="12">
        <f t="shared" si="282"/>
        <v>91748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83</v>
      </c>
      <c r="C952" s="88">
        <f t="shared" si="283"/>
        <v>7994</v>
      </c>
      <c r="D952" s="32">
        <f>7512+114</f>
        <v>7626</v>
      </c>
      <c r="E952" s="32"/>
      <c r="F952" s="32"/>
      <c r="G952" s="32">
        <f t="shared" si="277"/>
        <v>7626</v>
      </c>
      <c r="H952" s="12"/>
      <c r="I952" s="12"/>
      <c r="J952" s="12"/>
      <c r="K952" s="12">
        <f t="shared" si="278"/>
        <v>7626</v>
      </c>
      <c r="L952" s="18"/>
      <c r="M952" s="10">
        <v>6</v>
      </c>
      <c r="N952" s="30" t="s">
        <v>83</v>
      </c>
      <c r="O952" s="31">
        <f t="shared" si="284"/>
        <v>8037</v>
      </c>
      <c r="P952" s="32">
        <f>115810+1175+5960+4260+1832+650</f>
        <v>129687</v>
      </c>
      <c r="Q952" s="32">
        <v>-1206</v>
      </c>
      <c r="R952" s="32"/>
      <c r="S952" s="32">
        <f t="shared" si="279"/>
        <v>128481</v>
      </c>
      <c r="T952" s="12"/>
      <c r="U952" s="12">
        <f>480+6438+546</f>
        <v>7464</v>
      </c>
      <c r="V952" s="10">
        <f>-84+-588+-210</f>
        <v>-882</v>
      </c>
      <c r="W952" s="12">
        <f t="shared" si="280"/>
        <v>135063</v>
      </c>
      <c r="Y952" s="10">
        <v>6</v>
      </c>
      <c r="Z952" s="30" t="s">
        <v>83</v>
      </c>
      <c r="AA952" s="31">
        <f t="shared" si="285"/>
        <v>7896</v>
      </c>
      <c r="AB952" s="32">
        <f>11894+2456+229</f>
        <v>14579</v>
      </c>
      <c r="AC952" s="32"/>
      <c r="AD952" s="32"/>
      <c r="AE952" s="32">
        <f t="shared" si="281"/>
        <v>14579</v>
      </c>
      <c r="AF952" s="12"/>
      <c r="AG952" s="12"/>
      <c r="AH952" s="10"/>
      <c r="AI952" s="12">
        <f t="shared" si="282"/>
        <v>14579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83</v>
      </c>
      <c r="C953" s="88">
        <f t="shared" si="283"/>
        <v>7995</v>
      </c>
      <c r="D953" s="32">
        <f>3756</f>
        <v>3756</v>
      </c>
      <c r="E953" s="32"/>
      <c r="F953" s="32"/>
      <c r="G953" s="32">
        <f t="shared" si="277"/>
        <v>3756</v>
      </c>
      <c r="H953" s="12"/>
      <c r="I953" s="12"/>
      <c r="J953" s="12"/>
      <c r="K953" s="12">
        <f t="shared" si="278"/>
        <v>3756</v>
      </c>
      <c r="L953" s="18"/>
      <c r="M953" s="10">
        <v>7</v>
      </c>
      <c r="N953" s="30"/>
      <c r="O953" s="11" t="s">
        <v>27</v>
      </c>
      <c r="P953" s="32"/>
      <c r="Q953" s="32"/>
      <c r="R953" s="32"/>
      <c r="S953" s="32">
        <f t="shared" si="279"/>
        <v>0</v>
      </c>
      <c r="T953" s="12"/>
      <c r="U953" s="12"/>
      <c r="V953" s="12"/>
      <c r="W953" s="12">
        <f t="shared" si="280"/>
        <v>0</v>
      </c>
      <c r="Y953" s="10">
        <v>7</v>
      </c>
      <c r="Z953" s="30" t="s">
        <v>83</v>
      </c>
      <c r="AA953" s="31">
        <f t="shared" si="285"/>
        <v>7897</v>
      </c>
      <c r="AB953" s="32">
        <f>626*58+614*2+229</f>
        <v>37765</v>
      </c>
      <c r="AC953" s="32"/>
      <c r="AD953" s="32"/>
      <c r="AE953" s="32">
        <f t="shared" si="281"/>
        <v>37765</v>
      </c>
      <c r="AF953" s="12"/>
      <c r="AG953" s="58"/>
      <c r="AH953" s="12"/>
      <c r="AI953" s="12">
        <f t="shared" si="282"/>
        <v>37765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83</v>
      </c>
      <c r="C954" s="88">
        <f t="shared" si="283"/>
        <v>7996</v>
      </c>
      <c r="D954" s="32">
        <f>6260+614+852+832+95</f>
        <v>8653</v>
      </c>
      <c r="E954" s="32"/>
      <c r="F954" s="32"/>
      <c r="G954" s="32">
        <f t="shared" si="277"/>
        <v>8653</v>
      </c>
      <c r="H954" s="12"/>
      <c r="I954" s="12"/>
      <c r="J954" s="12"/>
      <c r="K954" s="12">
        <f t="shared" si="278"/>
        <v>8653</v>
      </c>
      <c r="L954" s="18"/>
      <c r="M954" s="10">
        <v>8</v>
      </c>
      <c r="N954" s="30"/>
      <c r="O954" s="31"/>
      <c r="P954" s="32"/>
      <c r="Q954" s="32"/>
      <c r="R954" s="32"/>
      <c r="S954" s="32">
        <f t="shared" si="279"/>
        <v>0</v>
      </c>
      <c r="T954" s="12"/>
      <c r="U954" s="12"/>
      <c r="V954" s="12"/>
      <c r="W954" s="12">
        <f t="shared" si="280"/>
        <v>0</v>
      </c>
      <c r="Y954" s="10">
        <v>8</v>
      </c>
      <c r="Z954" s="30" t="s">
        <v>83</v>
      </c>
      <c r="AA954" s="31">
        <f t="shared" si="285"/>
        <v>7898</v>
      </c>
      <c r="AB954" s="32">
        <f>35056+11920+458</f>
        <v>47434</v>
      </c>
      <c r="AC954" s="32">
        <v>-456</v>
      </c>
      <c r="AE954" s="32">
        <f t="shared" si="281"/>
        <v>46978</v>
      </c>
      <c r="AF954" s="12"/>
      <c r="AG954" s="12">
        <f>3108+162</f>
        <v>3270</v>
      </c>
      <c r="AH954" s="12"/>
      <c r="AI954" s="12">
        <f t="shared" si="282"/>
        <v>50248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83</v>
      </c>
      <c r="C955" s="88">
        <f t="shared" si="283"/>
        <v>7997</v>
      </c>
      <c r="D955" s="32">
        <f>15650+1826+2980+1005+229+500</f>
        <v>22190</v>
      </c>
      <c r="E955" s="32"/>
      <c r="F955" s="32"/>
      <c r="G955" s="32">
        <f t="shared" si="277"/>
        <v>22190</v>
      </c>
      <c r="H955" s="12"/>
      <c r="I955" s="12">
        <f>1.5*37</f>
        <v>55.5</v>
      </c>
      <c r="J955" s="12"/>
      <c r="K955" s="12">
        <f t="shared" si="278"/>
        <v>22245.5</v>
      </c>
      <c r="L955" s="18"/>
      <c r="M955" s="10">
        <v>9</v>
      </c>
      <c r="N955" s="30"/>
      <c r="O955" s="31"/>
      <c r="P955" s="32"/>
      <c r="Q955" s="32"/>
      <c r="R955" s="32"/>
      <c r="S955" s="32">
        <f t="shared" si="279"/>
        <v>0</v>
      </c>
      <c r="T955" s="12"/>
      <c r="U955" s="12"/>
      <c r="V955" s="12"/>
      <c r="W955" s="12">
        <f t="shared" si="280"/>
        <v>0</v>
      </c>
      <c r="Y955" s="10">
        <v>9</v>
      </c>
      <c r="Z955" s="30" t="s">
        <v>83</v>
      </c>
      <c r="AA955" s="31">
        <f t="shared" si="285"/>
        <v>7899</v>
      </c>
      <c r="AB955">
        <f>67608+25032+1374</f>
        <v>94014</v>
      </c>
      <c r="AC955" s="32"/>
      <c r="AD955" s="32"/>
      <c r="AE955" s="32">
        <f t="shared" si="281"/>
        <v>94014</v>
      </c>
      <c r="AF955" s="12"/>
      <c r="AG955">
        <f>16650+468</f>
        <v>17118</v>
      </c>
      <c r="AH955" s="12"/>
      <c r="AI955" s="12">
        <f t="shared" si="282"/>
        <v>111132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83</v>
      </c>
      <c r="C956" s="88">
        <f t="shared" si="283"/>
        <v>7998</v>
      </c>
      <c r="D956" s="32">
        <f>2739+1005+832</f>
        <v>4576</v>
      </c>
      <c r="E956" s="32"/>
      <c r="F956" s="32"/>
      <c r="G956" s="32">
        <f t="shared" si="277"/>
        <v>4576</v>
      </c>
      <c r="H956" s="12"/>
      <c r="I956" s="12"/>
      <c r="J956" s="12"/>
      <c r="K956" s="12">
        <f t="shared" si="278"/>
        <v>4576</v>
      </c>
      <c r="L956" s="18"/>
      <c r="M956" s="10">
        <v>10</v>
      </c>
      <c r="N956" s="30"/>
      <c r="O956" s="31"/>
      <c r="P956" s="32"/>
      <c r="Q956" s="32"/>
      <c r="R956" s="32"/>
      <c r="S956" s="32">
        <f t="shared" si="279"/>
        <v>0</v>
      </c>
      <c r="T956" s="12"/>
      <c r="U956" s="12"/>
      <c r="V956" s="12"/>
      <c r="W956" s="12">
        <f t="shared" si="280"/>
        <v>0</v>
      </c>
      <c r="Y956" s="10">
        <v>10</v>
      </c>
      <c r="Z956" s="30" t="s">
        <v>83</v>
      </c>
      <c r="AA956" s="31">
        <f t="shared" si="285"/>
        <v>7900</v>
      </c>
      <c r="AB956" s="32">
        <f>614</f>
        <v>614</v>
      </c>
      <c r="AC956" s="32"/>
      <c r="AD956" s="32"/>
      <c r="AE956" s="32">
        <f t="shared" si="281"/>
        <v>614</v>
      </c>
      <c r="AF956" s="12"/>
      <c r="AG956" s="12"/>
      <c r="AH956" s="12"/>
      <c r="AI956" s="12">
        <f t="shared" si="282"/>
        <v>614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83</v>
      </c>
      <c r="C957" s="88">
        <f t="shared" si="283"/>
        <v>7999</v>
      </c>
      <c r="D957" s="32">
        <f>45650+852+3015+832</f>
        <v>50349</v>
      </c>
      <c r="E957" s="32"/>
      <c r="F957" s="32"/>
      <c r="G957" s="32">
        <f t="shared" si="277"/>
        <v>50349</v>
      </c>
      <c r="H957" s="12"/>
      <c r="I957" s="12"/>
      <c r="J957" s="12"/>
      <c r="K957" s="12">
        <f t="shared" si="278"/>
        <v>50349</v>
      </c>
      <c r="L957" s="18"/>
      <c r="M957" s="10">
        <v>11</v>
      </c>
      <c r="N957" s="30"/>
      <c r="O957" s="31"/>
      <c r="P957" s="32"/>
      <c r="Q957" s="32"/>
      <c r="R957" s="32"/>
      <c r="S957" s="32">
        <f t="shared" si="279"/>
        <v>0</v>
      </c>
      <c r="T957" s="12"/>
      <c r="U957" s="12"/>
      <c r="V957" s="12"/>
      <c r="W957" s="12">
        <f t="shared" si="280"/>
        <v>0</v>
      </c>
      <c r="Y957" s="10">
        <v>11</v>
      </c>
      <c r="Z957" s="30"/>
      <c r="AA957" s="11" t="s">
        <v>27</v>
      </c>
      <c r="AB957" s="32"/>
      <c r="AC957" s="32"/>
      <c r="AD957" s="32"/>
      <c r="AE957" s="32">
        <f t="shared" si="281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7"/>
        <v>0</v>
      </c>
      <c r="H958" s="12"/>
      <c r="I958" s="12"/>
      <c r="J958" s="10"/>
      <c r="K958" s="12">
        <f t="shared" si="278"/>
        <v>0</v>
      </c>
      <c r="L958" s="18"/>
      <c r="M958" s="10">
        <v>12</v>
      </c>
      <c r="N958" s="30"/>
      <c r="O958" s="31"/>
      <c r="P958" s="32"/>
      <c r="Q958" s="32"/>
      <c r="R958" s="32"/>
      <c r="S958" s="32">
        <f t="shared" si="279"/>
        <v>0</v>
      </c>
      <c r="T958" s="12"/>
      <c r="U958" s="12"/>
      <c r="V958" s="12"/>
      <c r="W958" s="12">
        <f t="shared" si="280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1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8"/>
      <c r="D959" s="32"/>
      <c r="E959" s="32"/>
      <c r="F959" s="32"/>
      <c r="G959" s="32">
        <f t="shared" si="277"/>
        <v>0</v>
      </c>
      <c r="H959" s="12"/>
      <c r="I959" s="12"/>
      <c r="J959" s="12"/>
      <c r="K959" s="12">
        <f t="shared" si="278"/>
        <v>0</v>
      </c>
      <c r="L959" s="18"/>
      <c r="M959" s="10">
        <v>13</v>
      </c>
      <c r="N959" s="30"/>
      <c r="O959" s="31"/>
      <c r="P959" s="32"/>
      <c r="Q959" s="32"/>
      <c r="R959" s="32"/>
      <c r="S959" s="32">
        <f t="shared" si="279"/>
        <v>0</v>
      </c>
      <c r="T959" s="12"/>
      <c r="U959" s="12"/>
      <c r="V959" s="12"/>
      <c r="W959" s="12">
        <f t="shared" si="280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1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8"/>
      <c r="D960" s="32"/>
      <c r="E960" s="32"/>
      <c r="F960" s="32"/>
      <c r="G960" s="32">
        <f t="shared" si="277"/>
        <v>0</v>
      </c>
      <c r="H960" s="12"/>
      <c r="I960" s="12"/>
      <c r="J960" s="12"/>
      <c r="K960" s="12">
        <f t="shared" si="278"/>
        <v>0</v>
      </c>
      <c r="L960" s="18"/>
      <c r="M960" s="10">
        <v>14</v>
      </c>
      <c r="N960" s="30"/>
      <c r="O960" s="31"/>
      <c r="P960" s="32"/>
      <c r="Q960" s="32"/>
      <c r="R960" s="32"/>
      <c r="S960" s="32">
        <f t="shared" si="279"/>
        <v>0</v>
      </c>
      <c r="T960" s="12"/>
      <c r="U960" s="12"/>
      <c r="V960" s="12"/>
      <c r="W960" s="12">
        <f t="shared" si="280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1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8"/>
      <c r="D961" s="32"/>
      <c r="E961" s="32"/>
      <c r="F961" s="32"/>
      <c r="G961" s="32">
        <f t="shared" si="277"/>
        <v>0</v>
      </c>
      <c r="H961" s="12"/>
      <c r="I961" s="12"/>
      <c r="J961" s="12"/>
      <c r="K961" s="12">
        <f t="shared" si="278"/>
        <v>0</v>
      </c>
      <c r="L961" s="18"/>
      <c r="M961" s="10">
        <v>15</v>
      </c>
      <c r="N961" s="30"/>
      <c r="O961" s="31"/>
      <c r="P961" s="32"/>
      <c r="Q961" s="32"/>
      <c r="R961" s="32"/>
      <c r="S961" s="32">
        <f t="shared" si="279"/>
        <v>0</v>
      </c>
      <c r="T961" s="12"/>
      <c r="U961" s="12"/>
      <c r="V961" s="12"/>
      <c r="W961" s="12">
        <f t="shared" si="280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1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88"/>
      <c r="D962" s="32"/>
      <c r="E962" s="32"/>
      <c r="F962" s="32"/>
      <c r="G962" s="32">
        <f t="shared" si="277"/>
        <v>0</v>
      </c>
      <c r="H962" s="12"/>
      <c r="I962" s="12"/>
      <c r="J962" s="12"/>
      <c r="K962" s="12">
        <f t="shared" si="278"/>
        <v>0</v>
      </c>
      <c r="L962" s="18"/>
      <c r="M962" s="10">
        <v>16</v>
      </c>
      <c r="N962" s="30"/>
      <c r="O962" s="31"/>
      <c r="P962" s="32"/>
      <c r="Q962" s="32"/>
      <c r="R962" s="32"/>
      <c r="S962" s="32">
        <f t="shared" si="279"/>
        <v>0</v>
      </c>
      <c r="T962" s="12"/>
      <c r="U962" s="12"/>
      <c r="V962" s="12"/>
      <c r="W962" s="12">
        <f t="shared" si="280"/>
        <v>0</v>
      </c>
      <c r="Y962" s="10">
        <v>16</v>
      </c>
      <c r="Z962" s="30"/>
      <c r="AB962" s="32"/>
      <c r="AC962" s="32"/>
      <c r="AD962" s="32"/>
      <c r="AE962" s="32">
        <f t="shared" si="281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8"/>
      <c r="D963" s="32"/>
      <c r="E963" s="32"/>
      <c r="F963" s="32"/>
      <c r="G963" s="32">
        <f t="shared" si="277"/>
        <v>0</v>
      </c>
      <c r="H963" s="12"/>
      <c r="I963" s="12"/>
      <c r="J963" s="12"/>
      <c r="K963" s="12">
        <f t="shared" si="278"/>
        <v>0</v>
      </c>
      <c r="L963" s="18"/>
      <c r="M963" s="10">
        <v>17</v>
      </c>
      <c r="N963" s="30"/>
      <c r="O963" s="31"/>
      <c r="P963" s="35"/>
      <c r="Q963" s="32"/>
      <c r="R963" s="32"/>
      <c r="S963" s="32">
        <f t="shared" si="279"/>
        <v>0</v>
      </c>
      <c r="T963" s="12"/>
      <c r="U963" s="12"/>
      <c r="V963" s="12"/>
      <c r="W963" s="12">
        <f t="shared" si="280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1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8"/>
      <c r="D964" s="32"/>
      <c r="E964" s="32"/>
      <c r="F964" s="32"/>
      <c r="G964" s="32">
        <f t="shared" si="277"/>
        <v>0</v>
      </c>
      <c r="H964" s="12"/>
      <c r="I964" s="12"/>
      <c r="J964" s="12"/>
      <c r="K964" s="12">
        <f t="shared" si="278"/>
        <v>0</v>
      </c>
      <c r="L964" s="18"/>
      <c r="M964" s="10">
        <v>18</v>
      </c>
      <c r="N964" s="30"/>
      <c r="O964" s="31"/>
      <c r="P964" s="32"/>
      <c r="Q964" s="32"/>
      <c r="R964" s="32"/>
      <c r="S964" s="32">
        <f t="shared" si="279"/>
        <v>0</v>
      </c>
      <c r="T964" s="12"/>
      <c r="U964" s="12"/>
      <c r="V964" s="12"/>
      <c r="W964" s="12">
        <f t="shared" si="280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1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8"/>
      <c r="D965" s="32"/>
      <c r="E965" s="32"/>
      <c r="F965" s="32"/>
      <c r="G965" s="32">
        <f t="shared" si="277"/>
        <v>0</v>
      </c>
      <c r="H965" s="12"/>
      <c r="I965" s="12"/>
      <c r="J965" s="12"/>
      <c r="K965" s="12">
        <f t="shared" si="278"/>
        <v>0</v>
      </c>
      <c r="L965" s="18"/>
      <c r="M965" s="10">
        <v>19</v>
      </c>
      <c r="N965" s="30"/>
      <c r="O965" s="31"/>
      <c r="P965" s="32"/>
      <c r="Q965" s="32"/>
      <c r="R965" s="32"/>
      <c r="S965" s="32">
        <f t="shared" si="279"/>
        <v>0</v>
      </c>
      <c r="T965" s="12"/>
      <c r="U965" s="12"/>
      <c r="V965" s="12"/>
      <c r="W965" s="12">
        <f t="shared" si="280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1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8"/>
      <c r="D966" s="32"/>
      <c r="E966" s="32"/>
      <c r="F966" s="32"/>
      <c r="G966" s="32">
        <f t="shared" si="277"/>
        <v>0</v>
      </c>
      <c r="H966" s="12"/>
      <c r="I966" s="12"/>
      <c r="J966" s="12"/>
      <c r="K966" s="12">
        <f t="shared" si="278"/>
        <v>0</v>
      </c>
      <c r="L966" s="18"/>
      <c r="M966" s="10">
        <v>20</v>
      </c>
      <c r="N966" s="30"/>
      <c r="O966" s="31"/>
      <c r="P966" s="32"/>
      <c r="Q966" s="32"/>
      <c r="R966" s="32"/>
      <c r="S966" s="32">
        <f t="shared" si="279"/>
        <v>0</v>
      </c>
      <c r="T966" s="12"/>
      <c r="U966" s="12"/>
      <c r="V966" s="12"/>
      <c r="W966" s="12">
        <f t="shared" si="280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1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D967" s="32"/>
      <c r="E967" s="32"/>
      <c r="F967" s="32"/>
      <c r="G967" s="32">
        <f t="shared" si="277"/>
        <v>0</v>
      </c>
      <c r="H967" s="10"/>
      <c r="I967" s="10"/>
      <c r="J967" s="10"/>
      <c r="K967" s="12">
        <f t="shared" si="278"/>
        <v>0</v>
      </c>
      <c r="L967" s="18"/>
      <c r="M967" s="10">
        <v>21</v>
      </c>
      <c r="N967" s="30"/>
      <c r="P967" s="46"/>
      <c r="Q967" s="31"/>
      <c r="R967" s="31"/>
      <c r="S967" s="32">
        <f t="shared" si="279"/>
        <v>0</v>
      </c>
      <c r="T967" s="10"/>
      <c r="U967" s="10"/>
      <c r="V967" s="10"/>
      <c r="W967" s="12">
        <f t="shared" si="280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1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8"/>
      <c r="D968" s="32"/>
      <c r="E968" s="32"/>
      <c r="F968" s="32"/>
      <c r="G968" s="32">
        <f t="shared" si="277"/>
        <v>0</v>
      </c>
      <c r="H968" s="10"/>
      <c r="I968" s="10"/>
      <c r="J968" s="10"/>
      <c r="K968" s="12">
        <f t="shared" si="278"/>
        <v>0</v>
      </c>
      <c r="L968" s="18"/>
      <c r="M968" s="10">
        <v>22</v>
      </c>
      <c r="N968" s="30"/>
      <c r="O968" s="31"/>
      <c r="P968" s="45"/>
      <c r="Q968" s="31"/>
      <c r="R968" s="31"/>
      <c r="S968" s="32">
        <f t="shared" si="279"/>
        <v>0</v>
      </c>
      <c r="T968" s="10"/>
      <c r="U968" s="10"/>
      <c r="V968" s="10"/>
      <c r="W968" s="12">
        <f t="shared" si="280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1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8"/>
      <c r="D969" s="32"/>
      <c r="E969" s="32"/>
      <c r="F969" s="32"/>
      <c r="G969" s="32">
        <f t="shared" si="277"/>
        <v>0</v>
      </c>
      <c r="H969" s="10"/>
      <c r="I969" s="10"/>
      <c r="J969" s="12"/>
      <c r="K969" s="12">
        <f t="shared" si="278"/>
        <v>0</v>
      </c>
      <c r="L969" s="18"/>
      <c r="M969" s="10">
        <v>23</v>
      </c>
      <c r="N969" s="30"/>
      <c r="O969" s="31"/>
      <c r="P969" s="47"/>
      <c r="S969" s="32">
        <f t="shared" si="279"/>
        <v>0</v>
      </c>
      <c r="T969" s="10"/>
      <c r="U969" s="10"/>
      <c r="V969" s="10"/>
      <c r="W969" s="12">
        <f t="shared" si="280"/>
        <v>0</v>
      </c>
      <c r="Y969" s="10">
        <v>23</v>
      </c>
      <c r="Z969" s="30"/>
      <c r="AA969" s="31"/>
      <c r="AB969" s="47"/>
      <c r="AE969" s="32">
        <f t="shared" si="281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57"/>
      <c r="D970" s="32"/>
      <c r="E970" s="32"/>
      <c r="F970" s="32"/>
      <c r="G970" s="32">
        <f t="shared" si="277"/>
        <v>0</v>
      </c>
      <c r="H970" s="10"/>
      <c r="I970" s="10"/>
      <c r="J970" s="10"/>
      <c r="K970" s="12">
        <f t="shared" si="278"/>
        <v>0</v>
      </c>
      <c r="L970" s="18"/>
      <c r="M970" s="10">
        <v>24</v>
      </c>
      <c r="N970" s="30"/>
      <c r="O970" s="31"/>
      <c r="P970" s="47"/>
      <c r="Q970" s="31"/>
      <c r="R970" s="31"/>
      <c r="S970" s="32">
        <f t="shared" si="279"/>
        <v>0</v>
      </c>
      <c r="T970" s="10"/>
      <c r="U970" s="10"/>
      <c r="V970" s="10"/>
      <c r="W970" s="12">
        <f t="shared" si="280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1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7"/>
        <v>0</v>
      </c>
      <c r="H971" s="10"/>
      <c r="I971" s="10"/>
      <c r="J971" s="10"/>
      <c r="K971" s="12">
        <f t="shared" si="278"/>
        <v>0</v>
      </c>
      <c r="L971" s="18"/>
      <c r="M971" s="10">
        <v>25</v>
      </c>
      <c r="N971" s="30"/>
      <c r="P971" s="47"/>
      <c r="Q971" s="31"/>
      <c r="R971" s="31"/>
      <c r="S971" s="32">
        <f t="shared" si="279"/>
        <v>0</v>
      </c>
      <c r="T971" s="10"/>
      <c r="U971" s="10"/>
      <c r="V971" s="10"/>
      <c r="W971" s="12">
        <f t="shared" si="280"/>
        <v>0</v>
      </c>
      <c r="Y971" s="10">
        <v>25</v>
      </c>
      <c r="Z971" s="30"/>
      <c r="AB971" s="47"/>
      <c r="AC971" s="31"/>
      <c r="AD971" s="31"/>
      <c r="AE971" s="32">
        <f t="shared" si="281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11"/>
      <c r="D972" s="32"/>
      <c r="E972" s="32"/>
      <c r="F972" s="32"/>
      <c r="G972" s="32">
        <f t="shared" si="277"/>
        <v>0</v>
      </c>
      <c r="H972" s="10"/>
      <c r="I972" s="10"/>
      <c r="J972" s="10"/>
      <c r="K972" s="12">
        <f t="shared" si="278"/>
        <v>0</v>
      </c>
      <c r="L972" s="18"/>
      <c r="M972" s="10">
        <v>26</v>
      </c>
      <c r="N972" s="30"/>
      <c r="P972" s="47"/>
      <c r="Q972" s="31"/>
      <c r="R972" s="31"/>
      <c r="S972" s="32">
        <f t="shared" si="279"/>
        <v>0</v>
      </c>
      <c r="T972" s="10"/>
      <c r="U972" s="10"/>
      <c r="V972" s="10"/>
      <c r="W972" s="12">
        <f t="shared" si="280"/>
        <v>0</v>
      </c>
      <c r="Y972" s="10">
        <v>26</v>
      </c>
      <c r="Z972" s="30"/>
      <c r="AB972" s="47"/>
      <c r="AC972" s="31"/>
      <c r="AD972" s="31"/>
      <c r="AE972" s="32">
        <f t="shared" si="281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57"/>
      <c r="D973" s="32"/>
      <c r="E973" s="32"/>
      <c r="F973" s="32"/>
      <c r="G973" s="32">
        <f t="shared" si="277"/>
        <v>0</v>
      </c>
      <c r="H973" s="10"/>
      <c r="I973" s="10"/>
      <c r="J973" s="10"/>
      <c r="K973" s="12">
        <f t="shared" si="278"/>
        <v>0</v>
      </c>
      <c r="L973" s="18"/>
      <c r="M973" s="10">
        <v>27</v>
      </c>
      <c r="N973" s="30"/>
      <c r="O973" s="31"/>
      <c r="P973" s="47"/>
      <c r="Q973" s="31"/>
      <c r="R973" s="31"/>
      <c r="S973" s="32">
        <f t="shared" si="279"/>
        <v>0</v>
      </c>
      <c r="T973" s="10"/>
      <c r="U973" s="10"/>
      <c r="V973" s="10"/>
      <c r="W973" s="12">
        <f t="shared" si="280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1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7"/>
        <v>0</v>
      </c>
      <c r="H974" s="10"/>
      <c r="I974" s="10"/>
      <c r="J974" s="10"/>
      <c r="K974" s="12">
        <f t="shared" si="278"/>
        <v>0</v>
      </c>
      <c r="L974" s="18"/>
      <c r="M974" s="10">
        <v>28</v>
      </c>
      <c r="N974" s="30"/>
      <c r="O974" s="31"/>
      <c r="P974" s="47"/>
      <c r="Q974" s="31"/>
      <c r="R974" s="31"/>
      <c r="S974" s="32">
        <f t="shared" si="279"/>
        <v>0</v>
      </c>
      <c r="T974" s="10"/>
      <c r="U974" s="10"/>
      <c r="V974" s="10"/>
      <c r="W974" s="12">
        <f t="shared" si="280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1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7"/>
        <v>0</v>
      </c>
      <c r="H975" s="10"/>
      <c r="I975" s="10"/>
      <c r="J975" s="10"/>
      <c r="K975" s="12">
        <f t="shared" si="278"/>
        <v>0</v>
      </c>
      <c r="L975" s="18"/>
      <c r="M975" s="10">
        <v>29</v>
      </c>
      <c r="N975" s="30"/>
      <c r="P975" s="47"/>
      <c r="Q975" s="31"/>
      <c r="R975" s="31"/>
      <c r="S975" s="32">
        <f t="shared" si="279"/>
        <v>0</v>
      </c>
      <c r="T975" s="10"/>
      <c r="U975" s="10"/>
      <c r="V975" s="10"/>
      <c r="W975" s="12">
        <f t="shared" si="280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1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7"/>
        <v>0</v>
      </c>
      <c r="H976" s="10"/>
      <c r="I976" s="10"/>
      <c r="J976" s="10"/>
      <c r="K976" s="12">
        <f t="shared" si="278"/>
        <v>0</v>
      </c>
      <c r="L976" s="18"/>
      <c r="M976" s="10">
        <v>30</v>
      </c>
      <c r="N976" s="30"/>
      <c r="P976" s="47"/>
      <c r="Q976" s="31"/>
      <c r="R976" s="31"/>
      <c r="S976" s="32">
        <f t="shared" si="279"/>
        <v>0</v>
      </c>
      <c r="T976" s="10"/>
      <c r="U976" s="10"/>
      <c r="V976" s="10"/>
      <c r="W976" s="12">
        <f t="shared" si="280"/>
        <v>0</v>
      </c>
      <c r="Y976" s="10">
        <v>30</v>
      </c>
      <c r="Z976" s="30"/>
      <c r="AB976" s="47"/>
      <c r="AC976" s="31"/>
      <c r="AD976" s="31"/>
      <c r="AE976" s="32">
        <f t="shared" si="281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57"/>
      <c r="D977" s="32"/>
      <c r="E977" s="32"/>
      <c r="F977" s="32"/>
      <c r="G977" s="32">
        <f t="shared" si="277"/>
        <v>0</v>
      </c>
      <c r="H977" s="10"/>
      <c r="I977" s="10"/>
      <c r="J977" s="10"/>
      <c r="K977" s="12">
        <f t="shared" si="278"/>
        <v>0</v>
      </c>
      <c r="L977" s="18"/>
      <c r="M977" s="10">
        <v>31</v>
      </c>
      <c r="N977" s="30"/>
      <c r="O977" s="31"/>
      <c r="P977" s="47"/>
      <c r="Q977" s="31"/>
      <c r="R977" s="31"/>
      <c r="S977" s="32">
        <f t="shared" si="279"/>
        <v>0</v>
      </c>
      <c r="T977" s="10"/>
      <c r="U977" s="10"/>
      <c r="V977" s="10"/>
      <c r="W977" s="12">
        <f t="shared" si="280"/>
        <v>0</v>
      </c>
      <c r="Y977" s="10">
        <v>31</v>
      </c>
      <c r="Z977" s="30"/>
      <c r="AB977" s="47"/>
      <c r="AC977" s="31"/>
      <c r="AD977" s="31"/>
      <c r="AE977" s="32">
        <f t="shared" si="281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31"/>
      <c r="D978" s="32"/>
      <c r="E978" s="32"/>
      <c r="F978" s="32"/>
      <c r="G978" s="32">
        <f t="shared" si="277"/>
        <v>0</v>
      </c>
      <c r="H978" s="10"/>
      <c r="I978" s="10"/>
      <c r="J978" s="10"/>
      <c r="K978" s="12">
        <f t="shared" si="278"/>
        <v>0</v>
      </c>
      <c r="L978" s="18"/>
      <c r="M978" s="10">
        <v>32</v>
      </c>
      <c r="N978" s="30"/>
      <c r="P978" s="47"/>
      <c r="Q978" s="31"/>
      <c r="R978" s="31"/>
      <c r="S978" s="32">
        <f t="shared" si="279"/>
        <v>0</v>
      </c>
      <c r="T978" s="10"/>
      <c r="U978" s="10"/>
      <c r="V978" s="10"/>
      <c r="W978" s="12">
        <f t="shared" si="280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1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57"/>
      <c r="D979" s="32"/>
      <c r="E979" s="32"/>
      <c r="F979" s="32"/>
      <c r="G979" s="32">
        <f t="shared" si="277"/>
        <v>0</v>
      </c>
      <c r="H979" s="10"/>
      <c r="I979" s="10"/>
      <c r="J979" s="10"/>
      <c r="K979" s="12">
        <f t="shared" si="278"/>
        <v>0</v>
      </c>
      <c r="L979" s="18"/>
      <c r="M979" s="10">
        <v>33</v>
      </c>
      <c r="N979" s="30"/>
      <c r="O979" s="31"/>
      <c r="P979" s="47"/>
      <c r="Q979" s="31"/>
      <c r="R979" s="31"/>
      <c r="S979" s="32">
        <f t="shared" si="279"/>
        <v>0</v>
      </c>
      <c r="T979" s="10"/>
      <c r="U979" s="10"/>
      <c r="V979" s="10"/>
      <c r="W979" s="12">
        <f t="shared" si="280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1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57"/>
      <c r="D980" s="32"/>
      <c r="E980" s="32"/>
      <c r="F980" s="32"/>
      <c r="G980" s="32">
        <f t="shared" si="277"/>
        <v>0</v>
      </c>
      <c r="H980" s="10"/>
      <c r="I980" s="10"/>
      <c r="J980" s="10"/>
      <c r="K980" s="12">
        <f t="shared" si="278"/>
        <v>0</v>
      </c>
      <c r="L980" s="18"/>
      <c r="M980" s="10">
        <v>34</v>
      </c>
      <c r="N980" s="30"/>
      <c r="O980" s="31"/>
      <c r="P980" s="47"/>
      <c r="Q980" s="31"/>
      <c r="R980" s="31"/>
      <c r="S980" s="32">
        <f t="shared" ref="S980:S985" si="286">SUM(P980:Q980)</f>
        <v>0</v>
      </c>
      <c r="T980" s="10"/>
      <c r="U980" s="10"/>
      <c r="V980" s="10"/>
      <c r="W980" s="12">
        <f t="shared" si="280"/>
        <v>0</v>
      </c>
      <c r="Y980" s="10">
        <v>34</v>
      </c>
      <c r="Z980" s="30"/>
      <c r="AB980" s="47"/>
      <c r="AC980" s="31"/>
      <c r="AD980" s="31"/>
      <c r="AE980" s="32">
        <f t="shared" si="281"/>
        <v>0</v>
      </c>
      <c r="AF980" s="10"/>
      <c r="AG980" s="10"/>
      <c r="AH980" s="10"/>
      <c r="AI980" s="12">
        <f t="shared" ref="AI980:AI988" si="287">SUM(AE980:AH980)</f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L981" s="18"/>
      <c r="M981" s="10">
        <v>35</v>
      </c>
      <c r="N981" s="30"/>
      <c r="O981" s="31"/>
      <c r="P981" s="47"/>
      <c r="Q981" s="31"/>
      <c r="R981" s="31"/>
      <c r="S981" s="32">
        <f t="shared" si="286"/>
        <v>0</v>
      </c>
      <c r="T981" s="10"/>
      <c r="U981" s="10"/>
      <c r="V981" s="10"/>
      <c r="W981" s="12">
        <f t="shared" si="280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1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L982" s="18"/>
      <c r="M982" s="10">
        <v>36</v>
      </c>
      <c r="N982" s="30"/>
      <c r="O982" s="31"/>
      <c r="P982" s="47"/>
      <c r="Q982" s="31"/>
      <c r="R982" s="31"/>
      <c r="S982" s="32">
        <f t="shared" si="286"/>
        <v>0</v>
      </c>
      <c r="T982" s="10"/>
      <c r="U982" s="10"/>
      <c r="V982" s="10"/>
      <c r="W982" s="12">
        <f t="shared" si="280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1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L983" s="18"/>
      <c r="M983" s="10">
        <v>37</v>
      </c>
      <c r="N983" s="30"/>
      <c r="P983" s="47"/>
      <c r="Q983" s="31"/>
      <c r="R983" s="31"/>
      <c r="S983" s="32">
        <f t="shared" si="286"/>
        <v>0</v>
      </c>
      <c r="T983" s="10"/>
      <c r="U983" s="10"/>
      <c r="V983" s="10"/>
      <c r="W983" s="12">
        <f t="shared" si="280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1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L984" s="18"/>
      <c r="M984" s="10">
        <v>38</v>
      </c>
      <c r="N984" s="30"/>
      <c r="O984" s="31"/>
      <c r="P984" s="47"/>
      <c r="Q984" s="31"/>
      <c r="R984" s="31"/>
      <c r="S984" s="32">
        <f t="shared" si="286"/>
        <v>0</v>
      </c>
      <c r="T984" s="10"/>
      <c r="U984" s="10"/>
      <c r="V984" s="10"/>
      <c r="W984" s="12">
        <f t="shared" si="280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1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L985" s="18"/>
      <c r="M985" s="10">
        <v>39</v>
      </c>
      <c r="N985" s="30"/>
      <c r="O985" s="31"/>
      <c r="P985" s="47"/>
      <c r="Q985" s="31"/>
      <c r="R985" s="31"/>
      <c r="S985" s="32">
        <f t="shared" si="286"/>
        <v>0</v>
      </c>
      <c r="T985" s="10"/>
      <c r="U985" s="10"/>
      <c r="V985" s="10"/>
      <c r="W985" s="12">
        <f t="shared" si="280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1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L986" s="18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80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L987" s="18"/>
      <c r="M987" s="10"/>
      <c r="N987" s="30"/>
      <c r="O987" s="31"/>
      <c r="P987" s="47"/>
      <c r="Q987" s="31"/>
      <c r="R987" s="31"/>
      <c r="S987" s="32">
        <f t="shared" ref="S987" si="290">SUM(P987:Q987)</f>
        <v>0</v>
      </c>
      <c r="T987" s="10"/>
      <c r="U987" s="10"/>
      <c r="V987" s="10"/>
      <c r="W987" s="12">
        <f t="shared" si="280"/>
        <v>0</v>
      </c>
      <c r="Y987" s="10"/>
      <c r="Z987" s="30"/>
      <c r="AA987" s="31"/>
      <c r="AB987" s="47"/>
      <c r="AC987" s="31"/>
      <c r="AD987" s="31"/>
      <c r="AE987" s="32">
        <f t="shared" ref="AE987" si="291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L988" s="18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80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L989" s="18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453006.5</v>
      </c>
      <c r="E990" s="38">
        <f t="shared" ref="E990:F990" si="292">SUM(E947:E987)</f>
        <v>-1944</v>
      </c>
      <c r="F990" s="38">
        <f t="shared" si="292"/>
        <v>0</v>
      </c>
      <c r="G990" s="38">
        <f>SUM(G947:G989)</f>
        <v>451062.5</v>
      </c>
      <c r="H990" s="4"/>
      <c r="I990" s="39">
        <f>SUM(I947:I989)</f>
        <v>37774.5</v>
      </c>
      <c r="J990" s="39">
        <f>SUM(J947:J989)</f>
        <v>0</v>
      </c>
      <c r="K990" s="40">
        <f>SUM(K947:K989)</f>
        <v>488837</v>
      </c>
      <c r="L990" s="18"/>
      <c r="N990" s="57"/>
      <c r="O990" s="57"/>
      <c r="P990" s="38">
        <f>SUM(P947:P989)</f>
        <v>297198.5</v>
      </c>
      <c r="Q990" s="38">
        <f>SUM(Q947:Q971)</f>
        <v>-1866</v>
      </c>
      <c r="R990" s="38">
        <f>SUM(R947:R971)</f>
        <v>0</v>
      </c>
      <c r="S990" s="38">
        <f>SUM(S947:S989)</f>
        <v>295332.5</v>
      </c>
      <c r="T990" s="4"/>
      <c r="U990" s="41">
        <f>SUM(U947:U989)</f>
        <v>12753</v>
      </c>
      <c r="V990" s="41">
        <f>SUM(V947:V971)</f>
        <v>-1326</v>
      </c>
      <c r="W990" s="42">
        <f>SUM(W947:W989)</f>
        <v>306759.5</v>
      </c>
      <c r="Z990" s="57"/>
      <c r="AA990" s="57"/>
      <c r="AB990" s="38">
        <f>SUM(AB947:AB989)</f>
        <v>477410</v>
      </c>
      <c r="AC990" s="38">
        <f>SUM(AC947:AC971)</f>
        <v>-2616</v>
      </c>
      <c r="AD990" s="38">
        <f>SUM(AD947:AD971)</f>
        <v>0</v>
      </c>
      <c r="AE990" s="38">
        <f>SUM(AE947:AE989)</f>
        <v>474794</v>
      </c>
      <c r="AF990" s="4"/>
      <c r="AG990" s="41">
        <f>SUM(AG947:AG989)</f>
        <v>23655</v>
      </c>
      <c r="AH990" s="41">
        <f>SUM(AH947:AH971)</f>
        <v>0</v>
      </c>
      <c r="AI990" s="42">
        <f>SUM(AI947:AI989)</f>
        <v>498449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L992" s="18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L993" s="18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L994" s="18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L995" s="18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L996" s="18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34</v>
      </c>
      <c r="B997" s="57"/>
      <c r="C997" s="57"/>
      <c r="D997" s="57"/>
      <c r="E997" s="57"/>
      <c r="G997" s="57"/>
      <c r="I997" s="57" t="s">
        <v>15</v>
      </c>
      <c r="J997" s="19">
        <v>1</v>
      </c>
      <c r="L997" s="18"/>
      <c r="M997" t="s">
        <v>34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85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L998" s="18"/>
      <c r="M998" s="21" t="s">
        <v>85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35</v>
      </c>
      <c r="W998" s="24"/>
      <c r="Y998" s="21" t="s">
        <v>85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L999" s="18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5" t="s">
        <v>17</v>
      </c>
      <c r="E1000" s="125"/>
      <c r="F1000" s="110"/>
      <c r="G1000" s="27"/>
      <c r="I1000" s="123" t="s">
        <v>18</v>
      </c>
      <c r="J1000" s="124"/>
      <c r="K1000" s="121" t="s">
        <v>19</v>
      </c>
      <c r="L1000" s="18"/>
      <c r="N1000" s="25"/>
      <c r="O1000" s="26"/>
      <c r="P1000" s="125" t="s">
        <v>17</v>
      </c>
      <c r="Q1000" s="125"/>
      <c r="R1000" s="110"/>
      <c r="S1000" s="27"/>
      <c r="U1000" s="123" t="s">
        <v>18</v>
      </c>
      <c r="V1000" s="124"/>
      <c r="W1000" s="121" t="s">
        <v>19</v>
      </c>
      <c r="Z1000" s="25"/>
      <c r="AA1000" s="26"/>
      <c r="AB1000" s="125" t="s">
        <v>17</v>
      </c>
      <c r="AC1000" s="125"/>
      <c r="AD1000" s="110"/>
      <c r="AE1000" s="27"/>
      <c r="AG1000" s="123" t="s">
        <v>18</v>
      </c>
      <c r="AH1000" s="124"/>
      <c r="AI1000" s="121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2"/>
      <c r="L1001" s="18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2"/>
      <c r="Z1001" s="28" t="s">
        <v>20</v>
      </c>
      <c r="AA1001" s="28" t="s">
        <v>21</v>
      </c>
      <c r="AB1001" s="79" t="s">
        <v>22</v>
      </c>
      <c r="AC1001" s="80" t="s">
        <v>23</v>
      </c>
      <c r="AD1001" s="80" t="s">
        <v>32</v>
      </c>
      <c r="AE1001" s="80" t="s">
        <v>24</v>
      </c>
      <c r="AG1001" s="29" t="s">
        <v>25</v>
      </c>
      <c r="AH1001" s="29" t="s">
        <v>26</v>
      </c>
      <c r="AI1001" s="12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86</v>
      </c>
      <c r="C1002" s="88">
        <v>8000</v>
      </c>
      <c r="D1002" s="32">
        <f>20658+614</f>
        <v>21272</v>
      </c>
      <c r="E1002" s="32"/>
      <c r="F1002" s="32"/>
      <c r="G1002" s="32">
        <f t="shared" ref="G1002:G1035" si="293">SUM(D1002:E1002)</f>
        <v>21272</v>
      </c>
      <c r="H1002" s="12"/>
      <c r="I1002" s="12"/>
      <c r="J1002" s="12"/>
      <c r="K1002" s="12">
        <f t="shared" ref="K1002:K1035" si="294">SUM(G1002:J1002)</f>
        <v>21272</v>
      </c>
      <c r="L1002" s="18"/>
      <c r="M1002" s="10">
        <v>1</v>
      </c>
      <c r="N1002" s="30" t="s">
        <v>86</v>
      </c>
      <c r="O1002" s="31">
        <v>8038</v>
      </c>
      <c r="P1002" s="32">
        <f>5008+596+832</f>
        <v>6436</v>
      </c>
      <c r="Q1002" s="32"/>
      <c r="R1002" s="32"/>
      <c r="S1002" s="32">
        <f>SUM(P1002:Q1002)</f>
        <v>6436</v>
      </c>
      <c r="T1002" s="12"/>
      <c r="U1002" s="12">
        <f>120+3*111</f>
        <v>453</v>
      </c>
      <c r="V1002" s="12"/>
      <c r="W1002" s="12">
        <f>SUM(S1002:V1002)</f>
        <v>6889</v>
      </c>
      <c r="Y1002" s="10">
        <v>1</v>
      </c>
      <c r="Z1002" s="30" t="s">
        <v>86</v>
      </c>
      <c r="AA1002" s="31">
        <v>7774</v>
      </c>
      <c r="AB1002" s="32">
        <f>56340+5960+687</f>
        <v>62987</v>
      </c>
      <c r="AC1002" s="32"/>
      <c r="AD1002" s="32"/>
      <c r="AE1002" s="32">
        <f>SUM(AB1002:AC1002)</f>
        <v>62987</v>
      </c>
      <c r="AF1002" s="12"/>
      <c r="AG1002" s="12">
        <f>1110+135</f>
        <v>1245</v>
      </c>
      <c r="AH1002" s="12"/>
      <c r="AI1002" s="12">
        <f>SUM(AE1002:AH1002)</f>
        <v>64232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86</v>
      </c>
      <c r="C1003" s="88">
        <v>8051</v>
      </c>
      <c r="D1003" s="32">
        <f>375600+30700+9130+59600+4160+10050+41600+1664+500+2500</f>
        <v>535504</v>
      </c>
      <c r="E1003" s="32"/>
      <c r="F1003" s="32"/>
      <c r="G1003" s="32">
        <f t="shared" si="293"/>
        <v>535504</v>
      </c>
      <c r="H1003" s="12"/>
      <c r="I1003" s="12"/>
      <c r="J1003" s="12"/>
      <c r="K1003" s="12">
        <f t="shared" si="294"/>
        <v>535504</v>
      </c>
      <c r="L1003" s="18"/>
      <c r="M1003" s="10">
        <v>2</v>
      </c>
      <c r="N1003" s="30" t="s">
        <v>86</v>
      </c>
      <c r="O1003" s="31">
        <f>O1002+1</f>
        <v>8039</v>
      </c>
      <c r="P1003" s="32">
        <f>626*3+614+9.5*6</f>
        <v>2549</v>
      </c>
      <c r="Q1003" s="32"/>
      <c r="R1003" s="32"/>
      <c r="S1003" s="32">
        <f t="shared" ref="S1003:S1034" si="295">SUM(P1003:Q1003)</f>
        <v>2549</v>
      </c>
      <c r="T1003" s="12"/>
      <c r="U1003" s="12"/>
      <c r="V1003" s="12">
        <f>-333+-336</f>
        <v>-669</v>
      </c>
      <c r="W1003" s="12">
        <f t="shared" ref="W1003:W1043" si="296">SUM(S1003:V1003)</f>
        <v>1880</v>
      </c>
      <c r="Y1003" s="10">
        <v>2</v>
      </c>
      <c r="Z1003" s="30" t="s">
        <v>86</v>
      </c>
      <c r="AA1003" s="31">
        <f>AA1002+1</f>
        <v>7775</v>
      </c>
      <c r="AB1003" s="32">
        <f>65730+596*22+2496+687</f>
        <v>82025</v>
      </c>
      <c r="AC1003" s="32">
        <v>-780</v>
      </c>
      <c r="AD1003" s="32"/>
      <c r="AE1003" s="32">
        <f t="shared" ref="AE1003:AE1040" si="297">SUM(AB1003:AC1003)</f>
        <v>81245</v>
      </c>
      <c r="AF1003" s="12"/>
      <c r="AG1003" s="12"/>
      <c r="AH1003" s="12">
        <v>-390</v>
      </c>
      <c r="AI1003" s="12">
        <f t="shared" ref="AI1003:AI1034" si="298">SUM(AE1003:AH1003)</f>
        <v>80855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86</v>
      </c>
      <c r="C1004" s="88">
        <f t="shared" ref="C1004:C1006" si="299">C1003+1</f>
        <v>8052</v>
      </c>
      <c r="D1004" s="33">
        <f>1447+1582+1300</f>
        <v>4329</v>
      </c>
      <c r="E1004" s="33"/>
      <c r="F1004" s="33"/>
      <c r="G1004" s="33">
        <f t="shared" si="293"/>
        <v>4329</v>
      </c>
      <c r="H1004" s="34"/>
      <c r="I1004" s="34">
        <f>83250+10080</f>
        <v>93330</v>
      </c>
      <c r="J1004" s="34">
        <f>-120+-2664+-111+-5880+-18564+-2016</f>
        <v>-29355</v>
      </c>
      <c r="K1004" s="34">
        <f t="shared" si="294"/>
        <v>68304</v>
      </c>
      <c r="L1004" s="18"/>
      <c r="M1004" s="10">
        <v>3</v>
      </c>
      <c r="N1004" s="30" t="s">
        <v>86</v>
      </c>
      <c r="O1004" s="31">
        <f t="shared" ref="O1004:O1006" si="300">O1003+1</f>
        <v>8040</v>
      </c>
      <c r="P1004" s="32">
        <f>125200+29800+4260+5824+2290</f>
        <v>167374</v>
      </c>
      <c r="Q1004" s="32">
        <v>-1572</v>
      </c>
      <c r="R1004" s="32"/>
      <c r="S1004" s="32">
        <f t="shared" si="295"/>
        <v>165802</v>
      </c>
      <c r="T1004" s="12"/>
      <c r="U1004" s="12">
        <f>240+702</f>
        <v>942</v>
      </c>
      <c r="V1004" s="12">
        <f>-168+-168</f>
        <v>-336</v>
      </c>
      <c r="W1004" s="12">
        <f t="shared" si="296"/>
        <v>166408</v>
      </c>
      <c r="Y1004" s="10">
        <v>3</v>
      </c>
      <c r="Z1004" s="30" t="s">
        <v>86</v>
      </c>
      <c r="AA1004" s="31">
        <f t="shared" ref="AA1004" si="301">AA1003+1</f>
        <v>7776</v>
      </c>
      <c r="AB1004" s="33">
        <f>626*100+687</f>
        <v>63287</v>
      </c>
      <c r="AC1004" s="33">
        <v>-600</v>
      </c>
      <c r="AD1004" s="32"/>
      <c r="AE1004" s="32">
        <f t="shared" si="297"/>
        <v>62687</v>
      </c>
      <c r="AF1004" s="12"/>
      <c r="AG1004" s="12"/>
      <c r="AH1004" s="12"/>
      <c r="AI1004" s="12">
        <f t="shared" si="298"/>
        <v>62687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86</v>
      </c>
      <c r="C1005" s="88">
        <f t="shared" si="299"/>
        <v>8053</v>
      </c>
      <c r="D1005" s="32">
        <f>1667+1175+1175</f>
        <v>4017</v>
      </c>
      <c r="E1005" s="32"/>
      <c r="F1005" s="32"/>
      <c r="G1005" s="32">
        <f t="shared" si="293"/>
        <v>4017</v>
      </c>
      <c r="H1005" s="12"/>
      <c r="I1005" s="12"/>
      <c r="J1005" s="12"/>
      <c r="K1005" s="12">
        <f t="shared" si="294"/>
        <v>4017</v>
      </c>
      <c r="L1005" s="18"/>
      <c r="M1005" s="10">
        <v>4</v>
      </c>
      <c r="N1005" s="30" t="s">
        <v>86</v>
      </c>
      <c r="O1005" s="31">
        <f t="shared" si="300"/>
        <v>8041</v>
      </c>
      <c r="P1005" s="32">
        <f>20658+229</f>
        <v>20887</v>
      </c>
      <c r="Q1005" s="32"/>
      <c r="R1005" s="32"/>
      <c r="S1005" s="32">
        <f t="shared" si="295"/>
        <v>20887</v>
      </c>
      <c r="T1005" s="12"/>
      <c r="U1005" s="12">
        <v>162</v>
      </c>
      <c r="V1005" s="12"/>
      <c r="W1005" s="12">
        <f t="shared" si="296"/>
        <v>21049</v>
      </c>
      <c r="Y1005" s="10">
        <v>4</v>
      </c>
      <c r="Z1005" s="30"/>
      <c r="AA1005" s="11" t="s">
        <v>27</v>
      </c>
      <c r="AB1005" s="32"/>
      <c r="AC1005" s="32"/>
      <c r="AD1005" s="32"/>
      <c r="AE1005" s="32">
        <f t="shared" si="297"/>
        <v>0</v>
      </c>
      <c r="AF1005" s="12"/>
      <c r="AH1005" s="12"/>
      <c r="AI1005" s="12">
        <f t="shared" si="298"/>
        <v>0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86</v>
      </c>
      <c r="C1006" s="88">
        <f t="shared" si="299"/>
        <v>8054</v>
      </c>
      <c r="D1006" s="32">
        <f>832</f>
        <v>832</v>
      </c>
      <c r="E1006" s="32"/>
      <c r="F1006" s="32"/>
      <c r="G1006" s="32">
        <f t="shared" si="293"/>
        <v>832</v>
      </c>
      <c r="H1006" s="12"/>
      <c r="I1006" s="12"/>
      <c r="J1006" s="12"/>
      <c r="K1006" s="12">
        <f t="shared" si="294"/>
        <v>832</v>
      </c>
      <c r="L1006" s="18"/>
      <c r="M1006" s="10">
        <v>5</v>
      </c>
      <c r="N1006" s="30" t="s">
        <v>86</v>
      </c>
      <c r="O1006" s="31">
        <f t="shared" si="300"/>
        <v>8042</v>
      </c>
      <c r="P1006" s="32">
        <f>62600+4298+6740+1826+1704+2010+1664+650+1175</f>
        <v>82667</v>
      </c>
      <c r="Q1006" s="32"/>
      <c r="R1006" s="32"/>
      <c r="S1006" s="32">
        <f t="shared" si="295"/>
        <v>82667</v>
      </c>
      <c r="T1006" s="12"/>
      <c r="U1006" s="12">
        <f>888+444+108+270+72</f>
        <v>1782</v>
      </c>
      <c r="V1006" s="12"/>
      <c r="W1006" s="12">
        <f t="shared" si="296"/>
        <v>84449</v>
      </c>
      <c r="Y1006" s="10">
        <v>5</v>
      </c>
      <c r="Z1006" s="30"/>
      <c r="AA1006" s="31"/>
      <c r="AB1006" s="32"/>
      <c r="AC1006" s="32"/>
      <c r="AD1006" s="32"/>
      <c r="AE1006" s="32">
        <f t="shared" si="297"/>
        <v>0</v>
      </c>
      <c r="AF1006" s="12"/>
      <c r="AG1006" s="12"/>
      <c r="AH1006" s="12"/>
      <c r="AI1006" s="12">
        <f t="shared" si="298"/>
        <v>0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/>
      <c r="C1007" s="11" t="s">
        <v>27</v>
      </c>
      <c r="D1007" s="32"/>
      <c r="E1007" s="32"/>
      <c r="F1007" s="32"/>
      <c r="G1007" s="32">
        <f t="shared" si="293"/>
        <v>0</v>
      </c>
      <c r="H1007" s="12"/>
      <c r="I1007" s="12"/>
      <c r="J1007" s="12"/>
      <c r="K1007" s="12">
        <f t="shared" si="294"/>
        <v>0</v>
      </c>
      <c r="L1007" s="18"/>
      <c r="M1007" s="10">
        <v>6</v>
      </c>
      <c r="N1007" s="30" t="s">
        <v>86</v>
      </c>
      <c r="O1007" s="31">
        <v>8044</v>
      </c>
      <c r="P1007" s="32">
        <f>626*70+614*4+674*3+596*25+852</f>
        <v>64050</v>
      </c>
      <c r="Q1007" s="32"/>
      <c r="R1007" s="32"/>
      <c r="S1007" s="32">
        <f t="shared" si="295"/>
        <v>64050</v>
      </c>
      <c r="T1007" s="12"/>
      <c r="U1007" s="12">
        <v>405</v>
      </c>
      <c r="V1007" s="10"/>
      <c r="W1007" s="12">
        <f t="shared" si="296"/>
        <v>64455</v>
      </c>
      <c r="Y1007" s="10">
        <v>6</v>
      </c>
      <c r="Z1007" s="30"/>
      <c r="AA1007" s="31"/>
      <c r="AB1007" s="32"/>
      <c r="AC1007" s="32"/>
      <c r="AD1007" s="32"/>
      <c r="AE1007" s="32">
        <f t="shared" si="297"/>
        <v>0</v>
      </c>
      <c r="AF1007" s="12"/>
      <c r="AG1007" s="12"/>
      <c r="AH1007" s="10"/>
      <c r="AI1007" s="12">
        <f t="shared" si="298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/>
      <c r="C1008" s="88"/>
      <c r="D1008" s="32"/>
      <c r="E1008" s="32"/>
      <c r="F1008" s="32"/>
      <c r="G1008" s="32">
        <f t="shared" si="293"/>
        <v>0</v>
      </c>
      <c r="H1008" s="12"/>
      <c r="I1008" s="12"/>
      <c r="J1008" s="12"/>
      <c r="K1008" s="12">
        <f t="shared" si="294"/>
        <v>0</v>
      </c>
      <c r="L1008" s="18"/>
      <c r="M1008" s="10">
        <v>7</v>
      </c>
      <c r="N1008" s="30" t="s">
        <v>86</v>
      </c>
      <c r="O1008" s="31">
        <v>8045</v>
      </c>
      <c r="P1008" s="32">
        <f>6260+95</f>
        <v>6355</v>
      </c>
      <c r="Q1008" s="32"/>
      <c r="R1008" s="32"/>
      <c r="S1008" s="32">
        <f t="shared" si="295"/>
        <v>6355</v>
      </c>
      <c r="T1008" s="12"/>
      <c r="U1008" s="12">
        <v>130.5</v>
      </c>
      <c r="V1008" s="12"/>
      <c r="W1008" s="12">
        <f t="shared" si="296"/>
        <v>6485.5</v>
      </c>
      <c r="Y1008" s="10">
        <v>7</v>
      </c>
      <c r="Z1008" s="30"/>
      <c r="AA1008" s="31"/>
      <c r="AB1008" s="32"/>
      <c r="AC1008" s="32"/>
      <c r="AD1008" s="32"/>
      <c r="AE1008" s="32">
        <f t="shared" si="297"/>
        <v>0</v>
      </c>
      <c r="AF1008" s="12"/>
      <c r="AG1008" s="58"/>
      <c r="AH1008" s="12"/>
      <c r="AI1008" s="12">
        <f t="shared" si="298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88"/>
      <c r="D1009" s="32"/>
      <c r="E1009" s="32"/>
      <c r="F1009" s="32"/>
      <c r="G1009" s="32">
        <f t="shared" si="293"/>
        <v>0</v>
      </c>
      <c r="H1009" s="12"/>
      <c r="I1009" s="12"/>
      <c r="J1009" s="12"/>
      <c r="K1009" s="12">
        <f t="shared" si="294"/>
        <v>0</v>
      </c>
      <c r="L1009" s="18"/>
      <c r="M1009" s="10">
        <v>8</v>
      </c>
      <c r="N1009" s="30"/>
      <c r="O1009" s="11" t="s">
        <v>27</v>
      </c>
      <c r="P1009" s="32"/>
      <c r="Q1009" s="32"/>
      <c r="R1009" s="32"/>
      <c r="S1009" s="32">
        <f t="shared" si="295"/>
        <v>0</v>
      </c>
      <c r="T1009" s="12"/>
      <c r="U1009" s="12"/>
      <c r="V1009" s="12"/>
      <c r="W1009" s="12">
        <f t="shared" si="296"/>
        <v>0</v>
      </c>
      <c r="Y1009" s="10">
        <v>8</v>
      </c>
      <c r="Z1009" s="30"/>
      <c r="AA1009" s="31"/>
      <c r="AB1009" s="32"/>
      <c r="AC1009" s="32"/>
      <c r="AE1009" s="32">
        <f t="shared" si="297"/>
        <v>0</v>
      </c>
      <c r="AF1009" s="12"/>
      <c r="AG1009" s="12"/>
      <c r="AH1009" s="12"/>
      <c r="AI1009" s="12">
        <f t="shared" si="298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8"/>
      <c r="D1010" s="32"/>
      <c r="E1010" s="32"/>
      <c r="F1010" s="32"/>
      <c r="G1010" s="32">
        <f t="shared" si="293"/>
        <v>0</v>
      </c>
      <c r="H1010" s="12"/>
      <c r="I1010" s="12"/>
      <c r="J1010" s="12"/>
      <c r="K1010" s="12">
        <f t="shared" si="294"/>
        <v>0</v>
      </c>
      <c r="L1010" s="18"/>
      <c r="M1010" s="10">
        <v>9</v>
      </c>
      <c r="N1010" s="30"/>
      <c r="P1010" s="32"/>
      <c r="Q1010" s="32"/>
      <c r="R1010" s="32"/>
      <c r="S1010" s="32">
        <f t="shared" si="295"/>
        <v>0</v>
      </c>
      <c r="T1010" s="12"/>
      <c r="U1010" s="12"/>
      <c r="V1010" s="12"/>
      <c r="W1010" s="12">
        <f t="shared" si="296"/>
        <v>0</v>
      </c>
      <c r="Y1010" s="10">
        <v>9</v>
      </c>
      <c r="Z1010" s="30"/>
      <c r="AA1010" s="31"/>
      <c r="AC1010" s="32"/>
      <c r="AD1010" s="32"/>
      <c r="AE1010" s="32">
        <f t="shared" si="297"/>
        <v>0</v>
      </c>
      <c r="AF1010" s="12"/>
      <c r="AH1010" s="12"/>
      <c r="AI1010" s="12">
        <f t="shared" si="298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8"/>
      <c r="D1011" s="32"/>
      <c r="E1011" s="32"/>
      <c r="F1011" s="32"/>
      <c r="G1011" s="32">
        <f t="shared" si="293"/>
        <v>0</v>
      </c>
      <c r="H1011" s="12"/>
      <c r="I1011" s="12"/>
      <c r="J1011" s="12"/>
      <c r="K1011" s="12">
        <f t="shared" si="294"/>
        <v>0</v>
      </c>
      <c r="L1011" s="18"/>
      <c r="M1011" s="10">
        <v>10</v>
      </c>
      <c r="N1011" s="30"/>
      <c r="O1011" s="31"/>
      <c r="P1011" s="32"/>
      <c r="Q1011" s="32"/>
      <c r="R1011" s="32"/>
      <c r="S1011" s="32">
        <f t="shared" si="295"/>
        <v>0</v>
      </c>
      <c r="T1011" s="12"/>
      <c r="U1011" s="12"/>
      <c r="V1011" s="12"/>
      <c r="W1011" s="12">
        <f t="shared" si="296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97"/>
        <v>0</v>
      </c>
      <c r="AF1011" s="12"/>
      <c r="AG1011" s="12"/>
      <c r="AH1011" s="12"/>
      <c r="AI1011" s="12">
        <f t="shared" si="298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88"/>
      <c r="D1012" s="32"/>
      <c r="E1012" s="32"/>
      <c r="F1012" s="32"/>
      <c r="G1012" s="32">
        <f t="shared" si="293"/>
        <v>0</v>
      </c>
      <c r="H1012" s="12"/>
      <c r="I1012" s="12"/>
      <c r="J1012" s="12"/>
      <c r="K1012" s="12">
        <f t="shared" si="294"/>
        <v>0</v>
      </c>
      <c r="L1012" s="18"/>
      <c r="M1012" s="10">
        <v>11</v>
      </c>
      <c r="N1012" s="30"/>
      <c r="O1012" s="31"/>
      <c r="P1012" s="32"/>
      <c r="Q1012" s="32"/>
      <c r="R1012" s="32"/>
      <c r="S1012" s="32">
        <f t="shared" si="295"/>
        <v>0</v>
      </c>
      <c r="T1012" s="12"/>
      <c r="U1012" s="12"/>
      <c r="V1012" s="12"/>
      <c r="W1012" s="12">
        <f t="shared" si="296"/>
        <v>0</v>
      </c>
      <c r="Y1012" s="10">
        <v>11</v>
      </c>
      <c r="Z1012" s="30"/>
      <c r="AB1012" s="32"/>
      <c r="AC1012" s="32"/>
      <c r="AD1012" s="32"/>
      <c r="AE1012" s="32">
        <f t="shared" si="297"/>
        <v>0</v>
      </c>
      <c r="AF1012" s="12"/>
      <c r="AG1012" s="12"/>
      <c r="AH1012" s="12"/>
      <c r="AI1012" s="12">
        <f t="shared" si="298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D1013" s="32"/>
      <c r="E1013" s="32"/>
      <c r="F1013" s="32"/>
      <c r="G1013" s="32">
        <f t="shared" si="293"/>
        <v>0</v>
      </c>
      <c r="H1013" s="12"/>
      <c r="I1013" s="12"/>
      <c r="J1013" s="10"/>
      <c r="K1013" s="12">
        <f t="shared" si="294"/>
        <v>0</v>
      </c>
      <c r="L1013" s="18"/>
      <c r="M1013" s="10">
        <v>12</v>
      </c>
      <c r="N1013" s="30"/>
      <c r="O1013" s="31"/>
      <c r="P1013" s="32"/>
      <c r="Q1013" s="32"/>
      <c r="R1013" s="32"/>
      <c r="S1013" s="32">
        <f t="shared" si="295"/>
        <v>0</v>
      </c>
      <c r="T1013" s="12"/>
      <c r="U1013" s="12"/>
      <c r="V1013" s="12"/>
      <c r="W1013" s="12">
        <f t="shared" si="296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97"/>
        <v>0</v>
      </c>
      <c r="AF1013" s="12"/>
      <c r="AG1013" s="12"/>
      <c r="AH1013" s="12"/>
      <c r="AI1013" s="12">
        <f t="shared" si="298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8"/>
      <c r="D1014" s="32"/>
      <c r="E1014" s="32"/>
      <c r="F1014" s="32"/>
      <c r="G1014" s="32">
        <f t="shared" si="293"/>
        <v>0</v>
      </c>
      <c r="H1014" s="12"/>
      <c r="I1014" s="12"/>
      <c r="J1014" s="12"/>
      <c r="K1014" s="12">
        <f t="shared" si="294"/>
        <v>0</v>
      </c>
      <c r="L1014" s="18"/>
      <c r="M1014" s="10">
        <v>13</v>
      </c>
      <c r="N1014" s="30"/>
      <c r="O1014" s="31"/>
      <c r="P1014" s="32"/>
      <c r="Q1014" s="32"/>
      <c r="R1014" s="32"/>
      <c r="S1014" s="32">
        <f t="shared" si="295"/>
        <v>0</v>
      </c>
      <c r="T1014" s="12"/>
      <c r="U1014" s="12"/>
      <c r="V1014" s="12"/>
      <c r="W1014" s="12">
        <f t="shared" si="296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97"/>
        <v>0</v>
      </c>
      <c r="AF1014" s="12"/>
      <c r="AG1014" s="12"/>
      <c r="AH1014" s="12"/>
      <c r="AI1014" s="12">
        <f t="shared" si="298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8"/>
      <c r="D1015" s="32"/>
      <c r="E1015" s="32"/>
      <c r="F1015" s="32"/>
      <c r="G1015" s="32">
        <f t="shared" si="293"/>
        <v>0</v>
      </c>
      <c r="H1015" s="12"/>
      <c r="I1015" s="12"/>
      <c r="J1015" s="12"/>
      <c r="K1015" s="12">
        <f t="shared" si="294"/>
        <v>0</v>
      </c>
      <c r="L1015" s="18"/>
      <c r="M1015" s="10">
        <v>14</v>
      </c>
      <c r="N1015" s="30"/>
      <c r="O1015" s="31"/>
      <c r="P1015" s="32"/>
      <c r="Q1015" s="32"/>
      <c r="R1015" s="32"/>
      <c r="S1015" s="32">
        <f t="shared" si="295"/>
        <v>0</v>
      </c>
      <c r="T1015" s="12"/>
      <c r="U1015" s="12"/>
      <c r="V1015" s="12"/>
      <c r="W1015" s="12">
        <f t="shared" si="296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97"/>
        <v>0</v>
      </c>
      <c r="AF1015" s="12"/>
      <c r="AG1015" s="12"/>
      <c r="AH1015" s="12"/>
      <c r="AI1015" s="12">
        <f t="shared" si="298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8"/>
      <c r="D1016" s="32"/>
      <c r="E1016" s="32"/>
      <c r="F1016" s="32"/>
      <c r="G1016" s="32">
        <f t="shared" si="293"/>
        <v>0</v>
      </c>
      <c r="H1016" s="12"/>
      <c r="I1016" s="12"/>
      <c r="J1016" s="12"/>
      <c r="K1016" s="12">
        <f t="shared" si="294"/>
        <v>0</v>
      </c>
      <c r="L1016" s="18"/>
      <c r="M1016" s="10">
        <v>15</v>
      </c>
      <c r="N1016" s="30"/>
      <c r="O1016" s="31"/>
      <c r="P1016" s="32"/>
      <c r="Q1016" s="32"/>
      <c r="R1016" s="32"/>
      <c r="S1016" s="32">
        <f t="shared" si="295"/>
        <v>0</v>
      </c>
      <c r="T1016" s="12"/>
      <c r="U1016" s="12"/>
      <c r="V1016" s="12"/>
      <c r="W1016" s="12">
        <f t="shared" si="296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97"/>
        <v>0</v>
      </c>
      <c r="AF1016" s="12"/>
      <c r="AG1016" s="12"/>
      <c r="AH1016" s="12"/>
      <c r="AI1016" s="12">
        <f t="shared" si="298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88"/>
      <c r="D1017" s="32"/>
      <c r="E1017" s="32"/>
      <c r="F1017" s="32"/>
      <c r="G1017" s="32">
        <f t="shared" si="293"/>
        <v>0</v>
      </c>
      <c r="H1017" s="12"/>
      <c r="I1017" s="12"/>
      <c r="J1017" s="12"/>
      <c r="K1017" s="12">
        <f t="shared" si="294"/>
        <v>0</v>
      </c>
      <c r="L1017" s="18"/>
      <c r="M1017" s="10">
        <v>16</v>
      </c>
      <c r="N1017" s="30"/>
      <c r="O1017" s="31"/>
      <c r="P1017" s="32"/>
      <c r="Q1017" s="32"/>
      <c r="R1017" s="32"/>
      <c r="S1017" s="32">
        <f t="shared" si="295"/>
        <v>0</v>
      </c>
      <c r="T1017" s="12"/>
      <c r="U1017" s="12"/>
      <c r="V1017" s="12"/>
      <c r="W1017" s="12">
        <f t="shared" si="296"/>
        <v>0</v>
      </c>
      <c r="Y1017" s="10">
        <v>16</v>
      </c>
      <c r="Z1017" s="30"/>
      <c r="AB1017" s="32"/>
      <c r="AC1017" s="32"/>
      <c r="AD1017" s="32"/>
      <c r="AE1017" s="32">
        <f t="shared" si="297"/>
        <v>0</v>
      </c>
      <c r="AF1017" s="12"/>
      <c r="AG1017" s="12"/>
      <c r="AH1017" s="12"/>
      <c r="AI1017" s="12">
        <f t="shared" si="298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8"/>
      <c r="D1018" s="32"/>
      <c r="E1018" s="32"/>
      <c r="F1018" s="32"/>
      <c r="G1018" s="32">
        <f t="shared" si="293"/>
        <v>0</v>
      </c>
      <c r="H1018" s="12"/>
      <c r="I1018" s="12"/>
      <c r="J1018" s="12"/>
      <c r="K1018" s="12">
        <f t="shared" si="294"/>
        <v>0</v>
      </c>
      <c r="L1018" s="18"/>
      <c r="M1018" s="10">
        <v>17</v>
      </c>
      <c r="N1018" s="30"/>
      <c r="O1018" s="31"/>
      <c r="P1018" s="35"/>
      <c r="Q1018" s="32"/>
      <c r="R1018" s="32"/>
      <c r="S1018" s="32">
        <f t="shared" si="295"/>
        <v>0</v>
      </c>
      <c r="T1018" s="12"/>
      <c r="U1018" s="12"/>
      <c r="V1018" s="12"/>
      <c r="W1018" s="12">
        <f t="shared" si="296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97"/>
        <v>0</v>
      </c>
      <c r="AF1018" s="12"/>
      <c r="AG1018" s="12"/>
      <c r="AH1018" s="12"/>
      <c r="AI1018" s="12">
        <f t="shared" si="298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8"/>
      <c r="D1019" s="32"/>
      <c r="E1019" s="32"/>
      <c r="F1019" s="32"/>
      <c r="G1019" s="32">
        <f t="shared" si="293"/>
        <v>0</v>
      </c>
      <c r="H1019" s="12"/>
      <c r="I1019" s="12"/>
      <c r="J1019" s="12"/>
      <c r="K1019" s="12">
        <f t="shared" si="294"/>
        <v>0</v>
      </c>
      <c r="L1019" s="18"/>
      <c r="M1019" s="10">
        <v>18</v>
      </c>
      <c r="N1019" s="30"/>
      <c r="O1019" s="31"/>
      <c r="P1019" s="32"/>
      <c r="Q1019" s="32"/>
      <c r="R1019" s="32"/>
      <c r="S1019" s="32">
        <f t="shared" si="295"/>
        <v>0</v>
      </c>
      <c r="T1019" s="12"/>
      <c r="U1019" s="12"/>
      <c r="V1019" s="12"/>
      <c r="W1019" s="12">
        <f t="shared" si="296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97"/>
        <v>0</v>
      </c>
      <c r="AF1019" s="12"/>
      <c r="AG1019" s="12"/>
      <c r="AH1019" s="12"/>
      <c r="AI1019" s="12">
        <f t="shared" si="298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8"/>
      <c r="D1020" s="32"/>
      <c r="E1020" s="32"/>
      <c r="F1020" s="32"/>
      <c r="G1020" s="32">
        <f t="shared" si="293"/>
        <v>0</v>
      </c>
      <c r="H1020" s="12"/>
      <c r="I1020" s="12"/>
      <c r="J1020" s="12"/>
      <c r="K1020" s="12">
        <f t="shared" si="294"/>
        <v>0</v>
      </c>
      <c r="L1020" s="18"/>
      <c r="M1020" s="10">
        <v>19</v>
      </c>
      <c r="N1020" s="30"/>
      <c r="O1020" s="31"/>
      <c r="P1020" s="32"/>
      <c r="Q1020" s="32"/>
      <c r="R1020" s="32"/>
      <c r="S1020" s="32">
        <f t="shared" si="295"/>
        <v>0</v>
      </c>
      <c r="T1020" s="12"/>
      <c r="U1020" s="12"/>
      <c r="V1020" s="12"/>
      <c r="W1020" s="12">
        <f t="shared" si="296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97"/>
        <v>0</v>
      </c>
      <c r="AF1020" s="12"/>
      <c r="AG1020" s="12"/>
      <c r="AH1020" s="12"/>
      <c r="AI1020" s="12">
        <f t="shared" si="298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8"/>
      <c r="D1021" s="32"/>
      <c r="E1021" s="32"/>
      <c r="F1021" s="32"/>
      <c r="G1021" s="32">
        <f t="shared" si="293"/>
        <v>0</v>
      </c>
      <c r="H1021" s="12"/>
      <c r="I1021" s="12"/>
      <c r="J1021" s="12"/>
      <c r="K1021" s="12">
        <f t="shared" si="294"/>
        <v>0</v>
      </c>
      <c r="L1021" s="18"/>
      <c r="M1021" s="10">
        <v>20</v>
      </c>
      <c r="N1021" s="30"/>
      <c r="O1021" s="31"/>
      <c r="P1021" s="32"/>
      <c r="Q1021" s="32"/>
      <c r="R1021" s="32"/>
      <c r="S1021" s="32">
        <f t="shared" si="295"/>
        <v>0</v>
      </c>
      <c r="T1021" s="12"/>
      <c r="U1021" s="12"/>
      <c r="V1021" s="12"/>
      <c r="W1021" s="12">
        <f t="shared" si="296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97"/>
        <v>0</v>
      </c>
      <c r="AF1021" s="12"/>
      <c r="AG1021" s="12"/>
      <c r="AH1021" s="12"/>
      <c r="AI1021" s="12">
        <f t="shared" si="298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57"/>
      <c r="D1022" s="32"/>
      <c r="E1022" s="32"/>
      <c r="F1022" s="32"/>
      <c r="G1022" s="32">
        <f t="shared" si="293"/>
        <v>0</v>
      </c>
      <c r="H1022" s="10"/>
      <c r="I1022" s="10"/>
      <c r="J1022" s="10"/>
      <c r="K1022" s="12">
        <f t="shared" si="294"/>
        <v>0</v>
      </c>
      <c r="L1022" s="18"/>
      <c r="M1022" s="10">
        <v>21</v>
      </c>
      <c r="N1022" s="30"/>
      <c r="P1022" s="46"/>
      <c r="Q1022" s="31"/>
      <c r="R1022" s="31"/>
      <c r="S1022" s="32">
        <f t="shared" si="295"/>
        <v>0</v>
      </c>
      <c r="T1022" s="10"/>
      <c r="U1022" s="10"/>
      <c r="V1022" s="10"/>
      <c r="W1022" s="12">
        <f t="shared" si="296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97"/>
        <v>0</v>
      </c>
      <c r="AF1022" s="10"/>
      <c r="AG1022" s="10"/>
      <c r="AH1022" s="10"/>
      <c r="AI1022" s="12">
        <f t="shared" si="298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88"/>
      <c r="D1023" s="32"/>
      <c r="E1023" s="32"/>
      <c r="F1023" s="32"/>
      <c r="G1023" s="32">
        <f t="shared" si="293"/>
        <v>0</v>
      </c>
      <c r="H1023" s="10"/>
      <c r="I1023" s="10"/>
      <c r="J1023" s="10"/>
      <c r="K1023" s="12">
        <f t="shared" si="294"/>
        <v>0</v>
      </c>
      <c r="L1023" s="18"/>
      <c r="M1023" s="10">
        <v>22</v>
      </c>
      <c r="N1023" s="30"/>
      <c r="O1023" s="31"/>
      <c r="P1023" s="45"/>
      <c r="Q1023" s="31"/>
      <c r="R1023" s="31"/>
      <c r="S1023" s="32">
        <f t="shared" si="295"/>
        <v>0</v>
      </c>
      <c r="T1023" s="10"/>
      <c r="U1023" s="10"/>
      <c r="V1023" s="10"/>
      <c r="W1023" s="12">
        <f t="shared" si="296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97"/>
        <v>0</v>
      </c>
      <c r="AF1023" s="10"/>
      <c r="AG1023" s="10"/>
      <c r="AH1023" s="10"/>
      <c r="AI1023" s="12">
        <f t="shared" si="298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8"/>
      <c r="D1024" s="32"/>
      <c r="E1024" s="32"/>
      <c r="F1024" s="32"/>
      <c r="G1024" s="32">
        <f t="shared" si="293"/>
        <v>0</v>
      </c>
      <c r="H1024" s="10"/>
      <c r="I1024" s="10"/>
      <c r="J1024" s="12"/>
      <c r="K1024" s="12">
        <f t="shared" si="294"/>
        <v>0</v>
      </c>
      <c r="L1024" s="18"/>
      <c r="M1024" s="10">
        <v>23</v>
      </c>
      <c r="N1024" s="30"/>
      <c r="O1024" s="31"/>
      <c r="P1024" s="47"/>
      <c r="S1024" s="32">
        <f t="shared" si="295"/>
        <v>0</v>
      </c>
      <c r="T1024" s="10"/>
      <c r="U1024" s="10"/>
      <c r="V1024" s="10"/>
      <c r="W1024" s="12">
        <f t="shared" si="296"/>
        <v>0</v>
      </c>
      <c r="Y1024" s="10">
        <v>23</v>
      </c>
      <c r="Z1024" s="30"/>
      <c r="AA1024" s="31"/>
      <c r="AB1024" s="47"/>
      <c r="AE1024" s="32">
        <f t="shared" si="297"/>
        <v>0</v>
      </c>
      <c r="AF1024" s="10"/>
      <c r="AG1024" s="10"/>
      <c r="AH1024" s="10"/>
      <c r="AI1024" s="12">
        <f t="shared" si="298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57"/>
      <c r="D1025" s="32"/>
      <c r="E1025" s="32"/>
      <c r="F1025" s="32"/>
      <c r="G1025" s="32">
        <f t="shared" si="293"/>
        <v>0</v>
      </c>
      <c r="H1025" s="10"/>
      <c r="I1025" s="10"/>
      <c r="J1025" s="10"/>
      <c r="K1025" s="12">
        <f t="shared" si="294"/>
        <v>0</v>
      </c>
      <c r="L1025" s="18"/>
      <c r="M1025" s="10">
        <v>24</v>
      </c>
      <c r="N1025" s="30"/>
      <c r="O1025" s="31"/>
      <c r="P1025" s="47"/>
      <c r="Q1025" s="31"/>
      <c r="R1025" s="31"/>
      <c r="S1025" s="32">
        <f t="shared" si="295"/>
        <v>0</v>
      </c>
      <c r="T1025" s="10"/>
      <c r="U1025" s="10"/>
      <c r="V1025" s="10"/>
      <c r="W1025" s="12">
        <f t="shared" si="296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97"/>
        <v>0</v>
      </c>
      <c r="AF1025" s="10"/>
      <c r="AG1025" s="10"/>
      <c r="AH1025" s="10"/>
      <c r="AI1025" s="12">
        <f t="shared" si="298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3"/>
        <v>0</v>
      </c>
      <c r="H1026" s="10"/>
      <c r="I1026" s="10"/>
      <c r="J1026" s="10"/>
      <c r="K1026" s="12">
        <f t="shared" si="294"/>
        <v>0</v>
      </c>
      <c r="L1026" s="18"/>
      <c r="M1026" s="10">
        <v>25</v>
      </c>
      <c r="N1026" s="30"/>
      <c r="P1026" s="47"/>
      <c r="Q1026" s="31"/>
      <c r="R1026" s="31"/>
      <c r="S1026" s="32">
        <f t="shared" si="295"/>
        <v>0</v>
      </c>
      <c r="T1026" s="10"/>
      <c r="U1026" s="10"/>
      <c r="V1026" s="10"/>
      <c r="W1026" s="12">
        <f t="shared" si="296"/>
        <v>0</v>
      </c>
      <c r="Y1026" s="10">
        <v>25</v>
      </c>
      <c r="Z1026" s="30"/>
      <c r="AB1026" s="47"/>
      <c r="AC1026" s="31"/>
      <c r="AD1026" s="31"/>
      <c r="AE1026" s="32">
        <f t="shared" si="297"/>
        <v>0</v>
      </c>
      <c r="AF1026" s="10"/>
      <c r="AG1026" s="10"/>
      <c r="AH1026" s="10"/>
      <c r="AI1026" s="12">
        <f t="shared" si="298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11"/>
      <c r="D1027" s="32"/>
      <c r="E1027" s="32"/>
      <c r="F1027" s="32"/>
      <c r="G1027" s="32">
        <f t="shared" si="293"/>
        <v>0</v>
      </c>
      <c r="H1027" s="10"/>
      <c r="I1027" s="10"/>
      <c r="J1027" s="10"/>
      <c r="K1027" s="12">
        <f t="shared" si="294"/>
        <v>0</v>
      </c>
      <c r="L1027" s="18"/>
      <c r="M1027" s="10">
        <v>26</v>
      </c>
      <c r="N1027" s="30"/>
      <c r="P1027" s="47"/>
      <c r="Q1027" s="31"/>
      <c r="R1027" s="31"/>
      <c r="S1027" s="32">
        <f t="shared" si="295"/>
        <v>0</v>
      </c>
      <c r="T1027" s="10"/>
      <c r="U1027" s="10"/>
      <c r="V1027" s="10"/>
      <c r="W1027" s="12">
        <f t="shared" si="296"/>
        <v>0</v>
      </c>
      <c r="Y1027" s="10">
        <v>26</v>
      </c>
      <c r="Z1027" s="30"/>
      <c r="AB1027" s="47"/>
      <c r="AC1027" s="31"/>
      <c r="AD1027" s="31"/>
      <c r="AE1027" s="32">
        <f t="shared" si="297"/>
        <v>0</v>
      </c>
      <c r="AF1027" s="10"/>
      <c r="AG1027" s="10"/>
      <c r="AH1027" s="10"/>
      <c r="AI1027" s="12">
        <f t="shared" si="298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57"/>
      <c r="D1028" s="32"/>
      <c r="E1028" s="32"/>
      <c r="F1028" s="32"/>
      <c r="G1028" s="32">
        <f t="shared" si="293"/>
        <v>0</v>
      </c>
      <c r="H1028" s="10"/>
      <c r="I1028" s="10"/>
      <c r="J1028" s="10"/>
      <c r="K1028" s="12">
        <f t="shared" si="294"/>
        <v>0</v>
      </c>
      <c r="L1028" s="18"/>
      <c r="M1028" s="10">
        <v>27</v>
      </c>
      <c r="N1028" s="30"/>
      <c r="O1028" s="31"/>
      <c r="P1028" s="47"/>
      <c r="Q1028" s="31"/>
      <c r="R1028" s="31"/>
      <c r="S1028" s="32">
        <f t="shared" si="295"/>
        <v>0</v>
      </c>
      <c r="T1028" s="10"/>
      <c r="U1028" s="10"/>
      <c r="V1028" s="10"/>
      <c r="W1028" s="12">
        <f t="shared" si="296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97"/>
        <v>0</v>
      </c>
      <c r="AF1028" s="10"/>
      <c r="AG1028" s="10"/>
      <c r="AH1028" s="10"/>
      <c r="AI1028" s="12">
        <f t="shared" si="298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3"/>
        <v>0</v>
      </c>
      <c r="H1029" s="10"/>
      <c r="I1029" s="10"/>
      <c r="J1029" s="10"/>
      <c r="K1029" s="12">
        <f t="shared" si="294"/>
        <v>0</v>
      </c>
      <c r="L1029" s="18"/>
      <c r="M1029" s="10">
        <v>28</v>
      </c>
      <c r="N1029" s="30"/>
      <c r="O1029" s="31"/>
      <c r="P1029" s="47"/>
      <c r="Q1029" s="31"/>
      <c r="R1029" s="31"/>
      <c r="S1029" s="32">
        <f t="shared" si="295"/>
        <v>0</v>
      </c>
      <c r="T1029" s="10"/>
      <c r="U1029" s="10"/>
      <c r="V1029" s="10"/>
      <c r="W1029" s="12">
        <f t="shared" si="296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97"/>
        <v>0</v>
      </c>
      <c r="AF1029" s="10"/>
      <c r="AG1029" s="10"/>
      <c r="AH1029" s="10"/>
      <c r="AI1029" s="12">
        <f t="shared" si="298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3"/>
        <v>0</v>
      </c>
      <c r="H1030" s="10"/>
      <c r="I1030" s="10"/>
      <c r="J1030" s="10"/>
      <c r="K1030" s="12">
        <f t="shared" si="294"/>
        <v>0</v>
      </c>
      <c r="L1030" s="18"/>
      <c r="M1030" s="10">
        <v>29</v>
      </c>
      <c r="N1030" s="30"/>
      <c r="P1030" s="47"/>
      <c r="Q1030" s="31"/>
      <c r="R1030" s="31"/>
      <c r="S1030" s="32">
        <f t="shared" si="295"/>
        <v>0</v>
      </c>
      <c r="T1030" s="10"/>
      <c r="U1030" s="10"/>
      <c r="V1030" s="10"/>
      <c r="W1030" s="12">
        <f t="shared" si="296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97"/>
        <v>0</v>
      </c>
      <c r="AF1030" s="10"/>
      <c r="AG1030" s="10"/>
      <c r="AH1030" s="10"/>
      <c r="AI1030" s="12">
        <f t="shared" si="298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57"/>
      <c r="D1031" s="32"/>
      <c r="E1031" s="32"/>
      <c r="F1031" s="32"/>
      <c r="G1031" s="32">
        <f t="shared" si="293"/>
        <v>0</v>
      </c>
      <c r="H1031" s="10"/>
      <c r="I1031" s="10"/>
      <c r="J1031" s="10"/>
      <c r="K1031" s="12">
        <f t="shared" si="294"/>
        <v>0</v>
      </c>
      <c r="L1031" s="18"/>
      <c r="M1031" s="10">
        <v>30</v>
      </c>
      <c r="N1031" s="30"/>
      <c r="P1031" s="47"/>
      <c r="Q1031" s="31"/>
      <c r="R1031" s="31"/>
      <c r="S1031" s="32">
        <f t="shared" si="295"/>
        <v>0</v>
      </c>
      <c r="T1031" s="10"/>
      <c r="U1031" s="10"/>
      <c r="V1031" s="10"/>
      <c r="W1031" s="12">
        <f t="shared" si="296"/>
        <v>0</v>
      </c>
      <c r="Y1031" s="10">
        <v>30</v>
      </c>
      <c r="Z1031" s="30"/>
      <c r="AB1031" s="47"/>
      <c r="AC1031" s="31"/>
      <c r="AD1031" s="31"/>
      <c r="AE1031" s="32">
        <f t="shared" si="297"/>
        <v>0</v>
      </c>
      <c r="AF1031" s="10"/>
      <c r="AG1031" s="10"/>
      <c r="AH1031" s="10"/>
      <c r="AI1031" s="12">
        <f t="shared" si="298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57"/>
      <c r="D1032" s="32"/>
      <c r="E1032" s="32"/>
      <c r="F1032" s="32"/>
      <c r="G1032" s="32">
        <f t="shared" si="293"/>
        <v>0</v>
      </c>
      <c r="H1032" s="10"/>
      <c r="I1032" s="10"/>
      <c r="J1032" s="10"/>
      <c r="K1032" s="12">
        <f t="shared" si="294"/>
        <v>0</v>
      </c>
      <c r="L1032" s="18"/>
      <c r="M1032" s="10">
        <v>31</v>
      </c>
      <c r="N1032" s="30"/>
      <c r="O1032" s="31"/>
      <c r="P1032" s="47"/>
      <c r="Q1032" s="31"/>
      <c r="R1032" s="31"/>
      <c r="S1032" s="32">
        <f t="shared" si="295"/>
        <v>0</v>
      </c>
      <c r="T1032" s="10"/>
      <c r="U1032" s="10"/>
      <c r="V1032" s="10"/>
      <c r="W1032" s="12">
        <f t="shared" si="296"/>
        <v>0</v>
      </c>
      <c r="Y1032" s="10">
        <v>31</v>
      </c>
      <c r="Z1032" s="30"/>
      <c r="AB1032" s="47"/>
      <c r="AC1032" s="31"/>
      <c r="AD1032" s="31"/>
      <c r="AE1032" s="32">
        <f t="shared" si="297"/>
        <v>0</v>
      </c>
      <c r="AF1032" s="10"/>
      <c r="AG1032" s="10"/>
      <c r="AH1032" s="10"/>
      <c r="AI1032" s="12">
        <f t="shared" si="298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31"/>
      <c r="D1033" s="32"/>
      <c r="E1033" s="32"/>
      <c r="F1033" s="32"/>
      <c r="G1033" s="32">
        <f t="shared" si="293"/>
        <v>0</v>
      </c>
      <c r="H1033" s="10"/>
      <c r="I1033" s="10"/>
      <c r="J1033" s="10"/>
      <c r="K1033" s="12">
        <f t="shared" si="294"/>
        <v>0</v>
      </c>
      <c r="L1033" s="18"/>
      <c r="M1033" s="10">
        <v>32</v>
      </c>
      <c r="N1033" s="30"/>
      <c r="P1033" s="47"/>
      <c r="Q1033" s="31"/>
      <c r="R1033" s="31"/>
      <c r="S1033" s="32">
        <f t="shared" si="295"/>
        <v>0</v>
      </c>
      <c r="T1033" s="10"/>
      <c r="U1033" s="10"/>
      <c r="V1033" s="10"/>
      <c r="W1033" s="12">
        <f t="shared" si="296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97"/>
        <v>0</v>
      </c>
      <c r="AF1033" s="10"/>
      <c r="AG1033" s="10"/>
      <c r="AH1033" s="10"/>
      <c r="AI1033" s="12">
        <f t="shared" si="298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57"/>
      <c r="D1034" s="32"/>
      <c r="E1034" s="32"/>
      <c r="F1034" s="32"/>
      <c r="G1034" s="32">
        <f t="shared" si="293"/>
        <v>0</v>
      </c>
      <c r="H1034" s="10"/>
      <c r="I1034" s="10"/>
      <c r="J1034" s="10"/>
      <c r="K1034" s="12">
        <f t="shared" si="294"/>
        <v>0</v>
      </c>
      <c r="L1034" s="18"/>
      <c r="M1034" s="10">
        <v>33</v>
      </c>
      <c r="N1034" s="30"/>
      <c r="O1034" s="31"/>
      <c r="P1034" s="47"/>
      <c r="Q1034" s="31"/>
      <c r="R1034" s="31"/>
      <c r="S1034" s="32">
        <f t="shared" si="295"/>
        <v>0</v>
      </c>
      <c r="T1034" s="10"/>
      <c r="U1034" s="10"/>
      <c r="V1034" s="10"/>
      <c r="W1034" s="12">
        <f t="shared" si="296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97"/>
        <v>0</v>
      </c>
      <c r="AF1034" s="10"/>
      <c r="AG1034" s="10"/>
      <c r="AH1034" s="10"/>
      <c r="AI1034" s="12">
        <f t="shared" si="298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57"/>
      <c r="D1035" s="32"/>
      <c r="E1035" s="32"/>
      <c r="F1035" s="32"/>
      <c r="G1035" s="32">
        <f t="shared" si="293"/>
        <v>0</v>
      </c>
      <c r="H1035" s="10"/>
      <c r="I1035" s="10"/>
      <c r="J1035" s="10"/>
      <c r="K1035" s="12">
        <f t="shared" si="294"/>
        <v>0</v>
      </c>
      <c r="L1035" s="18"/>
      <c r="M1035" s="10">
        <v>34</v>
      </c>
      <c r="N1035" s="30"/>
      <c r="O1035" s="31"/>
      <c r="P1035" s="47"/>
      <c r="Q1035" s="31"/>
      <c r="R1035" s="31"/>
      <c r="S1035" s="32">
        <f t="shared" ref="S1035:S1040" si="302">SUM(P1035:Q1035)</f>
        <v>0</v>
      </c>
      <c r="T1035" s="10"/>
      <c r="U1035" s="10"/>
      <c r="V1035" s="10"/>
      <c r="W1035" s="12">
        <f t="shared" si="296"/>
        <v>0</v>
      </c>
      <c r="Y1035" s="10">
        <v>34</v>
      </c>
      <c r="Z1035" s="30"/>
      <c r="AB1035" s="47"/>
      <c r="AC1035" s="31"/>
      <c r="AD1035" s="31"/>
      <c r="AE1035" s="32">
        <f t="shared" si="297"/>
        <v>0</v>
      </c>
      <c r="AF1035" s="10"/>
      <c r="AG1035" s="10"/>
      <c r="AH1035" s="10"/>
      <c r="AI1035" s="12">
        <f t="shared" ref="AI1035:AI1043" si="303">SUM(AE1035:AH1035)</f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31"/>
      <c r="D1036" s="32"/>
      <c r="E1036" s="32"/>
      <c r="F1036" s="32"/>
      <c r="G1036" s="32"/>
      <c r="H1036" s="10"/>
      <c r="I1036" s="10"/>
      <c r="J1036" s="10"/>
      <c r="K1036" s="12"/>
      <c r="L1036" s="18"/>
      <c r="M1036" s="10">
        <v>35</v>
      </c>
      <c r="N1036" s="30"/>
      <c r="O1036" s="31"/>
      <c r="P1036" s="47"/>
      <c r="Q1036" s="31"/>
      <c r="R1036" s="31"/>
      <c r="S1036" s="32">
        <f t="shared" si="302"/>
        <v>0</v>
      </c>
      <c r="T1036" s="10"/>
      <c r="U1036" s="10"/>
      <c r="V1036" s="10"/>
      <c r="W1036" s="12">
        <f t="shared" si="296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97"/>
        <v>0</v>
      </c>
      <c r="AF1036" s="10"/>
      <c r="AG1036" s="10"/>
      <c r="AH1036" s="10"/>
      <c r="AI1036" s="12">
        <f t="shared" si="30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31"/>
      <c r="D1037" s="32"/>
      <c r="E1037" s="32"/>
      <c r="F1037" s="32"/>
      <c r="G1037" s="32"/>
      <c r="H1037" s="10"/>
      <c r="I1037" s="10"/>
      <c r="J1037" s="10"/>
      <c r="K1037" s="12"/>
      <c r="L1037" s="18"/>
      <c r="M1037" s="10">
        <v>36</v>
      </c>
      <c r="N1037" s="30"/>
      <c r="O1037" s="31"/>
      <c r="P1037" s="47"/>
      <c r="Q1037" s="31"/>
      <c r="R1037" s="31"/>
      <c r="S1037" s="32">
        <f t="shared" si="302"/>
        <v>0</v>
      </c>
      <c r="T1037" s="10"/>
      <c r="U1037" s="10"/>
      <c r="V1037" s="10"/>
      <c r="W1037" s="12">
        <f t="shared" si="296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97"/>
        <v>0</v>
      </c>
      <c r="AF1037" s="10"/>
      <c r="AG1037" s="10"/>
      <c r="AH1037" s="10"/>
      <c r="AI1037" s="12">
        <f t="shared" si="30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L1038" s="18"/>
      <c r="M1038" s="10">
        <v>37</v>
      </c>
      <c r="N1038" s="30"/>
      <c r="P1038" s="47"/>
      <c r="Q1038" s="31"/>
      <c r="R1038" s="31"/>
      <c r="S1038" s="32">
        <f t="shared" si="302"/>
        <v>0</v>
      </c>
      <c r="T1038" s="10"/>
      <c r="U1038" s="10"/>
      <c r="V1038" s="10"/>
      <c r="W1038" s="12">
        <f t="shared" si="296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97"/>
        <v>0</v>
      </c>
      <c r="AF1038" s="10"/>
      <c r="AG1038" s="10"/>
      <c r="AH1038" s="10"/>
      <c r="AI1038" s="12">
        <f t="shared" si="30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L1039" s="18"/>
      <c r="M1039" s="10">
        <v>38</v>
      </c>
      <c r="N1039" s="30"/>
      <c r="O1039" s="31"/>
      <c r="P1039" s="47"/>
      <c r="Q1039" s="31"/>
      <c r="R1039" s="31"/>
      <c r="S1039" s="32">
        <f t="shared" si="302"/>
        <v>0</v>
      </c>
      <c r="T1039" s="10"/>
      <c r="U1039" s="10"/>
      <c r="V1039" s="10"/>
      <c r="W1039" s="12">
        <f t="shared" si="296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97"/>
        <v>0</v>
      </c>
      <c r="AF1039" s="10"/>
      <c r="AG1039" s="10"/>
      <c r="AH1039" s="10"/>
      <c r="AI1039" s="12">
        <f t="shared" si="30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L1040" s="18"/>
      <c r="M1040" s="10">
        <v>39</v>
      </c>
      <c r="N1040" s="30"/>
      <c r="O1040" s="31"/>
      <c r="P1040" s="47"/>
      <c r="Q1040" s="31"/>
      <c r="R1040" s="31"/>
      <c r="S1040" s="32">
        <f t="shared" si="302"/>
        <v>0</v>
      </c>
      <c r="T1040" s="10"/>
      <c r="U1040" s="10"/>
      <c r="V1040" s="10"/>
      <c r="W1040" s="12">
        <f t="shared" si="296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97"/>
        <v>0</v>
      </c>
      <c r="AF1040" s="10"/>
      <c r="AG1040" s="10"/>
      <c r="AH1040" s="10"/>
      <c r="AI1040" s="12">
        <f t="shared" si="30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L1041" s="18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6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30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304">SUM(D1042:E1042)</f>
        <v>0</v>
      </c>
      <c r="H1042" s="10"/>
      <c r="I1042" s="10"/>
      <c r="J1042" s="10"/>
      <c r="K1042" s="12">
        <f t="shared" ref="K1042" si="305">SUM(G1042:J1042)</f>
        <v>0</v>
      </c>
      <c r="L1042" s="18"/>
      <c r="M1042" s="10"/>
      <c r="N1042" s="30"/>
      <c r="O1042" s="31"/>
      <c r="P1042" s="47"/>
      <c r="Q1042" s="31"/>
      <c r="R1042" s="31"/>
      <c r="S1042" s="32">
        <f t="shared" ref="S1042" si="306">SUM(P1042:Q1042)</f>
        <v>0</v>
      </c>
      <c r="T1042" s="10"/>
      <c r="U1042" s="10"/>
      <c r="V1042" s="10"/>
      <c r="W1042" s="12">
        <f t="shared" si="296"/>
        <v>0</v>
      </c>
      <c r="Y1042" s="10"/>
      <c r="Z1042" s="30"/>
      <c r="AA1042" s="31"/>
      <c r="AB1042" s="47"/>
      <c r="AC1042" s="31"/>
      <c r="AD1042" s="31"/>
      <c r="AE1042" s="32">
        <f t="shared" ref="AE1042" si="307">SUM(AB1042:AC1042)</f>
        <v>0</v>
      </c>
      <c r="AF1042" s="10"/>
      <c r="AG1042" s="10"/>
      <c r="AH1042" s="10"/>
      <c r="AI1042" s="12">
        <f t="shared" si="30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L1043" s="18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6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30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L1044" s="18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565954</v>
      </c>
      <c r="E1045" s="38">
        <f t="shared" ref="E1045:F1045" si="308">SUM(E1002:E1042)</f>
        <v>0</v>
      </c>
      <c r="F1045" s="38">
        <f t="shared" si="308"/>
        <v>0</v>
      </c>
      <c r="G1045" s="38">
        <f>SUM(G1002:G1044)</f>
        <v>565954</v>
      </c>
      <c r="H1045" s="4"/>
      <c r="I1045" s="39">
        <f>SUM(I1002:I1044)</f>
        <v>93330</v>
      </c>
      <c r="J1045" s="39">
        <f>SUM(J1002:J1044)</f>
        <v>-29355</v>
      </c>
      <c r="K1045" s="40">
        <f>SUM(K1002:K1044)</f>
        <v>629929</v>
      </c>
      <c r="L1045" s="18"/>
      <c r="N1045" s="57"/>
      <c r="O1045" s="57"/>
      <c r="P1045" s="38">
        <f>SUM(P1002:P1044)</f>
        <v>350318</v>
      </c>
      <c r="Q1045" s="38">
        <f>SUM(Q1002:Q1026)</f>
        <v>-1572</v>
      </c>
      <c r="R1045" s="38">
        <f>SUM(R1002:R1026)</f>
        <v>0</v>
      </c>
      <c r="S1045" s="38">
        <f>SUM(S1002:S1044)</f>
        <v>348746</v>
      </c>
      <c r="T1045" s="4"/>
      <c r="U1045" s="41">
        <f>SUM(U1002:U1044)</f>
        <v>3874.5</v>
      </c>
      <c r="V1045" s="41">
        <f>SUM(V1002:V1026)</f>
        <v>-1005</v>
      </c>
      <c r="W1045" s="42">
        <f>SUM(W1002:W1044)</f>
        <v>351615.5</v>
      </c>
      <c r="Z1045" s="57"/>
      <c r="AA1045" s="57"/>
      <c r="AB1045" s="38">
        <f>SUM(AB1002:AB1044)</f>
        <v>208299</v>
      </c>
      <c r="AC1045" s="38">
        <f>SUM(AC1002:AC1026)</f>
        <v>-1380</v>
      </c>
      <c r="AD1045" s="38">
        <f>SUM(AD1002:AD1026)</f>
        <v>0</v>
      </c>
      <c r="AE1045" s="38">
        <f>SUM(AE1002:AE1044)</f>
        <v>206919</v>
      </c>
      <c r="AF1045" s="4"/>
      <c r="AG1045" s="41">
        <f>SUM(AG1002:AG1044)</f>
        <v>1245</v>
      </c>
      <c r="AH1045" s="41">
        <f>SUM(AH1002:AH1026)</f>
        <v>-390</v>
      </c>
      <c r="AI1045" s="42">
        <f>SUM(AI1002:AI1044)</f>
        <v>207774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L1047" s="18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L1048" s="18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L1049" s="18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L1050" s="18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L1051" s="18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L1052" s="18"/>
      <c r="M1052" t="s">
        <v>39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39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88</v>
      </c>
      <c r="B1053" s="20"/>
      <c r="C1053" s="57"/>
      <c r="D1053" s="57"/>
      <c r="E1053" s="57"/>
      <c r="G1053" s="57"/>
      <c r="I1053" s="22" t="s">
        <v>16</v>
      </c>
      <c r="J1053" s="23" t="s">
        <v>33</v>
      </c>
      <c r="K1053" s="24"/>
      <c r="L1053" s="18"/>
      <c r="M1053" s="21" t="s">
        <v>88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35</v>
      </c>
      <c r="W1053" s="24"/>
      <c r="Y1053" s="21" t="s">
        <v>88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31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L1054" s="18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5" t="s">
        <v>17</v>
      </c>
      <c r="E1055" s="125"/>
      <c r="F1055" s="111"/>
      <c r="G1055" s="27"/>
      <c r="I1055" s="123" t="s">
        <v>18</v>
      </c>
      <c r="J1055" s="124"/>
      <c r="K1055" s="121" t="s">
        <v>19</v>
      </c>
      <c r="L1055" s="18"/>
      <c r="N1055" s="25"/>
      <c r="O1055" s="26"/>
      <c r="P1055" s="125" t="s">
        <v>17</v>
      </c>
      <c r="Q1055" s="125"/>
      <c r="R1055" s="111"/>
      <c r="S1055" s="27"/>
      <c r="U1055" s="123" t="s">
        <v>18</v>
      </c>
      <c r="V1055" s="124"/>
      <c r="W1055" s="121" t="s">
        <v>19</v>
      </c>
      <c r="Z1055" s="25"/>
      <c r="AA1055" s="26"/>
      <c r="AB1055" s="125" t="s">
        <v>17</v>
      </c>
      <c r="AC1055" s="125"/>
      <c r="AD1055" s="111"/>
      <c r="AE1055" s="27"/>
      <c r="AG1055" s="123" t="s">
        <v>18</v>
      </c>
      <c r="AH1055" s="124"/>
      <c r="AI1055" s="121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22"/>
      <c r="L1056" s="18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22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2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89</v>
      </c>
      <c r="C1057" s="88">
        <v>8055</v>
      </c>
      <c r="D1057" s="32">
        <f>626*6+57</f>
        <v>3813</v>
      </c>
      <c r="E1057" s="32"/>
      <c r="F1057" s="32"/>
      <c r="G1057" s="32">
        <f t="shared" ref="G1057:G1090" si="309">SUM(D1057:E1057)</f>
        <v>3813</v>
      </c>
      <c r="H1057" s="12"/>
      <c r="I1057" s="12"/>
      <c r="J1057" s="12"/>
      <c r="K1057" s="12">
        <f t="shared" ref="K1057:K1090" si="310">SUM(G1057:J1057)</f>
        <v>3813</v>
      </c>
      <c r="L1057" s="18"/>
      <c r="M1057" s="10">
        <v>1</v>
      </c>
      <c r="N1057" s="30" t="s">
        <v>89</v>
      </c>
      <c r="O1057" s="31">
        <v>8046</v>
      </c>
      <c r="P1057" s="32">
        <f>25040+614+229+650</f>
        <v>26533</v>
      </c>
      <c r="Q1057" s="32"/>
      <c r="R1057" s="32"/>
      <c r="S1057" s="32">
        <f>SUM(P1057:Q1057)</f>
        <v>26533</v>
      </c>
      <c r="T1057" s="12"/>
      <c r="U1057" s="12"/>
      <c r="V1057" s="12"/>
      <c r="W1057" s="12">
        <f>SUM(S1057:V1057)</f>
        <v>26533</v>
      </c>
      <c r="Y1057" s="10">
        <v>1</v>
      </c>
      <c r="Z1057" s="30" t="s">
        <v>89</v>
      </c>
      <c r="AA1057" s="31">
        <v>7777</v>
      </c>
      <c r="AB1057" s="32">
        <f>31300+458</f>
        <v>31758</v>
      </c>
      <c r="AC1057" s="32">
        <v>-300</v>
      </c>
      <c r="AD1057" s="32"/>
      <c r="AE1057" s="32">
        <f>SUM(AB1057:AC1057)</f>
        <v>31458</v>
      </c>
      <c r="AF1057" s="12"/>
      <c r="AG1057" s="12"/>
      <c r="AH1057" s="12"/>
      <c r="AI1057" s="12">
        <f>SUM(AE1057:AH1057)</f>
        <v>31458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89</v>
      </c>
      <c r="C1058" s="88">
        <f>C1057+1</f>
        <v>8056</v>
      </c>
      <c r="D1058" s="32">
        <f>28170</f>
        <v>28170</v>
      </c>
      <c r="E1058" s="32"/>
      <c r="F1058" s="32"/>
      <c r="G1058" s="32">
        <f t="shared" si="309"/>
        <v>28170</v>
      </c>
      <c r="H1058" s="12"/>
      <c r="I1058" s="12"/>
      <c r="J1058" s="12"/>
      <c r="K1058" s="12">
        <f t="shared" si="310"/>
        <v>28170</v>
      </c>
      <c r="L1058" s="18"/>
      <c r="M1058" s="10">
        <v>2</v>
      </c>
      <c r="N1058" s="30" t="s">
        <v>89</v>
      </c>
      <c r="O1058" s="31">
        <f>O1057+1</f>
        <v>8047</v>
      </c>
      <c r="P1058" s="32">
        <f>6260+2384+133</f>
        <v>8777</v>
      </c>
      <c r="Q1058" s="32"/>
      <c r="R1058" s="32"/>
      <c r="S1058" s="32">
        <f t="shared" ref="S1058:S1089" si="311">SUM(P1058:Q1058)</f>
        <v>8777</v>
      </c>
      <c r="T1058" s="12"/>
      <c r="U1058" s="12"/>
      <c r="V1058" s="12"/>
      <c r="W1058" s="12">
        <f t="shared" ref="W1058:W1098" si="312">SUM(S1058:V1058)</f>
        <v>8777</v>
      </c>
      <c r="Y1058" s="10">
        <v>2</v>
      </c>
      <c r="Z1058" s="30" t="s">
        <v>89</v>
      </c>
      <c r="AA1058" s="31">
        <f>AA1057+1</f>
        <v>7778</v>
      </c>
      <c r="AB1058" s="32">
        <f>93900+1175+1175+29800+4260+3015+4160+1832+1175</f>
        <v>140492</v>
      </c>
      <c r="AC1058" s="32">
        <v>-1296</v>
      </c>
      <c r="AD1058" s="32"/>
      <c r="AE1058" s="32">
        <f t="shared" ref="AE1058:AE1095" si="313">SUM(AB1058:AC1058)</f>
        <v>139196</v>
      </c>
      <c r="AF1058" s="12"/>
      <c r="AG1058" s="12">
        <f>1560+22200+78*8</f>
        <v>24384</v>
      </c>
      <c r="AH1058" s="12"/>
      <c r="AI1058" s="12">
        <f t="shared" ref="AI1058:AI1089" si="314">SUM(AE1058:AH1058)</f>
        <v>163580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89</v>
      </c>
      <c r="C1059" s="88">
        <f t="shared" ref="C1059:C1061" si="315">C1058+1</f>
        <v>8057</v>
      </c>
      <c r="D1059" s="33">
        <f>626*1835+596*108+229*80</f>
        <v>1231398</v>
      </c>
      <c r="E1059" s="33">
        <v>-11658</v>
      </c>
      <c r="F1059" s="33"/>
      <c r="G1059" s="33">
        <f t="shared" si="309"/>
        <v>1219740</v>
      </c>
      <c r="H1059" s="34"/>
      <c r="I1059" s="34">
        <f>133311+6240</f>
        <v>139551</v>
      </c>
      <c r="J1059" s="34">
        <f>-3480+-999+-168+-504</f>
        <v>-5151</v>
      </c>
      <c r="K1059" s="34">
        <f t="shared" si="310"/>
        <v>1354140</v>
      </c>
      <c r="L1059" s="18"/>
      <c r="M1059" s="10">
        <v>3</v>
      </c>
      <c r="N1059" s="30" t="s">
        <v>89</v>
      </c>
      <c r="O1059" s="31">
        <f t="shared" ref="O1059:O1067" si="316">O1058+1</f>
        <v>8048</v>
      </c>
      <c r="P1059" s="32">
        <f>626+9.5</f>
        <v>635.5</v>
      </c>
      <c r="Q1059" s="32"/>
      <c r="R1059" s="32"/>
      <c r="S1059" s="32">
        <f t="shared" si="311"/>
        <v>635.5</v>
      </c>
      <c r="T1059" s="12"/>
      <c r="U1059" s="12"/>
      <c r="V1059" s="12"/>
      <c r="W1059" s="12">
        <f t="shared" si="312"/>
        <v>635.5</v>
      </c>
      <c r="Y1059" s="10">
        <v>3</v>
      </c>
      <c r="Z1059" s="30" t="s">
        <v>89</v>
      </c>
      <c r="AA1059" s="31">
        <f t="shared" ref="AA1059:AA1061" si="317">AA1058+1</f>
        <v>7779</v>
      </c>
      <c r="AB1059" s="33">
        <f>626*200+614*10+1500+7035+1832+3250</f>
        <v>144957</v>
      </c>
      <c r="AC1059" s="33">
        <v>-1302</v>
      </c>
      <c r="AD1059" s="32"/>
      <c r="AE1059" s="32">
        <f t="shared" si="313"/>
        <v>143655</v>
      </c>
      <c r="AF1059" s="12"/>
      <c r="AG1059" s="12"/>
      <c r="AH1059" s="12"/>
      <c r="AI1059" s="12">
        <f t="shared" si="314"/>
        <v>143655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89</v>
      </c>
      <c r="C1060" s="88">
        <f t="shared" si="315"/>
        <v>8058</v>
      </c>
      <c r="D1060" s="32">
        <f>626*20+1175+913+2980+852+1175+832+237+500+674</f>
        <v>21858</v>
      </c>
      <c r="E1060" s="32"/>
      <c r="F1060" s="32"/>
      <c r="G1060" s="32">
        <f t="shared" si="309"/>
        <v>21858</v>
      </c>
      <c r="H1060" s="12"/>
      <c r="I1060" s="12">
        <f>144+405+37</f>
        <v>586</v>
      </c>
      <c r="J1060" s="12"/>
      <c r="K1060" s="12">
        <f t="shared" si="310"/>
        <v>22444</v>
      </c>
      <c r="L1060" s="18"/>
      <c r="M1060" s="10">
        <v>4</v>
      </c>
      <c r="N1060" s="30" t="s">
        <v>89</v>
      </c>
      <c r="O1060" s="31">
        <f t="shared" si="316"/>
        <v>8049</v>
      </c>
      <c r="P1060" s="32">
        <f>1878+1192+47.5</f>
        <v>3117.5</v>
      </c>
      <c r="Q1060" s="32"/>
      <c r="R1060" s="32"/>
      <c r="S1060" s="32">
        <f t="shared" si="311"/>
        <v>3117.5</v>
      </c>
      <c r="T1060" s="12"/>
      <c r="U1060" s="12"/>
      <c r="V1060" s="12"/>
      <c r="W1060" s="12">
        <f t="shared" si="312"/>
        <v>3117.5</v>
      </c>
      <c r="Y1060" s="10">
        <v>4</v>
      </c>
      <c r="Z1060" s="30" t="s">
        <v>89</v>
      </c>
      <c r="AA1060" s="31">
        <f t="shared" si="317"/>
        <v>7780</v>
      </c>
      <c r="AB1060" s="32">
        <f>626*190+674*10+596*69</f>
        <v>166804</v>
      </c>
      <c r="AC1060" s="32">
        <v>-1614</v>
      </c>
      <c r="AD1060" s="32"/>
      <c r="AE1060" s="32">
        <f t="shared" si="313"/>
        <v>165190</v>
      </c>
      <c r="AF1060" s="12"/>
      <c r="AG1060">
        <v>29859</v>
      </c>
      <c r="AH1060" s="12"/>
      <c r="AI1060" s="12">
        <f t="shared" si="314"/>
        <v>195049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89</v>
      </c>
      <c r="C1061" s="88">
        <f t="shared" si="315"/>
        <v>8059</v>
      </c>
      <c r="D1061" s="32">
        <f>28170</f>
        <v>28170</v>
      </c>
      <c r="E1061" s="32"/>
      <c r="F1061" s="32"/>
      <c r="G1061" s="32">
        <f t="shared" si="309"/>
        <v>28170</v>
      </c>
      <c r="H1061" s="12"/>
      <c r="I1061" s="12"/>
      <c r="J1061" s="12"/>
      <c r="K1061" s="12">
        <f t="shared" si="310"/>
        <v>28170</v>
      </c>
      <c r="L1061" s="18"/>
      <c r="M1061" s="10">
        <v>5</v>
      </c>
      <c r="N1061" s="30" t="s">
        <v>89</v>
      </c>
      <c r="O1061" s="31">
        <f t="shared" si="316"/>
        <v>8050</v>
      </c>
      <c r="P1061" s="32">
        <f>2504+38</f>
        <v>2542</v>
      </c>
      <c r="Q1061" s="32"/>
      <c r="R1061" s="32"/>
      <c r="S1061" s="32">
        <f t="shared" si="311"/>
        <v>2542</v>
      </c>
      <c r="T1061" s="12"/>
      <c r="U1061" s="12"/>
      <c r="V1061" s="12"/>
      <c r="W1061" s="12">
        <f t="shared" si="312"/>
        <v>2542</v>
      </c>
      <c r="Y1061" s="10">
        <v>5</v>
      </c>
      <c r="Z1061" s="30" t="s">
        <v>89</v>
      </c>
      <c r="AA1061" s="31">
        <f t="shared" si="317"/>
        <v>7781</v>
      </c>
      <c r="AB1061" s="32">
        <f>626*100+614*10+229*3</f>
        <v>69427</v>
      </c>
      <c r="AC1061" s="32">
        <v>-660</v>
      </c>
      <c r="AD1061" s="32"/>
      <c r="AE1061" s="32">
        <f t="shared" si="313"/>
        <v>68767</v>
      </c>
      <c r="AF1061" s="12"/>
      <c r="AG1061" s="12"/>
      <c r="AH1061" s="12"/>
      <c r="AI1061" s="12">
        <f t="shared" si="314"/>
        <v>68767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/>
      <c r="C1062" s="11" t="s">
        <v>27</v>
      </c>
      <c r="D1062" s="32"/>
      <c r="E1062" s="32"/>
      <c r="F1062" s="32"/>
      <c r="G1062" s="32">
        <f t="shared" si="309"/>
        <v>0</v>
      </c>
      <c r="H1062" s="12"/>
      <c r="I1062" s="12"/>
      <c r="J1062" s="12"/>
      <c r="K1062" s="12">
        <f t="shared" si="310"/>
        <v>0</v>
      </c>
      <c r="L1062" s="18"/>
      <c r="M1062" s="10">
        <v>6</v>
      </c>
      <c r="N1062" s="30" t="s">
        <v>89</v>
      </c>
      <c r="O1062" s="31">
        <v>8101</v>
      </c>
      <c r="P1062" s="32">
        <f>626*3+28.5</f>
        <v>1906.5</v>
      </c>
      <c r="Q1062" s="32"/>
      <c r="R1062" s="32"/>
      <c r="S1062" s="32">
        <f t="shared" si="311"/>
        <v>1906.5</v>
      </c>
      <c r="T1062" s="12"/>
      <c r="U1062" s="12"/>
      <c r="V1062" s="10"/>
      <c r="W1062" s="12">
        <f t="shared" si="312"/>
        <v>1906.5</v>
      </c>
      <c r="Y1062" s="10">
        <v>6</v>
      </c>
      <c r="Z1062" s="30"/>
      <c r="AA1062" s="11" t="s">
        <v>27</v>
      </c>
      <c r="AB1062" s="32"/>
      <c r="AC1062" s="32"/>
      <c r="AD1062" s="32"/>
      <c r="AE1062" s="32">
        <f t="shared" si="313"/>
        <v>0</v>
      </c>
      <c r="AF1062" s="12"/>
      <c r="AG1062" s="12"/>
      <c r="AH1062" s="10"/>
      <c r="AI1062" s="12">
        <f t="shared" si="314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88"/>
      <c r="D1063" s="32"/>
      <c r="E1063" s="32"/>
      <c r="F1063" s="32"/>
      <c r="G1063" s="32">
        <f t="shared" si="309"/>
        <v>0</v>
      </c>
      <c r="H1063" s="12"/>
      <c r="I1063" s="12"/>
      <c r="J1063" s="12"/>
      <c r="K1063" s="12">
        <f t="shared" si="310"/>
        <v>0</v>
      </c>
      <c r="L1063" s="18"/>
      <c r="M1063" s="10">
        <v>7</v>
      </c>
      <c r="N1063" s="30" t="s">
        <v>89</v>
      </c>
      <c r="O1063" s="31">
        <f t="shared" si="316"/>
        <v>8102</v>
      </c>
      <c r="P1063" s="32">
        <f>2504+38</f>
        <v>2542</v>
      </c>
      <c r="Q1063" s="32"/>
      <c r="R1063" s="32"/>
      <c r="S1063" s="32">
        <f t="shared" si="311"/>
        <v>2542</v>
      </c>
      <c r="T1063" s="12"/>
      <c r="U1063" s="12"/>
      <c r="V1063" s="12"/>
      <c r="W1063" s="12">
        <f t="shared" si="312"/>
        <v>2542</v>
      </c>
      <c r="Y1063" s="10">
        <v>7</v>
      </c>
      <c r="Z1063" s="30"/>
      <c r="AA1063" s="31"/>
      <c r="AB1063" s="32"/>
      <c r="AC1063" s="32"/>
      <c r="AD1063" s="32"/>
      <c r="AE1063" s="32">
        <f t="shared" si="313"/>
        <v>0</v>
      </c>
      <c r="AF1063" s="12"/>
      <c r="AG1063" s="58"/>
      <c r="AH1063" s="12"/>
      <c r="AI1063" s="12">
        <f t="shared" si="314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88"/>
      <c r="D1064" s="32"/>
      <c r="E1064" s="32"/>
      <c r="F1064" s="32"/>
      <c r="G1064" s="32">
        <f t="shared" si="309"/>
        <v>0</v>
      </c>
      <c r="H1064" s="12"/>
      <c r="I1064" s="12"/>
      <c r="J1064" s="12"/>
      <c r="K1064" s="12">
        <f t="shared" si="310"/>
        <v>0</v>
      </c>
      <c r="L1064" s="18"/>
      <c r="M1064" s="10">
        <v>8</v>
      </c>
      <c r="N1064" s="30" t="s">
        <v>89</v>
      </c>
      <c r="O1064" s="31">
        <f t="shared" si="316"/>
        <v>8103</v>
      </c>
      <c r="P1064" s="32">
        <f>12520+650</f>
        <v>13170</v>
      </c>
      <c r="Q1064" s="32"/>
      <c r="R1064" s="32"/>
      <c r="S1064" s="32">
        <f t="shared" si="311"/>
        <v>13170</v>
      </c>
      <c r="T1064" s="12"/>
      <c r="U1064" s="12">
        <v>777</v>
      </c>
      <c r="V1064" s="12"/>
      <c r="W1064" s="12">
        <f t="shared" si="312"/>
        <v>13947</v>
      </c>
      <c r="Y1064" s="10">
        <v>8</v>
      </c>
      <c r="Z1064" s="30"/>
      <c r="AB1064" s="32"/>
      <c r="AC1064" s="32"/>
      <c r="AE1064" s="32">
        <f t="shared" si="313"/>
        <v>0</v>
      </c>
      <c r="AF1064" s="12"/>
      <c r="AG1064" s="12"/>
      <c r="AH1064" s="12"/>
      <c r="AI1064" s="12">
        <f t="shared" si="314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88"/>
      <c r="D1065" s="32"/>
      <c r="E1065" s="32"/>
      <c r="F1065" s="32"/>
      <c r="G1065" s="32">
        <f t="shared" si="309"/>
        <v>0</v>
      </c>
      <c r="H1065" s="12"/>
      <c r="I1065" s="12"/>
      <c r="J1065" s="12"/>
      <c r="K1065" s="12">
        <f t="shared" si="310"/>
        <v>0</v>
      </c>
      <c r="L1065" s="18"/>
      <c r="M1065" s="10">
        <v>9</v>
      </c>
      <c r="N1065" s="30" t="s">
        <v>89</v>
      </c>
      <c r="O1065" s="31">
        <f t="shared" si="316"/>
        <v>8104</v>
      </c>
      <c r="P1065" s="32">
        <f>13772+1228+2980</f>
        <v>17980</v>
      </c>
      <c r="Q1065" s="32"/>
      <c r="R1065" s="32"/>
      <c r="S1065" s="32">
        <f t="shared" si="311"/>
        <v>17980</v>
      </c>
      <c r="T1065" s="12"/>
      <c r="U1065" s="12"/>
      <c r="V1065" s="12"/>
      <c r="W1065" s="12">
        <f t="shared" si="312"/>
        <v>17980</v>
      </c>
      <c r="Y1065" s="10">
        <v>9</v>
      </c>
      <c r="Z1065" s="30"/>
      <c r="AA1065" s="31"/>
      <c r="AC1065" s="32"/>
      <c r="AD1065" s="32"/>
      <c r="AE1065" s="32">
        <f t="shared" si="313"/>
        <v>0</v>
      </c>
      <c r="AF1065" s="12"/>
      <c r="AH1065" s="12"/>
      <c r="AI1065" s="12">
        <f t="shared" si="314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88"/>
      <c r="D1066" s="32"/>
      <c r="E1066" s="32"/>
      <c r="F1066" s="32"/>
      <c r="G1066" s="32">
        <f t="shared" si="309"/>
        <v>0</v>
      </c>
      <c r="H1066" s="12"/>
      <c r="I1066" s="12"/>
      <c r="J1066" s="12"/>
      <c r="K1066" s="12">
        <f t="shared" si="310"/>
        <v>0</v>
      </c>
      <c r="L1066" s="18"/>
      <c r="M1066" s="10">
        <v>10</v>
      </c>
      <c r="N1066" s="30" t="s">
        <v>89</v>
      </c>
      <c r="O1066" s="31">
        <f t="shared" si="316"/>
        <v>8105</v>
      </c>
      <c r="P1066" s="32">
        <f>6260+95</f>
        <v>6355</v>
      </c>
      <c r="Q1066" s="32"/>
      <c r="R1066" s="32"/>
      <c r="S1066" s="32">
        <f t="shared" si="311"/>
        <v>6355</v>
      </c>
      <c r="T1066" s="12"/>
      <c r="U1066" s="12">
        <v>15</v>
      </c>
      <c r="V1066" s="12"/>
      <c r="W1066" s="12">
        <f t="shared" si="312"/>
        <v>6370</v>
      </c>
      <c r="Y1066" s="10">
        <v>10</v>
      </c>
      <c r="Z1066" s="30"/>
      <c r="AA1066" s="31"/>
      <c r="AB1066" s="32"/>
      <c r="AC1066" s="32"/>
      <c r="AD1066" s="32"/>
      <c r="AE1066" s="32">
        <f t="shared" si="313"/>
        <v>0</v>
      </c>
      <c r="AF1066" s="12"/>
      <c r="AG1066" s="12"/>
      <c r="AH1066" s="12"/>
      <c r="AI1066" s="12">
        <f t="shared" si="314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88"/>
      <c r="D1067" s="32"/>
      <c r="E1067" s="32"/>
      <c r="F1067" s="32"/>
      <c r="G1067" s="32">
        <f t="shared" si="309"/>
        <v>0</v>
      </c>
      <c r="H1067" s="12"/>
      <c r="I1067" s="12"/>
      <c r="J1067" s="12"/>
      <c r="K1067" s="12">
        <f t="shared" si="310"/>
        <v>0</v>
      </c>
      <c r="L1067" s="18"/>
      <c r="M1067" s="10">
        <v>11</v>
      </c>
      <c r="N1067" s="30" t="s">
        <v>89</v>
      </c>
      <c r="O1067" s="31">
        <f t="shared" si="316"/>
        <v>8106</v>
      </c>
      <c r="P1067" s="32">
        <f>250400+6140+29800+4122</f>
        <v>290462</v>
      </c>
      <c r="Q1067" s="32">
        <v>-2760</v>
      </c>
      <c r="R1067" s="32"/>
      <c r="S1067" s="32">
        <f t="shared" si="311"/>
        <v>287702</v>
      </c>
      <c r="T1067" s="12"/>
      <c r="U1067" s="12">
        <f>18759+1248</f>
        <v>20007</v>
      </c>
      <c r="V1067" s="12">
        <f>-120+-168+-336+-420</f>
        <v>-1044</v>
      </c>
      <c r="W1067" s="12">
        <f t="shared" si="312"/>
        <v>306665</v>
      </c>
      <c r="Y1067" s="10">
        <v>11</v>
      </c>
      <c r="Z1067" s="30"/>
      <c r="AB1067" s="32"/>
      <c r="AC1067" s="32"/>
      <c r="AD1067" s="32"/>
      <c r="AE1067" s="32">
        <f t="shared" si="313"/>
        <v>0</v>
      </c>
      <c r="AF1067" s="12"/>
      <c r="AG1067" s="12"/>
      <c r="AH1067" s="12"/>
      <c r="AI1067" s="12">
        <f t="shared" si="314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57"/>
      <c r="D1068" s="32"/>
      <c r="E1068" s="32"/>
      <c r="F1068" s="32"/>
      <c r="G1068" s="32">
        <f t="shared" si="309"/>
        <v>0</v>
      </c>
      <c r="H1068" s="12"/>
      <c r="I1068" s="12"/>
      <c r="J1068" s="10"/>
      <c r="K1068" s="12">
        <f t="shared" si="310"/>
        <v>0</v>
      </c>
      <c r="L1068" s="18"/>
      <c r="M1068" s="10">
        <v>12</v>
      </c>
      <c r="N1068" s="30"/>
      <c r="O1068" s="11" t="s">
        <v>27</v>
      </c>
      <c r="P1068" s="32"/>
      <c r="Q1068" s="32"/>
      <c r="R1068" s="32"/>
      <c r="S1068" s="32">
        <f t="shared" si="311"/>
        <v>0</v>
      </c>
      <c r="T1068" s="12"/>
      <c r="U1068" s="12"/>
      <c r="V1068" s="12"/>
      <c r="W1068" s="12">
        <f t="shared" si="312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313"/>
        <v>0</v>
      </c>
      <c r="AF1068" s="12"/>
      <c r="AG1068" s="12"/>
      <c r="AH1068" s="12"/>
      <c r="AI1068" s="12">
        <f t="shared" si="314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88"/>
      <c r="D1069" s="32"/>
      <c r="E1069" s="32"/>
      <c r="F1069" s="32"/>
      <c r="G1069" s="32">
        <f t="shared" si="309"/>
        <v>0</v>
      </c>
      <c r="H1069" s="12"/>
      <c r="I1069" s="12"/>
      <c r="J1069" s="12"/>
      <c r="K1069" s="12">
        <f t="shared" si="310"/>
        <v>0</v>
      </c>
      <c r="L1069" s="18"/>
      <c r="M1069" s="10">
        <v>13</v>
      </c>
      <c r="N1069" s="30"/>
      <c r="O1069" s="31"/>
      <c r="P1069" s="32"/>
      <c r="Q1069" s="32"/>
      <c r="R1069" s="32"/>
      <c r="S1069" s="32">
        <f t="shared" si="311"/>
        <v>0</v>
      </c>
      <c r="T1069" s="12"/>
      <c r="U1069" s="12"/>
      <c r="V1069" s="12"/>
      <c r="W1069" s="12">
        <f t="shared" si="312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13"/>
        <v>0</v>
      </c>
      <c r="AF1069" s="12"/>
      <c r="AG1069" s="12"/>
      <c r="AH1069" s="12"/>
      <c r="AI1069" s="12">
        <f t="shared" si="314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88"/>
      <c r="D1070" s="32"/>
      <c r="E1070" s="32"/>
      <c r="F1070" s="32"/>
      <c r="G1070" s="32">
        <f t="shared" si="309"/>
        <v>0</v>
      </c>
      <c r="H1070" s="12"/>
      <c r="I1070" s="12"/>
      <c r="J1070" s="12"/>
      <c r="K1070" s="12">
        <f t="shared" si="310"/>
        <v>0</v>
      </c>
      <c r="L1070" s="18"/>
      <c r="M1070" s="10">
        <v>14</v>
      </c>
      <c r="N1070" s="30"/>
      <c r="O1070" s="31"/>
      <c r="P1070" s="32"/>
      <c r="Q1070" s="32"/>
      <c r="R1070" s="32"/>
      <c r="S1070" s="32">
        <f t="shared" si="311"/>
        <v>0</v>
      </c>
      <c r="T1070" s="12"/>
      <c r="U1070" s="12"/>
      <c r="V1070" s="12"/>
      <c r="W1070" s="12">
        <f t="shared" si="312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13"/>
        <v>0</v>
      </c>
      <c r="AF1070" s="12"/>
      <c r="AG1070" s="12"/>
      <c r="AH1070" s="12"/>
      <c r="AI1070" s="12">
        <f t="shared" si="314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88"/>
      <c r="D1071" s="32"/>
      <c r="E1071" s="32"/>
      <c r="F1071" s="32"/>
      <c r="G1071" s="32">
        <f t="shared" si="309"/>
        <v>0</v>
      </c>
      <c r="H1071" s="12"/>
      <c r="I1071" s="12"/>
      <c r="J1071" s="12"/>
      <c r="K1071" s="12">
        <f t="shared" si="310"/>
        <v>0</v>
      </c>
      <c r="L1071" s="18"/>
      <c r="M1071" s="10">
        <v>15</v>
      </c>
      <c r="N1071" s="30"/>
      <c r="O1071" s="31"/>
      <c r="P1071" s="32"/>
      <c r="Q1071" s="32"/>
      <c r="R1071" s="32"/>
      <c r="S1071" s="32">
        <f t="shared" si="311"/>
        <v>0</v>
      </c>
      <c r="T1071" s="12"/>
      <c r="U1071" s="12"/>
      <c r="V1071" s="12"/>
      <c r="W1071" s="12">
        <f t="shared" si="312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13"/>
        <v>0</v>
      </c>
      <c r="AF1071" s="12"/>
      <c r="AG1071" s="12"/>
      <c r="AH1071" s="12"/>
      <c r="AI1071" s="12">
        <f t="shared" si="314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88"/>
      <c r="D1072" s="32"/>
      <c r="E1072" s="32"/>
      <c r="F1072" s="32"/>
      <c r="G1072" s="32">
        <f t="shared" si="309"/>
        <v>0</v>
      </c>
      <c r="H1072" s="12"/>
      <c r="I1072" s="12"/>
      <c r="J1072" s="12"/>
      <c r="K1072" s="12">
        <f t="shared" si="310"/>
        <v>0</v>
      </c>
      <c r="L1072" s="18"/>
      <c r="M1072" s="10">
        <v>16</v>
      </c>
      <c r="N1072" s="30"/>
      <c r="O1072" s="31"/>
      <c r="P1072" s="32"/>
      <c r="Q1072" s="32"/>
      <c r="R1072" s="32"/>
      <c r="S1072" s="32">
        <f t="shared" si="311"/>
        <v>0</v>
      </c>
      <c r="T1072" s="12"/>
      <c r="U1072" s="12"/>
      <c r="V1072" s="12"/>
      <c r="W1072" s="12">
        <f t="shared" si="312"/>
        <v>0</v>
      </c>
      <c r="Y1072" s="10">
        <v>16</v>
      </c>
      <c r="Z1072" s="30"/>
      <c r="AB1072" s="32"/>
      <c r="AC1072" s="32"/>
      <c r="AD1072" s="32"/>
      <c r="AE1072" s="32">
        <f t="shared" si="313"/>
        <v>0</v>
      </c>
      <c r="AF1072" s="12"/>
      <c r="AG1072" s="12"/>
      <c r="AH1072" s="12"/>
      <c r="AI1072" s="12">
        <f t="shared" si="314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88"/>
      <c r="D1073" s="32"/>
      <c r="E1073" s="32"/>
      <c r="F1073" s="32"/>
      <c r="G1073" s="32">
        <f t="shared" si="309"/>
        <v>0</v>
      </c>
      <c r="H1073" s="12"/>
      <c r="I1073" s="12"/>
      <c r="J1073" s="12"/>
      <c r="K1073" s="12">
        <f t="shared" si="310"/>
        <v>0</v>
      </c>
      <c r="L1073" s="18"/>
      <c r="M1073" s="10">
        <v>17</v>
      </c>
      <c r="N1073" s="30"/>
      <c r="O1073" s="31"/>
      <c r="P1073" s="35"/>
      <c r="Q1073" s="32"/>
      <c r="R1073" s="32"/>
      <c r="S1073" s="32">
        <f t="shared" si="311"/>
        <v>0</v>
      </c>
      <c r="T1073" s="12"/>
      <c r="U1073" s="12"/>
      <c r="V1073" s="12"/>
      <c r="W1073" s="12">
        <f t="shared" si="312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13"/>
        <v>0</v>
      </c>
      <c r="AF1073" s="12"/>
      <c r="AG1073" s="12"/>
      <c r="AH1073" s="12"/>
      <c r="AI1073" s="12">
        <f t="shared" si="314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88"/>
      <c r="D1074" s="32"/>
      <c r="E1074" s="32"/>
      <c r="F1074" s="32"/>
      <c r="G1074" s="32">
        <f t="shared" si="309"/>
        <v>0</v>
      </c>
      <c r="H1074" s="12"/>
      <c r="I1074" s="12"/>
      <c r="J1074" s="12"/>
      <c r="K1074" s="12">
        <f t="shared" si="310"/>
        <v>0</v>
      </c>
      <c r="L1074" s="18"/>
      <c r="M1074" s="10">
        <v>18</v>
      </c>
      <c r="N1074" s="30"/>
      <c r="O1074" s="31"/>
      <c r="P1074" s="32"/>
      <c r="Q1074" s="32"/>
      <c r="R1074" s="32"/>
      <c r="S1074" s="32">
        <f t="shared" si="311"/>
        <v>0</v>
      </c>
      <c r="T1074" s="12"/>
      <c r="U1074" s="12"/>
      <c r="V1074" s="12"/>
      <c r="W1074" s="12">
        <f t="shared" si="312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13"/>
        <v>0</v>
      </c>
      <c r="AF1074" s="12"/>
      <c r="AG1074" s="12"/>
      <c r="AH1074" s="12"/>
      <c r="AI1074" s="12">
        <f t="shared" si="314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88"/>
      <c r="D1075" s="32"/>
      <c r="E1075" s="32"/>
      <c r="F1075" s="32"/>
      <c r="G1075" s="32">
        <f t="shared" si="309"/>
        <v>0</v>
      </c>
      <c r="H1075" s="12"/>
      <c r="I1075" s="12"/>
      <c r="J1075" s="12"/>
      <c r="K1075" s="12">
        <f t="shared" si="310"/>
        <v>0</v>
      </c>
      <c r="L1075" s="18"/>
      <c r="M1075" s="10">
        <v>19</v>
      </c>
      <c r="N1075" s="30"/>
      <c r="O1075" s="31"/>
      <c r="P1075" s="32"/>
      <c r="Q1075" s="32"/>
      <c r="R1075" s="32"/>
      <c r="S1075" s="32">
        <f t="shared" si="311"/>
        <v>0</v>
      </c>
      <c r="T1075" s="12"/>
      <c r="U1075" s="12"/>
      <c r="V1075" s="12"/>
      <c r="W1075" s="12">
        <f t="shared" si="312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13"/>
        <v>0</v>
      </c>
      <c r="AF1075" s="12"/>
      <c r="AG1075" s="12"/>
      <c r="AH1075" s="12"/>
      <c r="AI1075" s="12">
        <f t="shared" si="314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88"/>
      <c r="D1076" s="32"/>
      <c r="E1076" s="32"/>
      <c r="F1076" s="32"/>
      <c r="G1076" s="32">
        <f t="shared" si="309"/>
        <v>0</v>
      </c>
      <c r="H1076" s="12"/>
      <c r="I1076" s="12"/>
      <c r="J1076" s="12"/>
      <c r="K1076" s="12">
        <f t="shared" si="310"/>
        <v>0</v>
      </c>
      <c r="L1076" s="18"/>
      <c r="M1076" s="10">
        <v>20</v>
      </c>
      <c r="N1076" s="30"/>
      <c r="P1076" s="32"/>
      <c r="Q1076" s="32"/>
      <c r="R1076" s="32"/>
      <c r="S1076" s="32">
        <f t="shared" si="311"/>
        <v>0</v>
      </c>
      <c r="T1076" s="12"/>
      <c r="U1076" s="12"/>
      <c r="V1076" s="12"/>
      <c r="W1076" s="12">
        <f t="shared" si="312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313"/>
        <v>0</v>
      </c>
      <c r="AF1076" s="12"/>
      <c r="AG1076" s="12"/>
      <c r="AH1076" s="12"/>
      <c r="AI1076" s="12">
        <f t="shared" si="314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D1077" s="32"/>
      <c r="E1077" s="32"/>
      <c r="F1077" s="32"/>
      <c r="G1077" s="32">
        <f t="shared" si="309"/>
        <v>0</v>
      </c>
      <c r="H1077" s="10"/>
      <c r="I1077" s="10"/>
      <c r="J1077" s="10"/>
      <c r="K1077" s="12">
        <f t="shared" si="310"/>
        <v>0</v>
      </c>
      <c r="L1077" s="18"/>
      <c r="M1077" s="10">
        <v>21</v>
      </c>
      <c r="N1077" s="30"/>
      <c r="P1077" s="46"/>
      <c r="Q1077" s="31"/>
      <c r="R1077" s="31"/>
      <c r="S1077" s="32">
        <f t="shared" si="311"/>
        <v>0</v>
      </c>
      <c r="T1077" s="10"/>
      <c r="U1077" s="10"/>
      <c r="V1077" s="10"/>
      <c r="W1077" s="12">
        <f t="shared" si="312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313"/>
        <v>0</v>
      </c>
      <c r="AF1077" s="10"/>
      <c r="AG1077" s="10"/>
      <c r="AH1077" s="10"/>
      <c r="AI1077" s="12">
        <f t="shared" si="314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88"/>
      <c r="D1078" s="32"/>
      <c r="E1078" s="32"/>
      <c r="F1078" s="32"/>
      <c r="G1078" s="32">
        <f t="shared" si="309"/>
        <v>0</v>
      </c>
      <c r="H1078" s="10"/>
      <c r="I1078" s="10"/>
      <c r="J1078" s="10"/>
      <c r="K1078" s="12">
        <f t="shared" si="310"/>
        <v>0</v>
      </c>
      <c r="L1078" s="18"/>
      <c r="M1078" s="10">
        <v>22</v>
      </c>
      <c r="N1078" s="30"/>
      <c r="O1078" s="31"/>
      <c r="P1078" s="45"/>
      <c r="Q1078" s="31"/>
      <c r="R1078" s="31"/>
      <c r="S1078" s="32">
        <f t="shared" si="311"/>
        <v>0</v>
      </c>
      <c r="T1078" s="10"/>
      <c r="U1078" s="10"/>
      <c r="V1078" s="10"/>
      <c r="W1078" s="12">
        <f t="shared" si="312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13"/>
        <v>0</v>
      </c>
      <c r="AF1078" s="10"/>
      <c r="AG1078" s="10"/>
      <c r="AH1078" s="10"/>
      <c r="AI1078" s="12">
        <f t="shared" si="314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8"/>
      <c r="D1079" s="32"/>
      <c r="E1079" s="32"/>
      <c r="F1079" s="32"/>
      <c r="G1079" s="32">
        <f t="shared" si="309"/>
        <v>0</v>
      </c>
      <c r="H1079" s="10"/>
      <c r="I1079" s="10"/>
      <c r="J1079" s="12"/>
      <c r="K1079" s="12">
        <f t="shared" si="310"/>
        <v>0</v>
      </c>
      <c r="L1079" s="18"/>
      <c r="M1079" s="10">
        <v>23</v>
      </c>
      <c r="N1079" s="30"/>
      <c r="O1079" s="31"/>
      <c r="P1079" s="47"/>
      <c r="S1079" s="32">
        <f t="shared" si="311"/>
        <v>0</v>
      </c>
      <c r="T1079" s="10"/>
      <c r="U1079" s="10"/>
      <c r="V1079" s="10"/>
      <c r="W1079" s="12">
        <f t="shared" si="312"/>
        <v>0</v>
      </c>
      <c r="Y1079" s="10">
        <v>23</v>
      </c>
      <c r="Z1079" s="30"/>
      <c r="AA1079" s="31"/>
      <c r="AB1079" s="47"/>
      <c r="AE1079" s="32">
        <f t="shared" si="313"/>
        <v>0</v>
      </c>
      <c r="AF1079" s="10"/>
      <c r="AG1079" s="10"/>
      <c r="AH1079" s="10"/>
      <c r="AI1079" s="12">
        <f t="shared" si="314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57"/>
      <c r="D1080" s="32"/>
      <c r="E1080" s="32"/>
      <c r="F1080" s="32"/>
      <c r="G1080" s="32">
        <f t="shared" si="309"/>
        <v>0</v>
      </c>
      <c r="H1080" s="10"/>
      <c r="I1080" s="10"/>
      <c r="J1080" s="10"/>
      <c r="K1080" s="12">
        <f t="shared" si="310"/>
        <v>0</v>
      </c>
      <c r="L1080" s="18"/>
      <c r="M1080" s="10">
        <v>24</v>
      </c>
      <c r="N1080" s="30"/>
      <c r="O1080" s="31"/>
      <c r="P1080" s="47"/>
      <c r="Q1080" s="31"/>
      <c r="R1080" s="31"/>
      <c r="S1080" s="32">
        <f t="shared" si="311"/>
        <v>0</v>
      </c>
      <c r="T1080" s="10"/>
      <c r="U1080" s="10"/>
      <c r="V1080" s="10"/>
      <c r="W1080" s="12">
        <f t="shared" si="312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13"/>
        <v>0</v>
      </c>
      <c r="AF1080" s="10"/>
      <c r="AG1080" s="10"/>
      <c r="AH1080" s="10"/>
      <c r="AI1080" s="12">
        <f t="shared" si="314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309"/>
        <v>0</v>
      </c>
      <c r="H1081" s="10"/>
      <c r="I1081" s="10"/>
      <c r="J1081" s="10"/>
      <c r="K1081" s="12">
        <f t="shared" si="310"/>
        <v>0</v>
      </c>
      <c r="L1081" s="18"/>
      <c r="M1081" s="10">
        <v>25</v>
      </c>
      <c r="N1081" s="30"/>
      <c r="P1081" s="47"/>
      <c r="Q1081" s="31"/>
      <c r="R1081" s="31"/>
      <c r="S1081" s="32">
        <f t="shared" si="311"/>
        <v>0</v>
      </c>
      <c r="T1081" s="10"/>
      <c r="U1081" s="10"/>
      <c r="V1081" s="10"/>
      <c r="W1081" s="12">
        <f t="shared" si="312"/>
        <v>0</v>
      </c>
      <c r="Y1081" s="10">
        <v>25</v>
      </c>
      <c r="Z1081" s="30"/>
      <c r="AB1081" s="47"/>
      <c r="AC1081" s="31"/>
      <c r="AD1081" s="31"/>
      <c r="AE1081" s="32">
        <f t="shared" si="313"/>
        <v>0</v>
      </c>
      <c r="AF1081" s="10"/>
      <c r="AG1081" s="10"/>
      <c r="AH1081" s="10"/>
      <c r="AI1081" s="12">
        <f t="shared" si="314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11"/>
      <c r="D1082" s="32"/>
      <c r="E1082" s="32"/>
      <c r="F1082" s="32"/>
      <c r="G1082" s="32">
        <f t="shared" si="309"/>
        <v>0</v>
      </c>
      <c r="H1082" s="10"/>
      <c r="I1082" s="10"/>
      <c r="J1082" s="10"/>
      <c r="K1082" s="12">
        <f t="shared" si="310"/>
        <v>0</v>
      </c>
      <c r="L1082" s="18"/>
      <c r="M1082" s="10">
        <v>26</v>
      </c>
      <c r="N1082" s="30"/>
      <c r="P1082" s="47"/>
      <c r="Q1082" s="31"/>
      <c r="R1082" s="31"/>
      <c r="S1082" s="32">
        <f t="shared" si="311"/>
        <v>0</v>
      </c>
      <c r="T1082" s="10"/>
      <c r="U1082" s="10"/>
      <c r="V1082" s="10"/>
      <c r="W1082" s="12">
        <f t="shared" si="312"/>
        <v>0</v>
      </c>
      <c r="Y1082" s="10">
        <v>26</v>
      </c>
      <c r="Z1082" s="30"/>
      <c r="AB1082" s="47"/>
      <c r="AC1082" s="31"/>
      <c r="AD1082" s="31"/>
      <c r="AE1082" s="32">
        <f t="shared" si="313"/>
        <v>0</v>
      </c>
      <c r="AF1082" s="10"/>
      <c r="AG1082" s="10"/>
      <c r="AH1082" s="10"/>
      <c r="AI1082" s="12">
        <f t="shared" si="314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57"/>
      <c r="D1083" s="32"/>
      <c r="E1083" s="32"/>
      <c r="F1083" s="32"/>
      <c r="G1083" s="32">
        <f t="shared" si="309"/>
        <v>0</v>
      </c>
      <c r="H1083" s="10"/>
      <c r="I1083" s="10"/>
      <c r="J1083" s="10"/>
      <c r="K1083" s="12">
        <f t="shared" si="310"/>
        <v>0</v>
      </c>
      <c r="L1083" s="18"/>
      <c r="M1083" s="10">
        <v>27</v>
      </c>
      <c r="N1083" s="30"/>
      <c r="O1083" s="31"/>
      <c r="P1083" s="47"/>
      <c r="Q1083" s="31"/>
      <c r="R1083" s="31"/>
      <c r="S1083" s="32">
        <f t="shared" si="311"/>
        <v>0</v>
      </c>
      <c r="T1083" s="10"/>
      <c r="U1083" s="10"/>
      <c r="V1083" s="10"/>
      <c r="W1083" s="12">
        <f t="shared" si="312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13"/>
        <v>0</v>
      </c>
      <c r="AF1083" s="10"/>
      <c r="AG1083" s="10"/>
      <c r="AH1083" s="10"/>
      <c r="AI1083" s="12">
        <f t="shared" si="314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309"/>
        <v>0</v>
      </c>
      <c r="H1084" s="10"/>
      <c r="I1084" s="10"/>
      <c r="J1084" s="10"/>
      <c r="K1084" s="12">
        <f t="shared" si="310"/>
        <v>0</v>
      </c>
      <c r="L1084" s="18"/>
      <c r="M1084" s="10">
        <v>28</v>
      </c>
      <c r="N1084" s="30"/>
      <c r="O1084" s="31"/>
      <c r="P1084" s="47"/>
      <c r="Q1084" s="31"/>
      <c r="R1084" s="31"/>
      <c r="S1084" s="32">
        <f t="shared" si="311"/>
        <v>0</v>
      </c>
      <c r="T1084" s="10"/>
      <c r="U1084" s="10"/>
      <c r="V1084" s="10"/>
      <c r="W1084" s="12">
        <f t="shared" si="312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13"/>
        <v>0</v>
      </c>
      <c r="AF1084" s="10"/>
      <c r="AG1084" s="10"/>
      <c r="AH1084" s="10"/>
      <c r="AI1084" s="12">
        <f t="shared" si="314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31"/>
      <c r="D1085" s="32"/>
      <c r="E1085" s="32"/>
      <c r="F1085" s="32"/>
      <c r="G1085" s="32">
        <f t="shared" si="309"/>
        <v>0</v>
      </c>
      <c r="H1085" s="10"/>
      <c r="I1085" s="10"/>
      <c r="J1085" s="10"/>
      <c r="K1085" s="12">
        <f t="shared" si="310"/>
        <v>0</v>
      </c>
      <c r="L1085" s="18"/>
      <c r="M1085" s="10">
        <v>29</v>
      </c>
      <c r="N1085" s="30"/>
      <c r="P1085" s="47"/>
      <c r="Q1085" s="31"/>
      <c r="R1085" s="31"/>
      <c r="S1085" s="32">
        <f t="shared" si="311"/>
        <v>0</v>
      </c>
      <c r="T1085" s="10"/>
      <c r="U1085" s="10"/>
      <c r="V1085" s="10"/>
      <c r="W1085" s="12">
        <f t="shared" si="312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13"/>
        <v>0</v>
      </c>
      <c r="AF1085" s="10"/>
      <c r="AG1085" s="10"/>
      <c r="AH1085" s="10"/>
      <c r="AI1085" s="12">
        <f t="shared" si="314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309"/>
        <v>0</v>
      </c>
      <c r="H1086" s="10"/>
      <c r="I1086" s="10"/>
      <c r="J1086" s="10"/>
      <c r="K1086" s="12">
        <f t="shared" si="310"/>
        <v>0</v>
      </c>
      <c r="L1086" s="18"/>
      <c r="M1086" s="10">
        <v>30</v>
      </c>
      <c r="N1086" s="30"/>
      <c r="P1086" s="47"/>
      <c r="Q1086" s="31"/>
      <c r="R1086" s="31"/>
      <c r="S1086" s="32">
        <f t="shared" si="311"/>
        <v>0</v>
      </c>
      <c r="T1086" s="10"/>
      <c r="U1086" s="10"/>
      <c r="V1086" s="10"/>
      <c r="W1086" s="12">
        <f t="shared" si="312"/>
        <v>0</v>
      </c>
      <c r="Y1086" s="10">
        <v>30</v>
      </c>
      <c r="Z1086" s="30"/>
      <c r="AB1086" s="47"/>
      <c r="AC1086" s="31"/>
      <c r="AD1086" s="31"/>
      <c r="AE1086" s="32">
        <f t="shared" si="313"/>
        <v>0</v>
      </c>
      <c r="AF1086" s="10"/>
      <c r="AG1086" s="10"/>
      <c r="AH1086" s="10"/>
      <c r="AI1086" s="12">
        <f t="shared" si="314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57"/>
      <c r="D1087" s="32"/>
      <c r="E1087" s="32"/>
      <c r="F1087" s="32"/>
      <c r="G1087" s="32">
        <f t="shared" si="309"/>
        <v>0</v>
      </c>
      <c r="H1087" s="10"/>
      <c r="I1087" s="10"/>
      <c r="J1087" s="10"/>
      <c r="K1087" s="12">
        <f t="shared" si="310"/>
        <v>0</v>
      </c>
      <c r="L1087" s="18"/>
      <c r="M1087" s="10">
        <v>31</v>
      </c>
      <c r="N1087" s="30"/>
      <c r="O1087" s="31"/>
      <c r="P1087" s="47"/>
      <c r="Q1087" s="31"/>
      <c r="R1087" s="31"/>
      <c r="S1087" s="32">
        <f t="shared" si="311"/>
        <v>0</v>
      </c>
      <c r="T1087" s="10"/>
      <c r="U1087" s="10"/>
      <c r="V1087" s="10"/>
      <c r="W1087" s="12">
        <f t="shared" si="312"/>
        <v>0</v>
      </c>
      <c r="Y1087" s="10">
        <v>31</v>
      </c>
      <c r="Z1087" s="30"/>
      <c r="AB1087" s="47"/>
      <c r="AC1087" s="31"/>
      <c r="AD1087" s="31"/>
      <c r="AE1087" s="32">
        <f t="shared" si="313"/>
        <v>0</v>
      </c>
      <c r="AF1087" s="10"/>
      <c r="AG1087" s="10"/>
      <c r="AH1087" s="10"/>
      <c r="AI1087" s="12">
        <f t="shared" si="314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31"/>
      <c r="D1088" s="32"/>
      <c r="E1088" s="32"/>
      <c r="F1088" s="32"/>
      <c r="G1088" s="32">
        <f t="shared" si="309"/>
        <v>0</v>
      </c>
      <c r="H1088" s="10"/>
      <c r="I1088" s="10"/>
      <c r="J1088" s="10"/>
      <c r="K1088" s="12">
        <f t="shared" si="310"/>
        <v>0</v>
      </c>
      <c r="L1088" s="18"/>
      <c r="M1088" s="10">
        <v>32</v>
      </c>
      <c r="N1088" s="30"/>
      <c r="P1088" s="47"/>
      <c r="Q1088" s="31"/>
      <c r="R1088" s="31"/>
      <c r="S1088" s="32">
        <f t="shared" si="311"/>
        <v>0</v>
      </c>
      <c r="T1088" s="10"/>
      <c r="U1088" s="10"/>
      <c r="V1088" s="10"/>
      <c r="W1088" s="12">
        <f t="shared" si="312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13"/>
        <v>0</v>
      </c>
      <c r="AF1088" s="10"/>
      <c r="AG1088" s="10"/>
      <c r="AH1088" s="10"/>
      <c r="AI1088" s="12">
        <f t="shared" si="314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57"/>
      <c r="D1089" s="32"/>
      <c r="E1089" s="32"/>
      <c r="F1089" s="32"/>
      <c r="G1089" s="32">
        <f t="shared" si="309"/>
        <v>0</v>
      </c>
      <c r="H1089" s="10"/>
      <c r="I1089" s="10"/>
      <c r="J1089" s="10"/>
      <c r="K1089" s="12">
        <f t="shared" si="310"/>
        <v>0</v>
      </c>
      <c r="L1089" s="18"/>
      <c r="M1089" s="10">
        <v>33</v>
      </c>
      <c r="N1089" s="30"/>
      <c r="O1089" s="31"/>
      <c r="P1089" s="47"/>
      <c r="Q1089" s="31"/>
      <c r="R1089" s="31"/>
      <c r="S1089" s="32">
        <f t="shared" si="311"/>
        <v>0</v>
      </c>
      <c r="T1089" s="10"/>
      <c r="U1089" s="10"/>
      <c r="V1089" s="10"/>
      <c r="W1089" s="12">
        <f t="shared" si="312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13"/>
        <v>0</v>
      </c>
      <c r="AF1089" s="10"/>
      <c r="AG1089" s="10"/>
      <c r="AH1089" s="10"/>
      <c r="AI1089" s="12">
        <f t="shared" si="314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57"/>
      <c r="D1090" s="32"/>
      <c r="E1090" s="32"/>
      <c r="F1090" s="32"/>
      <c r="G1090" s="32">
        <f t="shared" si="309"/>
        <v>0</v>
      </c>
      <c r="H1090" s="10"/>
      <c r="I1090" s="10"/>
      <c r="J1090" s="10"/>
      <c r="K1090" s="12">
        <f t="shared" si="310"/>
        <v>0</v>
      </c>
      <c r="L1090" s="18"/>
      <c r="M1090" s="10">
        <v>34</v>
      </c>
      <c r="N1090" s="30"/>
      <c r="O1090" s="31"/>
      <c r="P1090" s="47"/>
      <c r="Q1090" s="31"/>
      <c r="R1090" s="31"/>
      <c r="S1090" s="32">
        <f t="shared" ref="S1090:S1095" si="318">SUM(P1090:Q1090)</f>
        <v>0</v>
      </c>
      <c r="T1090" s="10"/>
      <c r="U1090" s="10"/>
      <c r="V1090" s="10"/>
      <c r="W1090" s="12">
        <f t="shared" si="312"/>
        <v>0</v>
      </c>
      <c r="Y1090" s="10">
        <v>34</v>
      </c>
      <c r="Z1090" s="30"/>
      <c r="AB1090" s="47"/>
      <c r="AC1090" s="31"/>
      <c r="AD1090" s="31"/>
      <c r="AE1090" s="32">
        <f t="shared" si="313"/>
        <v>0</v>
      </c>
      <c r="AF1090" s="10"/>
      <c r="AG1090" s="10"/>
      <c r="AH1090" s="10"/>
      <c r="AI1090" s="12">
        <f t="shared" ref="AI1090:AI1098" si="319">SUM(AE1090:AH1090)</f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31"/>
      <c r="D1091" s="32"/>
      <c r="E1091" s="32"/>
      <c r="F1091" s="32"/>
      <c r="G1091" s="32"/>
      <c r="H1091" s="10"/>
      <c r="I1091" s="10"/>
      <c r="J1091" s="10"/>
      <c r="K1091" s="12"/>
      <c r="L1091" s="18"/>
      <c r="M1091" s="10">
        <v>35</v>
      </c>
      <c r="N1091" s="30"/>
      <c r="O1091" s="31"/>
      <c r="P1091" s="47"/>
      <c r="Q1091" s="31"/>
      <c r="R1091" s="31"/>
      <c r="S1091" s="32">
        <f t="shared" si="318"/>
        <v>0</v>
      </c>
      <c r="T1091" s="10"/>
      <c r="U1091" s="10"/>
      <c r="V1091" s="10"/>
      <c r="W1091" s="12">
        <f t="shared" si="312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3"/>
        <v>0</v>
      </c>
      <c r="AF1091" s="10"/>
      <c r="AG1091" s="10"/>
      <c r="AH1091" s="10"/>
      <c r="AI1091" s="12">
        <f t="shared" si="319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31"/>
      <c r="D1092" s="32"/>
      <c r="E1092" s="32"/>
      <c r="F1092" s="32"/>
      <c r="G1092" s="32"/>
      <c r="H1092" s="10"/>
      <c r="I1092" s="10"/>
      <c r="J1092" s="10"/>
      <c r="K1092" s="12"/>
      <c r="L1092" s="18"/>
      <c r="M1092" s="10">
        <v>36</v>
      </c>
      <c r="N1092" s="30"/>
      <c r="O1092" s="31"/>
      <c r="P1092" s="47"/>
      <c r="Q1092" s="31"/>
      <c r="R1092" s="31"/>
      <c r="S1092" s="32">
        <f t="shared" si="318"/>
        <v>0</v>
      </c>
      <c r="T1092" s="10"/>
      <c r="U1092" s="10"/>
      <c r="V1092" s="10"/>
      <c r="W1092" s="12">
        <f t="shared" si="312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3"/>
        <v>0</v>
      </c>
      <c r="AF1092" s="10"/>
      <c r="AG1092" s="10"/>
      <c r="AH1092" s="10"/>
      <c r="AI1092" s="12">
        <f t="shared" si="319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L1093" s="18"/>
      <c r="M1093" s="10">
        <v>37</v>
      </c>
      <c r="N1093" s="30"/>
      <c r="P1093" s="47"/>
      <c r="Q1093" s="31"/>
      <c r="R1093" s="31"/>
      <c r="S1093" s="32">
        <f t="shared" si="318"/>
        <v>0</v>
      </c>
      <c r="T1093" s="10"/>
      <c r="U1093" s="10"/>
      <c r="V1093" s="10"/>
      <c r="W1093" s="12">
        <f t="shared" si="312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3"/>
        <v>0</v>
      </c>
      <c r="AF1093" s="10"/>
      <c r="AG1093" s="10"/>
      <c r="AH1093" s="10"/>
      <c r="AI1093" s="12">
        <f t="shared" si="319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L1094" s="18"/>
      <c r="M1094" s="10">
        <v>38</v>
      </c>
      <c r="N1094" s="30"/>
      <c r="O1094" s="31"/>
      <c r="P1094" s="47"/>
      <c r="Q1094" s="31"/>
      <c r="R1094" s="31"/>
      <c r="S1094" s="32">
        <f t="shared" si="318"/>
        <v>0</v>
      </c>
      <c r="T1094" s="10"/>
      <c r="U1094" s="10"/>
      <c r="V1094" s="10"/>
      <c r="W1094" s="12">
        <f t="shared" si="312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3"/>
        <v>0</v>
      </c>
      <c r="AF1094" s="10"/>
      <c r="AG1094" s="10"/>
      <c r="AH1094" s="10"/>
      <c r="AI1094" s="12">
        <f t="shared" si="319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L1095" s="18"/>
      <c r="M1095" s="10">
        <v>39</v>
      </c>
      <c r="N1095" s="30"/>
      <c r="O1095" s="31"/>
      <c r="P1095" s="47"/>
      <c r="Q1095" s="31"/>
      <c r="R1095" s="31"/>
      <c r="S1095" s="32">
        <f t="shared" si="318"/>
        <v>0</v>
      </c>
      <c r="T1095" s="10"/>
      <c r="U1095" s="10"/>
      <c r="V1095" s="10"/>
      <c r="W1095" s="12">
        <f t="shared" si="312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3"/>
        <v>0</v>
      </c>
      <c r="AF1095" s="10"/>
      <c r="AG1095" s="10"/>
      <c r="AH1095" s="10"/>
      <c r="AI1095" s="12">
        <f t="shared" si="319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L1096" s="18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12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19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20">SUM(D1097:E1097)</f>
        <v>0</v>
      </c>
      <c r="H1097" s="10"/>
      <c r="I1097" s="10"/>
      <c r="J1097" s="10"/>
      <c r="K1097" s="12">
        <f t="shared" ref="K1097" si="321">SUM(G1097:J1097)</f>
        <v>0</v>
      </c>
      <c r="L1097" s="18"/>
      <c r="M1097" s="10"/>
      <c r="N1097" s="30"/>
      <c r="O1097" s="31"/>
      <c r="P1097" s="47"/>
      <c r="Q1097" s="31"/>
      <c r="R1097" s="31"/>
      <c r="S1097" s="32">
        <f t="shared" ref="S1097" si="322">SUM(P1097:Q1097)</f>
        <v>0</v>
      </c>
      <c r="T1097" s="10"/>
      <c r="U1097" s="10"/>
      <c r="V1097" s="10"/>
      <c r="W1097" s="12">
        <f t="shared" si="312"/>
        <v>0</v>
      </c>
      <c r="Y1097" s="10"/>
      <c r="Z1097" s="30"/>
      <c r="AA1097" s="31"/>
      <c r="AB1097" s="47"/>
      <c r="AC1097" s="31"/>
      <c r="AD1097" s="31"/>
      <c r="AE1097" s="32">
        <f t="shared" ref="AE1097" si="323">SUM(AB1097:AC1097)</f>
        <v>0</v>
      </c>
      <c r="AF1097" s="10"/>
      <c r="AG1097" s="10"/>
      <c r="AH1097" s="10"/>
      <c r="AI1097" s="12">
        <f t="shared" si="319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L1098" s="18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12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19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L1099" s="18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1313409</v>
      </c>
      <c r="E1100" s="38">
        <f t="shared" ref="E1100:F1100" si="324">SUM(E1057:E1097)</f>
        <v>-11658</v>
      </c>
      <c r="F1100" s="38">
        <f t="shared" si="324"/>
        <v>0</v>
      </c>
      <c r="G1100" s="38">
        <f>SUM(G1057:G1099)</f>
        <v>1301751</v>
      </c>
      <c r="H1100" s="4"/>
      <c r="I1100" s="39">
        <f>SUM(I1057:I1099)</f>
        <v>140137</v>
      </c>
      <c r="J1100" s="39">
        <f>SUM(J1057:J1099)</f>
        <v>-5151</v>
      </c>
      <c r="K1100" s="40">
        <f>SUM(K1057:K1099)</f>
        <v>1436737</v>
      </c>
      <c r="L1100" s="18"/>
      <c r="N1100" s="57"/>
      <c r="O1100" s="57"/>
      <c r="P1100" s="38">
        <f>SUM(P1057:P1099)</f>
        <v>374020.5</v>
      </c>
      <c r="Q1100" s="38">
        <f>SUM(Q1057:Q1081)</f>
        <v>-2760</v>
      </c>
      <c r="R1100" s="38">
        <f>SUM(R1057:R1081)</f>
        <v>0</v>
      </c>
      <c r="S1100" s="38">
        <f>SUM(S1057:S1099)</f>
        <v>371260.5</v>
      </c>
      <c r="T1100" s="4"/>
      <c r="U1100" s="41">
        <f>SUM(U1057:U1099)</f>
        <v>20799</v>
      </c>
      <c r="V1100" s="41">
        <f>SUM(V1057:V1081)</f>
        <v>-1044</v>
      </c>
      <c r="W1100" s="42">
        <f>SUM(W1057:W1099)</f>
        <v>391015.5</v>
      </c>
      <c r="Z1100" s="57"/>
      <c r="AA1100" s="57"/>
      <c r="AB1100" s="38">
        <f>SUM(AB1057:AB1099)</f>
        <v>553438</v>
      </c>
      <c r="AC1100" s="38">
        <f>SUM(AC1057:AC1081)</f>
        <v>-5172</v>
      </c>
      <c r="AD1100" s="38">
        <f>SUM(AD1057:AD1081)</f>
        <v>0</v>
      </c>
      <c r="AE1100" s="38">
        <f>SUM(AE1057:AE1099)</f>
        <v>548266</v>
      </c>
      <c r="AF1100" s="4"/>
      <c r="AG1100" s="41">
        <f>SUM(AG1057:AG1099)</f>
        <v>54243</v>
      </c>
      <c r="AH1100" s="41">
        <f>SUM(AH1057:AH1081)</f>
        <v>0</v>
      </c>
      <c r="AI1100" s="42">
        <f>SUM(AI1057:AI1099)</f>
        <v>602509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L1102" s="18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L1103" s="18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L1104" s="18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L1105" s="18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L1106" s="18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42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L1107" s="18"/>
      <c r="M1107" t="s">
        <v>42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42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91</v>
      </c>
      <c r="B1108" s="20"/>
      <c r="C1108" s="57"/>
      <c r="D1108" s="57"/>
      <c r="E1108" s="57"/>
      <c r="G1108" s="57"/>
      <c r="I1108" s="22" t="s">
        <v>16</v>
      </c>
      <c r="J1108" s="23" t="s">
        <v>33</v>
      </c>
      <c r="K1108" s="24"/>
      <c r="L1108" s="18"/>
      <c r="M1108" s="21" t="s">
        <v>91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35</v>
      </c>
      <c r="W1108" s="24"/>
      <c r="Y1108" s="21" t="s">
        <v>91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31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L1109" s="18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5" t="s">
        <v>17</v>
      </c>
      <c r="E1110" s="125"/>
      <c r="F1110" s="112"/>
      <c r="G1110" s="27"/>
      <c r="I1110" s="123" t="s">
        <v>18</v>
      </c>
      <c r="J1110" s="124"/>
      <c r="K1110" s="121" t="s">
        <v>19</v>
      </c>
      <c r="L1110" s="18"/>
      <c r="N1110" s="25"/>
      <c r="O1110" s="26"/>
      <c r="P1110" s="125" t="s">
        <v>17</v>
      </c>
      <c r="Q1110" s="125"/>
      <c r="R1110" s="112"/>
      <c r="S1110" s="27"/>
      <c r="U1110" s="123" t="s">
        <v>18</v>
      </c>
      <c r="V1110" s="124"/>
      <c r="W1110" s="121" t="s">
        <v>19</v>
      </c>
      <c r="Z1110" s="25"/>
      <c r="AA1110" s="26"/>
      <c r="AB1110" s="125" t="s">
        <v>17</v>
      </c>
      <c r="AC1110" s="125"/>
      <c r="AD1110" s="112"/>
      <c r="AE1110" s="27"/>
      <c r="AG1110" s="123" t="s">
        <v>18</v>
      </c>
      <c r="AH1110" s="124"/>
      <c r="AI1110" s="121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9" t="s">
        <v>22</v>
      </c>
      <c r="E1111" s="78" t="s">
        <v>23</v>
      </c>
      <c r="F1111" s="80" t="s">
        <v>32</v>
      </c>
      <c r="G1111" s="80" t="s">
        <v>24</v>
      </c>
      <c r="I1111" s="29" t="s">
        <v>25</v>
      </c>
      <c r="J1111" s="29" t="s">
        <v>26</v>
      </c>
      <c r="K1111" s="122"/>
      <c r="L1111" s="18"/>
      <c r="N1111" s="28" t="s">
        <v>20</v>
      </c>
      <c r="O1111" s="28" t="s">
        <v>21</v>
      </c>
      <c r="P1111" s="79" t="s">
        <v>22</v>
      </c>
      <c r="Q1111" s="80" t="s">
        <v>23</v>
      </c>
      <c r="R1111" s="80" t="s">
        <v>32</v>
      </c>
      <c r="S1111" s="80" t="s">
        <v>24</v>
      </c>
      <c r="U1111" s="29" t="s">
        <v>25</v>
      </c>
      <c r="V1111" s="29" t="s">
        <v>26</v>
      </c>
      <c r="W1111" s="122"/>
      <c r="Z1111" s="28" t="s">
        <v>20</v>
      </c>
      <c r="AA1111" s="28" t="s">
        <v>21</v>
      </c>
      <c r="AB1111" s="79" t="s">
        <v>22</v>
      </c>
      <c r="AC1111" s="80" t="s">
        <v>23</v>
      </c>
      <c r="AD1111" s="80" t="s">
        <v>32</v>
      </c>
      <c r="AE1111" s="80" t="s">
        <v>24</v>
      </c>
      <c r="AG1111" s="29" t="s">
        <v>25</v>
      </c>
      <c r="AH1111" s="29" t="s">
        <v>26</v>
      </c>
      <c r="AI1111" s="12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92</v>
      </c>
      <c r="C1112" s="88">
        <v>8060</v>
      </c>
      <c r="D1112" s="32">
        <f>6260+614+852+832+500</f>
        <v>9058</v>
      </c>
      <c r="E1112" s="32"/>
      <c r="F1112" s="32"/>
      <c r="G1112" s="32">
        <f t="shared" ref="G1112:G1145" si="325">SUM(D1112:E1112)</f>
        <v>9058</v>
      </c>
      <c r="H1112" s="12"/>
      <c r="I1112" s="12">
        <f>666+9</f>
        <v>675</v>
      </c>
      <c r="J1112" s="12"/>
      <c r="K1112" s="12">
        <f t="shared" ref="K1112:K1145" si="326">SUM(G1112:J1112)</f>
        <v>9733</v>
      </c>
      <c r="L1112" s="18"/>
      <c r="M1112" s="10">
        <v>1</v>
      </c>
      <c r="N1112" s="30" t="s">
        <v>92</v>
      </c>
      <c r="O1112" s="31">
        <v>8107</v>
      </c>
      <c r="P1112" s="32">
        <f>3756+614+832+66.5</f>
        <v>5268.5</v>
      </c>
      <c r="Q1112" s="32"/>
      <c r="R1112" s="32"/>
      <c r="S1112" s="32">
        <f>SUM(P1112:Q1112)</f>
        <v>5268.5</v>
      </c>
      <c r="T1112" s="12"/>
      <c r="U1112" s="12"/>
      <c r="V1112" s="12"/>
      <c r="W1112" s="12">
        <f>SUM(S1112:V1112)</f>
        <v>5268.5</v>
      </c>
      <c r="Y1112" s="10">
        <v>1</v>
      </c>
      <c r="Z1112" s="30" t="s">
        <v>92</v>
      </c>
      <c r="AA1112" s="31">
        <v>7782</v>
      </c>
      <c r="AB1112" s="32">
        <f>626*100+674*5+596*50+229*6</f>
        <v>97144</v>
      </c>
      <c r="AC1112" s="32">
        <v>-930</v>
      </c>
      <c r="AD1112" s="32"/>
      <c r="AE1112" s="32">
        <f>SUM(AB1112:AC1112)</f>
        <v>96214</v>
      </c>
      <c r="AF1112" s="12"/>
      <c r="AG1112" s="12"/>
      <c r="AH1112" s="12"/>
      <c r="AI1112" s="12">
        <f>SUM(AE1112:AH1112)</f>
        <v>96214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92</v>
      </c>
      <c r="C1113" s="88">
        <f>C1112+1</f>
        <v>8061</v>
      </c>
      <c r="D1113" s="32">
        <f>81380+11920+1300</f>
        <v>94600</v>
      </c>
      <c r="E1113" s="32"/>
      <c r="F1113" s="32"/>
      <c r="G1113" s="32">
        <f t="shared" si="325"/>
        <v>94600</v>
      </c>
      <c r="H1113" s="12"/>
      <c r="I1113" s="12">
        <v>3441</v>
      </c>
      <c r="J1113" s="12">
        <f>-156+-168+-13</f>
        <v>-337</v>
      </c>
      <c r="K1113" s="12">
        <f t="shared" si="326"/>
        <v>97704</v>
      </c>
      <c r="L1113" s="18"/>
      <c r="M1113" s="10">
        <v>2</v>
      </c>
      <c r="N1113" s="30" t="s">
        <v>92</v>
      </c>
      <c r="O1113" s="31">
        <f>O1112+1</f>
        <v>8108</v>
      </c>
      <c r="P1113" s="32">
        <f>125200+10016+458</f>
        <v>135674</v>
      </c>
      <c r="Q1113" s="32">
        <v>-1296</v>
      </c>
      <c r="R1113" s="32"/>
      <c r="S1113" s="32">
        <f t="shared" ref="S1113:S1144" si="327">SUM(P1113:Q1113)</f>
        <v>134378</v>
      </c>
      <c r="T1113" s="12"/>
      <c r="U1113" s="12">
        <f>111*46+78+4.5*30+1.5*9</f>
        <v>5332.5</v>
      </c>
      <c r="V1113" s="12">
        <f>-120+-126</f>
        <v>-246</v>
      </c>
      <c r="W1113" s="12">
        <f t="shared" ref="W1113:W1153" si="328">SUM(S1113:V1113)</f>
        <v>139464.5</v>
      </c>
      <c r="Y1113" s="10">
        <v>2</v>
      </c>
      <c r="Z1113" s="30" t="s">
        <v>92</v>
      </c>
      <c r="AA1113" s="31">
        <f>AA1112+1</f>
        <v>7783</v>
      </c>
      <c r="AB1113" s="32">
        <f>2504+614</f>
        <v>3118</v>
      </c>
      <c r="AC1113" s="32"/>
      <c r="AD1113" s="32"/>
      <c r="AE1113" s="32">
        <f t="shared" ref="AE1113:AE1150" si="329">SUM(AB1113:AC1113)</f>
        <v>3118</v>
      </c>
      <c r="AF1113" s="12"/>
      <c r="AG1113" s="12"/>
      <c r="AH1113" s="12"/>
      <c r="AI1113" s="12">
        <f t="shared" ref="AI1113:AI1144" si="330">SUM(AE1113:AH1113)</f>
        <v>3118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92</v>
      </c>
      <c r="C1114" s="88">
        <f t="shared" ref="C1114:C1122" si="331">C1113+1</f>
        <v>8062</v>
      </c>
      <c r="D1114" s="33">
        <f>63852+614*3+596*15+832+500</f>
        <v>75966</v>
      </c>
      <c r="E1114" s="33"/>
      <c r="F1114" s="33"/>
      <c r="G1114" s="33">
        <f t="shared" si="325"/>
        <v>75966</v>
      </c>
      <c r="H1114" s="34"/>
      <c r="I1114" s="34">
        <f>1110+81</f>
        <v>1191</v>
      </c>
      <c r="J1114" s="34"/>
      <c r="K1114" s="34">
        <f t="shared" si="326"/>
        <v>77157</v>
      </c>
      <c r="L1114" s="18"/>
      <c r="M1114" s="10">
        <v>3</v>
      </c>
      <c r="N1114" s="30" t="s">
        <v>92</v>
      </c>
      <c r="O1114" s="31">
        <f t="shared" ref="O1114:O1116" si="332">O1113+1</f>
        <v>8109</v>
      </c>
      <c r="P1114" s="32">
        <f>626*48</f>
        <v>30048</v>
      </c>
      <c r="Q1114" s="32"/>
      <c r="R1114" s="32"/>
      <c r="S1114" s="32">
        <f t="shared" si="327"/>
        <v>30048</v>
      </c>
      <c r="T1114" s="12"/>
      <c r="U1114" s="12"/>
      <c r="V1114" s="12">
        <v>-555</v>
      </c>
      <c r="W1114" s="12">
        <f t="shared" si="328"/>
        <v>29493</v>
      </c>
      <c r="Y1114" s="10">
        <v>3</v>
      </c>
      <c r="Z1114" s="30" t="s">
        <v>92</v>
      </c>
      <c r="AA1114" s="31">
        <f t="shared" ref="AA1114:AA1118" si="333">AA1113+1</f>
        <v>7784</v>
      </c>
      <c r="AB1114" s="33">
        <f>6260</f>
        <v>6260</v>
      </c>
      <c r="AC1114" s="33"/>
      <c r="AD1114" s="32"/>
      <c r="AE1114" s="32">
        <f t="shared" si="329"/>
        <v>6260</v>
      </c>
      <c r="AF1114" s="12"/>
      <c r="AG1114" s="12">
        <f>1110</f>
        <v>1110</v>
      </c>
      <c r="AH1114" s="12"/>
      <c r="AI1114" s="12">
        <f t="shared" si="330"/>
        <v>7370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92</v>
      </c>
      <c r="C1115" s="88">
        <f t="shared" si="331"/>
        <v>8063</v>
      </c>
      <c r="D1115" s="32">
        <f>29422+2022+832+500+650</f>
        <v>33426</v>
      </c>
      <c r="E1115" s="32"/>
      <c r="F1115" s="32"/>
      <c r="G1115" s="32">
        <f t="shared" si="325"/>
        <v>33426</v>
      </c>
      <c r="H1115" s="12"/>
      <c r="I1115" s="12">
        <f>777+4.5*27+1.5*17</f>
        <v>924</v>
      </c>
      <c r="J1115" s="12"/>
      <c r="K1115" s="12">
        <f t="shared" si="326"/>
        <v>34350</v>
      </c>
      <c r="L1115" s="18"/>
      <c r="M1115" s="10">
        <v>4</v>
      </c>
      <c r="N1115" s="30" t="s">
        <v>92</v>
      </c>
      <c r="O1115" s="31">
        <v>8111</v>
      </c>
      <c r="P1115" s="32">
        <f>626*489+596*108+229*27+650*5</f>
        <v>379915</v>
      </c>
      <c r="Q1115" s="32">
        <v>-3582</v>
      </c>
      <c r="R1115" s="32"/>
      <c r="S1115" s="32">
        <f t="shared" si="327"/>
        <v>376333</v>
      </c>
      <c r="T1115" s="12"/>
      <c r="U1115" s="12">
        <f>78*14</f>
        <v>1092</v>
      </c>
      <c r="V1115" s="12">
        <f>-111*51+-840</f>
        <v>-6501</v>
      </c>
      <c r="W1115" s="12">
        <f t="shared" si="328"/>
        <v>370924</v>
      </c>
      <c r="Y1115" s="10">
        <v>4</v>
      </c>
      <c r="Z1115" s="30" t="s">
        <v>92</v>
      </c>
      <c r="AA1115" s="31">
        <f t="shared" si="333"/>
        <v>7785</v>
      </c>
      <c r="AB1115" s="32">
        <f>626*162+596*38+229*8</f>
        <v>125892</v>
      </c>
      <c r="AC1115" s="32">
        <v>-1200</v>
      </c>
      <c r="AD1115" s="32"/>
      <c r="AE1115" s="32">
        <f t="shared" si="329"/>
        <v>124692</v>
      </c>
      <c r="AF1115" s="12"/>
      <c r="AG1115">
        <f>9990+234</f>
        <v>10224</v>
      </c>
      <c r="AH1115" s="12"/>
      <c r="AI1115" s="12">
        <f t="shared" si="330"/>
        <v>134916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92</v>
      </c>
      <c r="C1116" s="88">
        <f t="shared" si="331"/>
        <v>8064</v>
      </c>
      <c r="D1116" s="32">
        <f>3756+57</f>
        <v>3813</v>
      </c>
      <c r="E1116" s="32"/>
      <c r="F1116" s="32"/>
      <c r="G1116" s="32">
        <f t="shared" si="325"/>
        <v>3813</v>
      </c>
      <c r="H1116" s="12"/>
      <c r="I1116" s="12"/>
      <c r="J1116" s="12"/>
      <c r="K1116" s="12">
        <f t="shared" si="326"/>
        <v>3813</v>
      </c>
      <c r="L1116" s="18"/>
      <c r="M1116" s="10">
        <v>5</v>
      </c>
      <c r="N1116" s="30" t="s">
        <v>92</v>
      </c>
      <c r="O1116" s="31">
        <f t="shared" si="332"/>
        <v>8112</v>
      </c>
      <c r="P1116" s="32">
        <f>626*60+596*20+832*2+229*3</f>
        <v>51831</v>
      </c>
      <c r="Q1116" s="32"/>
      <c r="R1116" s="32"/>
      <c r="S1116" s="32">
        <f t="shared" si="327"/>
        <v>51831</v>
      </c>
      <c r="T1116" s="12"/>
      <c r="U1116" s="12">
        <v>240</v>
      </c>
      <c r="V1116" s="12"/>
      <c r="W1116" s="12">
        <f t="shared" si="328"/>
        <v>52071</v>
      </c>
      <c r="Y1116" s="10">
        <v>5</v>
      </c>
      <c r="Z1116" s="30" t="s">
        <v>92</v>
      </c>
      <c r="AA1116" s="31">
        <f t="shared" si="333"/>
        <v>7786</v>
      </c>
      <c r="AB1116" s="32">
        <f>626*120+614*10+852*2+1005*5+832*3</f>
        <v>90485</v>
      </c>
      <c r="AC1116" s="32">
        <v>-828</v>
      </c>
      <c r="AD1116" s="32"/>
      <c r="AE1116" s="32">
        <f t="shared" si="329"/>
        <v>89657</v>
      </c>
      <c r="AF1116" s="12"/>
      <c r="AG1116" s="12"/>
      <c r="AH1116" s="12"/>
      <c r="AI1116" s="12">
        <f t="shared" si="330"/>
        <v>89657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92</v>
      </c>
      <c r="C1117" s="88">
        <f t="shared" si="331"/>
        <v>8065</v>
      </c>
      <c r="D1117" s="32">
        <f>28796+2384+229</f>
        <v>31409</v>
      </c>
      <c r="E1117" s="32"/>
      <c r="F1117" s="32"/>
      <c r="G1117" s="32">
        <f t="shared" si="325"/>
        <v>31409</v>
      </c>
      <c r="H1117" s="12"/>
      <c r="I1117" s="12"/>
      <c r="J1117" s="12"/>
      <c r="K1117" s="12">
        <f t="shared" si="326"/>
        <v>31409</v>
      </c>
      <c r="L1117" s="18"/>
      <c r="M1117" s="10">
        <v>6</v>
      </c>
      <c r="N1117" s="30"/>
      <c r="O1117" s="11" t="s">
        <v>27</v>
      </c>
      <c r="P1117" s="32"/>
      <c r="Q1117" s="32"/>
      <c r="R1117" s="32"/>
      <c r="S1117" s="32">
        <f t="shared" si="327"/>
        <v>0</v>
      </c>
      <c r="T1117" s="12"/>
      <c r="U1117" s="12"/>
      <c r="V1117" s="10"/>
      <c r="W1117" s="12">
        <f t="shared" si="328"/>
        <v>0</v>
      </c>
      <c r="Y1117" s="10">
        <v>6</v>
      </c>
      <c r="Z1117" s="30" t="s">
        <v>92</v>
      </c>
      <c r="AA1117" s="31">
        <f t="shared" si="333"/>
        <v>7787</v>
      </c>
      <c r="AB1117" s="32">
        <f>626*116+614*29+229*3</f>
        <v>91109</v>
      </c>
      <c r="AC1117" s="32">
        <v>-870</v>
      </c>
      <c r="AD1117" s="32"/>
      <c r="AE1117" s="32">
        <f t="shared" si="329"/>
        <v>90239</v>
      </c>
      <c r="AF1117" s="12"/>
      <c r="AG1117" s="12"/>
      <c r="AH1117" s="10"/>
      <c r="AI1117" s="12">
        <f t="shared" si="330"/>
        <v>90239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92</v>
      </c>
      <c r="C1118" s="88">
        <f t="shared" si="331"/>
        <v>8066</v>
      </c>
      <c r="D1118" s="32">
        <f>2980</f>
        <v>2980</v>
      </c>
      <c r="E1118" s="32"/>
      <c r="F1118" s="32"/>
      <c r="G1118" s="32">
        <f t="shared" si="325"/>
        <v>2980</v>
      </c>
      <c r="H1118" s="12"/>
      <c r="I1118" s="12">
        <v>135</v>
      </c>
      <c r="J1118" s="12"/>
      <c r="K1118" s="12">
        <f t="shared" si="326"/>
        <v>3115</v>
      </c>
      <c r="L1118" s="18"/>
      <c r="M1118" s="10">
        <v>7</v>
      </c>
      <c r="N1118" s="30"/>
      <c r="O1118" s="31"/>
      <c r="P1118" s="32"/>
      <c r="Q1118" s="32"/>
      <c r="R1118" s="32"/>
      <c r="S1118" s="32">
        <f t="shared" si="327"/>
        <v>0</v>
      </c>
      <c r="T1118" s="12"/>
      <c r="U1118" s="12"/>
      <c r="V1118" s="12"/>
      <c r="W1118" s="12">
        <f t="shared" si="328"/>
        <v>0</v>
      </c>
      <c r="Y1118" s="10">
        <v>7</v>
      </c>
      <c r="Z1118" s="30" t="s">
        <v>92</v>
      </c>
      <c r="AA1118" s="31">
        <f t="shared" si="333"/>
        <v>7788</v>
      </c>
      <c r="AB1118" s="32">
        <f>85136+11920+1664+458</f>
        <v>99178</v>
      </c>
      <c r="AC1118" s="32">
        <v>-948</v>
      </c>
      <c r="AD1118" s="32"/>
      <c r="AE1118" s="32">
        <f t="shared" si="329"/>
        <v>98230</v>
      </c>
      <c r="AF1118" s="12"/>
      <c r="AG1118" s="58"/>
      <c r="AH1118" s="12"/>
      <c r="AI1118" s="12">
        <f t="shared" si="330"/>
        <v>98230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92</v>
      </c>
      <c r="C1119" s="88">
        <f t="shared" si="331"/>
        <v>8067</v>
      </c>
      <c r="D1119" s="32">
        <f>62600+2696</f>
        <v>65296</v>
      </c>
      <c r="E1119" s="32"/>
      <c r="F1119" s="32"/>
      <c r="G1119" s="32">
        <f t="shared" si="325"/>
        <v>65296</v>
      </c>
      <c r="H1119" s="12"/>
      <c r="I1119" s="12"/>
      <c r="J1119" s="12"/>
      <c r="K1119" s="12">
        <f t="shared" si="326"/>
        <v>65296</v>
      </c>
      <c r="L1119" s="18"/>
      <c r="M1119" s="10">
        <v>8</v>
      </c>
      <c r="N1119" s="30"/>
      <c r="O1119" s="31"/>
      <c r="P1119" s="32"/>
      <c r="Q1119" s="32"/>
      <c r="R1119" s="32"/>
      <c r="S1119" s="32">
        <f t="shared" si="327"/>
        <v>0</v>
      </c>
      <c r="T1119" s="12"/>
      <c r="U1119" s="12"/>
      <c r="V1119" s="12"/>
      <c r="W1119" s="12">
        <f t="shared" si="328"/>
        <v>0</v>
      </c>
      <c r="Y1119" s="10">
        <v>8</v>
      </c>
      <c r="Z1119" s="30"/>
      <c r="AA1119" s="11" t="s">
        <v>27</v>
      </c>
      <c r="AB1119" s="32"/>
      <c r="AC1119" s="32"/>
      <c r="AE1119" s="32">
        <f t="shared" si="329"/>
        <v>0</v>
      </c>
      <c r="AF1119" s="12"/>
      <c r="AG1119" s="12"/>
      <c r="AH1119" s="12"/>
      <c r="AI1119" s="12">
        <f t="shared" si="330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92</v>
      </c>
      <c r="C1120" s="88">
        <f t="shared" si="331"/>
        <v>8068</v>
      </c>
      <c r="D1120" s="32">
        <f>3756+57</f>
        <v>3813</v>
      </c>
      <c r="E1120" s="32"/>
      <c r="F1120" s="32"/>
      <c r="G1120" s="32">
        <f t="shared" si="325"/>
        <v>3813</v>
      </c>
      <c r="H1120" s="12"/>
      <c r="I1120" s="12"/>
      <c r="J1120" s="12"/>
      <c r="K1120" s="12">
        <f t="shared" si="326"/>
        <v>3813</v>
      </c>
      <c r="L1120" s="18"/>
      <c r="M1120" s="10">
        <v>9</v>
      </c>
      <c r="N1120" s="30"/>
      <c r="O1120" s="31"/>
      <c r="P1120" s="32"/>
      <c r="Q1120" s="32"/>
      <c r="R1120" s="32"/>
      <c r="S1120" s="32">
        <f t="shared" si="327"/>
        <v>0</v>
      </c>
      <c r="T1120" s="12"/>
      <c r="U1120" s="12"/>
      <c r="V1120" s="12"/>
      <c r="W1120" s="12">
        <f t="shared" si="328"/>
        <v>0</v>
      </c>
      <c r="Y1120" s="10">
        <v>9</v>
      </c>
      <c r="Z1120" s="30"/>
      <c r="AA1120" s="31"/>
      <c r="AC1120" s="32"/>
      <c r="AD1120" s="32"/>
      <c r="AE1120" s="32">
        <f t="shared" si="329"/>
        <v>0</v>
      </c>
      <c r="AF1120" s="12"/>
      <c r="AH1120" s="12"/>
      <c r="AI1120" s="12">
        <f t="shared" si="330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92</v>
      </c>
      <c r="C1121" s="88">
        <f t="shared" si="331"/>
        <v>8069</v>
      </c>
      <c r="D1121" s="32">
        <f>6260+614+1192+852</f>
        <v>8918</v>
      </c>
      <c r="E1121" s="32"/>
      <c r="F1121" s="32"/>
      <c r="G1121" s="32">
        <f t="shared" si="325"/>
        <v>8918</v>
      </c>
      <c r="H1121" s="12"/>
      <c r="I1121" s="12"/>
      <c r="J1121" s="12"/>
      <c r="K1121" s="12">
        <f t="shared" si="326"/>
        <v>8918</v>
      </c>
      <c r="L1121" s="18"/>
      <c r="M1121" s="10">
        <v>10</v>
      </c>
      <c r="N1121" s="30"/>
      <c r="O1121" s="31"/>
      <c r="P1121" s="32"/>
      <c r="Q1121" s="32"/>
      <c r="R1121" s="32"/>
      <c r="S1121" s="32">
        <f t="shared" si="327"/>
        <v>0</v>
      </c>
      <c r="T1121" s="12"/>
      <c r="U1121" s="12"/>
      <c r="V1121" s="12"/>
      <c r="W1121" s="12">
        <f t="shared" si="328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29"/>
        <v>0</v>
      </c>
      <c r="AF1121" s="12"/>
      <c r="AG1121" s="12"/>
      <c r="AH1121" s="12"/>
      <c r="AI1121" s="12">
        <f t="shared" si="330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 t="s">
        <v>92</v>
      </c>
      <c r="C1122" s="88">
        <f t="shared" si="331"/>
        <v>8070</v>
      </c>
      <c r="D1122" s="32">
        <f>5634+596+95</f>
        <v>6325</v>
      </c>
      <c r="E1122" s="32"/>
      <c r="F1122" s="32"/>
      <c r="G1122" s="32">
        <f t="shared" si="325"/>
        <v>6325</v>
      </c>
      <c r="H1122" s="12"/>
      <c r="I1122" s="12">
        <v>54</v>
      </c>
      <c r="J1122" s="12"/>
      <c r="K1122" s="12">
        <f t="shared" si="326"/>
        <v>6379</v>
      </c>
      <c r="L1122" s="18"/>
      <c r="M1122" s="10">
        <v>11</v>
      </c>
      <c r="N1122" s="30"/>
      <c r="O1122" s="31"/>
      <c r="P1122" s="32"/>
      <c r="Q1122" s="32"/>
      <c r="R1122" s="32"/>
      <c r="S1122" s="32">
        <f t="shared" si="327"/>
        <v>0</v>
      </c>
      <c r="T1122" s="12"/>
      <c r="U1122" s="12"/>
      <c r="V1122" s="12"/>
      <c r="W1122" s="12">
        <f t="shared" si="328"/>
        <v>0</v>
      </c>
      <c r="Y1122" s="10">
        <v>11</v>
      </c>
      <c r="Z1122" s="30"/>
      <c r="AB1122" s="32"/>
      <c r="AC1122" s="32"/>
      <c r="AD1122" s="32"/>
      <c r="AE1122" s="32">
        <f t="shared" si="329"/>
        <v>0</v>
      </c>
      <c r="AF1122" s="12"/>
      <c r="AG1122" s="12"/>
      <c r="AH1122" s="12"/>
      <c r="AI1122" s="12">
        <f t="shared" si="330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11" t="s">
        <v>27</v>
      </c>
      <c r="D1123" s="32"/>
      <c r="E1123" s="32"/>
      <c r="F1123" s="32"/>
      <c r="G1123" s="32">
        <f t="shared" si="325"/>
        <v>0</v>
      </c>
      <c r="H1123" s="12"/>
      <c r="I1123" s="12"/>
      <c r="J1123" s="10"/>
      <c r="K1123" s="12">
        <f t="shared" si="326"/>
        <v>0</v>
      </c>
      <c r="L1123" s="18"/>
      <c r="M1123" s="10">
        <v>12</v>
      </c>
      <c r="N1123" s="30"/>
      <c r="P1123" s="32"/>
      <c r="Q1123" s="32"/>
      <c r="R1123" s="32"/>
      <c r="S1123" s="32">
        <f t="shared" si="327"/>
        <v>0</v>
      </c>
      <c r="T1123" s="12"/>
      <c r="U1123" s="12"/>
      <c r="V1123" s="12"/>
      <c r="W1123" s="12">
        <f t="shared" si="328"/>
        <v>0</v>
      </c>
      <c r="Y1123" s="10">
        <v>12</v>
      </c>
      <c r="Z1123" s="30"/>
      <c r="AA1123" s="31"/>
      <c r="AB1123" s="32"/>
      <c r="AC1123" s="32"/>
      <c r="AD1123" s="32"/>
      <c r="AE1123" s="32">
        <f t="shared" si="329"/>
        <v>0</v>
      </c>
      <c r="AF1123" s="12"/>
      <c r="AG1123" s="12"/>
      <c r="AH1123" s="12"/>
      <c r="AI1123" s="12">
        <f t="shared" si="330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88"/>
      <c r="D1124" s="32"/>
      <c r="E1124" s="32"/>
      <c r="F1124" s="32"/>
      <c r="G1124" s="32">
        <f t="shared" si="325"/>
        <v>0</v>
      </c>
      <c r="H1124" s="12"/>
      <c r="I1124" s="12"/>
      <c r="J1124" s="12"/>
      <c r="K1124" s="12">
        <f t="shared" si="326"/>
        <v>0</v>
      </c>
      <c r="L1124" s="18"/>
      <c r="M1124" s="10">
        <v>13</v>
      </c>
      <c r="N1124" s="30"/>
      <c r="O1124" s="31"/>
      <c r="P1124" s="32"/>
      <c r="Q1124" s="32"/>
      <c r="R1124" s="32"/>
      <c r="S1124" s="32">
        <f t="shared" si="327"/>
        <v>0</v>
      </c>
      <c r="T1124" s="12"/>
      <c r="U1124" s="12"/>
      <c r="V1124" s="12"/>
      <c r="W1124" s="12">
        <f t="shared" si="328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29"/>
        <v>0</v>
      </c>
      <c r="AF1124" s="12"/>
      <c r="AG1124" s="12"/>
      <c r="AH1124" s="12"/>
      <c r="AI1124" s="12">
        <f t="shared" si="330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8"/>
      <c r="D1125" s="32"/>
      <c r="E1125" s="32"/>
      <c r="F1125" s="32"/>
      <c r="G1125" s="32">
        <f t="shared" si="325"/>
        <v>0</v>
      </c>
      <c r="H1125" s="12"/>
      <c r="I1125" s="12"/>
      <c r="J1125" s="12"/>
      <c r="K1125" s="12">
        <f t="shared" si="326"/>
        <v>0</v>
      </c>
      <c r="L1125" s="18"/>
      <c r="M1125" s="10">
        <v>14</v>
      </c>
      <c r="N1125" s="30"/>
      <c r="O1125" s="31"/>
      <c r="P1125" s="32"/>
      <c r="Q1125" s="32"/>
      <c r="R1125" s="32"/>
      <c r="S1125" s="32">
        <f t="shared" si="327"/>
        <v>0</v>
      </c>
      <c r="T1125" s="12"/>
      <c r="U1125" s="12"/>
      <c r="V1125" s="12"/>
      <c r="W1125" s="12">
        <f t="shared" si="328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29"/>
        <v>0</v>
      </c>
      <c r="AF1125" s="12"/>
      <c r="AG1125" s="12"/>
      <c r="AH1125" s="12"/>
      <c r="AI1125" s="12">
        <f t="shared" si="330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8"/>
      <c r="D1126" s="32"/>
      <c r="E1126" s="32"/>
      <c r="F1126" s="32"/>
      <c r="G1126" s="32">
        <f t="shared" si="325"/>
        <v>0</v>
      </c>
      <c r="H1126" s="12"/>
      <c r="I1126" s="12"/>
      <c r="J1126" s="12"/>
      <c r="K1126" s="12">
        <f t="shared" si="326"/>
        <v>0</v>
      </c>
      <c r="L1126" s="18"/>
      <c r="M1126" s="10">
        <v>15</v>
      </c>
      <c r="N1126" s="30"/>
      <c r="O1126" s="31"/>
      <c r="P1126" s="32"/>
      <c r="Q1126" s="32"/>
      <c r="R1126" s="32"/>
      <c r="S1126" s="32">
        <f t="shared" si="327"/>
        <v>0</v>
      </c>
      <c r="T1126" s="12"/>
      <c r="U1126" s="12"/>
      <c r="V1126" s="12"/>
      <c r="W1126" s="12">
        <f t="shared" si="328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29"/>
        <v>0</v>
      </c>
      <c r="AF1126" s="12"/>
      <c r="AG1126" s="12"/>
      <c r="AH1126" s="12"/>
      <c r="AI1126" s="12">
        <f t="shared" si="330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8"/>
      <c r="D1127" s="32"/>
      <c r="E1127" s="32"/>
      <c r="F1127" s="32"/>
      <c r="G1127" s="32">
        <f t="shared" si="325"/>
        <v>0</v>
      </c>
      <c r="H1127" s="12"/>
      <c r="I1127" s="12"/>
      <c r="J1127" s="12"/>
      <c r="K1127" s="12">
        <f t="shared" si="326"/>
        <v>0</v>
      </c>
      <c r="L1127" s="18"/>
      <c r="M1127" s="10">
        <v>16</v>
      </c>
      <c r="N1127" s="30"/>
      <c r="O1127" s="31"/>
      <c r="P1127" s="32"/>
      <c r="Q1127" s="32"/>
      <c r="R1127" s="32"/>
      <c r="S1127" s="32">
        <f t="shared" si="327"/>
        <v>0</v>
      </c>
      <c r="T1127" s="12"/>
      <c r="U1127" s="12"/>
      <c r="V1127" s="12"/>
      <c r="W1127" s="12">
        <f t="shared" si="328"/>
        <v>0</v>
      </c>
      <c r="Y1127" s="10">
        <v>16</v>
      </c>
      <c r="Z1127" s="30"/>
      <c r="AB1127" s="32"/>
      <c r="AC1127" s="32"/>
      <c r="AD1127" s="32"/>
      <c r="AE1127" s="32">
        <f t="shared" si="329"/>
        <v>0</v>
      </c>
      <c r="AF1127" s="12"/>
      <c r="AG1127" s="12"/>
      <c r="AH1127" s="12"/>
      <c r="AI1127" s="12">
        <f t="shared" si="330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8"/>
      <c r="D1128" s="32"/>
      <c r="E1128" s="32"/>
      <c r="F1128" s="32"/>
      <c r="G1128" s="32">
        <f t="shared" si="325"/>
        <v>0</v>
      </c>
      <c r="H1128" s="12"/>
      <c r="I1128" s="12"/>
      <c r="J1128" s="12"/>
      <c r="K1128" s="12">
        <f t="shared" si="326"/>
        <v>0</v>
      </c>
      <c r="L1128" s="18"/>
      <c r="M1128" s="10">
        <v>17</v>
      </c>
      <c r="N1128" s="30"/>
      <c r="O1128" s="31"/>
      <c r="P1128" s="35"/>
      <c r="Q1128" s="32"/>
      <c r="R1128" s="32"/>
      <c r="S1128" s="32">
        <f t="shared" si="327"/>
        <v>0</v>
      </c>
      <c r="T1128" s="12"/>
      <c r="U1128" s="12"/>
      <c r="V1128" s="12"/>
      <c r="W1128" s="12">
        <f t="shared" si="328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29"/>
        <v>0</v>
      </c>
      <c r="AF1128" s="12"/>
      <c r="AG1128" s="12"/>
      <c r="AH1128" s="12"/>
      <c r="AI1128" s="12">
        <f t="shared" si="330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8"/>
      <c r="D1129" s="32"/>
      <c r="E1129" s="32"/>
      <c r="F1129" s="32"/>
      <c r="G1129" s="32">
        <f t="shared" si="325"/>
        <v>0</v>
      </c>
      <c r="H1129" s="12"/>
      <c r="I1129" s="12"/>
      <c r="J1129" s="12"/>
      <c r="K1129" s="12">
        <f t="shared" si="326"/>
        <v>0</v>
      </c>
      <c r="L1129" s="18"/>
      <c r="M1129" s="10">
        <v>18</v>
      </c>
      <c r="N1129" s="30"/>
      <c r="O1129" s="31"/>
      <c r="P1129" s="32"/>
      <c r="Q1129" s="32"/>
      <c r="R1129" s="32"/>
      <c r="S1129" s="32">
        <f t="shared" si="327"/>
        <v>0</v>
      </c>
      <c r="T1129" s="12"/>
      <c r="U1129" s="12"/>
      <c r="V1129" s="12"/>
      <c r="W1129" s="12">
        <f t="shared" si="328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29"/>
        <v>0</v>
      </c>
      <c r="AF1129" s="12"/>
      <c r="AG1129" s="12"/>
      <c r="AH1129" s="12"/>
      <c r="AI1129" s="12">
        <f t="shared" si="330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8"/>
      <c r="D1130" s="32"/>
      <c r="E1130" s="32"/>
      <c r="F1130" s="32"/>
      <c r="G1130" s="32">
        <f t="shared" si="325"/>
        <v>0</v>
      </c>
      <c r="H1130" s="12"/>
      <c r="I1130" s="12"/>
      <c r="J1130" s="12"/>
      <c r="K1130" s="12">
        <f t="shared" si="326"/>
        <v>0</v>
      </c>
      <c r="L1130" s="18"/>
      <c r="M1130" s="10">
        <v>19</v>
      </c>
      <c r="N1130" s="30"/>
      <c r="O1130" s="31"/>
      <c r="P1130" s="32"/>
      <c r="Q1130" s="32"/>
      <c r="R1130" s="32"/>
      <c r="S1130" s="32">
        <f t="shared" si="327"/>
        <v>0</v>
      </c>
      <c r="T1130" s="12"/>
      <c r="U1130" s="12"/>
      <c r="V1130" s="12"/>
      <c r="W1130" s="12">
        <f t="shared" si="328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29"/>
        <v>0</v>
      </c>
      <c r="AF1130" s="12"/>
      <c r="AG1130" s="12"/>
      <c r="AH1130" s="12"/>
      <c r="AI1130" s="12">
        <f t="shared" si="330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8"/>
      <c r="D1131" s="32"/>
      <c r="E1131" s="32"/>
      <c r="F1131" s="32"/>
      <c r="G1131" s="32">
        <f t="shared" si="325"/>
        <v>0</v>
      </c>
      <c r="H1131" s="12"/>
      <c r="I1131" s="12"/>
      <c r="J1131" s="12"/>
      <c r="K1131" s="12">
        <f t="shared" si="326"/>
        <v>0</v>
      </c>
      <c r="L1131" s="18"/>
      <c r="M1131" s="10">
        <v>20</v>
      </c>
      <c r="N1131" s="30"/>
      <c r="P1131" s="32"/>
      <c r="Q1131" s="32"/>
      <c r="R1131" s="32"/>
      <c r="S1131" s="32">
        <f t="shared" si="327"/>
        <v>0</v>
      </c>
      <c r="T1131" s="12"/>
      <c r="U1131" s="12"/>
      <c r="V1131" s="12"/>
      <c r="W1131" s="12">
        <f t="shared" si="328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29"/>
        <v>0</v>
      </c>
      <c r="AF1131" s="12"/>
      <c r="AG1131" s="12"/>
      <c r="AH1131" s="12"/>
      <c r="AI1131" s="12">
        <f t="shared" si="330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57"/>
      <c r="D1132" s="32"/>
      <c r="E1132" s="32"/>
      <c r="F1132" s="32"/>
      <c r="G1132" s="32">
        <f t="shared" si="325"/>
        <v>0</v>
      </c>
      <c r="H1132" s="10"/>
      <c r="I1132" s="10"/>
      <c r="J1132" s="10"/>
      <c r="K1132" s="12">
        <f t="shared" si="326"/>
        <v>0</v>
      </c>
      <c r="L1132" s="18"/>
      <c r="M1132" s="10">
        <v>21</v>
      </c>
      <c r="N1132" s="30"/>
      <c r="P1132" s="46"/>
      <c r="Q1132" s="31"/>
      <c r="R1132" s="31"/>
      <c r="S1132" s="32">
        <f t="shared" si="327"/>
        <v>0</v>
      </c>
      <c r="T1132" s="10"/>
      <c r="U1132" s="10"/>
      <c r="V1132" s="10"/>
      <c r="W1132" s="12">
        <f t="shared" si="328"/>
        <v>0</v>
      </c>
      <c r="Y1132" s="10">
        <v>21</v>
      </c>
      <c r="Z1132" s="30"/>
      <c r="AA1132" s="31"/>
      <c r="AB1132" s="46"/>
      <c r="AC1132" s="31"/>
      <c r="AD1132" s="31"/>
      <c r="AE1132" s="32">
        <f t="shared" si="329"/>
        <v>0</v>
      </c>
      <c r="AF1132" s="10"/>
      <c r="AG1132" s="10"/>
      <c r="AH1132" s="10"/>
      <c r="AI1132" s="12">
        <f t="shared" si="330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88"/>
      <c r="D1133" s="32"/>
      <c r="E1133" s="32"/>
      <c r="F1133" s="32"/>
      <c r="G1133" s="32">
        <f t="shared" si="325"/>
        <v>0</v>
      </c>
      <c r="H1133" s="10"/>
      <c r="I1133" s="10"/>
      <c r="J1133" s="10"/>
      <c r="K1133" s="12">
        <f t="shared" si="326"/>
        <v>0</v>
      </c>
      <c r="L1133" s="18"/>
      <c r="M1133" s="10">
        <v>22</v>
      </c>
      <c r="N1133" s="30"/>
      <c r="O1133" s="31"/>
      <c r="P1133" s="45"/>
      <c r="Q1133" s="31"/>
      <c r="R1133" s="31"/>
      <c r="S1133" s="32">
        <f t="shared" si="327"/>
        <v>0</v>
      </c>
      <c r="T1133" s="10"/>
      <c r="U1133" s="10"/>
      <c r="V1133" s="10"/>
      <c r="W1133" s="12">
        <f t="shared" si="328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29"/>
        <v>0</v>
      </c>
      <c r="AF1133" s="10"/>
      <c r="AG1133" s="10"/>
      <c r="AH1133" s="10"/>
      <c r="AI1133" s="12">
        <f t="shared" si="330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8"/>
      <c r="D1134" s="32"/>
      <c r="E1134" s="32"/>
      <c r="F1134" s="32"/>
      <c r="G1134" s="32">
        <f t="shared" si="325"/>
        <v>0</v>
      </c>
      <c r="H1134" s="10"/>
      <c r="I1134" s="10"/>
      <c r="J1134" s="12"/>
      <c r="K1134" s="12">
        <f t="shared" si="326"/>
        <v>0</v>
      </c>
      <c r="L1134" s="18"/>
      <c r="M1134" s="10">
        <v>23</v>
      </c>
      <c r="N1134" s="30"/>
      <c r="O1134" s="31"/>
      <c r="P1134" s="47"/>
      <c r="S1134" s="32">
        <f t="shared" si="327"/>
        <v>0</v>
      </c>
      <c r="T1134" s="10"/>
      <c r="U1134" s="10"/>
      <c r="V1134" s="10"/>
      <c r="W1134" s="12">
        <f t="shared" si="328"/>
        <v>0</v>
      </c>
      <c r="Y1134" s="10">
        <v>23</v>
      </c>
      <c r="Z1134" s="30"/>
      <c r="AA1134" s="31"/>
      <c r="AB1134" s="47"/>
      <c r="AE1134" s="32">
        <f t="shared" si="329"/>
        <v>0</v>
      </c>
      <c r="AF1134" s="10"/>
      <c r="AG1134" s="10"/>
      <c r="AH1134" s="10"/>
      <c r="AI1134" s="12">
        <f t="shared" si="330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57"/>
      <c r="D1135" s="32"/>
      <c r="E1135" s="32"/>
      <c r="F1135" s="32"/>
      <c r="G1135" s="32">
        <f t="shared" si="325"/>
        <v>0</v>
      </c>
      <c r="H1135" s="10"/>
      <c r="I1135" s="10"/>
      <c r="J1135" s="10"/>
      <c r="K1135" s="12">
        <f t="shared" si="326"/>
        <v>0</v>
      </c>
      <c r="L1135" s="18"/>
      <c r="M1135" s="10">
        <v>24</v>
      </c>
      <c r="N1135" s="30"/>
      <c r="O1135" s="31"/>
      <c r="P1135" s="47"/>
      <c r="Q1135" s="31"/>
      <c r="R1135" s="31"/>
      <c r="S1135" s="32">
        <f t="shared" si="327"/>
        <v>0</v>
      </c>
      <c r="T1135" s="10"/>
      <c r="U1135" s="10"/>
      <c r="V1135" s="10"/>
      <c r="W1135" s="12">
        <f t="shared" si="328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29"/>
        <v>0</v>
      </c>
      <c r="AF1135" s="10"/>
      <c r="AG1135" s="10"/>
      <c r="AH1135" s="10"/>
      <c r="AI1135" s="12">
        <f t="shared" si="330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31"/>
      <c r="D1136" s="32"/>
      <c r="E1136" s="32"/>
      <c r="F1136" s="32"/>
      <c r="G1136" s="32">
        <f t="shared" si="325"/>
        <v>0</v>
      </c>
      <c r="H1136" s="10"/>
      <c r="I1136" s="10"/>
      <c r="J1136" s="10"/>
      <c r="K1136" s="12">
        <f t="shared" si="326"/>
        <v>0</v>
      </c>
      <c r="L1136" s="18"/>
      <c r="M1136" s="10">
        <v>25</v>
      </c>
      <c r="N1136" s="30"/>
      <c r="P1136" s="47"/>
      <c r="Q1136" s="31"/>
      <c r="R1136" s="31"/>
      <c r="S1136" s="32">
        <f t="shared" si="327"/>
        <v>0</v>
      </c>
      <c r="T1136" s="10"/>
      <c r="U1136" s="10"/>
      <c r="V1136" s="10"/>
      <c r="W1136" s="12">
        <f t="shared" si="328"/>
        <v>0</v>
      </c>
      <c r="Y1136" s="10">
        <v>25</v>
      </c>
      <c r="Z1136" s="30"/>
      <c r="AB1136" s="47"/>
      <c r="AC1136" s="31"/>
      <c r="AD1136" s="31"/>
      <c r="AE1136" s="32">
        <f t="shared" si="329"/>
        <v>0</v>
      </c>
      <c r="AF1136" s="10"/>
      <c r="AG1136" s="10"/>
      <c r="AH1136" s="10"/>
      <c r="AI1136" s="12">
        <f t="shared" si="330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11"/>
      <c r="D1137" s="32"/>
      <c r="E1137" s="32"/>
      <c r="F1137" s="32"/>
      <c r="G1137" s="32">
        <f t="shared" si="325"/>
        <v>0</v>
      </c>
      <c r="H1137" s="10"/>
      <c r="I1137" s="10"/>
      <c r="J1137" s="10"/>
      <c r="K1137" s="12">
        <f t="shared" si="326"/>
        <v>0</v>
      </c>
      <c r="L1137" s="18"/>
      <c r="M1137" s="10">
        <v>26</v>
      </c>
      <c r="N1137" s="30"/>
      <c r="P1137" s="47"/>
      <c r="Q1137" s="31"/>
      <c r="R1137" s="31"/>
      <c r="S1137" s="32">
        <f t="shared" si="327"/>
        <v>0</v>
      </c>
      <c r="T1137" s="10"/>
      <c r="U1137" s="10"/>
      <c r="V1137" s="10"/>
      <c r="W1137" s="12">
        <f t="shared" si="328"/>
        <v>0</v>
      </c>
      <c r="Y1137" s="10">
        <v>26</v>
      </c>
      <c r="Z1137" s="30"/>
      <c r="AB1137" s="47"/>
      <c r="AC1137" s="31"/>
      <c r="AD1137" s="31"/>
      <c r="AE1137" s="32">
        <f t="shared" si="329"/>
        <v>0</v>
      </c>
      <c r="AF1137" s="10"/>
      <c r="AG1137" s="10"/>
      <c r="AH1137" s="10"/>
      <c r="AI1137" s="12">
        <f t="shared" si="330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57"/>
      <c r="D1138" s="32"/>
      <c r="E1138" s="32"/>
      <c r="F1138" s="32"/>
      <c r="G1138" s="32">
        <f t="shared" si="325"/>
        <v>0</v>
      </c>
      <c r="H1138" s="10"/>
      <c r="I1138" s="10"/>
      <c r="J1138" s="10"/>
      <c r="K1138" s="12">
        <f t="shared" si="326"/>
        <v>0</v>
      </c>
      <c r="L1138" s="18"/>
      <c r="M1138" s="10">
        <v>27</v>
      </c>
      <c r="N1138" s="30"/>
      <c r="O1138" s="31"/>
      <c r="P1138" s="47"/>
      <c r="Q1138" s="31"/>
      <c r="R1138" s="31"/>
      <c r="S1138" s="32">
        <f t="shared" si="327"/>
        <v>0</v>
      </c>
      <c r="T1138" s="10"/>
      <c r="U1138" s="10"/>
      <c r="V1138" s="10"/>
      <c r="W1138" s="12">
        <f t="shared" si="328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29"/>
        <v>0</v>
      </c>
      <c r="AF1138" s="10"/>
      <c r="AG1138" s="10"/>
      <c r="AH1138" s="10"/>
      <c r="AI1138" s="12">
        <f t="shared" si="330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31"/>
      <c r="D1139" s="32"/>
      <c r="E1139" s="32"/>
      <c r="F1139" s="32"/>
      <c r="G1139" s="32">
        <f t="shared" si="325"/>
        <v>0</v>
      </c>
      <c r="H1139" s="10"/>
      <c r="I1139" s="10"/>
      <c r="J1139" s="10"/>
      <c r="K1139" s="12">
        <f t="shared" si="326"/>
        <v>0</v>
      </c>
      <c r="L1139" s="18"/>
      <c r="M1139" s="10">
        <v>28</v>
      </c>
      <c r="N1139" s="30"/>
      <c r="O1139" s="31"/>
      <c r="P1139" s="47"/>
      <c r="Q1139" s="31"/>
      <c r="R1139" s="31"/>
      <c r="S1139" s="32">
        <f t="shared" si="327"/>
        <v>0</v>
      </c>
      <c r="T1139" s="10"/>
      <c r="U1139" s="10"/>
      <c r="V1139" s="10"/>
      <c r="W1139" s="12">
        <f t="shared" si="328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29"/>
        <v>0</v>
      </c>
      <c r="AF1139" s="10"/>
      <c r="AG1139" s="10"/>
      <c r="AH1139" s="10"/>
      <c r="AI1139" s="12">
        <f t="shared" si="330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31"/>
      <c r="D1140" s="32"/>
      <c r="E1140" s="32"/>
      <c r="F1140" s="32"/>
      <c r="G1140" s="32">
        <f t="shared" si="325"/>
        <v>0</v>
      </c>
      <c r="H1140" s="10"/>
      <c r="I1140" s="10"/>
      <c r="J1140" s="10"/>
      <c r="K1140" s="12">
        <f t="shared" si="326"/>
        <v>0</v>
      </c>
      <c r="L1140" s="18"/>
      <c r="M1140" s="10">
        <v>29</v>
      </c>
      <c r="N1140" s="30"/>
      <c r="P1140" s="47"/>
      <c r="Q1140" s="31"/>
      <c r="R1140" s="31"/>
      <c r="S1140" s="32">
        <f t="shared" si="327"/>
        <v>0</v>
      </c>
      <c r="T1140" s="10"/>
      <c r="U1140" s="10"/>
      <c r="V1140" s="10"/>
      <c r="W1140" s="12">
        <f t="shared" si="328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29"/>
        <v>0</v>
      </c>
      <c r="AF1140" s="10"/>
      <c r="AG1140" s="10"/>
      <c r="AH1140" s="10"/>
      <c r="AI1140" s="12">
        <f t="shared" si="330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25"/>
        <v>0</v>
      </c>
      <c r="H1141" s="10"/>
      <c r="I1141" s="10"/>
      <c r="J1141" s="10"/>
      <c r="K1141" s="12">
        <f t="shared" si="326"/>
        <v>0</v>
      </c>
      <c r="L1141" s="18"/>
      <c r="M1141" s="10">
        <v>30</v>
      </c>
      <c r="N1141" s="30"/>
      <c r="P1141" s="47"/>
      <c r="Q1141" s="31"/>
      <c r="R1141" s="31"/>
      <c r="S1141" s="32">
        <f t="shared" si="327"/>
        <v>0</v>
      </c>
      <c r="T1141" s="10"/>
      <c r="U1141" s="10"/>
      <c r="V1141" s="10"/>
      <c r="W1141" s="12">
        <f t="shared" si="328"/>
        <v>0</v>
      </c>
      <c r="Y1141" s="10">
        <v>30</v>
      </c>
      <c r="Z1141" s="30"/>
      <c r="AB1141" s="47"/>
      <c r="AC1141" s="31"/>
      <c r="AD1141" s="31"/>
      <c r="AE1141" s="32">
        <f t="shared" si="329"/>
        <v>0</v>
      </c>
      <c r="AF1141" s="10"/>
      <c r="AG1141" s="10"/>
      <c r="AH1141" s="10"/>
      <c r="AI1141" s="12">
        <f t="shared" si="330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57"/>
      <c r="D1142" s="32"/>
      <c r="E1142" s="32"/>
      <c r="F1142" s="32"/>
      <c r="G1142" s="32">
        <f t="shared" si="325"/>
        <v>0</v>
      </c>
      <c r="H1142" s="10"/>
      <c r="I1142" s="10"/>
      <c r="J1142" s="10"/>
      <c r="K1142" s="12">
        <f t="shared" si="326"/>
        <v>0</v>
      </c>
      <c r="L1142" s="18"/>
      <c r="M1142" s="10">
        <v>31</v>
      </c>
      <c r="N1142" s="30"/>
      <c r="O1142" s="31"/>
      <c r="P1142" s="47"/>
      <c r="Q1142" s="31"/>
      <c r="R1142" s="31"/>
      <c r="S1142" s="32">
        <f t="shared" si="327"/>
        <v>0</v>
      </c>
      <c r="T1142" s="10"/>
      <c r="U1142" s="10"/>
      <c r="V1142" s="10"/>
      <c r="W1142" s="12">
        <f t="shared" si="328"/>
        <v>0</v>
      </c>
      <c r="Y1142" s="10">
        <v>31</v>
      </c>
      <c r="Z1142" s="30"/>
      <c r="AB1142" s="47"/>
      <c r="AC1142" s="31"/>
      <c r="AD1142" s="31"/>
      <c r="AE1142" s="32">
        <f t="shared" si="329"/>
        <v>0</v>
      </c>
      <c r="AF1142" s="10"/>
      <c r="AG1142" s="10"/>
      <c r="AH1142" s="10"/>
      <c r="AI1142" s="12">
        <f t="shared" si="330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31"/>
      <c r="D1143" s="32"/>
      <c r="E1143" s="32"/>
      <c r="F1143" s="32"/>
      <c r="G1143" s="32">
        <f t="shared" si="325"/>
        <v>0</v>
      </c>
      <c r="H1143" s="10"/>
      <c r="I1143" s="10"/>
      <c r="J1143" s="10"/>
      <c r="K1143" s="12">
        <f t="shared" si="326"/>
        <v>0</v>
      </c>
      <c r="L1143" s="18"/>
      <c r="M1143" s="10">
        <v>32</v>
      </c>
      <c r="N1143" s="30"/>
      <c r="P1143" s="47"/>
      <c r="Q1143" s="31"/>
      <c r="R1143" s="31"/>
      <c r="S1143" s="32">
        <f t="shared" si="327"/>
        <v>0</v>
      </c>
      <c r="T1143" s="10"/>
      <c r="U1143" s="10"/>
      <c r="V1143" s="10"/>
      <c r="W1143" s="12">
        <f t="shared" si="328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29"/>
        <v>0</v>
      </c>
      <c r="AF1143" s="10"/>
      <c r="AG1143" s="10"/>
      <c r="AH1143" s="10"/>
      <c r="AI1143" s="12">
        <f t="shared" si="330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57"/>
      <c r="D1144" s="32"/>
      <c r="E1144" s="32"/>
      <c r="F1144" s="32"/>
      <c r="G1144" s="32">
        <f t="shared" si="325"/>
        <v>0</v>
      </c>
      <c r="H1144" s="10"/>
      <c r="I1144" s="10"/>
      <c r="J1144" s="10"/>
      <c r="K1144" s="12">
        <f t="shared" si="326"/>
        <v>0</v>
      </c>
      <c r="L1144" s="18"/>
      <c r="M1144" s="10">
        <v>33</v>
      </c>
      <c r="N1144" s="30"/>
      <c r="O1144" s="31"/>
      <c r="P1144" s="47"/>
      <c r="Q1144" s="31"/>
      <c r="R1144" s="31"/>
      <c r="S1144" s="32">
        <f t="shared" si="327"/>
        <v>0</v>
      </c>
      <c r="T1144" s="10"/>
      <c r="U1144" s="10"/>
      <c r="V1144" s="10"/>
      <c r="W1144" s="12">
        <f t="shared" si="328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29"/>
        <v>0</v>
      </c>
      <c r="AF1144" s="10"/>
      <c r="AG1144" s="10"/>
      <c r="AH1144" s="10"/>
      <c r="AI1144" s="12">
        <f t="shared" si="330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57"/>
      <c r="D1145" s="32"/>
      <c r="E1145" s="32"/>
      <c r="F1145" s="32"/>
      <c r="G1145" s="32">
        <f t="shared" si="325"/>
        <v>0</v>
      </c>
      <c r="H1145" s="10"/>
      <c r="I1145" s="10"/>
      <c r="J1145" s="10"/>
      <c r="K1145" s="12">
        <f t="shared" si="326"/>
        <v>0</v>
      </c>
      <c r="L1145" s="18"/>
      <c r="M1145" s="10">
        <v>34</v>
      </c>
      <c r="N1145" s="30"/>
      <c r="O1145" s="31"/>
      <c r="P1145" s="47"/>
      <c r="Q1145" s="31"/>
      <c r="R1145" s="31"/>
      <c r="S1145" s="32">
        <f t="shared" ref="S1145:S1150" si="334">SUM(P1145:Q1145)</f>
        <v>0</v>
      </c>
      <c r="T1145" s="10"/>
      <c r="U1145" s="10"/>
      <c r="V1145" s="10"/>
      <c r="W1145" s="12">
        <f t="shared" si="328"/>
        <v>0</v>
      </c>
      <c r="Y1145" s="10">
        <v>34</v>
      </c>
      <c r="Z1145" s="30"/>
      <c r="AB1145" s="47"/>
      <c r="AC1145" s="31"/>
      <c r="AD1145" s="31"/>
      <c r="AE1145" s="32">
        <f t="shared" si="329"/>
        <v>0</v>
      </c>
      <c r="AF1145" s="10"/>
      <c r="AG1145" s="10"/>
      <c r="AH1145" s="10"/>
      <c r="AI1145" s="12">
        <f t="shared" ref="AI1145:AI1153" si="335">SUM(AE1145:AH1145)</f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31"/>
      <c r="D1146" s="32"/>
      <c r="E1146" s="32"/>
      <c r="F1146" s="32"/>
      <c r="G1146" s="32"/>
      <c r="H1146" s="10"/>
      <c r="I1146" s="10"/>
      <c r="J1146" s="10"/>
      <c r="K1146" s="12"/>
      <c r="L1146" s="18"/>
      <c r="M1146" s="10">
        <v>35</v>
      </c>
      <c r="N1146" s="30"/>
      <c r="O1146" s="31"/>
      <c r="P1146" s="47"/>
      <c r="Q1146" s="31"/>
      <c r="R1146" s="31"/>
      <c r="S1146" s="32">
        <f t="shared" si="334"/>
        <v>0</v>
      </c>
      <c r="T1146" s="10"/>
      <c r="U1146" s="10"/>
      <c r="V1146" s="10"/>
      <c r="W1146" s="12">
        <f t="shared" si="328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29"/>
        <v>0</v>
      </c>
      <c r="AF1146" s="10"/>
      <c r="AG1146" s="10"/>
      <c r="AH1146" s="10"/>
      <c r="AI1146" s="12">
        <f t="shared" si="335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31"/>
      <c r="D1147" s="32"/>
      <c r="E1147" s="32"/>
      <c r="F1147" s="32"/>
      <c r="G1147" s="32"/>
      <c r="H1147" s="10"/>
      <c r="I1147" s="10"/>
      <c r="J1147" s="10"/>
      <c r="K1147" s="12"/>
      <c r="L1147" s="18"/>
      <c r="M1147" s="10">
        <v>36</v>
      </c>
      <c r="N1147" s="30"/>
      <c r="O1147" s="31"/>
      <c r="P1147" s="47"/>
      <c r="Q1147" s="31"/>
      <c r="R1147" s="31"/>
      <c r="S1147" s="32">
        <f t="shared" si="334"/>
        <v>0</v>
      </c>
      <c r="T1147" s="10"/>
      <c r="U1147" s="10"/>
      <c r="V1147" s="10"/>
      <c r="W1147" s="12">
        <f t="shared" si="328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29"/>
        <v>0</v>
      </c>
      <c r="AF1147" s="10"/>
      <c r="AG1147" s="10"/>
      <c r="AH1147" s="10"/>
      <c r="AI1147" s="12">
        <f t="shared" si="335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L1148" s="18"/>
      <c r="M1148" s="10">
        <v>37</v>
      </c>
      <c r="N1148" s="30"/>
      <c r="P1148" s="47"/>
      <c r="Q1148" s="31"/>
      <c r="R1148" s="31"/>
      <c r="S1148" s="32">
        <f t="shared" si="334"/>
        <v>0</v>
      </c>
      <c r="T1148" s="10"/>
      <c r="U1148" s="10"/>
      <c r="V1148" s="10"/>
      <c r="W1148" s="12">
        <f t="shared" si="328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29"/>
        <v>0</v>
      </c>
      <c r="AF1148" s="10"/>
      <c r="AG1148" s="10"/>
      <c r="AH1148" s="10"/>
      <c r="AI1148" s="12">
        <f t="shared" si="335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L1149" s="18"/>
      <c r="M1149" s="10">
        <v>38</v>
      </c>
      <c r="N1149" s="30"/>
      <c r="O1149" s="31"/>
      <c r="P1149" s="47"/>
      <c r="Q1149" s="31"/>
      <c r="R1149" s="31"/>
      <c r="S1149" s="32">
        <f t="shared" si="334"/>
        <v>0</v>
      </c>
      <c r="T1149" s="10"/>
      <c r="U1149" s="10"/>
      <c r="V1149" s="10"/>
      <c r="W1149" s="12">
        <f t="shared" si="328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29"/>
        <v>0</v>
      </c>
      <c r="AF1149" s="10"/>
      <c r="AG1149" s="10"/>
      <c r="AH1149" s="10"/>
      <c r="AI1149" s="12">
        <f t="shared" si="335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L1150" s="18"/>
      <c r="M1150" s="10">
        <v>39</v>
      </c>
      <c r="N1150" s="30"/>
      <c r="O1150" s="31"/>
      <c r="P1150" s="47"/>
      <c r="Q1150" s="31"/>
      <c r="R1150" s="31"/>
      <c r="S1150" s="32">
        <f t="shared" si="334"/>
        <v>0</v>
      </c>
      <c r="T1150" s="10"/>
      <c r="U1150" s="10"/>
      <c r="V1150" s="10"/>
      <c r="W1150" s="12">
        <f t="shared" si="328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29"/>
        <v>0</v>
      </c>
      <c r="AF1150" s="10"/>
      <c r="AG1150" s="10"/>
      <c r="AH1150" s="10"/>
      <c r="AI1150" s="12">
        <f t="shared" si="335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L1151" s="18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28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35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36">SUM(D1152:E1152)</f>
        <v>0</v>
      </c>
      <c r="H1152" s="10"/>
      <c r="I1152" s="10"/>
      <c r="J1152" s="10"/>
      <c r="K1152" s="12">
        <f t="shared" ref="K1152" si="337">SUM(G1152:J1152)</f>
        <v>0</v>
      </c>
      <c r="L1152" s="18"/>
      <c r="M1152" s="10"/>
      <c r="N1152" s="30"/>
      <c r="O1152" s="31"/>
      <c r="P1152" s="47"/>
      <c r="Q1152" s="31"/>
      <c r="R1152" s="31"/>
      <c r="S1152" s="32">
        <f t="shared" ref="S1152" si="338">SUM(P1152:Q1152)</f>
        <v>0</v>
      </c>
      <c r="T1152" s="10"/>
      <c r="U1152" s="10"/>
      <c r="V1152" s="10"/>
      <c r="W1152" s="12">
        <f t="shared" si="328"/>
        <v>0</v>
      </c>
      <c r="Y1152" s="10"/>
      <c r="Z1152" s="30"/>
      <c r="AA1152" s="31"/>
      <c r="AB1152" s="47"/>
      <c r="AC1152" s="31"/>
      <c r="AD1152" s="31"/>
      <c r="AE1152" s="32">
        <f t="shared" ref="AE1152" si="339">SUM(AB1152:AC1152)</f>
        <v>0</v>
      </c>
      <c r="AF1152" s="10"/>
      <c r="AG1152" s="10"/>
      <c r="AH1152" s="10"/>
      <c r="AI1152" s="12">
        <f t="shared" si="335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L1153" s="18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28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35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L1154" s="18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335604</v>
      </c>
      <c r="E1155" s="38">
        <f t="shared" ref="E1155:F1155" si="340">SUM(E1112:E1152)</f>
        <v>0</v>
      </c>
      <c r="F1155" s="38">
        <f t="shared" si="340"/>
        <v>0</v>
      </c>
      <c r="G1155" s="38">
        <f>SUM(G1112:G1154)</f>
        <v>335604</v>
      </c>
      <c r="H1155" s="4"/>
      <c r="I1155" s="39">
        <f>SUM(I1112:I1154)</f>
        <v>6420</v>
      </c>
      <c r="J1155" s="39">
        <f>SUM(J1112:J1154)</f>
        <v>-337</v>
      </c>
      <c r="K1155" s="40">
        <f>SUM(K1112:K1154)</f>
        <v>341687</v>
      </c>
      <c r="L1155" s="18"/>
      <c r="N1155" s="57"/>
      <c r="O1155" s="57"/>
      <c r="P1155" s="38">
        <f>SUM(P1112:P1154)</f>
        <v>602736.5</v>
      </c>
      <c r="Q1155" s="38">
        <f>SUM(Q1112:Q1136)</f>
        <v>-4878</v>
      </c>
      <c r="R1155" s="38">
        <f>SUM(R1112:R1136)</f>
        <v>0</v>
      </c>
      <c r="S1155" s="38">
        <f>SUM(S1112:S1154)</f>
        <v>597858.5</v>
      </c>
      <c r="T1155" s="4"/>
      <c r="U1155" s="41">
        <f>SUM(U1112:U1154)</f>
        <v>6664.5</v>
      </c>
      <c r="V1155" s="41">
        <f>SUM(V1112:V1136)</f>
        <v>-7302</v>
      </c>
      <c r="W1155" s="42">
        <f>SUM(W1112:W1154)</f>
        <v>597221</v>
      </c>
      <c r="Z1155" s="57"/>
      <c r="AA1155" s="57"/>
      <c r="AB1155" s="38">
        <f>SUM(AB1112:AB1154)</f>
        <v>513186</v>
      </c>
      <c r="AC1155" s="38">
        <f>SUM(AC1112:AC1136)</f>
        <v>-4776</v>
      </c>
      <c r="AD1155" s="38">
        <f>SUM(AD1112:AD1136)</f>
        <v>0</v>
      </c>
      <c r="AE1155" s="38">
        <f>SUM(AE1112:AE1154)</f>
        <v>508410</v>
      </c>
      <c r="AF1155" s="4"/>
      <c r="AG1155" s="41">
        <f>SUM(AG1112:AG1154)</f>
        <v>11334</v>
      </c>
      <c r="AH1155" s="41">
        <f>SUM(AH1112:AH1136)</f>
        <v>0</v>
      </c>
      <c r="AI1155" s="42">
        <f>SUM(AI1112:AI1154)</f>
        <v>519744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L1157" s="18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L1158" s="18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L1159" s="18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L1160" s="18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L1161" s="18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48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L1162" s="18"/>
      <c r="M1162" t="s">
        <v>48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48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94</v>
      </c>
      <c r="B1163" s="20"/>
      <c r="C1163" s="57"/>
      <c r="D1163" s="57"/>
      <c r="E1163" s="57"/>
      <c r="G1163" s="57"/>
      <c r="I1163" s="22" t="s">
        <v>16</v>
      </c>
      <c r="J1163" s="23" t="s">
        <v>33</v>
      </c>
      <c r="K1163" s="24"/>
      <c r="L1163" s="18"/>
      <c r="M1163" s="21" t="s">
        <v>94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35</v>
      </c>
      <c r="W1163" s="24"/>
      <c r="Y1163" s="21" t="s">
        <v>94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31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L1164" s="18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5" t="s">
        <v>17</v>
      </c>
      <c r="E1165" s="125"/>
      <c r="F1165" s="113"/>
      <c r="G1165" s="27"/>
      <c r="I1165" s="123" t="s">
        <v>18</v>
      </c>
      <c r="J1165" s="124"/>
      <c r="K1165" s="121" t="s">
        <v>19</v>
      </c>
      <c r="L1165" s="18"/>
      <c r="N1165" s="25"/>
      <c r="O1165" s="26"/>
      <c r="P1165" s="125" t="s">
        <v>17</v>
      </c>
      <c r="Q1165" s="125"/>
      <c r="R1165" s="113"/>
      <c r="S1165" s="27"/>
      <c r="U1165" s="123" t="s">
        <v>18</v>
      </c>
      <c r="V1165" s="124"/>
      <c r="W1165" s="121" t="s">
        <v>19</v>
      </c>
      <c r="Z1165" s="25"/>
      <c r="AA1165" s="26"/>
      <c r="AB1165" s="125" t="s">
        <v>17</v>
      </c>
      <c r="AC1165" s="125"/>
      <c r="AD1165" s="113"/>
      <c r="AE1165" s="27"/>
      <c r="AG1165" s="123" t="s">
        <v>18</v>
      </c>
      <c r="AH1165" s="124"/>
      <c r="AI1165" s="121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9" t="s">
        <v>22</v>
      </c>
      <c r="E1166" s="78" t="s">
        <v>23</v>
      </c>
      <c r="F1166" s="80" t="s">
        <v>32</v>
      </c>
      <c r="G1166" s="80" t="s">
        <v>24</v>
      </c>
      <c r="I1166" s="29" t="s">
        <v>25</v>
      </c>
      <c r="J1166" s="29" t="s">
        <v>26</v>
      </c>
      <c r="K1166" s="122"/>
      <c r="L1166" s="18"/>
      <c r="N1166" s="28" t="s">
        <v>20</v>
      </c>
      <c r="O1166" s="28" t="s">
        <v>21</v>
      </c>
      <c r="P1166" s="79" t="s">
        <v>22</v>
      </c>
      <c r="Q1166" s="80" t="s">
        <v>23</v>
      </c>
      <c r="R1166" s="80" t="s">
        <v>32</v>
      </c>
      <c r="S1166" s="80" t="s">
        <v>24</v>
      </c>
      <c r="U1166" s="29" t="s">
        <v>25</v>
      </c>
      <c r="V1166" s="29" t="s">
        <v>26</v>
      </c>
      <c r="W1166" s="122"/>
      <c r="Z1166" s="28" t="s">
        <v>20</v>
      </c>
      <c r="AA1166" s="28" t="s">
        <v>21</v>
      </c>
      <c r="AB1166" s="79" t="s">
        <v>22</v>
      </c>
      <c r="AC1166" s="80" t="s">
        <v>23</v>
      </c>
      <c r="AD1166" s="80" t="s">
        <v>32</v>
      </c>
      <c r="AE1166" s="80" t="s">
        <v>24</v>
      </c>
      <c r="AG1166" s="29" t="s">
        <v>25</v>
      </c>
      <c r="AH1166" s="29" t="s">
        <v>26</v>
      </c>
      <c r="AI1166" s="12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95</v>
      </c>
      <c r="C1167" s="88">
        <v>8071</v>
      </c>
      <c r="D1167" s="32">
        <f>8138+614+2384+832+9.5*17</f>
        <v>12129.5</v>
      </c>
      <c r="E1167" s="32"/>
      <c r="F1167" s="32"/>
      <c r="G1167" s="32">
        <f t="shared" ref="G1167:G1200" si="341">SUM(D1167:E1167)</f>
        <v>12129.5</v>
      </c>
      <c r="H1167" s="12"/>
      <c r="I1167" s="12">
        <v>49</v>
      </c>
      <c r="J1167" s="12"/>
      <c r="K1167" s="12">
        <f t="shared" ref="K1167:K1200" si="342">SUM(G1167:J1167)</f>
        <v>12178.5</v>
      </c>
      <c r="L1167" s="18"/>
      <c r="M1167" s="10">
        <v>1</v>
      </c>
      <c r="N1167" s="30" t="s">
        <v>95</v>
      </c>
      <c r="O1167" s="31">
        <v>8113</v>
      </c>
      <c r="P1167" s="32">
        <f>1252+596+28.5</f>
        <v>1876.5</v>
      </c>
      <c r="Q1167" s="32"/>
      <c r="R1167" s="32"/>
      <c r="S1167" s="32">
        <f>SUM(P1167:Q1167)</f>
        <v>1876.5</v>
      </c>
      <c r="T1167" s="12"/>
      <c r="U1167" s="12"/>
      <c r="V1167" s="12"/>
      <c r="W1167" s="12">
        <f>SUM(S1167:V1167)</f>
        <v>1876.5</v>
      </c>
      <c r="Y1167" s="10">
        <v>1</v>
      </c>
      <c r="Z1167" s="30" t="s">
        <v>95</v>
      </c>
      <c r="AA1167" s="31">
        <v>7789</v>
      </c>
      <c r="AB1167" s="32">
        <f>31300+458</f>
        <v>31758</v>
      </c>
      <c r="AC1167" s="32">
        <v>-300</v>
      </c>
      <c r="AD1167" s="32"/>
      <c r="AE1167" s="32">
        <f>SUM(AB1167:AC1167)</f>
        <v>31458</v>
      </c>
      <c r="AF1167" s="12"/>
      <c r="AG1167" s="12"/>
      <c r="AH1167" s="12"/>
      <c r="AI1167" s="12">
        <f>SUM(AE1167:AH1167)</f>
        <v>31458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95</v>
      </c>
      <c r="C1168" s="88">
        <f>C1167+1</f>
        <v>8072</v>
      </c>
      <c r="D1168" s="32">
        <f>7512+2980</f>
        <v>10492</v>
      </c>
      <c r="E1168" s="32"/>
      <c r="F1168" s="32"/>
      <c r="G1168" s="32">
        <f t="shared" si="341"/>
        <v>10492</v>
      </c>
      <c r="H1168" s="12"/>
      <c r="I1168" s="12"/>
      <c r="J1168" s="12"/>
      <c r="K1168" s="12">
        <f t="shared" si="342"/>
        <v>10492</v>
      </c>
      <c r="L1168" s="18"/>
      <c r="M1168" s="10">
        <v>2</v>
      </c>
      <c r="N1168" s="30" t="s">
        <v>95</v>
      </c>
      <c r="O1168" s="31">
        <f>O1167+1</f>
        <v>8114</v>
      </c>
      <c r="P1168" s="32">
        <f>135216+687</f>
        <v>135903</v>
      </c>
      <c r="Q1168" s="32">
        <v>-1296</v>
      </c>
      <c r="R1168" s="32"/>
      <c r="S1168" s="32">
        <f t="shared" ref="S1168:S1199" si="343">SUM(P1168:Q1168)</f>
        <v>134607</v>
      </c>
      <c r="T1168" s="12"/>
      <c r="U1168" s="12">
        <v>9879</v>
      </c>
      <c r="V1168" s="12"/>
      <c r="W1168" s="12">
        <f t="shared" ref="W1168:W1208" si="344">SUM(S1168:V1168)</f>
        <v>144486</v>
      </c>
      <c r="Y1168" s="10">
        <v>2</v>
      </c>
      <c r="Z1168" s="30" t="s">
        <v>95</v>
      </c>
      <c r="AA1168" s="31">
        <f>AA1167+1</f>
        <v>7790</v>
      </c>
      <c r="AB1168" s="32">
        <f>626*220+614*10+674*10+596*80+229*12</f>
        <v>201028</v>
      </c>
      <c r="AC1168" s="32">
        <v>-1920</v>
      </c>
      <c r="AD1168" s="32"/>
      <c r="AE1168" s="32">
        <f t="shared" ref="AE1168:AE1205" si="345">SUM(AB1168:AC1168)</f>
        <v>199108</v>
      </c>
      <c r="AF1168" s="12"/>
      <c r="AG1168" s="12">
        <f>35520+936</f>
        <v>36456</v>
      </c>
      <c r="AH1168" s="12"/>
      <c r="AI1168" s="12">
        <f t="shared" ref="AI1168:AI1199" si="346">SUM(AE1168:AH1168)</f>
        <v>235564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95</v>
      </c>
      <c r="C1169" s="88">
        <f t="shared" ref="C1169:C1173" si="347">C1168+1</f>
        <v>8073</v>
      </c>
      <c r="D1169" s="33">
        <f>8138+614+1192</f>
        <v>9944</v>
      </c>
      <c r="E1169" s="33"/>
      <c r="F1169" s="33"/>
      <c r="G1169" s="33">
        <f t="shared" si="341"/>
        <v>9944</v>
      </c>
      <c r="H1169" s="34"/>
      <c r="I1169" s="34">
        <v>103.5</v>
      </c>
      <c r="J1169" s="34"/>
      <c r="K1169" s="34">
        <f t="shared" si="342"/>
        <v>10047.5</v>
      </c>
      <c r="L1169" s="18"/>
      <c r="M1169" s="10">
        <v>3</v>
      </c>
      <c r="N1169" s="30" t="s">
        <v>95</v>
      </c>
      <c r="O1169" s="31">
        <f t="shared" ref="O1169:O1176" si="348">O1168+1</f>
        <v>8115</v>
      </c>
      <c r="P1169" s="32">
        <f>62600+11920+458</f>
        <v>74978</v>
      </c>
      <c r="Q1169" s="32"/>
      <c r="R1169" s="32"/>
      <c r="S1169" s="32">
        <f t="shared" si="343"/>
        <v>74978</v>
      </c>
      <c r="T1169" s="12"/>
      <c r="U1169" s="12">
        <f>111*61+1.5*27</f>
        <v>6811.5</v>
      </c>
      <c r="V1169" s="12"/>
      <c r="W1169" s="12">
        <f t="shared" si="344"/>
        <v>81789.5</v>
      </c>
      <c r="Y1169" s="10">
        <v>3</v>
      </c>
      <c r="Z1169" s="30" t="s">
        <v>95</v>
      </c>
      <c r="AA1169" s="31">
        <f t="shared" ref="AA1169:AA1172" si="349">AA1168+1</f>
        <v>7791</v>
      </c>
      <c r="AB1169" s="33">
        <f>626*266+596*98+852*3+832*6</f>
        <v>232472</v>
      </c>
      <c r="AC1169" s="33">
        <v>-2238</v>
      </c>
      <c r="AD1169" s="32"/>
      <c r="AE1169" s="32">
        <f t="shared" si="345"/>
        <v>230234</v>
      </c>
      <c r="AF1169" s="12"/>
      <c r="AG1169" s="12"/>
      <c r="AH1169" s="12"/>
      <c r="AI1169" s="12">
        <f t="shared" si="346"/>
        <v>230234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95</v>
      </c>
      <c r="C1170" s="88">
        <f t="shared" si="347"/>
        <v>8074</v>
      </c>
      <c r="D1170" s="32">
        <f>6260+95</f>
        <v>6355</v>
      </c>
      <c r="E1170" s="32"/>
      <c r="F1170" s="32"/>
      <c r="G1170" s="32">
        <f t="shared" si="341"/>
        <v>6355</v>
      </c>
      <c r="H1170" s="12"/>
      <c r="I1170" s="12">
        <v>252</v>
      </c>
      <c r="J1170" s="12"/>
      <c r="K1170" s="12">
        <f t="shared" si="342"/>
        <v>6607</v>
      </c>
      <c r="L1170" s="18"/>
      <c r="M1170" s="10">
        <v>4</v>
      </c>
      <c r="N1170" s="30" t="s">
        <v>95</v>
      </c>
      <c r="O1170" s="31">
        <f t="shared" si="348"/>
        <v>8116</v>
      </c>
      <c r="P1170" s="32">
        <f>3306+10400+7800</f>
        <v>21506</v>
      </c>
      <c r="Q1170" s="32"/>
      <c r="R1170" s="32"/>
      <c r="S1170" s="32">
        <f t="shared" si="343"/>
        <v>21506</v>
      </c>
      <c r="T1170" s="12"/>
      <c r="U1170" s="12"/>
      <c r="V1170" s="12"/>
      <c r="W1170" s="12">
        <f t="shared" si="344"/>
        <v>21506</v>
      </c>
      <c r="Y1170" s="10">
        <v>4</v>
      </c>
      <c r="Z1170" s="30" t="s">
        <v>95</v>
      </c>
      <c r="AA1170" s="31">
        <f t="shared" si="349"/>
        <v>7792</v>
      </c>
      <c r="AB1170" s="32">
        <f>626*139+614*20+229*6</f>
        <v>100668</v>
      </c>
      <c r="AC1170" s="32">
        <v>-954</v>
      </c>
      <c r="AD1170" s="32"/>
      <c r="AE1170" s="32">
        <f t="shared" si="345"/>
        <v>99714</v>
      </c>
      <c r="AF1170" s="12"/>
      <c r="AH1170" s="12"/>
      <c r="AI1170" s="12">
        <f t="shared" si="346"/>
        <v>99714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95</v>
      </c>
      <c r="C1171" s="88">
        <f t="shared" si="347"/>
        <v>8075</v>
      </c>
      <c r="D1171" s="32">
        <f>2504</f>
        <v>2504</v>
      </c>
      <c r="E1171" s="32"/>
      <c r="F1171" s="32"/>
      <c r="G1171" s="32">
        <f t="shared" si="341"/>
        <v>2504</v>
      </c>
      <c r="H1171" s="12"/>
      <c r="I1171" s="12"/>
      <c r="J1171" s="12"/>
      <c r="K1171" s="12">
        <f t="shared" si="342"/>
        <v>2504</v>
      </c>
      <c r="L1171" s="18"/>
      <c r="M1171" s="10">
        <v>5</v>
      </c>
      <c r="N1171" s="30" t="s">
        <v>95</v>
      </c>
      <c r="O1171" s="31">
        <f t="shared" si="348"/>
        <v>8117</v>
      </c>
      <c r="P1171" s="32">
        <f>626*4+66.5</f>
        <v>2570.5</v>
      </c>
      <c r="Q1171" s="32"/>
      <c r="R1171" s="32"/>
      <c r="S1171" s="32">
        <f t="shared" si="343"/>
        <v>2570.5</v>
      </c>
      <c r="T1171" s="12"/>
      <c r="U1171" s="12"/>
      <c r="V1171" s="12">
        <v>-555</v>
      </c>
      <c r="W1171" s="12">
        <f t="shared" si="344"/>
        <v>2015.5</v>
      </c>
      <c r="Y1171" s="10">
        <v>5</v>
      </c>
      <c r="Z1171" s="30" t="s">
        <v>95</v>
      </c>
      <c r="AA1171" s="31">
        <f t="shared" si="349"/>
        <v>7793</v>
      </c>
      <c r="AB1171" s="32">
        <f>626*36+596*10</f>
        <v>28496</v>
      </c>
      <c r="AC1171" s="32"/>
      <c r="AD1171" s="32"/>
      <c r="AE1171" s="32">
        <f t="shared" si="345"/>
        <v>28496</v>
      </c>
      <c r="AF1171" s="12"/>
      <c r="AG1171" s="12"/>
      <c r="AH1171" s="12">
        <f>-5217+-4536</f>
        <v>-9753</v>
      </c>
      <c r="AI1171" s="12">
        <f t="shared" si="346"/>
        <v>18743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95</v>
      </c>
      <c r="C1172" s="88">
        <f t="shared" si="347"/>
        <v>8076</v>
      </c>
      <c r="D1172" s="32">
        <f>473256+913*20+7099</f>
        <v>498615</v>
      </c>
      <c r="E1172" s="32">
        <v>-4656</v>
      </c>
      <c r="F1172" s="32"/>
      <c r="G1172" s="32">
        <f t="shared" si="341"/>
        <v>493959</v>
      </c>
      <c r="H1172" s="12"/>
      <c r="I1172" s="12">
        <f>1920+62493</f>
        <v>64413</v>
      </c>
      <c r="J1172" s="12">
        <f>-222+-84+-336+-15</f>
        <v>-657</v>
      </c>
      <c r="K1172" s="12">
        <f t="shared" si="342"/>
        <v>557715</v>
      </c>
      <c r="L1172" s="18"/>
      <c r="M1172" s="10">
        <v>6</v>
      </c>
      <c r="N1172" s="30" t="s">
        <v>95</v>
      </c>
      <c r="O1172" s="31">
        <f t="shared" si="348"/>
        <v>8118</v>
      </c>
      <c r="P1172" s="32">
        <f>17528+2980+1664+2600</f>
        <v>24772</v>
      </c>
      <c r="Q1172" s="32"/>
      <c r="R1172" s="32"/>
      <c r="S1172" s="32">
        <f t="shared" si="343"/>
        <v>24772</v>
      </c>
      <c r="T1172" s="12"/>
      <c r="U1172" s="12">
        <v>555</v>
      </c>
      <c r="V1172" s="10"/>
      <c r="W1172" s="12">
        <f t="shared" si="344"/>
        <v>25327</v>
      </c>
      <c r="Y1172" s="10">
        <v>6</v>
      </c>
      <c r="Z1172" s="30" t="s">
        <v>95</v>
      </c>
      <c r="AA1172" s="31">
        <f t="shared" si="349"/>
        <v>7794</v>
      </c>
      <c r="AB1172" s="32">
        <f>6260</f>
        <v>6260</v>
      </c>
      <c r="AC1172" s="32"/>
      <c r="AD1172" s="32"/>
      <c r="AE1172" s="32">
        <f t="shared" si="345"/>
        <v>6260</v>
      </c>
      <c r="AF1172" s="12"/>
      <c r="AG1172" s="12"/>
      <c r="AH1172" s="10"/>
      <c r="AI1172" s="12">
        <f t="shared" si="346"/>
        <v>6260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95</v>
      </c>
      <c r="C1173" s="88">
        <f t="shared" si="347"/>
        <v>8077</v>
      </c>
      <c r="D1173" s="32">
        <f>755*626+596*108+229*31</f>
        <v>544097</v>
      </c>
      <c r="E1173" s="32">
        <v>-5184</v>
      </c>
      <c r="F1173" s="32"/>
      <c r="G1173" s="32">
        <f t="shared" si="341"/>
        <v>538913</v>
      </c>
      <c r="H1173" s="12"/>
      <c r="I1173" s="12">
        <f>78*31</f>
        <v>2418</v>
      </c>
      <c r="J1173" s="12">
        <f>-109*111</f>
        <v>-12099</v>
      </c>
      <c r="K1173" s="12">
        <f t="shared" si="342"/>
        <v>529232</v>
      </c>
      <c r="L1173" s="18"/>
      <c r="M1173" s="10">
        <v>7</v>
      </c>
      <c r="N1173" s="30" t="s">
        <v>95</v>
      </c>
      <c r="O1173" s="31">
        <f t="shared" si="348"/>
        <v>8119</v>
      </c>
      <c r="P1173" s="32">
        <f>626*80+674*2</f>
        <v>51428</v>
      </c>
      <c r="Q1173" s="32"/>
      <c r="R1173" s="32"/>
      <c r="S1173" s="32">
        <f t="shared" si="343"/>
        <v>51428</v>
      </c>
      <c r="T1173" s="12"/>
      <c r="U1173" s="12">
        <v>270</v>
      </c>
      <c r="V1173" s="12"/>
      <c r="W1173" s="12">
        <f t="shared" si="344"/>
        <v>51698</v>
      </c>
      <c r="Y1173" s="10">
        <v>7</v>
      </c>
      <c r="Z1173" s="30"/>
      <c r="AA1173" s="11" t="s">
        <v>27</v>
      </c>
      <c r="AB1173" s="32"/>
      <c r="AC1173" s="32"/>
      <c r="AD1173" s="32"/>
      <c r="AE1173" s="32">
        <f t="shared" si="345"/>
        <v>0</v>
      </c>
      <c r="AF1173" s="12"/>
      <c r="AG1173" s="58"/>
      <c r="AH1173" s="12"/>
      <c r="AI1173" s="12">
        <f t="shared" si="346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C1174" s="11" t="s">
        <v>27</v>
      </c>
      <c r="D1174" s="32"/>
      <c r="E1174" s="32"/>
      <c r="F1174" s="32"/>
      <c r="G1174" s="32">
        <f t="shared" si="341"/>
        <v>0</v>
      </c>
      <c r="H1174" s="12"/>
      <c r="I1174" s="12"/>
      <c r="J1174" s="12"/>
      <c r="K1174" s="12">
        <f t="shared" si="342"/>
        <v>0</v>
      </c>
      <c r="L1174" s="18"/>
      <c r="M1174" s="10">
        <v>8</v>
      </c>
      <c r="N1174" s="30" t="s">
        <v>95</v>
      </c>
      <c r="O1174" s="31">
        <f t="shared" si="348"/>
        <v>8120</v>
      </c>
      <c r="P1174" s="32">
        <f>1300</f>
        <v>1300</v>
      </c>
      <c r="Q1174" s="32"/>
      <c r="R1174" s="32"/>
      <c r="S1174" s="32">
        <f t="shared" si="343"/>
        <v>1300</v>
      </c>
      <c r="T1174" s="12"/>
      <c r="U1174" s="12"/>
      <c r="V1174" s="12"/>
      <c r="W1174" s="12">
        <f t="shared" si="344"/>
        <v>1300</v>
      </c>
      <c r="Y1174" s="10">
        <v>8</v>
      </c>
      <c r="Z1174" s="30"/>
      <c r="AB1174" s="32"/>
      <c r="AC1174" s="32"/>
      <c r="AE1174" s="32">
        <f t="shared" si="345"/>
        <v>0</v>
      </c>
      <c r="AF1174" s="12"/>
      <c r="AG1174" s="12"/>
      <c r="AH1174" s="12"/>
      <c r="AI1174" s="12">
        <f t="shared" si="346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88"/>
      <c r="D1175" s="32"/>
      <c r="E1175" s="32"/>
      <c r="F1175" s="32"/>
      <c r="G1175" s="32">
        <f t="shared" si="341"/>
        <v>0</v>
      </c>
      <c r="H1175" s="12"/>
      <c r="I1175" s="12"/>
      <c r="J1175" s="12"/>
      <c r="K1175" s="12">
        <f t="shared" si="342"/>
        <v>0</v>
      </c>
      <c r="L1175" s="18"/>
      <c r="M1175" s="10">
        <v>9</v>
      </c>
      <c r="N1175" s="30" t="s">
        <v>95</v>
      </c>
      <c r="O1175" s="31">
        <f t="shared" si="348"/>
        <v>8121</v>
      </c>
      <c r="P1175" s="32">
        <f>626*432+614*10+596*108+4809</f>
        <v>345749</v>
      </c>
      <c r="Q1175" s="32">
        <v>-3300</v>
      </c>
      <c r="R1175" s="32"/>
      <c r="S1175" s="32">
        <f t="shared" si="343"/>
        <v>342449</v>
      </c>
      <c r="T1175" s="12"/>
      <c r="U1175" s="12">
        <v>936</v>
      </c>
      <c r="V1175" s="12">
        <f>-588+-924</f>
        <v>-1512</v>
      </c>
      <c r="W1175" s="12">
        <f t="shared" si="344"/>
        <v>341873</v>
      </c>
      <c r="Y1175" s="10">
        <v>9</v>
      </c>
      <c r="Z1175" s="30"/>
      <c r="AA1175" s="31"/>
      <c r="AC1175" s="32"/>
      <c r="AD1175" s="32"/>
      <c r="AE1175" s="32">
        <f t="shared" si="345"/>
        <v>0</v>
      </c>
      <c r="AF1175" s="12"/>
      <c r="AH1175" s="12"/>
      <c r="AI1175" s="12">
        <f t="shared" si="346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88"/>
      <c r="D1176" s="32"/>
      <c r="E1176" s="32"/>
      <c r="F1176" s="32"/>
      <c r="G1176" s="32">
        <f t="shared" si="341"/>
        <v>0</v>
      </c>
      <c r="H1176" s="12"/>
      <c r="I1176" s="12"/>
      <c r="J1176" s="12"/>
      <c r="K1176" s="12">
        <f t="shared" si="342"/>
        <v>0</v>
      </c>
      <c r="L1176" s="18"/>
      <c r="M1176" s="10">
        <v>10</v>
      </c>
      <c r="N1176" s="30" t="s">
        <v>95</v>
      </c>
      <c r="O1176" s="31">
        <f t="shared" si="348"/>
        <v>8122</v>
      </c>
      <c r="P1176" s="32">
        <f>30674</f>
        <v>30674</v>
      </c>
      <c r="Q1176" s="32"/>
      <c r="R1176" s="32"/>
      <c r="S1176" s="32">
        <f t="shared" si="343"/>
        <v>30674</v>
      </c>
      <c r="T1176" s="12"/>
      <c r="U1176" s="12"/>
      <c r="V1176" s="12"/>
      <c r="W1176" s="12">
        <f t="shared" si="344"/>
        <v>30674</v>
      </c>
      <c r="Y1176" s="10">
        <v>10</v>
      </c>
      <c r="Z1176" s="30"/>
      <c r="AA1176" s="31"/>
      <c r="AB1176" s="32"/>
      <c r="AC1176" s="32"/>
      <c r="AD1176" s="32"/>
      <c r="AE1176" s="32">
        <f t="shared" si="345"/>
        <v>0</v>
      </c>
      <c r="AF1176" s="12"/>
      <c r="AG1176" s="12"/>
      <c r="AH1176" s="12"/>
      <c r="AI1176" s="12">
        <f t="shared" si="346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88"/>
      <c r="D1177" s="32"/>
      <c r="E1177" s="32"/>
      <c r="F1177" s="32"/>
      <c r="G1177" s="32">
        <f t="shared" si="341"/>
        <v>0</v>
      </c>
      <c r="H1177" s="12"/>
      <c r="I1177" s="12"/>
      <c r="J1177" s="12"/>
      <c r="K1177" s="12">
        <f t="shared" si="342"/>
        <v>0</v>
      </c>
      <c r="L1177" s="18"/>
      <c r="M1177" s="10">
        <v>11</v>
      </c>
      <c r="N1177" s="30"/>
      <c r="O1177" s="11" t="s">
        <v>27</v>
      </c>
      <c r="P1177" s="32"/>
      <c r="Q1177" s="32"/>
      <c r="R1177" s="32"/>
      <c r="S1177" s="32">
        <f t="shared" si="343"/>
        <v>0</v>
      </c>
      <c r="T1177" s="12"/>
      <c r="U1177" s="12"/>
      <c r="V1177" s="12"/>
      <c r="W1177" s="12">
        <f t="shared" si="344"/>
        <v>0</v>
      </c>
      <c r="Y1177" s="10">
        <v>11</v>
      </c>
      <c r="Z1177" s="30"/>
      <c r="AB1177" s="32"/>
      <c r="AC1177" s="32"/>
      <c r="AD1177" s="32"/>
      <c r="AE1177" s="32">
        <f t="shared" si="345"/>
        <v>0</v>
      </c>
      <c r="AF1177" s="12"/>
      <c r="AG1177" s="12"/>
      <c r="AH1177" s="12"/>
      <c r="AI1177" s="12">
        <f t="shared" si="346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D1178" s="32"/>
      <c r="E1178" s="32"/>
      <c r="F1178" s="32"/>
      <c r="G1178" s="32">
        <f t="shared" si="341"/>
        <v>0</v>
      </c>
      <c r="H1178" s="12"/>
      <c r="I1178" s="12"/>
      <c r="J1178" s="10"/>
      <c r="K1178" s="12">
        <f t="shared" si="342"/>
        <v>0</v>
      </c>
      <c r="L1178" s="18"/>
      <c r="M1178" s="10">
        <v>12</v>
      </c>
      <c r="N1178" s="30"/>
      <c r="O1178" s="31"/>
      <c r="P1178" s="32"/>
      <c r="Q1178" s="32"/>
      <c r="R1178" s="32"/>
      <c r="S1178" s="32">
        <f t="shared" si="343"/>
        <v>0</v>
      </c>
      <c r="T1178" s="12"/>
      <c r="U1178" s="12"/>
      <c r="V1178" s="12"/>
      <c r="W1178" s="12">
        <f t="shared" si="344"/>
        <v>0</v>
      </c>
      <c r="Y1178" s="10">
        <v>12</v>
      </c>
      <c r="Z1178" s="30"/>
      <c r="AA1178" s="31"/>
      <c r="AB1178" s="32"/>
      <c r="AC1178" s="32"/>
      <c r="AD1178" s="32"/>
      <c r="AE1178" s="32">
        <f t="shared" si="345"/>
        <v>0</v>
      </c>
      <c r="AF1178" s="12"/>
      <c r="AG1178" s="12"/>
      <c r="AH1178" s="12"/>
      <c r="AI1178" s="12">
        <f t="shared" si="346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88"/>
      <c r="D1179" s="32"/>
      <c r="E1179" s="32"/>
      <c r="F1179" s="32"/>
      <c r="G1179" s="32">
        <f t="shared" si="341"/>
        <v>0</v>
      </c>
      <c r="H1179" s="12"/>
      <c r="I1179" s="12"/>
      <c r="J1179" s="12"/>
      <c r="K1179" s="12">
        <f t="shared" si="342"/>
        <v>0</v>
      </c>
      <c r="L1179" s="18"/>
      <c r="M1179" s="10">
        <v>13</v>
      </c>
      <c r="N1179" s="30"/>
      <c r="O1179" s="31"/>
      <c r="P1179" s="32"/>
      <c r="Q1179" s="32"/>
      <c r="R1179" s="32"/>
      <c r="S1179" s="32">
        <f t="shared" si="343"/>
        <v>0</v>
      </c>
      <c r="T1179" s="12"/>
      <c r="U1179" s="12"/>
      <c r="V1179" s="12"/>
      <c r="W1179" s="12">
        <f t="shared" si="344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345"/>
        <v>0</v>
      </c>
      <c r="AF1179" s="12"/>
      <c r="AG1179" s="12"/>
      <c r="AH1179" s="12"/>
      <c r="AI1179" s="12">
        <f t="shared" si="346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88"/>
      <c r="D1180" s="32"/>
      <c r="E1180" s="32"/>
      <c r="F1180" s="32"/>
      <c r="G1180" s="32">
        <f t="shared" si="341"/>
        <v>0</v>
      </c>
      <c r="H1180" s="12"/>
      <c r="I1180" s="12"/>
      <c r="J1180" s="12"/>
      <c r="K1180" s="12">
        <f t="shared" si="342"/>
        <v>0</v>
      </c>
      <c r="L1180" s="18"/>
      <c r="M1180" s="10">
        <v>14</v>
      </c>
      <c r="N1180" s="30"/>
      <c r="O1180" s="31"/>
      <c r="P1180" s="32"/>
      <c r="Q1180" s="32"/>
      <c r="R1180" s="32"/>
      <c r="S1180" s="32">
        <f t="shared" si="343"/>
        <v>0</v>
      </c>
      <c r="T1180" s="12"/>
      <c r="U1180" s="12"/>
      <c r="V1180" s="12"/>
      <c r="W1180" s="12">
        <f t="shared" si="344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345"/>
        <v>0</v>
      </c>
      <c r="AF1180" s="12"/>
      <c r="AG1180" s="12"/>
      <c r="AH1180" s="12"/>
      <c r="AI1180" s="12">
        <f t="shared" si="346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88"/>
      <c r="D1181" s="32"/>
      <c r="E1181" s="32"/>
      <c r="F1181" s="32"/>
      <c r="G1181" s="32">
        <f t="shared" si="341"/>
        <v>0</v>
      </c>
      <c r="H1181" s="12"/>
      <c r="I1181" s="12"/>
      <c r="J1181" s="12"/>
      <c r="K1181" s="12">
        <f t="shared" si="342"/>
        <v>0</v>
      </c>
      <c r="L1181" s="18"/>
      <c r="M1181" s="10">
        <v>15</v>
      </c>
      <c r="N1181" s="30"/>
      <c r="P1181" s="32"/>
      <c r="Q1181" s="32"/>
      <c r="R1181" s="32"/>
      <c r="S1181" s="32">
        <f t="shared" si="343"/>
        <v>0</v>
      </c>
      <c r="T1181" s="12"/>
      <c r="U1181" s="12"/>
      <c r="V1181" s="12"/>
      <c r="W1181" s="12">
        <f t="shared" si="344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345"/>
        <v>0</v>
      </c>
      <c r="AF1181" s="12"/>
      <c r="AG1181" s="12"/>
      <c r="AH1181" s="12"/>
      <c r="AI1181" s="12">
        <f t="shared" si="346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D1182" s="32"/>
      <c r="E1182" s="32"/>
      <c r="F1182" s="32"/>
      <c r="G1182" s="32">
        <f t="shared" si="341"/>
        <v>0</v>
      </c>
      <c r="H1182" s="12"/>
      <c r="I1182" s="12"/>
      <c r="J1182" s="12"/>
      <c r="K1182" s="12">
        <f t="shared" si="342"/>
        <v>0</v>
      </c>
      <c r="L1182" s="18"/>
      <c r="M1182" s="10">
        <v>16</v>
      </c>
      <c r="N1182" s="30"/>
      <c r="O1182" s="31"/>
      <c r="P1182" s="32"/>
      <c r="Q1182" s="32"/>
      <c r="R1182" s="32"/>
      <c r="S1182" s="32">
        <f t="shared" si="343"/>
        <v>0</v>
      </c>
      <c r="T1182" s="12"/>
      <c r="U1182" s="12"/>
      <c r="V1182" s="12"/>
      <c r="W1182" s="12">
        <f t="shared" si="344"/>
        <v>0</v>
      </c>
      <c r="Y1182" s="10">
        <v>16</v>
      </c>
      <c r="Z1182" s="30"/>
      <c r="AB1182" s="32"/>
      <c r="AC1182" s="32"/>
      <c r="AD1182" s="32"/>
      <c r="AE1182" s="32">
        <f t="shared" si="345"/>
        <v>0</v>
      </c>
      <c r="AF1182" s="12"/>
      <c r="AG1182" s="12"/>
      <c r="AH1182" s="12"/>
      <c r="AI1182" s="12">
        <f t="shared" si="346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88"/>
      <c r="D1183" s="32"/>
      <c r="E1183" s="32"/>
      <c r="F1183" s="32"/>
      <c r="G1183" s="32">
        <f t="shared" si="341"/>
        <v>0</v>
      </c>
      <c r="H1183" s="12"/>
      <c r="I1183" s="12"/>
      <c r="J1183" s="12"/>
      <c r="K1183" s="12">
        <f t="shared" si="342"/>
        <v>0</v>
      </c>
      <c r="L1183" s="18"/>
      <c r="M1183" s="10">
        <v>17</v>
      </c>
      <c r="N1183" s="30"/>
      <c r="O1183" s="31"/>
      <c r="P1183" s="35"/>
      <c r="Q1183" s="32"/>
      <c r="R1183" s="32"/>
      <c r="S1183" s="32">
        <f t="shared" si="343"/>
        <v>0</v>
      </c>
      <c r="T1183" s="12"/>
      <c r="U1183" s="12"/>
      <c r="V1183" s="12"/>
      <c r="W1183" s="12">
        <f t="shared" si="344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45"/>
        <v>0</v>
      </c>
      <c r="AF1183" s="12"/>
      <c r="AG1183" s="12"/>
      <c r="AH1183" s="12"/>
      <c r="AI1183" s="12">
        <f t="shared" si="346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88"/>
      <c r="D1184" s="32"/>
      <c r="E1184" s="32"/>
      <c r="F1184" s="32"/>
      <c r="G1184" s="32">
        <f t="shared" si="341"/>
        <v>0</v>
      </c>
      <c r="H1184" s="12"/>
      <c r="I1184" s="12"/>
      <c r="J1184" s="12"/>
      <c r="K1184" s="12">
        <f t="shared" si="342"/>
        <v>0</v>
      </c>
      <c r="L1184" s="18"/>
      <c r="M1184" s="10">
        <v>18</v>
      </c>
      <c r="N1184" s="30"/>
      <c r="O1184" s="31"/>
      <c r="P1184" s="32"/>
      <c r="Q1184" s="32"/>
      <c r="R1184" s="32"/>
      <c r="S1184" s="32">
        <f t="shared" si="343"/>
        <v>0</v>
      </c>
      <c r="T1184" s="12"/>
      <c r="U1184" s="12"/>
      <c r="V1184" s="12"/>
      <c r="W1184" s="12">
        <f t="shared" si="344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45"/>
        <v>0</v>
      </c>
      <c r="AF1184" s="12"/>
      <c r="AG1184" s="12"/>
      <c r="AH1184" s="12"/>
      <c r="AI1184" s="12">
        <f t="shared" si="346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88"/>
      <c r="D1185" s="32"/>
      <c r="E1185" s="32"/>
      <c r="F1185" s="32"/>
      <c r="G1185" s="32">
        <f t="shared" si="341"/>
        <v>0</v>
      </c>
      <c r="H1185" s="12"/>
      <c r="I1185" s="12"/>
      <c r="J1185" s="12"/>
      <c r="K1185" s="12">
        <f t="shared" si="342"/>
        <v>0</v>
      </c>
      <c r="L1185" s="18"/>
      <c r="M1185" s="10">
        <v>19</v>
      </c>
      <c r="N1185" s="30"/>
      <c r="O1185" s="31"/>
      <c r="P1185" s="32"/>
      <c r="Q1185" s="32"/>
      <c r="R1185" s="32"/>
      <c r="S1185" s="32">
        <f t="shared" si="343"/>
        <v>0</v>
      </c>
      <c r="T1185" s="12"/>
      <c r="U1185" s="12"/>
      <c r="V1185" s="12"/>
      <c r="W1185" s="12">
        <f t="shared" si="344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45"/>
        <v>0</v>
      </c>
      <c r="AF1185" s="12"/>
      <c r="AG1185" s="12"/>
      <c r="AH1185" s="12"/>
      <c r="AI1185" s="12">
        <f t="shared" si="346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88"/>
      <c r="D1186" s="32"/>
      <c r="E1186" s="32"/>
      <c r="F1186" s="32"/>
      <c r="G1186" s="32">
        <f t="shared" si="341"/>
        <v>0</v>
      </c>
      <c r="H1186" s="12"/>
      <c r="I1186" s="12"/>
      <c r="J1186" s="12"/>
      <c r="K1186" s="12">
        <f t="shared" si="342"/>
        <v>0</v>
      </c>
      <c r="L1186" s="18"/>
      <c r="M1186" s="10">
        <v>20</v>
      </c>
      <c r="N1186" s="30"/>
      <c r="P1186" s="32"/>
      <c r="Q1186" s="32"/>
      <c r="R1186" s="32"/>
      <c r="S1186" s="32">
        <f t="shared" si="343"/>
        <v>0</v>
      </c>
      <c r="T1186" s="12"/>
      <c r="U1186" s="12"/>
      <c r="V1186" s="12"/>
      <c r="W1186" s="12">
        <f t="shared" si="344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45"/>
        <v>0</v>
      </c>
      <c r="AF1186" s="12"/>
      <c r="AG1186" s="12"/>
      <c r="AH1186" s="12"/>
      <c r="AI1186" s="12">
        <f t="shared" si="346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57"/>
      <c r="D1187" s="32"/>
      <c r="E1187" s="32"/>
      <c r="F1187" s="32"/>
      <c r="G1187" s="32">
        <f t="shared" si="341"/>
        <v>0</v>
      </c>
      <c r="H1187" s="10"/>
      <c r="I1187" s="10"/>
      <c r="J1187" s="10"/>
      <c r="K1187" s="12">
        <f t="shared" si="342"/>
        <v>0</v>
      </c>
      <c r="L1187" s="18"/>
      <c r="M1187" s="10">
        <v>21</v>
      </c>
      <c r="N1187" s="30"/>
      <c r="P1187" s="46"/>
      <c r="Q1187" s="31"/>
      <c r="R1187" s="31"/>
      <c r="S1187" s="32">
        <f t="shared" si="343"/>
        <v>0</v>
      </c>
      <c r="T1187" s="10"/>
      <c r="U1187" s="10"/>
      <c r="V1187" s="10"/>
      <c r="W1187" s="12">
        <f t="shared" si="344"/>
        <v>0</v>
      </c>
      <c r="Y1187" s="10">
        <v>21</v>
      </c>
      <c r="Z1187" s="30"/>
      <c r="AA1187" s="31"/>
      <c r="AB1187" s="46"/>
      <c r="AC1187" s="31"/>
      <c r="AD1187" s="31"/>
      <c r="AE1187" s="32">
        <f t="shared" si="345"/>
        <v>0</v>
      </c>
      <c r="AF1187" s="10"/>
      <c r="AG1187" s="10"/>
      <c r="AH1187" s="10"/>
      <c r="AI1187" s="12">
        <f t="shared" si="346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88"/>
      <c r="D1188" s="32"/>
      <c r="E1188" s="32"/>
      <c r="F1188" s="32"/>
      <c r="G1188" s="32">
        <f t="shared" si="341"/>
        <v>0</v>
      </c>
      <c r="H1188" s="10"/>
      <c r="I1188" s="10"/>
      <c r="J1188" s="10"/>
      <c r="K1188" s="12">
        <f t="shared" si="342"/>
        <v>0</v>
      </c>
      <c r="L1188" s="18"/>
      <c r="M1188" s="10">
        <v>22</v>
      </c>
      <c r="N1188" s="30"/>
      <c r="O1188" s="31"/>
      <c r="P1188" s="45"/>
      <c r="Q1188" s="31"/>
      <c r="R1188" s="31"/>
      <c r="S1188" s="32">
        <f t="shared" si="343"/>
        <v>0</v>
      </c>
      <c r="T1188" s="10"/>
      <c r="U1188" s="10"/>
      <c r="V1188" s="10"/>
      <c r="W1188" s="12">
        <f t="shared" si="344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45"/>
        <v>0</v>
      </c>
      <c r="AF1188" s="10"/>
      <c r="AG1188" s="10"/>
      <c r="AH1188" s="10"/>
      <c r="AI1188" s="12">
        <f t="shared" si="346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88"/>
      <c r="D1189" s="32"/>
      <c r="E1189" s="32"/>
      <c r="F1189" s="32"/>
      <c r="G1189" s="32">
        <f t="shared" si="341"/>
        <v>0</v>
      </c>
      <c r="H1189" s="10"/>
      <c r="I1189" s="10"/>
      <c r="J1189" s="12"/>
      <c r="K1189" s="12">
        <f t="shared" si="342"/>
        <v>0</v>
      </c>
      <c r="L1189" s="18"/>
      <c r="M1189" s="10">
        <v>23</v>
      </c>
      <c r="N1189" s="30"/>
      <c r="O1189" s="31"/>
      <c r="P1189" s="47"/>
      <c r="S1189" s="32">
        <f t="shared" si="343"/>
        <v>0</v>
      </c>
      <c r="T1189" s="10"/>
      <c r="U1189" s="10"/>
      <c r="V1189" s="10"/>
      <c r="W1189" s="12">
        <f t="shared" si="344"/>
        <v>0</v>
      </c>
      <c r="Y1189" s="10">
        <v>23</v>
      </c>
      <c r="Z1189" s="30"/>
      <c r="AA1189" s="31"/>
      <c r="AB1189" s="47"/>
      <c r="AE1189" s="32">
        <f t="shared" si="345"/>
        <v>0</v>
      </c>
      <c r="AF1189" s="10"/>
      <c r="AG1189" s="10"/>
      <c r="AH1189" s="10"/>
      <c r="AI1189" s="12">
        <f t="shared" si="346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57"/>
      <c r="D1190" s="32"/>
      <c r="E1190" s="32"/>
      <c r="F1190" s="32"/>
      <c r="G1190" s="32">
        <f t="shared" si="341"/>
        <v>0</v>
      </c>
      <c r="H1190" s="10"/>
      <c r="I1190" s="10"/>
      <c r="J1190" s="10"/>
      <c r="K1190" s="12">
        <f t="shared" si="342"/>
        <v>0</v>
      </c>
      <c r="L1190" s="18"/>
      <c r="M1190" s="10">
        <v>24</v>
      </c>
      <c r="N1190" s="30"/>
      <c r="O1190" s="31"/>
      <c r="P1190" s="47"/>
      <c r="Q1190" s="31"/>
      <c r="R1190" s="31"/>
      <c r="S1190" s="32">
        <f t="shared" si="343"/>
        <v>0</v>
      </c>
      <c r="T1190" s="10"/>
      <c r="U1190" s="10"/>
      <c r="V1190" s="10"/>
      <c r="W1190" s="12">
        <f t="shared" si="344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45"/>
        <v>0</v>
      </c>
      <c r="AF1190" s="10"/>
      <c r="AG1190" s="10"/>
      <c r="AH1190" s="10"/>
      <c r="AI1190" s="12">
        <f t="shared" si="346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31"/>
      <c r="D1191" s="32"/>
      <c r="E1191" s="32"/>
      <c r="F1191" s="32"/>
      <c r="G1191" s="32">
        <f t="shared" si="341"/>
        <v>0</v>
      </c>
      <c r="H1191" s="10"/>
      <c r="I1191" s="10"/>
      <c r="J1191" s="10"/>
      <c r="K1191" s="12">
        <f t="shared" si="342"/>
        <v>0</v>
      </c>
      <c r="L1191" s="18"/>
      <c r="M1191" s="10">
        <v>25</v>
      </c>
      <c r="N1191" s="30"/>
      <c r="P1191" s="47"/>
      <c r="Q1191" s="31"/>
      <c r="R1191" s="31"/>
      <c r="S1191" s="32">
        <f t="shared" si="343"/>
        <v>0</v>
      </c>
      <c r="T1191" s="10"/>
      <c r="U1191" s="10"/>
      <c r="V1191" s="10"/>
      <c r="W1191" s="12">
        <f t="shared" si="344"/>
        <v>0</v>
      </c>
      <c r="Y1191" s="10">
        <v>25</v>
      </c>
      <c r="Z1191" s="30"/>
      <c r="AB1191" s="47"/>
      <c r="AC1191" s="31"/>
      <c r="AD1191" s="31"/>
      <c r="AE1191" s="32">
        <f t="shared" si="345"/>
        <v>0</v>
      </c>
      <c r="AF1191" s="10"/>
      <c r="AG1191" s="10"/>
      <c r="AH1191" s="10"/>
      <c r="AI1191" s="12">
        <f t="shared" si="346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11"/>
      <c r="D1192" s="32"/>
      <c r="E1192" s="32"/>
      <c r="F1192" s="32"/>
      <c r="G1192" s="32">
        <f t="shared" si="341"/>
        <v>0</v>
      </c>
      <c r="H1192" s="10"/>
      <c r="I1192" s="10"/>
      <c r="J1192" s="10"/>
      <c r="K1192" s="12">
        <f t="shared" si="342"/>
        <v>0</v>
      </c>
      <c r="L1192" s="18"/>
      <c r="M1192" s="10">
        <v>26</v>
      </c>
      <c r="N1192" s="30"/>
      <c r="P1192" s="47"/>
      <c r="Q1192" s="31"/>
      <c r="R1192" s="31"/>
      <c r="S1192" s="32">
        <f t="shared" si="343"/>
        <v>0</v>
      </c>
      <c r="T1192" s="10"/>
      <c r="U1192" s="10"/>
      <c r="V1192" s="10"/>
      <c r="W1192" s="12">
        <f t="shared" si="344"/>
        <v>0</v>
      </c>
      <c r="Y1192" s="10">
        <v>26</v>
      </c>
      <c r="Z1192" s="30"/>
      <c r="AB1192" s="47"/>
      <c r="AC1192" s="31"/>
      <c r="AD1192" s="31"/>
      <c r="AE1192" s="32">
        <f t="shared" si="345"/>
        <v>0</v>
      </c>
      <c r="AF1192" s="10"/>
      <c r="AG1192" s="10"/>
      <c r="AH1192" s="10"/>
      <c r="AI1192" s="12">
        <f t="shared" si="346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57"/>
      <c r="D1193" s="32"/>
      <c r="E1193" s="32"/>
      <c r="F1193" s="32"/>
      <c r="G1193" s="32">
        <f t="shared" si="341"/>
        <v>0</v>
      </c>
      <c r="H1193" s="10"/>
      <c r="I1193" s="10"/>
      <c r="J1193" s="10"/>
      <c r="K1193" s="12">
        <f t="shared" si="342"/>
        <v>0</v>
      </c>
      <c r="L1193" s="18"/>
      <c r="M1193" s="10">
        <v>27</v>
      </c>
      <c r="N1193" s="30"/>
      <c r="O1193" s="31"/>
      <c r="P1193" s="47"/>
      <c r="Q1193" s="31"/>
      <c r="R1193" s="31"/>
      <c r="S1193" s="32">
        <f t="shared" si="343"/>
        <v>0</v>
      </c>
      <c r="T1193" s="10"/>
      <c r="U1193" s="10"/>
      <c r="V1193" s="10"/>
      <c r="W1193" s="12">
        <f t="shared" si="344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45"/>
        <v>0</v>
      </c>
      <c r="AF1193" s="10"/>
      <c r="AG1193" s="10"/>
      <c r="AH1193" s="10"/>
      <c r="AI1193" s="12">
        <f t="shared" si="346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31"/>
      <c r="D1194" s="32"/>
      <c r="E1194" s="32"/>
      <c r="F1194" s="32"/>
      <c r="G1194" s="32">
        <f t="shared" si="341"/>
        <v>0</v>
      </c>
      <c r="H1194" s="10"/>
      <c r="I1194" s="10"/>
      <c r="J1194" s="10"/>
      <c r="K1194" s="12">
        <f t="shared" si="342"/>
        <v>0</v>
      </c>
      <c r="L1194" s="18"/>
      <c r="M1194" s="10">
        <v>28</v>
      </c>
      <c r="N1194" s="30"/>
      <c r="O1194" s="31"/>
      <c r="P1194" s="47"/>
      <c r="Q1194" s="31"/>
      <c r="R1194" s="31"/>
      <c r="S1194" s="32">
        <f t="shared" si="343"/>
        <v>0</v>
      </c>
      <c r="T1194" s="10"/>
      <c r="U1194" s="10"/>
      <c r="V1194" s="10"/>
      <c r="W1194" s="12">
        <f t="shared" si="344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45"/>
        <v>0</v>
      </c>
      <c r="AF1194" s="10"/>
      <c r="AG1194" s="10"/>
      <c r="AH1194" s="10"/>
      <c r="AI1194" s="12">
        <f t="shared" si="346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31"/>
      <c r="D1195" s="32"/>
      <c r="E1195" s="32"/>
      <c r="F1195" s="32"/>
      <c r="G1195" s="32">
        <f t="shared" si="341"/>
        <v>0</v>
      </c>
      <c r="H1195" s="10"/>
      <c r="I1195" s="10"/>
      <c r="J1195" s="10"/>
      <c r="K1195" s="12">
        <f t="shared" si="342"/>
        <v>0</v>
      </c>
      <c r="L1195" s="18"/>
      <c r="M1195" s="10">
        <v>29</v>
      </c>
      <c r="N1195" s="30"/>
      <c r="P1195" s="47"/>
      <c r="Q1195" s="31"/>
      <c r="R1195" s="31"/>
      <c r="S1195" s="32">
        <f t="shared" si="343"/>
        <v>0</v>
      </c>
      <c r="T1195" s="10"/>
      <c r="U1195" s="10"/>
      <c r="V1195" s="10"/>
      <c r="W1195" s="12">
        <f t="shared" si="344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45"/>
        <v>0</v>
      </c>
      <c r="AF1195" s="10"/>
      <c r="AG1195" s="10"/>
      <c r="AH1195" s="10"/>
      <c r="AI1195" s="12">
        <f t="shared" si="346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41"/>
        <v>0</v>
      </c>
      <c r="H1196" s="10"/>
      <c r="I1196" s="10"/>
      <c r="J1196" s="10"/>
      <c r="K1196" s="12">
        <f t="shared" si="342"/>
        <v>0</v>
      </c>
      <c r="L1196" s="18"/>
      <c r="M1196" s="10">
        <v>30</v>
      </c>
      <c r="N1196" s="30"/>
      <c r="P1196" s="47"/>
      <c r="Q1196" s="31"/>
      <c r="R1196" s="31"/>
      <c r="S1196" s="32">
        <f t="shared" si="343"/>
        <v>0</v>
      </c>
      <c r="T1196" s="10"/>
      <c r="U1196" s="10"/>
      <c r="V1196" s="10"/>
      <c r="W1196" s="12">
        <f t="shared" si="344"/>
        <v>0</v>
      </c>
      <c r="Y1196" s="10">
        <v>30</v>
      </c>
      <c r="Z1196" s="30"/>
      <c r="AB1196" s="47"/>
      <c r="AC1196" s="31"/>
      <c r="AD1196" s="31"/>
      <c r="AE1196" s="32">
        <f t="shared" si="345"/>
        <v>0</v>
      </c>
      <c r="AF1196" s="10"/>
      <c r="AG1196" s="10"/>
      <c r="AH1196" s="10"/>
      <c r="AI1196" s="12">
        <f t="shared" si="346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57"/>
      <c r="D1197" s="32"/>
      <c r="E1197" s="32"/>
      <c r="F1197" s="32"/>
      <c r="G1197" s="32">
        <f t="shared" si="341"/>
        <v>0</v>
      </c>
      <c r="H1197" s="10"/>
      <c r="I1197" s="10"/>
      <c r="J1197" s="10"/>
      <c r="K1197" s="12">
        <f t="shared" si="342"/>
        <v>0</v>
      </c>
      <c r="L1197" s="18"/>
      <c r="M1197" s="10">
        <v>31</v>
      </c>
      <c r="N1197" s="30"/>
      <c r="O1197" s="31"/>
      <c r="P1197" s="47"/>
      <c r="Q1197" s="31"/>
      <c r="R1197" s="31"/>
      <c r="S1197" s="32">
        <f t="shared" si="343"/>
        <v>0</v>
      </c>
      <c r="T1197" s="10"/>
      <c r="U1197" s="10"/>
      <c r="V1197" s="10"/>
      <c r="W1197" s="12">
        <f t="shared" si="344"/>
        <v>0</v>
      </c>
      <c r="Y1197" s="10">
        <v>31</v>
      </c>
      <c r="Z1197" s="30"/>
      <c r="AB1197" s="47"/>
      <c r="AC1197" s="31"/>
      <c r="AD1197" s="31"/>
      <c r="AE1197" s="32">
        <f t="shared" si="345"/>
        <v>0</v>
      </c>
      <c r="AF1197" s="10"/>
      <c r="AG1197" s="10"/>
      <c r="AH1197" s="10"/>
      <c r="AI1197" s="12">
        <f t="shared" si="346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31"/>
      <c r="D1198" s="32"/>
      <c r="E1198" s="32"/>
      <c r="F1198" s="32"/>
      <c r="G1198" s="32">
        <f t="shared" si="341"/>
        <v>0</v>
      </c>
      <c r="H1198" s="10"/>
      <c r="I1198" s="10"/>
      <c r="J1198" s="10"/>
      <c r="K1198" s="12">
        <f t="shared" si="342"/>
        <v>0</v>
      </c>
      <c r="L1198" s="18"/>
      <c r="M1198" s="10">
        <v>32</v>
      </c>
      <c r="N1198" s="30"/>
      <c r="P1198" s="47"/>
      <c r="Q1198" s="31"/>
      <c r="R1198" s="31"/>
      <c r="S1198" s="32">
        <f t="shared" si="343"/>
        <v>0</v>
      </c>
      <c r="T1198" s="10"/>
      <c r="U1198" s="10"/>
      <c r="V1198" s="10"/>
      <c r="W1198" s="12">
        <f t="shared" si="344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45"/>
        <v>0</v>
      </c>
      <c r="AF1198" s="10"/>
      <c r="AG1198" s="10"/>
      <c r="AH1198" s="10"/>
      <c r="AI1198" s="12">
        <f t="shared" si="346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57"/>
      <c r="D1199" s="32"/>
      <c r="E1199" s="32"/>
      <c r="F1199" s="32"/>
      <c r="G1199" s="32">
        <f t="shared" si="341"/>
        <v>0</v>
      </c>
      <c r="H1199" s="10"/>
      <c r="I1199" s="10"/>
      <c r="J1199" s="10"/>
      <c r="K1199" s="12">
        <f t="shared" si="342"/>
        <v>0</v>
      </c>
      <c r="L1199" s="18"/>
      <c r="M1199" s="10">
        <v>33</v>
      </c>
      <c r="N1199" s="30"/>
      <c r="O1199" s="31"/>
      <c r="P1199" s="47"/>
      <c r="Q1199" s="31"/>
      <c r="R1199" s="31"/>
      <c r="S1199" s="32">
        <f t="shared" si="343"/>
        <v>0</v>
      </c>
      <c r="T1199" s="10"/>
      <c r="U1199" s="10"/>
      <c r="V1199" s="10"/>
      <c r="W1199" s="12">
        <f t="shared" si="344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45"/>
        <v>0</v>
      </c>
      <c r="AF1199" s="10"/>
      <c r="AG1199" s="10"/>
      <c r="AH1199" s="10"/>
      <c r="AI1199" s="12">
        <f t="shared" si="346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57"/>
      <c r="D1200" s="32"/>
      <c r="E1200" s="32"/>
      <c r="F1200" s="32"/>
      <c r="G1200" s="32">
        <f t="shared" si="341"/>
        <v>0</v>
      </c>
      <c r="H1200" s="10"/>
      <c r="I1200" s="10"/>
      <c r="J1200" s="10"/>
      <c r="K1200" s="12">
        <f t="shared" si="342"/>
        <v>0</v>
      </c>
      <c r="L1200" s="18"/>
      <c r="M1200" s="10">
        <v>34</v>
      </c>
      <c r="N1200" s="30"/>
      <c r="O1200" s="31"/>
      <c r="P1200" s="47"/>
      <c r="Q1200" s="31"/>
      <c r="R1200" s="31"/>
      <c r="S1200" s="32">
        <f t="shared" ref="S1200:S1205" si="350">SUM(P1200:Q1200)</f>
        <v>0</v>
      </c>
      <c r="T1200" s="10"/>
      <c r="U1200" s="10"/>
      <c r="V1200" s="10"/>
      <c r="W1200" s="12">
        <f t="shared" si="344"/>
        <v>0</v>
      </c>
      <c r="Y1200" s="10">
        <v>34</v>
      </c>
      <c r="Z1200" s="30"/>
      <c r="AB1200" s="47"/>
      <c r="AC1200" s="31"/>
      <c r="AD1200" s="31"/>
      <c r="AE1200" s="32">
        <f t="shared" si="345"/>
        <v>0</v>
      </c>
      <c r="AF1200" s="10"/>
      <c r="AG1200" s="10"/>
      <c r="AH1200" s="10"/>
      <c r="AI1200" s="12">
        <f t="shared" ref="AI1200:AI1208" si="351">SUM(AE1200:AH1200)</f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31"/>
      <c r="D1201" s="32"/>
      <c r="E1201" s="32"/>
      <c r="F1201" s="32"/>
      <c r="G1201" s="32"/>
      <c r="H1201" s="10"/>
      <c r="I1201" s="10"/>
      <c r="J1201" s="10"/>
      <c r="K1201" s="12"/>
      <c r="L1201" s="18"/>
      <c r="M1201" s="10">
        <v>35</v>
      </c>
      <c r="N1201" s="30"/>
      <c r="O1201" s="31"/>
      <c r="P1201" s="47"/>
      <c r="Q1201" s="31"/>
      <c r="R1201" s="31"/>
      <c r="S1201" s="32">
        <f t="shared" si="350"/>
        <v>0</v>
      </c>
      <c r="T1201" s="10"/>
      <c r="U1201" s="10"/>
      <c r="V1201" s="10"/>
      <c r="W1201" s="12">
        <f t="shared" si="344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45"/>
        <v>0</v>
      </c>
      <c r="AF1201" s="10"/>
      <c r="AG1201" s="10"/>
      <c r="AH1201" s="10"/>
      <c r="AI1201" s="12">
        <f t="shared" si="351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31"/>
      <c r="D1202" s="32"/>
      <c r="E1202" s="32"/>
      <c r="F1202" s="32"/>
      <c r="G1202" s="32"/>
      <c r="H1202" s="10"/>
      <c r="I1202" s="10"/>
      <c r="J1202" s="10"/>
      <c r="K1202" s="12"/>
      <c r="L1202" s="18"/>
      <c r="M1202" s="10">
        <v>36</v>
      </c>
      <c r="N1202" s="30"/>
      <c r="O1202" s="31"/>
      <c r="P1202" s="47"/>
      <c r="Q1202" s="31"/>
      <c r="R1202" s="31"/>
      <c r="S1202" s="32">
        <f t="shared" si="350"/>
        <v>0</v>
      </c>
      <c r="T1202" s="10"/>
      <c r="U1202" s="10"/>
      <c r="V1202" s="10"/>
      <c r="W1202" s="12">
        <f t="shared" si="344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45"/>
        <v>0</v>
      </c>
      <c r="AF1202" s="10"/>
      <c r="AG1202" s="10"/>
      <c r="AH1202" s="10"/>
      <c r="AI1202" s="12">
        <f t="shared" si="351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L1203" s="18"/>
      <c r="M1203" s="10">
        <v>37</v>
      </c>
      <c r="N1203" s="30"/>
      <c r="P1203" s="47"/>
      <c r="Q1203" s="31"/>
      <c r="R1203" s="31"/>
      <c r="S1203" s="32">
        <f t="shared" si="350"/>
        <v>0</v>
      </c>
      <c r="T1203" s="10"/>
      <c r="U1203" s="10"/>
      <c r="V1203" s="10"/>
      <c r="W1203" s="12">
        <f t="shared" si="344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45"/>
        <v>0</v>
      </c>
      <c r="AF1203" s="10"/>
      <c r="AG1203" s="10"/>
      <c r="AH1203" s="10"/>
      <c r="AI1203" s="12">
        <f t="shared" si="351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L1204" s="18"/>
      <c r="M1204" s="10">
        <v>38</v>
      </c>
      <c r="N1204" s="30"/>
      <c r="O1204" s="31"/>
      <c r="P1204" s="47"/>
      <c r="Q1204" s="31"/>
      <c r="R1204" s="31"/>
      <c r="S1204" s="32">
        <f t="shared" si="350"/>
        <v>0</v>
      </c>
      <c r="T1204" s="10"/>
      <c r="U1204" s="10"/>
      <c r="V1204" s="10"/>
      <c r="W1204" s="12">
        <f t="shared" si="344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45"/>
        <v>0</v>
      </c>
      <c r="AF1204" s="10"/>
      <c r="AG1204" s="10"/>
      <c r="AH1204" s="10"/>
      <c r="AI1204" s="12">
        <f t="shared" si="351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L1205" s="18"/>
      <c r="M1205" s="10">
        <v>39</v>
      </c>
      <c r="N1205" s="30"/>
      <c r="O1205" s="31"/>
      <c r="P1205" s="47"/>
      <c r="Q1205" s="31"/>
      <c r="R1205" s="31"/>
      <c r="S1205" s="32">
        <f t="shared" si="350"/>
        <v>0</v>
      </c>
      <c r="T1205" s="10"/>
      <c r="U1205" s="10"/>
      <c r="V1205" s="10"/>
      <c r="W1205" s="12">
        <f t="shared" si="344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45"/>
        <v>0</v>
      </c>
      <c r="AF1205" s="10"/>
      <c r="AG1205" s="10"/>
      <c r="AH1205" s="10"/>
      <c r="AI1205" s="12">
        <f t="shared" si="351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L1206" s="18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44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51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52">SUM(D1207:E1207)</f>
        <v>0</v>
      </c>
      <c r="H1207" s="10"/>
      <c r="I1207" s="10"/>
      <c r="J1207" s="10"/>
      <c r="K1207" s="12">
        <f t="shared" ref="K1207" si="353">SUM(G1207:J1207)</f>
        <v>0</v>
      </c>
      <c r="L1207" s="18"/>
      <c r="M1207" s="10"/>
      <c r="N1207" s="30"/>
      <c r="O1207" s="31"/>
      <c r="P1207" s="47"/>
      <c r="Q1207" s="31"/>
      <c r="R1207" s="31"/>
      <c r="S1207" s="32">
        <f t="shared" ref="S1207" si="354">SUM(P1207:Q1207)</f>
        <v>0</v>
      </c>
      <c r="T1207" s="10"/>
      <c r="U1207" s="10"/>
      <c r="V1207" s="10"/>
      <c r="W1207" s="12">
        <f t="shared" si="344"/>
        <v>0</v>
      </c>
      <c r="Y1207" s="10"/>
      <c r="Z1207" s="30"/>
      <c r="AA1207" s="31"/>
      <c r="AB1207" s="47"/>
      <c r="AC1207" s="31"/>
      <c r="AD1207" s="31"/>
      <c r="AE1207" s="32">
        <f t="shared" ref="AE1207" si="355">SUM(AB1207:AC1207)</f>
        <v>0</v>
      </c>
      <c r="AF1207" s="10"/>
      <c r="AG1207" s="10"/>
      <c r="AH1207" s="10"/>
      <c r="AI1207" s="12">
        <f t="shared" si="351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L1208" s="18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44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51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L1209" s="18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1084136.5</v>
      </c>
      <c r="E1210" s="38">
        <f t="shared" ref="E1210:F1210" si="356">SUM(E1167:E1207)</f>
        <v>-9840</v>
      </c>
      <c r="F1210" s="38">
        <f t="shared" si="356"/>
        <v>0</v>
      </c>
      <c r="G1210" s="38">
        <f>SUM(G1167:G1209)</f>
        <v>1074296.5</v>
      </c>
      <c r="H1210" s="4"/>
      <c r="I1210" s="39">
        <f>SUM(I1167:I1209)</f>
        <v>67235.5</v>
      </c>
      <c r="J1210" s="39">
        <f>SUM(J1167:J1209)</f>
        <v>-12756</v>
      </c>
      <c r="K1210" s="40">
        <f>SUM(K1167:K1209)</f>
        <v>1128776</v>
      </c>
      <c r="L1210" s="18"/>
      <c r="N1210" s="57"/>
      <c r="O1210" s="57"/>
      <c r="P1210" s="38">
        <f>SUM(P1167:P1209)</f>
        <v>690757</v>
      </c>
      <c r="Q1210" s="38">
        <f>SUM(Q1167:Q1191)</f>
        <v>-4596</v>
      </c>
      <c r="R1210" s="38">
        <f>SUM(R1167:R1191)</f>
        <v>0</v>
      </c>
      <c r="S1210" s="38">
        <f>SUM(S1167:S1209)</f>
        <v>686161</v>
      </c>
      <c r="T1210" s="4"/>
      <c r="U1210" s="41">
        <f>SUM(U1167:U1209)</f>
        <v>18451.5</v>
      </c>
      <c r="V1210" s="41">
        <f>SUM(V1167:V1191)</f>
        <v>-2067</v>
      </c>
      <c r="W1210" s="42">
        <f>SUM(W1167:W1209)</f>
        <v>702545.5</v>
      </c>
      <c r="Z1210" s="57"/>
      <c r="AA1210" s="57"/>
      <c r="AB1210" s="38">
        <f>SUM(AB1167:AB1209)</f>
        <v>600682</v>
      </c>
      <c r="AC1210" s="38">
        <f>SUM(AC1167:AC1191)</f>
        <v>-5412</v>
      </c>
      <c r="AD1210" s="38">
        <f>SUM(AD1167:AD1191)</f>
        <v>0</v>
      </c>
      <c r="AE1210" s="38">
        <f>SUM(AE1167:AE1209)</f>
        <v>595270</v>
      </c>
      <c r="AF1210" s="4"/>
      <c r="AG1210" s="41">
        <f>SUM(AG1167:AG1209)</f>
        <v>36456</v>
      </c>
      <c r="AH1210" s="41">
        <f>SUM(AH1167:AH1191)</f>
        <v>-9753</v>
      </c>
      <c r="AI1210" s="42">
        <f>SUM(AI1167:AI1209)</f>
        <v>621973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18"/>
      <c r="AL1211" s="18"/>
      <c r="AM1211" s="18"/>
      <c r="AN1211" s="18"/>
      <c r="AO1211" s="18"/>
      <c r="AP1211" s="18"/>
      <c r="AQ1211" s="18"/>
      <c r="AR1211" s="18"/>
      <c r="AS1211" s="18"/>
      <c r="AT1211" s="18"/>
      <c r="AU1211" s="18"/>
      <c r="AV1211" s="18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L1212" s="18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t="s">
        <v>0</v>
      </c>
      <c r="AL1212" s="57"/>
      <c r="AM1212" s="57"/>
      <c r="AN1212" s="57"/>
      <c r="AO1212" s="57"/>
      <c r="AP1212" s="57"/>
      <c r="AQ1212" s="57"/>
      <c r="AV1212" s="18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L1213" s="18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t="s">
        <v>28</v>
      </c>
      <c r="AL1213" s="57"/>
      <c r="AM1213" s="57"/>
      <c r="AN1213" s="57"/>
      <c r="AO1213" s="57"/>
      <c r="AP1213" s="57"/>
      <c r="AQ1213" s="57"/>
      <c r="AV1213" s="18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L1214" s="18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L1214" s="57"/>
      <c r="AM1214" s="57"/>
      <c r="AN1214" s="57"/>
      <c r="AO1214" s="57"/>
      <c r="AP1214" s="57"/>
      <c r="AQ1214" s="57"/>
      <c r="AV1214" s="18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L1215" s="18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4" t="s">
        <v>14</v>
      </c>
      <c r="AL1215" s="57"/>
      <c r="AM1215" s="57"/>
      <c r="AN1215" s="57"/>
      <c r="AO1215" s="57"/>
      <c r="AP1215" s="57"/>
      <c r="AQ1215" s="57"/>
      <c r="AV1215" s="18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L1216" s="18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L1216" s="57"/>
      <c r="AM1216" s="57"/>
      <c r="AN1216" s="57"/>
      <c r="AO1216" s="57"/>
      <c r="AP1216" s="57"/>
      <c r="AQ1216" s="57"/>
      <c r="AV1216" s="18"/>
      <c r="AW1216" s="62"/>
      <c r="AX1216" s="62"/>
      <c r="AY1216" s="62"/>
      <c r="AZ1216" s="62"/>
    </row>
    <row r="1217" spans="1:52" ht="15.75" x14ac:dyDescent="0.25">
      <c r="A1217" t="s">
        <v>51</v>
      </c>
      <c r="B1217" s="57"/>
      <c r="C1217" s="57"/>
      <c r="D1217" s="57"/>
      <c r="E1217" s="57"/>
      <c r="G1217" s="57"/>
      <c r="I1217" s="57" t="s">
        <v>15</v>
      </c>
      <c r="J1217" s="19" t="s">
        <v>101</v>
      </c>
      <c r="L1217" s="18"/>
      <c r="M1217" t="s">
        <v>51</v>
      </c>
      <c r="N1217" s="57"/>
      <c r="O1217" s="57"/>
      <c r="P1217" s="57"/>
      <c r="Q1217" s="57"/>
      <c r="R1217" s="57"/>
      <c r="S1217" s="57"/>
      <c r="U1217" s="57" t="s">
        <v>15</v>
      </c>
      <c r="V1217" s="19" t="s">
        <v>100</v>
      </c>
      <c r="Y1217" t="s">
        <v>51</v>
      </c>
      <c r="Z1217" s="57"/>
      <c r="AA1217" s="57"/>
      <c r="AB1217" s="57"/>
      <c r="AC1217" s="57"/>
      <c r="AD1217" s="57"/>
      <c r="AE1217" s="57"/>
      <c r="AG1217" s="57" t="s">
        <v>15</v>
      </c>
      <c r="AH1217" s="19">
        <v>2</v>
      </c>
      <c r="AK1217" t="s">
        <v>51</v>
      </c>
      <c r="AL1217" s="57"/>
      <c r="AM1217" s="57"/>
      <c r="AN1217" s="57"/>
      <c r="AO1217" s="57"/>
      <c r="AP1217" s="57"/>
      <c r="AQ1217" s="57"/>
      <c r="AS1217" s="57" t="s">
        <v>15</v>
      </c>
      <c r="AT1217" s="20">
        <v>3</v>
      </c>
      <c r="AV1217" s="18"/>
      <c r="AW1217" s="62"/>
      <c r="AX1217" s="62"/>
      <c r="AY1217" s="62"/>
      <c r="AZ1217" s="62"/>
    </row>
    <row r="1218" spans="1:52" x14ac:dyDescent="0.25">
      <c r="A1218" s="21" t="s">
        <v>97</v>
      </c>
      <c r="B1218" s="20"/>
      <c r="C1218" s="57"/>
      <c r="D1218" s="57"/>
      <c r="E1218" s="57"/>
      <c r="G1218" s="57"/>
      <c r="I1218" s="22" t="s">
        <v>16</v>
      </c>
      <c r="J1218" s="23" t="s">
        <v>33</v>
      </c>
      <c r="K1218" s="24"/>
      <c r="L1218" s="18"/>
      <c r="M1218" s="21" t="s">
        <v>97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99</v>
      </c>
      <c r="W1218" s="24"/>
      <c r="Y1218" s="21" t="s">
        <v>97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35</v>
      </c>
      <c r="AI1218" s="24"/>
      <c r="AK1218" s="21" t="s">
        <v>97</v>
      </c>
      <c r="AL1218" s="20"/>
      <c r="AM1218" s="57"/>
      <c r="AN1218" s="57"/>
      <c r="AO1218" s="57"/>
      <c r="AP1218" s="57"/>
      <c r="AQ1218" s="57"/>
      <c r="AS1218" s="22" t="s">
        <v>16</v>
      </c>
      <c r="AT1218" s="23" t="s">
        <v>31</v>
      </c>
      <c r="AU1218" s="24"/>
      <c r="AV1218" s="18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L1219" s="18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L1219" s="57"/>
      <c r="AM1219" s="57"/>
      <c r="AN1219" s="57"/>
      <c r="AO1219" s="57"/>
      <c r="AP1219" s="57"/>
      <c r="AQ1219" s="57"/>
      <c r="AV1219" s="18"/>
      <c r="AW1219" s="62"/>
      <c r="AX1219" s="62"/>
      <c r="AY1219" s="62"/>
      <c r="AZ1219" s="62"/>
    </row>
    <row r="1220" spans="1:52" ht="15" customHeight="1" x14ac:dyDescent="0.25">
      <c r="B1220" s="25"/>
      <c r="C1220" s="26"/>
      <c r="D1220" s="125" t="s">
        <v>17</v>
      </c>
      <c r="E1220" s="125"/>
      <c r="F1220" s="114"/>
      <c r="G1220" s="27"/>
      <c r="I1220" s="123" t="s">
        <v>18</v>
      </c>
      <c r="J1220" s="124"/>
      <c r="K1220" s="121" t="s">
        <v>19</v>
      </c>
      <c r="L1220" s="18"/>
      <c r="N1220" s="25"/>
      <c r="O1220" s="26"/>
      <c r="P1220" s="125" t="s">
        <v>17</v>
      </c>
      <c r="Q1220" s="125"/>
      <c r="R1220" s="114"/>
      <c r="S1220" s="27"/>
      <c r="U1220" s="123" t="s">
        <v>18</v>
      </c>
      <c r="V1220" s="124"/>
      <c r="W1220" s="121" t="s">
        <v>19</v>
      </c>
      <c r="Z1220" s="25"/>
      <c r="AA1220" s="26"/>
      <c r="AB1220" s="125" t="s">
        <v>17</v>
      </c>
      <c r="AC1220" s="125"/>
      <c r="AD1220" s="114"/>
      <c r="AE1220" s="27"/>
      <c r="AG1220" s="123" t="s">
        <v>18</v>
      </c>
      <c r="AH1220" s="124"/>
      <c r="AI1220" s="121" t="s">
        <v>19</v>
      </c>
      <c r="AL1220" s="25"/>
      <c r="AM1220" s="26"/>
      <c r="AN1220" s="125" t="s">
        <v>17</v>
      </c>
      <c r="AO1220" s="125"/>
      <c r="AP1220" s="114"/>
      <c r="AQ1220" s="27"/>
      <c r="AS1220" s="123" t="s">
        <v>18</v>
      </c>
      <c r="AT1220" s="124"/>
      <c r="AU1220" s="121" t="s">
        <v>19</v>
      </c>
      <c r="AV1220" s="18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9" t="s">
        <v>22</v>
      </c>
      <c r="E1221" s="78" t="s">
        <v>23</v>
      </c>
      <c r="F1221" s="80" t="s">
        <v>32</v>
      </c>
      <c r="G1221" s="80" t="s">
        <v>24</v>
      </c>
      <c r="I1221" s="29" t="s">
        <v>25</v>
      </c>
      <c r="J1221" s="29" t="s">
        <v>26</v>
      </c>
      <c r="K1221" s="122"/>
      <c r="L1221" s="18"/>
      <c r="N1221" s="28" t="s">
        <v>20</v>
      </c>
      <c r="O1221" s="28" t="s">
        <v>21</v>
      </c>
      <c r="P1221" s="79" t="s">
        <v>22</v>
      </c>
      <c r="Q1221" s="80" t="s">
        <v>23</v>
      </c>
      <c r="R1221" s="80" t="s">
        <v>32</v>
      </c>
      <c r="S1221" s="80" t="s">
        <v>24</v>
      </c>
      <c r="U1221" s="29" t="s">
        <v>25</v>
      </c>
      <c r="V1221" s="29" t="s">
        <v>26</v>
      </c>
      <c r="W1221" s="122"/>
      <c r="Z1221" s="28" t="s">
        <v>20</v>
      </c>
      <c r="AA1221" s="28" t="s">
        <v>21</v>
      </c>
      <c r="AB1221" s="79" t="s">
        <v>22</v>
      </c>
      <c r="AC1221" s="80" t="s">
        <v>23</v>
      </c>
      <c r="AD1221" s="80" t="s">
        <v>32</v>
      </c>
      <c r="AE1221" s="80" t="s">
        <v>24</v>
      </c>
      <c r="AG1221" s="29" t="s">
        <v>25</v>
      </c>
      <c r="AH1221" s="29" t="s">
        <v>26</v>
      </c>
      <c r="AI1221" s="122"/>
      <c r="AL1221" s="28" t="s">
        <v>20</v>
      </c>
      <c r="AM1221" s="28" t="s">
        <v>21</v>
      </c>
      <c r="AN1221" s="79" t="s">
        <v>22</v>
      </c>
      <c r="AO1221" s="80" t="s">
        <v>23</v>
      </c>
      <c r="AP1221" s="80" t="s">
        <v>32</v>
      </c>
      <c r="AQ1221" s="80" t="s">
        <v>24</v>
      </c>
      <c r="AS1221" s="29" t="s">
        <v>25</v>
      </c>
      <c r="AT1221" s="29" t="s">
        <v>26</v>
      </c>
      <c r="AU1221" s="122"/>
      <c r="AV1221" s="18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98</v>
      </c>
      <c r="C1222" s="88">
        <v>8078</v>
      </c>
      <c r="D1222" s="32">
        <f>626*540+832*3+229*6</f>
        <v>341910</v>
      </c>
      <c r="E1222" s="32">
        <v>-3258</v>
      </c>
      <c r="F1222" s="32"/>
      <c r="G1222" s="32">
        <f t="shared" ref="G1222:G1255" si="357">SUM(D1222:E1222)</f>
        <v>338652</v>
      </c>
      <c r="H1222" s="12"/>
      <c r="I1222" s="12">
        <f>360+59940+468</f>
        <v>60768</v>
      </c>
      <c r="J1222" s="12"/>
      <c r="K1222" s="12">
        <f t="shared" ref="K1222:K1255" si="358">SUM(G1222:J1222)</f>
        <v>399420</v>
      </c>
      <c r="L1222" s="18"/>
      <c r="M1222" s="10">
        <v>1</v>
      </c>
      <c r="N1222" s="30" t="s">
        <v>98</v>
      </c>
      <c r="O1222" s="31">
        <v>8251</v>
      </c>
      <c r="P1222" s="32">
        <f>3756+57</f>
        <v>3813</v>
      </c>
      <c r="Q1222" s="32"/>
      <c r="R1222" s="32"/>
      <c r="S1222" s="32">
        <f>SUM(P1222:Q1222)</f>
        <v>3813</v>
      </c>
      <c r="T1222" s="12"/>
      <c r="U1222" s="12"/>
      <c r="V1222" s="12"/>
      <c r="W1222" s="12">
        <f>SUM(S1222:V1222)</f>
        <v>3813</v>
      </c>
      <c r="Y1222" s="10">
        <v>1</v>
      </c>
      <c r="Z1222" s="30" t="s">
        <v>98</v>
      </c>
      <c r="AA1222" s="31">
        <v>8123</v>
      </c>
      <c r="AB1222" s="32">
        <f>626*120+614*5+913+596*25+852*2+832*3+229*2</f>
        <v>98661</v>
      </c>
      <c r="AC1222" s="32"/>
      <c r="AD1222" s="32"/>
      <c r="AE1222" s="32">
        <f>SUM(AB1222:AC1222)</f>
        <v>98661</v>
      </c>
      <c r="AF1222" s="12"/>
      <c r="AG1222" s="12">
        <f>720+10989</f>
        <v>11709</v>
      </c>
      <c r="AH1222" s="12"/>
      <c r="AI1222" s="12">
        <f>SUM(AE1222:AH1222)</f>
        <v>110370</v>
      </c>
      <c r="AK1222" s="10">
        <v>1</v>
      </c>
      <c r="AL1222" s="30" t="s">
        <v>98</v>
      </c>
      <c r="AM1222" s="31">
        <v>8201</v>
      </c>
      <c r="AN1222" s="32">
        <f>626*7</f>
        <v>4382</v>
      </c>
      <c r="AO1222" s="32"/>
      <c r="AP1222" s="32"/>
      <c r="AQ1222" s="32">
        <f>SUM(AN1222:AO1222)</f>
        <v>4382</v>
      </c>
      <c r="AR1222" s="12"/>
      <c r="AS1222" s="12"/>
      <c r="AT1222" s="12"/>
      <c r="AU1222" s="12">
        <f>SUM(AQ1222:AT1222)</f>
        <v>4382</v>
      </c>
      <c r="AV1222" s="18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98</v>
      </c>
      <c r="C1223" s="88">
        <f>C1222+1</f>
        <v>8079</v>
      </c>
      <c r="D1223" s="32">
        <f>626*324+229*13</f>
        <v>205801</v>
      </c>
      <c r="E1223" s="32">
        <v>-1944</v>
      </c>
      <c r="F1223" s="32"/>
      <c r="G1223" s="32">
        <f t="shared" si="357"/>
        <v>203857</v>
      </c>
      <c r="H1223" s="12"/>
      <c r="I1223" s="12"/>
      <c r="J1223" s="12"/>
      <c r="K1223" s="12">
        <f t="shared" si="358"/>
        <v>203857</v>
      </c>
      <c r="L1223" s="18"/>
      <c r="M1223" s="10">
        <v>2</v>
      </c>
      <c r="N1223" s="30" t="s">
        <v>98</v>
      </c>
      <c r="O1223" s="31">
        <f>O1222+1</f>
        <v>8252</v>
      </c>
      <c r="P1223" s="32">
        <f>626*19+596+229</f>
        <v>12719</v>
      </c>
      <c r="Q1223" s="32"/>
      <c r="R1223" s="32"/>
      <c r="S1223" s="32">
        <f t="shared" ref="S1223:S1254" si="359">SUM(P1223:Q1223)</f>
        <v>12719</v>
      </c>
      <c r="T1223" s="12"/>
      <c r="U1223" s="12">
        <v>888</v>
      </c>
      <c r="V1223" s="12"/>
      <c r="W1223" s="12">
        <f t="shared" ref="W1223:W1263" si="360">SUM(S1223:V1223)</f>
        <v>13607</v>
      </c>
      <c r="Y1223" s="10">
        <v>2</v>
      </c>
      <c r="Z1223" s="30" t="s">
        <v>98</v>
      </c>
      <c r="AA1223" s="31">
        <f>AA1222+1</f>
        <v>8124</v>
      </c>
      <c r="AB1223" s="32">
        <f>1252+57</f>
        <v>1309</v>
      </c>
      <c r="AC1223" s="32"/>
      <c r="AD1223" s="32"/>
      <c r="AE1223" s="32">
        <f t="shared" ref="AE1223:AE1254" si="361">SUM(AB1223:AC1223)</f>
        <v>1309</v>
      </c>
      <c r="AF1223" s="12"/>
      <c r="AG1223" s="12"/>
      <c r="AH1223" s="12">
        <v>-777</v>
      </c>
      <c r="AI1223" s="12">
        <f t="shared" ref="AI1223:AI1263" si="362">SUM(AE1223:AH1223)</f>
        <v>532</v>
      </c>
      <c r="AK1223" s="10">
        <v>2</v>
      </c>
      <c r="AL1223" s="30" t="s">
        <v>98</v>
      </c>
      <c r="AM1223" s="31">
        <f>AM1222+1</f>
        <v>8202</v>
      </c>
      <c r="AN1223" s="32">
        <f>626*216+614*10+596*108+832*2+229*5</f>
        <v>208533</v>
      </c>
      <c r="AO1223" s="32">
        <v>-2016</v>
      </c>
      <c r="AP1223" s="32"/>
      <c r="AQ1223" s="32">
        <f t="shared" ref="AQ1223:AQ1260" si="363">SUM(AN1223:AO1223)</f>
        <v>206517</v>
      </c>
      <c r="AR1223" s="12"/>
      <c r="AS1223" s="12">
        <f>4.5*24</f>
        <v>108</v>
      </c>
      <c r="AT1223" s="12"/>
      <c r="AU1223" s="12">
        <f t="shared" ref="AU1223:AU1254" si="364">SUM(AQ1223:AT1223)</f>
        <v>206625</v>
      </c>
      <c r="AV1223" s="18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98</v>
      </c>
      <c r="C1224" s="88">
        <f t="shared" ref="C1224:C1226" si="365">C1223+1</f>
        <v>8080</v>
      </c>
      <c r="D1224" s="33">
        <f>626*107+229</f>
        <v>67211</v>
      </c>
      <c r="E1224" s="33"/>
      <c r="F1224" s="33"/>
      <c r="G1224" s="33">
        <f t="shared" si="357"/>
        <v>67211</v>
      </c>
      <c r="H1224" s="34"/>
      <c r="I1224" s="34"/>
      <c r="J1224" s="34"/>
      <c r="K1224" s="34">
        <f t="shared" si="358"/>
        <v>67211</v>
      </c>
      <c r="L1224" s="18"/>
      <c r="M1224" s="10">
        <v>3</v>
      </c>
      <c r="N1224" s="30" t="s">
        <v>98</v>
      </c>
      <c r="O1224" s="31">
        <f t="shared" ref="O1224:O1239" si="366">O1223+1</f>
        <v>8253</v>
      </c>
      <c r="P1224" s="32">
        <f>5634+3408+85.5</f>
        <v>9127.5</v>
      </c>
      <c r="Q1224" s="32"/>
      <c r="R1224" s="32"/>
      <c r="S1224" s="32">
        <f t="shared" si="359"/>
        <v>9127.5</v>
      </c>
      <c r="T1224" s="12"/>
      <c r="U1224" s="12">
        <f>4.5*8</f>
        <v>36</v>
      </c>
      <c r="V1224" s="12"/>
      <c r="W1224" s="12">
        <f t="shared" si="360"/>
        <v>9163.5</v>
      </c>
      <c r="Y1224" s="10">
        <v>3</v>
      </c>
      <c r="Z1224" s="30" t="s">
        <v>98</v>
      </c>
      <c r="AA1224" s="31">
        <f t="shared" ref="AA1224" si="367">AA1223+1</f>
        <v>8125</v>
      </c>
      <c r="AB1224" s="32">
        <f>187800+1842+29800+3206</f>
        <v>222648</v>
      </c>
      <c r="AC1224" s="32">
        <v>-2118</v>
      </c>
      <c r="AD1224" s="32"/>
      <c r="AE1224" s="32">
        <f t="shared" si="361"/>
        <v>220530</v>
      </c>
      <c r="AF1224" s="12"/>
      <c r="AG1224" s="12">
        <v>546</v>
      </c>
      <c r="AH1224" s="12">
        <v>-9102</v>
      </c>
      <c r="AI1224" s="12">
        <f t="shared" si="362"/>
        <v>211974</v>
      </c>
      <c r="AK1224" s="10">
        <v>3</v>
      </c>
      <c r="AL1224" s="30" t="s">
        <v>98</v>
      </c>
      <c r="AM1224" s="31">
        <f t="shared" ref="AM1224:AM1233" si="368">AM1223+1</f>
        <v>8203</v>
      </c>
      <c r="AN1224" s="33">
        <f>626*100+596*10+832*2</f>
        <v>70224</v>
      </c>
      <c r="AO1224" s="33"/>
      <c r="AP1224" s="32"/>
      <c r="AQ1224" s="32">
        <f t="shared" si="363"/>
        <v>70224</v>
      </c>
      <c r="AR1224" s="12"/>
      <c r="AS1224" s="12">
        <f>2442+135</f>
        <v>2577</v>
      </c>
      <c r="AT1224" s="12"/>
      <c r="AU1224" s="12">
        <f t="shared" si="364"/>
        <v>72801</v>
      </c>
      <c r="AV1224" s="18"/>
      <c r="AW1224" s="62"/>
      <c r="AX1224" s="62"/>
      <c r="AY1224" s="62"/>
      <c r="AZ1224" s="62"/>
    </row>
    <row r="1225" spans="1:52" x14ac:dyDescent="0.25">
      <c r="A1225" s="10">
        <v>4</v>
      </c>
      <c r="B1225" s="30" t="s">
        <v>98</v>
      </c>
      <c r="C1225" s="88">
        <f t="shared" si="365"/>
        <v>8081</v>
      </c>
      <c r="D1225" s="32">
        <f>913*60+852+1005*2+832*3+1000</f>
        <v>61138</v>
      </c>
      <c r="E1225" s="32"/>
      <c r="F1225" s="32"/>
      <c r="G1225" s="32">
        <f t="shared" si="357"/>
        <v>61138</v>
      </c>
      <c r="H1225" s="12"/>
      <c r="I1225" s="12"/>
      <c r="J1225" s="12"/>
      <c r="K1225" s="12">
        <f t="shared" si="358"/>
        <v>61138</v>
      </c>
      <c r="L1225" s="18"/>
      <c r="M1225" s="10">
        <v>4</v>
      </c>
      <c r="N1225" s="30" t="s">
        <v>98</v>
      </c>
      <c r="O1225" s="31">
        <f t="shared" si="366"/>
        <v>8254</v>
      </c>
      <c r="P1225" s="32">
        <f>3756+57</f>
        <v>3813</v>
      </c>
      <c r="Q1225" s="32"/>
      <c r="R1225" s="32"/>
      <c r="S1225" s="32">
        <f t="shared" si="359"/>
        <v>3813</v>
      </c>
      <c r="T1225" s="12"/>
      <c r="U1225" s="12"/>
      <c r="V1225" s="12"/>
      <c r="W1225" s="12">
        <f t="shared" si="360"/>
        <v>3813</v>
      </c>
      <c r="Y1225" s="10">
        <v>4</v>
      </c>
      <c r="Z1225" s="30"/>
      <c r="AA1225" s="11" t="s">
        <v>27</v>
      </c>
      <c r="AB1225" s="32"/>
      <c r="AC1225" s="32"/>
      <c r="AD1225" s="32"/>
      <c r="AE1225" s="32">
        <f t="shared" si="361"/>
        <v>0</v>
      </c>
      <c r="AF1225" s="12"/>
      <c r="AG1225" s="12"/>
      <c r="AH1225" s="12"/>
      <c r="AI1225" s="12">
        <f t="shared" si="362"/>
        <v>0</v>
      </c>
      <c r="AK1225" s="10">
        <v>4</v>
      </c>
      <c r="AL1225" s="30" t="s">
        <v>98</v>
      </c>
      <c r="AM1225" s="31">
        <f t="shared" si="368"/>
        <v>8204</v>
      </c>
      <c r="AN1225" s="32">
        <f>626*90+614*15+596*15+832+229*2</f>
        <v>75780</v>
      </c>
      <c r="AO1225" s="32"/>
      <c r="AP1225" s="32"/>
      <c r="AQ1225" s="32">
        <f t="shared" si="363"/>
        <v>75780</v>
      </c>
      <c r="AR1225" s="12"/>
      <c r="AS1225">
        <f>111*22</f>
        <v>2442</v>
      </c>
      <c r="AT1225" s="12"/>
      <c r="AU1225" s="12">
        <f t="shared" si="364"/>
        <v>78222</v>
      </c>
      <c r="AV1225" s="18"/>
      <c r="AW1225" s="62"/>
      <c r="AX1225" s="62"/>
      <c r="AY1225" s="62"/>
      <c r="AZ1225" s="62"/>
    </row>
    <row r="1226" spans="1:52" x14ac:dyDescent="0.25">
      <c r="A1226" s="10">
        <v>5</v>
      </c>
      <c r="B1226" s="30" t="s">
        <v>98</v>
      </c>
      <c r="C1226" s="88">
        <f t="shared" si="365"/>
        <v>8082</v>
      </c>
      <c r="D1226" s="32">
        <f>3130+852+1005+832</f>
        <v>5819</v>
      </c>
      <c r="E1226" s="32"/>
      <c r="F1226" s="32"/>
      <c r="G1226" s="32">
        <f t="shared" si="357"/>
        <v>5819</v>
      </c>
      <c r="H1226" s="12"/>
      <c r="I1226" s="12"/>
      <c r="J1226" s="12"/>
      <c r="K1226" s="12">
        <f t="shared" si="358"/>
        <v>5819</v>
      </c>
      <c r="L1226" s="18"/>
      <c r="M1226" s="10">
        <v>5</v>
      </c>
      <c r="N1226" s="30" t="s">
        <v>98</v>
      </c>
      <c r="O1226" s="31">
        <f t="shared" si="366"/>
        <v>8255</v>
      </c>
      <c r="P1226" s="32">
        <f>18154+229</f>
        <v>18383</v>
      </c>
      <c r="Q1226" s="32"/>
      <c r="R1226" s="32"/>
      <c r="S1226" s="32">
        <f t="shared" si="359"/>
        <v>18383</v>
      </c>
      <c r="T1226" s="12"/>
      <c r="U1226" s="12">
        <v>78</v>
      </c>
      <c r="V1226" s="12"/>
      <c r="W1226" s="12">
        <f t="shared" si="360"/>
        <v>18461</v>
      </c>
      <c r="Y1226" s="10">
        <v>5</v>
      </c>
      <c r="Z1226" s="30"/>
      <c r="AA1226" s="31"/>
      <c r="AB1226" s="32"/>
      <c r="AC1226" s="32"/>
      <c r="AD1226" s="32"/>
      <c r="AE1226" s="32">
        <f t="shared" si="361"/>
        <v>0</v>
      </c>
      <c r="AF1226" s="12"/>
      <c r="AG1226" s="12"/>
      <c r="AH1226" s="12"/>
      <c r="AI1226" s="12">
        <f t="shared" si="362"/>
        <v>0</v>
      </c>
      <c r="AK1226" s="10">
        <v>5</v>
      </c>
      <c r="AL1226" s="30" t="s">
        <v>98</v>
      </c>
      <c r="AM1226" s="31">
        <f t="shared" si="368"/>
        <v>8205</v>
      </c>
      <c r="AN1226" s="32">
        <f>37560+1826+1005+832+229</f>
        <v>41452</v>
      </c>
      <c r="AO1226" s="32"/>
      <c r="AP1226" s="32"/>
      <c r="AQ1226" s="32">
        <f t="shared" si="363"/>
        <v>41452</v>
      </c>
      <c r="AR1226" s="12"/>
      <c r="AS1226" s="12">
        <v>72</v>
      </c>
      <c r="AT1226" s="12"/>
      <c r="AU1226" s="12">
        <f t="shared" si="364"/>
        <v>41524</v>
      </c>
      <c r="AV1226" s="18"/>
      <c r="AW1226" s="62"/>
      <c r="AX1226" s="62"/>
      <c r="AY1226" s="62"/>
      <c r="AZ1226" s="62"/>
    </row>
    <row r="1227" spans="1:52" x14ac:dyDescent="0.25">
      <c r="A1227" s="10">
        <v>6</v>
      </c>
      <c r="B1227" s="30"/>
      <c r="C1227" s="11" t="s">
        <v>27</v>
      </c>
      <c r="D1227" s="32"/>
      <c r="E1227" s="32"/>
      <c r="F1227" s="32"/>
      <c r="G1227" s="32">
        <f t="shared" si="357"/>
        <v>0</v>
      </c>
      <c r="H1227" s="12"/>
      <c r="I1227" s="12"/>
      <c r="J1227" s="12"/>
      <c r="K1227" s="12">
        <f t="shared" si="358"/>
        <v>0</v>
      </c>
      <c r="L1227" s="18"/>
      <c r="M1227" s="10">
        <v>6</v>
      </c>
      <c r="N1227" s="30" t="s">
        <v>98</v>
      </c>
      <c r="O1227" s="31">
        <f t="shared" si="366"/>
        <v>8256</v>
      </c>
      <c r="P1227" s="32">
        <f>626+596+38</f>
        <v>1260</v>
      </c>
      <c r="Q1227" s="32"/>
      <c r="R1227" s="32"/>
      <c r="S1227" s="32">
        <f t="shared" si="359"/>
        <v>1260</v>
      </c>
      <c r="T1227" s="12"/>
      <c r="U1227" s="12"/>
      <c r="V1227" s="10"/>
      <c r="W1227" s="12">
        <f t="shared" si="360"/>
        <v>1260</v>
      </c>
      <c r="Y1227" s="10">
        <v>6</v>
      </c>
      <c r="Z1227" s="30"/>
      <c r="AA1227" s="31"/>
      <c r="AB1227" s="32"/>
      <c r="AC1227" s="32"/>
      <c r="AD1227" s="32"/>
      <c r="AE1227" s="32">
        <f t="shared" si="361"/>
        <v>0</v>
      </c>
      <c r="AF1227" s="12"/>
      <c r="AG1227" s="12"/>
      <c r="AH1227" s="10"/>
      <c r="AI1227" s="12">
        <f t="shared" si="362"/>
        <v>0</v>
      </c>
      <c r="AK1227" s="10">
        <v>6</v>
      </c>
      <c r="AL1227" s="30" t="s">
        <v>98</v>
      </c>
      <c r="AM1227" s="31">
        <f t="shared" si="368"/>
        <v>8206</v>
      </c>
      <c r="AN1227" s="32">
        <f>78250+8940+916</f>
        <v>88106</v>
      </c>
      <c r="AO1227" s="32">
        <v>-900</v>
      </c>
      <c r="AP1227" s="32"/>
      <c r="AQ1227" s="32">
        <f t="shared" si="363"/>
        <v>87206</v>
      </c>
      <c r="AR1227" s="12"/>
      <c r="AS1227" s="12"/>
      <c r="AT1227" s="10"/>
      <c r="AU1227" s="12">
        <f t="shared" si="364"/>
        <v>87206</v>
      </c>
      <c r="AV1227" s="18"/>
      <c r="AW1227" s="62"/>
      <c r="AX1227" s="62"/>
      <c r="AY1227" s="62"/>
      <c r="AZ1227" s="62"/>
    </row>
    <row r="1228" spans="1:52" x14ac:dyDescent="0.25">
      <c r="A1228" s="10">
        <v>7</v>
      </c>
      <c r="B1228" s="30"/>
      <c r="C1228" s="88"/>
      <c r="D1228" s="32"/>
      <c r="E1228" s="32"/>
      <c r="F1228" s="32"/>
      <c r="G1228" s="32">
        <f t="shared" si="357"/>
        <v>0</v>
      </c>
      <c r="H1228" s="12"/>
      <c r="I1228" s="12"/>
      <c r="J1228" s="12"/>
      <c r="K1228" s="12">
        <f t="shared" si="358"/>
        <v>0</v>
      </c>
      <c r="L1228" s="18"/>
      <c r="M1228" s="10">
        <v>7</v>
      </c>
      <c r="N1228" s="30" t="s">
        <v>98</v>
      </c>
      <c r="O1228" s="31">
        <f t="shared" si="366"/>
        <v>8257</v>
      </c>
      <c r="P1228" s="32">
        <f>6260+9.5*10</f>
        <v>6355</v>
      </c>
      <c r="Q1228" s="32"/>
      <c r="R1228" s="32"/>
      <c r="S1228" s="32">
        <f t="shared" si="359"/>
        <v>6355</v>
      </c>
      <c r="T1228" s="12"/>
      <c r="U1228" s="12">
        <v>4.5</v>
      </c>
      <c r="V1228" s="12"/>
      <c r="W1228" s="12">
        <f t="shared" si="360"/>
        <v>6359.5</v>
      </c>
      <c r="Y1228" s="10">
        <v>7</v>
      </c>
      <c r="Z1228" s="30"/>
      <c r="AA1228" s="31"/>
      <c r="AB1228" s="32"/>
      <c r="AC1228" s="32"/>
      <c r="AD1228" s="32"/>
      <c r="AE1228" s="32">
        <f t="shared" si="361"/>
        <v>0</v>
      </c>
      <c r="AF1228" s="12"/>
      <c r="AG1228" s="12"/>
      <c r="AH1228" s="12"/>
      <c r="AI1228" s="12">
        <f t="shared" si="362"/>
        <v>0</v>
      </c>
      <c r="AK1228" s="10">
        <v>7</v>
      </c>
      <c r="AL1228" s="30" t="s">
        <v>98</v>
      </c>
      <c r="AM1228" s="31">
        <f t="shared" si="368"/>
        <v>8207</v>
      </c>
      <c r="AN1228" s="32">
        <f>626*300+1005*5+832*8+229*12</f>
        <v>202229</v>
      </c>
      <c r="AO1228" s="32">
        <v>-1878</v>
      </c>
      <c r="AP1228" s="32"/>
      <c r="AQ1228" s="32">
        <f t="shared" si="363"/>
        <v>200351</v>
      </c>
      <c r="AR1228" s="12"/>
      <c r="AS1228" s="58">
        <f>1560+288</f>
        <v>1848</v>
      </c>
      <c r="AT1228" s="12"/>
      <c r="AU1228" s="12">
        <f t="shared" si="364"/>
        <v>202199</v>
      </c>
      <c r="AV1228" s="18"/>
      <c r="AW1228" s="62"/>
      <c r="AX1228" s="62"/>
      <c r="AY1228" s="62"/>
      <c r="AZ1228" s="62"/>
    </row>
    <row r="1229" spans="1:52" x14ac:dyDescent="0.25">
      <c r="A1229" s="10">
        <v>8</v>
      </c>
      <c r="B1229" s="30"/>
      <c r="D1229" s="32"/>
      <c r="E1229" s="32"/>
      <c r="F1229" s="32"/>
      <c r="G1229" s="32">
        <f t="shared" si="357"/>
        <v>0</v>
      </c>
      <c r="H1229" s="12"/>
      <c r="I1229" s="12"/>
      <c r="J1229" s="12"/>
      <c r="K1229" s="12">
        <f t="shared" si="358"/>
        <v>0</v>
      </c>
      <c r="L1229" s="18"/>
      <c r="M1229" s="10">
        <v>8</v>
      </c>
      <c r="N1229" s="30" t="s">
        <v>98</v>
      </c>
      <c r="O1229" s="31">
        <f t="shared" si="366"/>
        <v>8258</v>
      </c>
      <c r="P1229" s="32">
        <f>626*20+1005*2+832*3+229</f>
        <v>17255</v>
      </c>
      <c r="Q1229" s="32"/>
      <c r="R1229" s="32"/>
      <c r="S1229" s="32">
        <f t="shared" si="359"/>
        <v>17255</v>
      </c>
      <c r="T1229" s="12"/>
      <c r="U1229" s="12">
        <f>777+78+240+360</f>
        <v>1455</v>
      </c>
      <c r="V1229" s="12"/>
      <c r="W1229" s="12">
        <f t="shared" si="360"/>
        <v>18710</v>
      </c>
      <c r="Y1229" s="10">
        <v>8</v>
      </c>
      <c r="Z1229" s="30"/>
      <c r="AA1229" s="31"/>
      <c r="AB1229" s="32"/>
      <c r="AC1229" s="32"/>
      <c r="AD1229" s="32"/>
      <c r="AE1229" s="32">
        <f t="shared" si="361"/>
        <v>0</v>
      </c>
      <c r="AF1229" s="12"/>
      <c r="AG1229" s="12"/>
      <c r="AH1229" s="12"/>
      <c r="AI1229" s="12">
        <f t="shared" si="362"/>
        <v>0</v>
      </c>
      <c r="AK1229" s="10">
        <v>8</v>
      </c>
      <c r="AL1229" s="30" t="s">
        <v>98</v>
      </c>
      <c r="AM1229" s="31">
        <f t="shared" si="368"/>
        <v>8208</v>
      </c>
      <c r="AN1229" s="32">
        <f>88892+64368+2290</f>
        <v>155550</v>
      </c>
      <c r="AO1229" s="32">
        <v>-1500</v>
      </c>
      <c r="AQ1229" s="32">
        <f t="shared" si="363"/>
        <v>154050</v>
      </c>
      <c r="AR1229" s="12"/>
      <c r="AS1229" s="12"/>
      <c r="AT1229" s="12"/>
      <c r="AU1229" s="12">
        <f t="shared" si="364"/>
        <v>154050</v>
      </c>
      <c r="AV1229" s="18"/>
      <c r="AW1229" s="62"/>
      <c r="AX1229" s="62"/>
      <c r="AY1229" s="62"/>
      <c r="AZ1229" s="62"/>
    </row>
    <row r="1230" spans="1:52" x14ac:dyDescent="0.25">
      <c r="A1230" s="10">
        <v>9</v>
      </c>
      <c r="B1230" s="30"/>
      <c r="C1230" s="88"/>
      <c r="D1230" s="32"/>
      <c r="E1230" s="32"/>
      <c r="F1230" s="32"/>
      <c r="G1230" s="32">
        <f t="shared" si="357"/>
        <v>0</v>
      </c>
      <c r="H1230" s="12"/>
      <c r="I1230" s="12"/>
      <c r="J1230" s="12"/>
      <c r="K1230" s="12">
        <f t="shared" si="358"/>
        <v>0</v>
      </c>
      <c r="L1230" s="18"/>
      <c r="M1230" s="10">
        <v>9</v>
      </c>
      <c r="N1230" s="30" t="s">
        <v>98</v>
      </c>
      <c r="O1230" s="31">
        <f t="shared" si="366"/>
        <v>8259</v>
      </c>
      <c r="P1230" s="32">
        <f>15024+229</f>
        <v>15253</v>
      </c>
      <c r="Q1230" s="32"/>
      <c r="R1230" s="32"/>
      <c r="S1230" s="32">
        <f t="shared" si="359"/>
        <v>15253</v>
      </c>
      <c r="T1230" s="12"/>
      <c r="U1230" s="12"/>
      <c r="V1230" s="12"/>
      <c r="W1230" s="12">
        <f t="shared" si="360"/>
        <v>15253</v>
      </c>
      <c r="Y1230" s="10">
        <v>9</v>
      </c>
      <c r="Z1230" s="30"/>
      <c r="AA1230" s="31"/>
      <c r="AB1230" s="32"/>
      <c r="AC1230" s="32"/>
      <c r="AD1230" s="32"/>
      <c r="AE1230" s="32">
        <f t="shared" si="361"/>
        <v>0</v>
      </c>
      <c r="AF1230" s="12"/>
      <c r="AG1230" s="12"/>
      <c r="AH1230" s="12"/>
      <c r="AI1230" s="12">
        <f t="shared" si="362"/>
        <v>0</v>
      </c>
      <c r="AK1230" s="10">
        <v>9</v>
      </c>
      <c r="AL1230" s="30" t="s">
        <v>98</v>
      </c>
      <c r="AM1230" s="31">
        <f t="shared" si="368"/>
        <v>8209</v>
      </c>
      <c r="AN1230">
        <f>626*199+596*80+229*5</f>
        <v>173399</v>
      </c>
      <c r="AO1230" s="32">
        <v>-1674</v>
      </c>
      <c r="AP1230" s="32"/>
      <c r="AQ1230" s="32">
        <f t="shared" si="363"/>
        <v>171725</v>
      </c>
      <c r="AR1230" s="12"/>
      <c r="AT1230" s="12"/>
      <c r="AU1230" s="12">
        <f t="shared" si="364"/>
        <v>171725</v>
      </c>
      <c r="AV1230" s="18"/>
      <c r="AW1230" s="62"/>
      <c r="AX1230" s="62"/>
      <c r="AY1230" s="62"/>
      <c r="AZ1230" s="62"/>
    </row>
    <row r="1231" spans="1:52" x14ac:dyDescent="0.25">
      <c r="A1231" s="10">
        <v>10</v>
      </c>
      <c r="B1231" s="30"/>
      <c r="C1231" s="88"/>
      <c r="D1231" s="32"/>
      <c r="E1231" s="32"/>
      <c r="F1231" s="32"/>
      <c r="G1231" s="32">
        <f t="shared" si="357"/>
        <v>0</v>
      </c>
      <c r="H1231" s="12"/>
      <c r="I1231" s="12"/>
      <c r="J1231" s="12"/>
      <c r="K1231" s="12">
        <f t="shared" si="358"/>
        <v>0</v>
      </c>
      <c r="L1231" s="18"/>
      <c r="M1231" s="10">
        <v>10</v>
      </c>
      <c r="N1231" s="30" t="s">
        <v>98</v>
      </c>
      <c r="O1231" s="31">
        <f t="shared" si="366"/>
        <v>8260</v>
      </c>
      <c r="P1231" s="32">
        <f>18780+229</f>
        <v>19009</v>
      </c>
      <c r="Q1231" s="32"/>
      <c r="R1231" s="32"/>
      <c r="S1231" s="32">
        <f t="shared" si="359"/>
        <v>19009</v>
      </c>
      <c r="T1231" s="12"/>
      <c r="U1231" s="12">
        <f>3330+78</f>
        <v>3408</v>
      </c>
      <c r="V1231" s="12"/>
      <c r="W1231" s="12">
        <f t="shared" si="360"/>
        <v>22417</v>
      </c>
      <c r="Y1231" s="10">
        <v>10</v>
      </c>
      <c r="Z1231" s="30"/>
      <c r="AA1231" s="31"/>
      <c r="AB1231" s="32"/>
      <c r="AC1231" s="32"/>
      <c r="AD1231" s="32"/>
      <c r="AE1231" s="32">
        <f t="shared" si="361"/>
        <v>0</v>
      </c>
      <c r="AF1231" s="12"/>
      <c r="AG1231" s="12"/>
      <c r="AH1231" s="12"/>
      <c r="AI1231" s="12">
        <f t="shared" si="362"/>
        <v>0</v>
      </c>
      <c r="AK1231" s="10">
        <v>10</v>
      </c>
      <c r="AL1231" s="30" t="s">
        <v>98</v>
      </c>
      <c r="AM1231" s="31">
        <f t="shared" si="368"/>
        <v>8210</v>
      </c>
      <c r="AN1231" s="32">
        <f>3130+596*7</f>
        <v>7302</v>
      </c>
      <c r="AO1231" s="32"/>
      <c r="AP1231" s="32"/>
      <c r="AQ1231" s="32">
        <f t="shared" si="363"/>
        <v>7302</v>
      </c>
      <c r="AR1231" s="12"/>
      <c r="AS1231" s="12"/>
      <c r="AT1231" s="12"/>
      <c r="AU1231" s="12">
        <f t="shared" si="364"/>
        <v>7302</v>
      </c>
      <c r="AV1231" s="18"/>
      <c r="AW1231" s="62"/>
      <c r="AX1231" s="62"/>
      <c r="AY1231" s="62"/>
      <c r="AZ1231" s="62"/>
    </row>
    <row r="1232" spans="1:52" x14ac:dyDescent="0.25">
      <c r="A1232" s="10">
        <v>11</v>
      </c>
      <c r="B1232" s="30"/>
      <c r="C1232" s="88"/>
      <c r="D1232" s="32"/>
      <c r="E1232" s="32"/>
      <c r="F1232" s="32"/>
      <c r="G1232" s="32">
        <f t="shared" si="357"/>
        <v>0</v>
      </c>
      <c r="H1232" s="12"/>
      <c r="I1232" s="12"/>
      <c r="J1232" s="12"/>
      <c r="K1232" s="12">
        <f t="shared" si="358"/>
        <v>0</v>
      </c>
      <c r="L1232" s="18"/>
      <c r="M1232" s="10">
        <v>11</v>
      </c>
      <c r="N1232" s="30" t="s">
        <v>98</v>
      </c>
      <c r="O1232" s="31">
        <f t="shared" si="366"/>
        <v>8261</v>
      </c>
      <c r="P1232" s="32">
        <f>8138+596+229</f>
        <v>8963</v>
      </c>
      <c r="Q1232" s="32"/>
      <c r="R1232" s="32"/>
      <c r="S1232" s="32">
        <f t="shared" si="359"/>
        <v>8963</v>
      </c>
      <c r="T1232" s="12"/>
      <c r="U1232" s="12">
        <f>78+171+25.5</f>
        <v>274.5</v>
      </c>
      <c r="V1232" s="12"/>
      <c r="W1232" s="12">
        <f t="shared" si="360"/>
        <v>9237.5</v>
      </c>
      <c r="Y1232" s="10">
        <v>11</v>
      </c>
      <c r="Z1232" s="30"/>
      <c r="AB1232" s="32"/>
      <c r="AC1232" s="32"/>
      <c r="AD1232" s="32"/>
      <c r="AE1232" s="32">
        <f t="shared" si="361"/>
        <v>0</v>
      </c>
      <c r="AF1232" s="12"/>
      <c r="AG1232" s="12"/>
      <c r="AH1232" s="12"/>
      <c r="AI1232" s="12">
        <f t="shared" si="362"/>
        <v>0</v>
      </c>
      <c r="AK1232" s="10">
        <v>11</v>
      </c>
      <c r="AL1232" s="30" t="s">
        <v>98</v>
      </c>
      <c r="AM1232" s="31">
        <f t="shared" si="368"/>
        <v>8211</v>
      </c>
      <c r="AN1232" s="32">
        <f>50080+674+11920+458</f>
        <v>63132</v>
      </c>
      <c r="AO1232" s="32"/>
      <c r="AP1232" s="32"/>
      <c r="AQ1232" s="32">
        <f t="shared" si="363"/>
        <v>63132</v>
      </c>
      <c r="AR1232" s="12"/>
      <c r="AS1232" s="12">
        <f>2775+648</f>
        <v>3423</v>
      </c>
      <c r="AT1232" s="12"/>
      <c r="AU1232" s="12">
        <f t="shared" si="364"/>
        <v>66555</v>
      </c>
      <c r="AV1232" s="18"/>
      <c r="AW1232" s="62"/>
      <c r="AX1232" s="62"/>
      <c r="AY1232" s="62"/>
      <c r="AZ1232" s="62"/>
    </row>
    <row r="1233" spans="1:52" x14ac:dyDescent="0.25">
      <c r="A1233" s="10">
        <v>12</v>
      </c>
      <c r="B1233" s="30"/>
      <c r="C1233" s="57"/>
      <c r="D1233" s="32"/>
      <c r="E1233" s="32"/>
      <c r="F1233" s="32"/>
      <c r="G1233" s="32">
        <f t="shared" si="357"/>
        <v>0</v>
      </c>
      <c r="H1233" s="12"/>
      <c r="I1233" s="12"/>
      <c r="J1233" s="10"/>
      <c r="K1233" s="12">
        <f t="shared" si="358"/>
        <v>0</v>
      </c>
      <c r="L1233" s="18"/>
      <c r="M1233" s="10">
        <v>12</v>
      </c>
      <c r="N1233" s="30" t="s">
        <v>98</v>
      </c>
      <c r="O1233" s="31">
        <f t="shared" si="366"/>
        <v>8262</v>
      </c>
      <c r="P1233" s="32">
        <f>500</f>
        <v>500</v>
      </c>
      <c r="Q1233" s="32"/>
      <c r="R1233" s="32"/>
      <c r="S1233" s="32">
        <f t="shared" si="359"/>
        <v>500</v>
      </c>
      <c r="T1233" s="12"/>
      <c r="U1233" s="12"/>
      <c r="V1233" s="12"/>
      <c r="W1233" s="12">
        <f t="shared" si="360"/>
        <v>500</v>
      </c>
      <c r="Y1233" s="10">
        <v>12</v>
      </c>
      <c r="Z1233" s="30"/>
      <c r="AA1233" s="31"/>
      <c r="AB1233" s="32"/>
      <c r="AC1233" s="32"/>
      <c r="AD1233" s="32"/>
      <c r="AE1233" s="32">
        <f t="shared" si="361"/>
        <v>0</v>
      </c>
      <c r="AF1233" s="12"/>
      <c r="AG1233" s="12"/>
      <c r="AH1233" s="12"/>
      <c r="AI1233" s="12">
        <f t="shared" si="362"/>
        <v>0</v>
      </c>
      <c r="AK1233" s="10">
        <v>12</v>
      </c>
      <c r="AL1233" s="30" t="s">
        <v>98</v>
      </c>
      <c r="AM1233" s="31">
        <f t="shared" si="368"/>
        <v>8212</v>
      </c>
      <c r="AN1233" s="32">
        <f>53210+596*25+852*3+229*2</f>
        <v>71124</v>
      </c>
      <c r="AO1233" s="32"/>
      <c r="AP1233" s="32"/>
      <c r="AQ1233" s="32">
        <f t="shared" si="363"/>
        <v>71124</v>
      </c>
      <c r="AR1233" s="12"/>
      <c r="AS1233" s="12">
        <v>5106</v>
      </c>
      <c r="AT1233" s="12"/>
      <c r="AU1233" s="12">
        <f t="shared" si="364"/>
        <v>76230</v>
      </c>
      <c r="AV1233" s="18"/>
      <c r="AW1233" s="62"/>
      <c r="AX1233" s="62"/>
      <c r="AY1233" s="62"/>
      <c r="AZ1233" s="62"/>
    </row>
    <row r="1234" spans="1:52" x14ac:dyDescent="0.25">
      <c r="A1234" s="10">
        <v>13</v>
      </c>
      <c r="B1234" s="30"/>
      <c r="C1234" s="88"/>
      <c r="D1234" s="32"/>
      <c r="E1234" s="32"/>
      <c r="F1234" s="32"/>
      <c r="G1234" s="32">
        <f t="shared" si="357"/>
        <v>0</v>
      </c>
      <c r="H1234" s="12"/>
      <c r="I1234" s="12"/>
      <c r="J1234" s="12"/>
      <c r="K1234" s="12">
        <f t="shared" si="358"/>
        <v>0</v>
      </c>
      <c r="L1234" s="18"/>
      <c r="M1234" s="10">
        <v>13</v>
      </c>
      <c r="N1234" s="30" t="s">
        <v>98</v>
      </c>
      <c r="O1234" s="31">
        <f t="shared" si="366"/>
        <v>8263</v>
      </c>
      <c r="P1234" s="32">
        <f>626*21+596*18+229</f>
        <v>24103</v>
      </c>
      <c r="Q1234" s="32"/>
      <c r="R1234" s="32"/>
      <c r="S1234" s="32">
        <f t="shared" si="359"/>
        <v>24103</v>
      </c>
      <c r="T1234" s="12"/>
      <c r="U1234" s="12">
        <v>78</v>
      </c>
      <c r="V1234" s="12"/>
      <c r="W1234" s="12">
        <f t="shared" si="360"/>
        <v>24181</v>
      </c>
      <c r="Y1234" s="10">
        <v>13</v>
      </c>
      <c r="Z1234" s="30"/>
      <c r="AA1234" s="31"/>
      <c r="AB1234" s="32"/>
      <c r="AC1234" s="32"/>
      <c r="AD1234" s="32"/>
      <c r="AE1234" s="32">
        <f t="shared" si="361"/>
        <v>0</v>
      </c>
      <c r="AF1234" s="12"/>
      <c r="AG1234" s="12"/>
      <c r="AH1234" s="12"/>
      <c r="AI1234" s="12">
        <f t="shared" si="362"/>
        <v>0</v>
      </c>
      <c r="AK1234" s="10">
        <v>13</v>
      </c>
      <c r="AL1234" s="30"/>
      <c r="AM1234" s="11" t="s">
        <v>27</v>
      </c>
      <c r="AN1234" s="32"/>
      <c r="AO1234" s="32"/>
      <c r="AP1234" s="32"/>
      <c r="AQ1234" s="32">
        <f t="shared" si="363"/>
        <v>0</v>
      </c>
      <c r="AR1234" s="12"/>
      <c r="AS1234" s="12"/>
      <c r="AT1234" s="12"/>
      <c r="AU1234" s="12">
        <f t="shared" si="364"/>
        <v>0</v>
      </c>
      <c r="AV1234" s="18"/>
      <c r="AW1234" s="62"/>
      <c r="AX1234" s="62"/>
      <c r="AY1234" s="62"/>
      <c r="AZ1234" s="62"/>
    </row>
    <row r="1235" spans="1:52" x14ac:dyDescent="0.25">
      <c r="A1235" s="10">
        <v>14</v>
      </c>
      <c r="B1235" s="30"/>
      <c r="C1235" s="88"/>
      <c r="D1235" s="32"/>
      <c r="E1235" s="32"/>
      <c r="F1235" s="32"/>
      <c r="G1235" s="32">
        <f t="shared" si="357"/>
        <v>0</v>
      </c>
      <c r="H1235" s="12"/>
      <c r="I1235" s="12"/>
      <c r="J1235" s="12"/>
      <c r="K1235" s="12">
        <f t="shared" si="358"/>
        <v>0</v>
      </c>
      <c r="L1235" s="18"/>
      <c r="M1235" s="10">
        <v>14</v>
      </c>
      <c r="N1235" s="30" t="s">
        <v>98</v>
      </c>
      <c r="O1235" s="31">
        <f t="shared" si="366"/>
        <v>8264</v>
      </c>
      <c r="P1235" s="32">
        <f>596</f>
        <v>596</v>
      </c>
      <c r="Q1235" s="32"/>
      <c r="R1235" s="32"/>
      <c r="S1235" s="32">
        <f t="shared" si="359"/>
        <v>596</v>
      </c>
      <c r="T1235" s="12"/>
      <c r="U1235" s="12">
        <v>111</v>
      </c>
      <c r="V1235" s="12"/>
      <c r="W1235" s="12">
        <f t="shared" si="360"/>
        <v>707</v>
      </c>
      <c r="Y1235" s="10">
        <v>14</v>
      </c>
      <c r="Z1235" s="30"/>
      <c r="AA1235" s="31"/>
      <c r="AB1235" s="32"/>
      <c r="AC1235" s="32"/>
      <c r="AD1235" s="32"/>
      <c r="AE1235" s="32">
        <f t="shared" si="361"/>
        <v>0</v>
      </c>
      <c r="AF1235" s="12"/>
      <c r="AG1235" s="12"/>
      <c r="AH1235" s="12"/>
      <c r="AI1235" s="12">
        <f t="shared" si="362"/>
        <v>0</v>
      </c>
      <c r="AK1235" s="10">
        <v>14</v>
      </c>
      <c r="AL1235" s="30"/>
      <c r="AM1235" s="31"/>
      <c r="AN1235" s="32"/>
      <c r="AO1235" s="32"/>
      <c r="AP1235" s="32"/>
      <c r="AQ1235" s="32">
        <f t="shared" si="363"/>
        <v>0</v>
      </c>
      <c r="AR1235" s="12"/>
      <c r="AS1235" s="12"/>
      <c r="AT1235" s="12"/>
      <c r="AU1235" s="12">
        <f t="shared" si="364"/>
        <v>0</v>
      </c>
      <c r="AV1235" s="18"/>
      <c r="AW1235" s="62"/>
      <c r="AX1235" s="62"/>
      <c r="AY1235" s="62"/>
      <c r="AZ1235" s="62"/>
    </row>
    <row r="1236" spans="1:52" x14ac:dyDescent="0.25">
      <c r="A1236" s="10">
        <v>15</v>
      </c>
      <c r="B1236" s="30"/>
      <c r="C1236" s="88"/>
      <c r="D1236" s="32"/>
      <c r="E1236" s="32"/>
      <c r="F1236" s="32"/>
      <c r="G1236" s="32">
        <f t="shared" si="357"/>
        <v>0</v>
      </c>
      <c r="H1236" s="12"/>
      <c r="I1236" s="12"/>
      <c r="J1236" s="12"/>
      <c r="K1236" s="12">
        <f t="shared" si="358"/>
        <v>0</v>
      </c>
      <c r="L1236" s="18"/>
      <c r="M1236" s="10">
        <v>15</v>
      </c>
      <c r="N1236" s="30" t="s">
        <v>98</v>
      </c>
      <c r="O1236" s="31">
        <f t="shared" si="366"/>
        <v>8265</v>
      </c>
      <c r="P1236" s="32">
        <f>12520+1228+2980+229</f>
        <v>16957</v>
      </c>
      <c r="Q1236" s="32"/>
      <c r="R1236" s="32"/>
      <c r="S1236" s="32">
        <f t="shared" si="359"/>
        <v>16957</v>
      </c>
      <c r="T1236" s="12"/>
      <c r="U1236" s="12">
        <v>78</v>
      </c>
      <c r="V1236" s="12"/>
      <c r="W1236" s="12">
        <f t="shared" si="360"/>
        <v>17035</v>
      </c>
      <c r="Y1236" s="10">
        <v>15</v>
      </c>
      <c r="Z1236" s="30"/>
      <c r="AB1236" s="32"/>
      <c r="AC1236" s="32"/>
      <c r="AD1236" s="32"/>
      <c r="AE1236" s="32">
        <f t="shared" si="361"/>
        <v>0</v>
      </c>
      <c r="AF1236" s="12"/>
      <c r="AG1236" s="12"/>
      <c r="AH1236" s="12"/>
      <c r="AI1236" s="12">
        <f t="shared" si="362"/>
        <v>0</v>
      </c>
      <c r="AK1236" s="10">
        <v>15</v>
      </c>
      <c r="AL1236" s="30"/>
      <c r="AN1236" s="32"/>
      <c r="AO1236" s="32"/>
      <c r="AP1236" s="32"/>
      <c r="AQ1236" s="32">
        <f t="shared" si="363"/>
        <v>0</v>
      </c>
      <c r="AR1236" s="12"/>
      <c r="AS1236" s="12"/>
      <c r="AT1236" s="12"/>
      <c r="AU1236" s="12">
        <f t="shared" si="364"/>
        <v>0</v>
      </c>
      <c r="AV1236" s="18"/>
      <c r="AW1236" s="62"/>
      <c r="AX1236" s="62"/>
      <c r="AY1236" s="62"/>
      <c r="AZ1236" s="62"/>
    </row>
    <row r="1237" spans="1:52" x14ac:dyDescent="0.25">
      <c r="A1237" s="10">
        <v>16</v>
      </c>
      <c r="B1237" s="30"/>
      <c r="D1237" s="32"/>
      <c r="E1237" s="32"/>
      <c r="F1237" s="32"/>
      <c r="G1237" s="32">
        <f t="shared" si="357"/>
        <v>0</v>
      </c>
      <c r="H1237" s="12"/>
      <c r="I1237" s="12"/>
      <c r="J1237" s="12"/>
      <c r="K1237" s="12">
        <f t="shared" si="358"/>
        <v>0</v>
      </c>
      <c r="L1237" s="18"/>
      <c r="M1237" s="10">
        <v>16</v>
      </c>
      <c r="N1237" s="30" t="s">
        <v>98</v>
      </c>
      <c r="O1237" s="31">
        <f t="shared" si="366"/>
        <v>8266</v>
      </c>
      <c r="P1237" s="32">
        <f>7152+114</f>
        <v>7266</v>
      </c>
      <c r="Q1237" s="32"/>
      <c r="R1237" s="32"/>
      <c r="S1237" s="32">
        <f t="shared" si="359"/>
        <v>7266</v>
      </c>
      <c r="T1237" s="12"/>
      <c r="U1237" s="12"/>
      <c r="V1237" s="12"/>
      <c r="W1237" s="12">
        <f t="shared" si="360"/>
        <v>7266</v>
      </c>
      <c r="Y1237" s="10">
        <v>16</v>
      </c>
      <c r="Z1237" s="30"/>
      <c r="AA1237" s="31"/>
      <c r="AB1237" s="32"/>
      <c r="AC1237" s="32"/>
      <c r="AD1237" s="32"/>
      <c r="AE1237" s="32">
        <f t="shared" si="361"/>
        <v>0</v>
      </c>
      <c r="AF1237" s="12"/>
      <c r="AG1237" s="12"/>
      <c r="AH1237" s="12"/>
      <c r="AI1237" s="12">
        <f t="shared" si="362"/>
        <v>0</v>
      </c>
      <c r="AK1237" s="10">
        <v>16</v>
      </c>
      <c r="AL1237" s="30"/>
      <c r="AN1237" s="32"/>
      <c r="AO1237" s="32"/>
      <c r="AP1237" s="32"/>
      <c r="AQ1237" s="32">
        <f t="shared" si="363"/>
        <v>0</v>
      </c>
      <c r="AR1237" s="12"/>
      <c r="AS1237" s="12"/>
      <c r="AT1237" s="12"/>
      <c r="AU1237" s="12">
        <f t="shared" si="364"/>
        <v>0</v>
      </c>
      <c r="AV1237" s="18"/>
      <c r="AW1237" s="62"/>
      <c r="AX1237" s="62"/>
      <c r="AY1237" s="62"/>
      <c r="AZ1237" s="62"/>
    </row>
    <row r="1238" spans="1:52" x14ac:dyDescent="0.25">
      <c r="A1238" s="10">
        <v>17</v>
      </c>
      <c r="B1238" s="30"/>
      <c r="C1238" s="88"/>
      <c r="D1238" s="32"/>
      <c r="E1238" s="32"/>
      <c r="F1238" s="32"/>
      <c r="G1238" s="32">
        <f t="shared" si="357"/>
        <v>0</v>
      </c>
      <c r="H1238" s="12"/>
      <c r="I1238" s="12"/>
      <c r="J1238" s="12"/>
      <c r="K1238" s="12">
        <f t="shared" si="358"/>
        <v>0</v>
      </c>
      <c r="L1238" s="18"/>
      <c r="M1238" s="10">
        <v>17</v>
      </c>
      <c r="N1238" s="30" t="s">
        <v>98</v>
      </c>
      <c r="O1238" s="31">
        <f t="shared" si="366"/>
        <v>8267</v>
      </c>
      <c r="P1238" s="35">
        <f>6260</f>
        <v>6260</v>
      </c>
      <c r="Q1238" s="32"/>
      <c r="R1238" s="32"/>
      <c r="S1238" s="32">
        <f t="shared" si="359"/>
        <v>6260</v>
      </c>
      <c r="T1238" s="12"/>
      <c r="U1238" s="12">
        <v>1110</v>
      </c>
      <c r="V1238" s="12"/>
      <c r="W1238" s="12">
        <f t="shared" si="360"/>
        <v>7370</v>
      </c>
      <c r="Y1238" s="10">
        <v>17</v>
      </c>
      <c r="Z1238" s="30"/>
      <c r="AA1238" s="31"/>
      <c r="AB1238" s="35"/>
      <c r="AC1238" s="32"/>
      <c r="AD1238" s="32"/>
      <c r="AE1238" s="32">
        <f t="shared" si="361"/>
        <v>0</v>
      </c>
      <c r="AF1238" s="12"/>
      <c r="AG1238" s="12"/>
      <c r="AH1238" s="12"/>
      <c r="AI1238" s="12">
        <f t="shared" si="362"/>
        <v>0</v>
      </c>
      <c r="AK1238" s="10">
        <v>17</v>
      </c>
      <c r="AL1238" s="30"/>
      <c r="AM1238" s="31"/>
      <c r="AN1238" s="35"/>
      <c r="AO1238" s="32"/>
      <c r="AP1238" s="32"/>
      <c r="AQ1238" s="32">
        <f t="shared" si="363"/>
        <v>0</v>
      </c>
      <c r="AR1238" s="12"/>
      <c r="AS1238" s="12"/>
      <c r="AT1238" s="12"/>
      <c r="AU1238" s="12">
        <f t="shared" si="364"/>
        <v>0</v>
      </c>
      <c r="AV1238" s="18"/>
      <c r="AW1238" s="62"/>
      <c r="AX1238" s="62"/>
      <c r="AY1238" s="62"/>
      <c r="AZ1238" s="62"/>
    </row>
    <row r="1239" spans="1:52" x14ac:dyDescent="0.25">
      <c r="A1239" s="10">
        <v>18</v>
      </c>
      <c r="B1239" s="30"/>
      <c r="C1239" s="88"/>
      <c r="D1239" s="32"/>
      <c r="E1239" s="32"/>
      <c r="F1239" s="32"/>
      <c r="G1239" s="32">
        <f t="shared" si="357"/>
        <v>0</v>
      </c>
      <c r="H1239" s="12"/>
      <c r="I1239" s="12"/>
      <c r="J1239" s="12"/>
      <c r="K1239" s="12">
        <f t="shared" si="358"/>
        <v>0</v>
      </c>
      <c r="L1239" s="18"/>
      <c r="M1239" s="10">
        <v>18</v>
      </c>
      <c r="N1239" s="30" t="s">
        <v>98</v>
      </c>
      <c r="O1239" s="31">
        <f t="shared" si="366"/>
        <v>8268</v>
      </c>
      <c r="P1239" s="32">
        <f>626*108+614*8+596*20+832*2+500*2</f>
        <v>87104</v>
      </c>
      <c r="Q1239" s="32"/>
      <c r="R1239" s="32"/>
      <c r="S1239" s="32">
        <f t="shared" si="359"/>
        <v>87104</v>
      </c>
      <c r="T1239" s="12"/>
      <c r="U1239" s="12">
        <v>103.5</v>
      </c>
      <c r="V1239" s="12">
        <v>-20000</v>
      </c>
      <c r="W1239" s="12">
        <f t="shared" si="360"/>
        <v>67207.5</v>
      </c>
      <c r="Y1239" s="10">
        <v>18</v>
      </c>
      <c r="Z1239" s="30"/>
      <c r="AA1239" s="31"/>
      <c r="AB1239" s="32"/>
      <c r="AC1239" s="32"/>
      <c r="AD1239" s="32"/>
      <c r="AE1239" s="32">
        <f t="shared" si="361"/>
        <v>0</v>
      </c>
      <c r="AF1239" s="12"/>
      <c r="AG1239" s="12"/>
      <c r="AH1239" s="12"/>
      <c r="AI1239" s="12">
        <f t="shared" si="362"/>
        <v>0</v>
      </c>
      <c r="AK1239" s="10">
        <v>18</v>
      </c>
      <c r="AL1239" s="30"/>
      <c r="AM1239" s="31"/>
      <c r="AN1239" s="32"/>
      <c r="AO1239" s="32"/>
      <c r="AP1239" s="32"/>
      <c r="AQ1239" s="32">
        <f t="shared" si="363"/>
        <v>0</v>
      </c>
      <c r="AR1239" s="12"/>
      <c r="AS1239" s="12"/>
      <c r="AT1239" s="12"/>
      <c r="AU1239" s="12">
        <f t="shared" si="364"/>
        <v>0</v>
      </c>
      <c r="AV1239" s="18"/>
      <c r="AW1239" s="62"/>
      <c r="AX1239" s="62"/>
      <c r="AY1239" s="62"/>
      <c r="AZ1239" s="62"/>
    </row>
    <row r="1240" spans="1:52" x14ac:dyDescent="0.25">
      <c r="A1240" s="10">
        <v>19</v>
      </c>
      <c r="B1240" s="30"/>
      <c r="C1240" s="88"/>
      <c r="D1240" s="32"/>
      <c r="E1240" s="32"/>
      <c r="F1240" s="32"/>
      <c r="G1240" s="32">
        <f t="shared" si="357"/>
        <v>0</v>
      </c>
      <c r="H1240" s="12"/>
      <c r="I1240" s="12"/>
      <c r="J1240" s="12"/>
      <c r="K1240" s="12">
        <f t="shared" si="358"/>
        <v>0</v>
      </c>
      <c r="L1240" s="18"/>
      <c r="M1240" s="10">
        <v>19</v>
      </c>
      <c r="N1240" s="30"/>
      <c r="O1240" s="11" t="s">
        <v>27</v>
      </c>
      <c r="P1240" s="32"/>
      <c r="Q1240" s="32"/>
      <c r="R1240" s="32"/>
      <c r="S1240" s="32">
        <f t="shared" si="359"/>
        <v>0</v>
      </c>
      <c r="T1240" s="12"/>
      <c r="U1240" s="12"/>
      <c r="V1240" s="12"/>
      <c r="W1240" s="12">
        <f t="shared" si="360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361"/>
        <v>0</v>
      </c>
      <c r="AF1240" s="12"/>
      <c r="AG1240" s="12"/>
      <c r="AH1240" s="12"/>
      <c r="AI1240" s="12">
        <f t="shared" si="362"/>
        <v>0</v>
      </c>
      <c r="AK1240" s="10">
        <v>19</v>
      </c>
      <c r="AL1240" s="30"/>
      <c r="AM1240" s="31"/>
      <c r="AN1240" s="32"/>
      <c r="AO1240" s="32"/>
      <c r="AP1240" s="32"/>
      <c r="AQ1240" s="32">
        <f t="shared" si="363"/>
        <v>0</v>
      </c>
      <c r="AR1240" s="12"/>
      <c r="AS1240" s="12"/>
      <c r="AT1240" s="12"/>
      <c r="AU1240" s="12">
        <f t="shared" si="364"/>
        <v>0</v>
      </c>
      <c r="AV1240" s="18"/>
      <c r="AW1240" s="62"/>
      <c r="AX1240" s="62"/>
      <c r="AY1240" s="62"/>
      <c r="AZ1240" s="62"/>
    </row>
    <row r="1241" spans="1:52" x14ac:dyDescent="0.25">
      <c r="A1241" s="10">
        <v>20</v>
      </c>
      <c r="B1241" s="30"/>
      <c r="C1241" s="88"/>
      <c r="D1241" s="32"/>
      <c r="E1241" s="32"/>
      <c r="F1241" s="32"/>
      <c r="G1241" s="32">
        <f t="shared" si="357"/>
        <v>0</v>
      </c>
      <c r="H1241" s="12"/>
      <c r="I1241" s="12"/>
      <c r="J1241" s="12"/>
      <c r="K1241" s="12">
        <f t="shared" si="358"/>
        <v>0</v>
      </c>
      <c r="L1241" s="18"/>
      <c r="M1241" s="10">
        <v>20</v>
      </c>
      <c r="N1241" s="30"/>
      <c r="O1241" s="31"/>
      <c r="P1241" s="32"/>
      <c r="Q1241" s="32"/>
      <c r="R1241" s="32"/>
      <c r="S1241" s="32">
        <f t="shared" si="359"/>
        <v>0</v>
      </c>
      <c r="T1241" s="12"/>
      <c r="U1241" s="12"/>
      <c r="V1241" s="12"/>
      <c r="W1241" s="12">
        <f t="shared" si="360"/>
        <v>0</v>
      </c>
      <c r="Y1241" s="10">
        <v>20</v>
      </c>
      <c r="Z1241" s="30"/>
      <c r="AB1241" s="32"/>
      <c r="AC1241" s="32"/>
      <c r="AD1241" s="32"/>
      <c r="AE1241" s="32">
        <f t="shared" si="361"/>
        <v>0</v>
      </c>
      <c r="AF1241" s="12"/>
      <c r="AG1241" s="12"/>
      <c r="AH1241" s="12"/>
      <c r="AI1241" s="12">
        <f t="shared" si="362"/>
        <v>0</v>
      </c>
      <c r="AK1241" s="10">
        <v>20</v>
      </c>
      <c r="AL1241" s="30"/>
      <c r="AM1241" s="31"/>
      <c r="AN1241" s="32"/>
      <c r="AO1241" s="32"/>
      <c r="AP1241" s="32"/>
      <c r="AQ1241" s="32">
        <f t="shared" si="363"/>
        <v>0</v>
      </c>
      <c r="AR1241" s="12"/>
      <c r="AS1241" s="12"/>
      <c r="AT1241" s="12"/>
      <c r="AU1241" s="12">
        <f t="shared" si="364"/>
        <v>0</v>
      </c>
      <c r="AV1241" s="18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57"/>
      <c r="D1242" s="32"/>
      <c r="E1242" s="32"/>
      <c r="F1242" s="32"/>
      <c r="G1242" s="32">
        <f t="shared" si="357"/>
        <v>0</v>
      </c>
      <c r="H1242" s="10"/>
      <c r="I1242" s="10"/>
      <c r="J1242" s="10"/>
      <c r="K1242" s="12">
        <f t="shared" si="358"/>
        <v>0</v>
      </c>
      <c r="L1242" s="18"/>
      <c r="M1242" s="10">
        <v>21</v>
      </c>
      <c r="N1242" s="30"/>
      <c r="O1242" s="31"/>
      <c r="P1242" s="46"/>
      <c r="Q1242" s="31"/>
      <c r="R1242" s="31"/>
      <c r="S1242" s="32">
        <f t="shared" si="359"/>
        <v>0</v>
      </c>
      <c r="T1242" s="10"/>
      <c r="U1242" s="10"/>
      <c r="V1242" s="10"/>
      <c r="W1242" s="12">
        <f t="shared" si="360"/>
        <v>0</v>
      </c>
      <c r="Y1242" s="10">
        <v>21</v>
      </c>
      <c r="Z1242" s="30"/>
      <c r="AB1242" s="46"/>
      <c r="AC1242" s="31"/>
      <c r="AD1242" s="31"/>
      <c r="AE1242" s="32">
        <f t="shared" si="361"/>
        <v>0</v>
      </c>
      <c r="AF1242" s="10"/>
      <c r="AG1242" s="10"/>
      <c r="AH1242" s="10"/>
      <c r="AI1242" s="12">
        <f t="shared" si="362"/>
        <v>0</v>
      </c>
      <c r="AK1242" s="10">
        <v>21</v>
      </c>
      <c r="AL1242" s="30"/>
      <c r="AM1242" s="31"/>
      <c r="AN1242" s="46"/>
      <c r="AO1242" s="31"/>
      <c r="AP1242" s="31"/>
      <c r="AQ1242" s="32">
        <f t="shared" si="363"/>
        <v>0</v>
      </c>
      <c r="AR1242" s="10"/>
      <c r="AS1242" s="10"/>
      <c r="AT1242" s="10"/>
      <c r="AU1242" s="12">
        <f t="shared" si="364"/>
        <v>0</v>
      </c>
      <c r="AV1242" s="18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88"/>
      <c r="D1243" s="32"/>
      <c r="E1243" s="32"/>
      <c r="F1243" s="32"/>
      <c r="G1243" s="32">
        <f t="shared" si="357"/>
        <v>0</v>
      </c>
      <c r="H1243" s="10"/>
      <c r="I1243" s="10"/>
      <c r="J1243" s="10"/>
      <c r="K1243" s="12">
        <f t="shared" si="358"/>
        <v>0</v>
      </c>
      <c r="L1243" s="18"/>
      <c r="M1243" s="10">
        <v>22</v>
      </c>
      <c r="N1243" s="30"/>
      <c r="O1243" s="31"/>
      <c r="P1243" s="45"/>
      <c r="Q1243" s="31"/>
      <c r="R1243" s="31"/>
      <c r="S1243" s="32">
        <f t="shared" si="359"/>
        <v>0</v>
      </c>
      <c r="T1243" s="10"/>
      <c r="U1243" s="10"/>
      <c r="V1243" s="10"/>
      <c r="W1243" s="12">
        <f t="shared" si="360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361"/>
        <v>0</v>
      </c>
      <c r="AF1243" s="10"/>
      <c r="AG1243" s="10"/>
      <c r="AH1243" s="10"/>
      <c r="AI1243" s="12">
        <f t="shared" si="362"/>
        <v>0</v>
      </c>
      <c r="AK1243" s="10">
        <v>22</v>
      </c>
      <c r="AL1243" s="30"/>
      <c r="AM1243" s="31"/>
      <c r="AN1243" s="45"/>
      <c r="AO1243" s="31"/>
      <c r="AP1243" s="31"/>
      <c r="AQ1243" s="32">
        <f t="shared" si="363"/>
        <v>0</v>
      </c>
      <c r="AR1243" s="10"/>
      <c r="AS1243" s="10"/>
      <c r="AT1243" s="10"/>
      <c r="AU1243" s="12">
        <f t="shared" si="364"/>
        <v>0</v>
      </c>
      <c r="AV1243" s="18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88"/>
      <c r="D1244" s="32"/>
      <c r="E1244" s="32"/>
      <c r="F1244" s="32"/>
      <c r="G1244" s="32">
        <f t="shared" si="357"/>
        <v>0</v>
      </c>
      <c r="H1244" s="10"/>
      <c r="I1244" s="10"/>
      <c r="J1244" s="12"/>
      <c r="K1244" s="12">
        <f t="shared" si="358"/>
        <v>0</v>
      </c>
      <c r="L1244" s="18"/>
      <c r="M1244" s="10">
        <v>23</v>
      </c>
      <c r="N1244" s="30"/>
      <c r="O1244" s="31"/>
      <c r="P1244" s="47"/>
      <c r="S1244" s="32">
        <f t="shared" si="359"/>
        <v>0</v>
      </c>
      <c r="T1244" s="10"/>
      <c r="U1244" s="10"/>
      <c r="V1244" s="10"/>
      <c r="W1244" s="12">
        <f t="shared" si="360"/>
        <v>0</v>
      </c>
      <c r="Y1244" s="10">
        <v>23</v>
      </c>
      <c r="Z1244" s="30"/>
      <c r="AA1244" s="31"/>
      <c r="AB1244" s="47"/>
      <c r="AE1244" s="32">
        <f t="shared" si="361"/>
        <v>0</v>
      </c>
      <c r="AF1244" s="10"/>
      <c r="AG1244" s="10"/>
      <c r="AH1244" s="10"/>
      <c r="AI1244" s="12">
        <f t="shared" si="362"/>
        <v>0</v>
      </c>
      <c r="AK1244" s="10">
        <v>23</v>
      </c>
      <c r="AL1244" s="30"/>
      <c r="AM1244" s="31"/>
      <c r="AN1244" s="47"/>
      <c r="AQ1244" s="32">
        <f t="shared" si="363"/>
        <v>0</v>
      </c>
      <c r="AR1244" s="10"/>
      <c r="AS1244" s="10"/>
      <c r="AT1244" s="10"/>
      <c r="AU1244" s="12">
        <f t="shared" si="364"/>
        <v>0</v>
      </c>
      <c r="AV1244" s="18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57"/>
      <c r="D1245" s="32"/>
      <c r="E1245" s="32"/>
      <c r="F1245" s="32"/>
      <c r="G1245" s="32">
        <f t="shared" si="357"/>
        <v>0</v>
      </c>
      <c r="H1245" s="10"/>
      <c r="I1245" s="10"/>
      <c r="J1245" s="10"/>
      <c r="K1245" s="12">
        <f t="shared" si="358"/>
        <v>0</v>
      </c>
      <c r="L1245" s="18"/>
      <c r="M1245" s="10">
        <v>24</v>
      </c>
      <c r="N1245" s="30"/>
      <c r="O1245" s="31"/>
      <c r="P1245" s="47"/>
      <c r="Q1245" s="31"/>
      <c r="R1245" s="31"/>
      <c r="S1245" s="32">
        <f t="shared" si="359"/>
        <v>0</v>
      </c>
      <c r="T1245" s="10"/>
      <c r="U1245" s="10"/>
      <c r="V1245" s="10"/>
      <c r="W1245" s="12">
        <f t="shared" si="360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361"/>
        <v>0</v>
      </c>
      <c r="AF1245" s="10"/>
      <c r="AG1245" s="10"/>
      <c r="AH1245" s="10"/>
      <c r="AI1245" s="12">
        <f t="shared" si="362"/>
        <v>0</v>
      </c>
      <c r="AK1245" s="10">
        <v>24</v>
      </c>
      <c r="AL1245" s="30"/>
      <c r="AM1245" s="31"/>
      <c r="AN1245" s="47"/>
      <c r="AO1245" s="31"/>
      <c r="AP1245" s="31"/>
      <c r="AQ1245" s="32">
        <f t="shared" si="363"/>
        <v>0</v>
      </c>
      <c r="AR1245" s="10"/>
      <c r="AS1245" s="10"/>
      <c r="AT1245" s="10"/>
      <c r="AU1245" s="12">
        <f t="shared" si="364"/>
        <v>0</v>
      </c>
      <c r="AV1245" s="18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31"/>
      <c r="D1246" s="32"/>
      <c r="E1246" s="32"/>
      <c r="F1246" s="32"/>
      <c r="G1246" s="32">
        <f t="shared" si="357"/>
        <v>0</v>
      </c>
      <c r="H1246" s="10"/>
      <c r="I1246" s="10"/>
      <c r="J1246" s="10"/>
      <c r="K1246" s="12">
        <f t="shared" si="358"/>
        <v>0</v>
      </c>
      <c r="L1246" s="18"/>
      <c r="M1246" s="10">
        <v>25</v>
      </c>
      <c r="N1246" s="30"/>
      <c r="O1246" s="31"/>
      <c r="P1246" s="47"/>
      <c r="Q1246" s="31"/>
      <c r="R1246" s="31"/>
      <c r="S1246" s="32">
        <f t="shared" si="359"/>
        <v>0</v>
      </c>
      <c r="T1246" s="10"/>
      <c r="U1246" s="10"/>
      <c r="V1246" s="10"/>
      <c r="W1246" s="12">
        <f t="shared" si="360"/>
        <v>0</v>
      </c>
      <c r="Y1246" s="10">
        <v>25</v>
      </c>
      <c r="Z1246" s="30"/>
      <c r="AB1246" s="47"/>
      <c r="AC1246" s="31"/>
      <c r="AD1246" s="31"/>
      <c r="AE1246" s="32">
        <f t="shared" si="361"/>
        <v>0</v>
      </c>
      <c r="AF1246" s="10"/>
      <c r="AG1246" s="10"/>
      <c r="AH1246" s="10"/>
      <c r="AI1246" s="12">
        <f t="shared" si="362"/>
        <v>0</v>
      </c>
      <c r="AK1246" s="10">
        <v>25</v>
      </c>
      <c r="AL1246" s="30"/>
      <c r="AN1246" s="47"/>
      <c r="AO1246" s="31"/>
      <c r="AP1246" s="31"/>
      <c r="AQ1246" s="32">
        <f t="shared" si="363"/>
        <v>0</v>
      </c>
      <c r="AR1246" s="10"/>
      <c r="AS1246" s="10"/>
      <c r="AT1246" s="10"/>
      <c r="AU1246" s="12">
        <f t="shared" si="364"/>
        <v>0</v>
      </c>
      <c r="AV1246" s="18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C1247" s="11"/>
      <c r="D1247" s="32"/>
      <c r="E1247" s="32"/>
      <c r="F1247" s="32"/>
      <c r="G1247" s="32">
        <f t="shared" si="357"/>
        <v>0</v>
      </c>
      <c r="H1247" s="10"/>
      <c r="I1247" s="10"/>
      <c r="J1247" s="10"/>
      <c r="K1247" s="12">
        <f t="shared" si="358"/>
        <v>0</v>
      </c>
      <c r="L1247" s="18"/>
      <c r="M1247" s="10">
        <v>26</v>
      </c>
      <c r="N1247" s="30"/>
      <c r="P1247" s="47"/>
      <c r="Q1247" s="31"/>
      <c r="R1247" s="31"/>
      <c r="S1247" s="32">
        <f t="shared" si="359"/>
        <v>0</v>
      </c>
      <c r="T1247" s="10"/>
      <c r="U1247" s="10"/>
      <c r="V1247" s="10"/>
      <c r="W1247" s="12">
        <f t="shared" si="360"/>
        <v>0</v>
      </c>
      <c r="Y1247" s="10">
        <v>26</v>
      </c>
      <c r="Z1247" s="30"/>
      <c r="AB1247" s="47"/>
      <c r="AC1247" s="31"/>
      <c r="AD1247" s="31"/>
      <c r="AE1247" s="32">
        <f t="shared" si="361"/>
        <v>0</v>
      </c>
      <c r="AF1247" s="10"/>
      <c r="AG1247" s="10"/>
      <c r="AH1247" s="10"/>
      <c r="AI1247" s="12">
        <f t="shared" si="362"/>
        <v>0</v>
      </c>
      <c r="AK1247" s="10">
        <v>26</v>
      </c>
      <c r="AL1247" s="30"/>
      <c r="AN1247" s="47"/>
      <c r="AO1247" s="31"/>
      <c r="AP1247" s="31"/>
      <c r="AQ1247" s="32">
        <f t="shared" si="363"/>
        <v>0</v>
      </c>
      <c r="AR1247" s="10"/>
      <c r="AS1247" s="10"/>
      <c r="AT1247" s="10"/>
      <c r="AU1247" s="12">
        <f t="shared" si="364"/>
        <v>0</v>
      </c>
      <c r="AV1247" s="18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57"/>
      <c r="D1248" s="32"/>
      <c r="E1248" s="32"/>
      <c r="F1248" s="32"/>
      <c r="G1248" s="32">
        <f t="shared" si="357"/>
        <v>0</v>
      </c>
      <c r="H1248" s="10"/>
      <c r="I1248" s="10"/>
      <c r="J1248" s="10"/>
      <c r="K1248" s="12">
        <f t="shared" si="358"/>
        <v>0</v>
      </c>
      <c r="L1248" s="18"/>
      <c r="M1248" s="10">
        <v>27</v>
      </c>
      <c r="N1248" s="30"/>
      <c r="O1248" s="31"/>
      <c r="P1248" s="47"/>
      <c r="Q1248" s="31"/>
      <c r="R1248" s="31"/>
      <c r="S1248" s="32">
        <f t="shared" si="359"/>
        <v>0</v>
      </c>
      <c r="T1248" s="10"/>
      <c r="U1248" s="10"/>
      <c r="V1248" s="10"/>
      <c r="W1248" s="12">
        <f t="shared" si="360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361"/>
        <v>0</v>
      </c>
      <c r="AF1248" s="10"/>
      <c r="AG1248" s="10"/>
      <c r="AH1248" s="10"/>
      <c r="AI1248" s="12">
        <f t="shared" si="362"/>
        <v>0</v>
      </c>
      <c r="AK1248" s="10">
        <v>27</v>
      </c>
      <c r="AL1248" s="30"/>
      <c r="AM1248" s="31"/>
      <c r="AN1248" s="47"/>
      <c r="AO1248" s="31"/>
      <c r="AP1248" s="31"/>
      <c r="AQ1248" s="32">
        <f t="shared" si="363"/>
        <v>0</v>
      </c>
      <c r="AR1248" s="10"/>
      <c r="AS1248" s="10"/>
      <c r="AT1248" s="10"/>
      <c r="AU1248" s="12">
        <f t="shared" si="364"/>
        <v>0</v>
      </c>
      <c r="AV1248" s="18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31"/>
      <c r="D1249" s="32"/>
      <c r="E1249" s="32"/>
      <c r="F1249" s="32"/>
      <c r="G1249" s="32">
        <f t="shared" si="357"/>
        <v>0</v>
      </c>
      <c r="H1249" s="10"/>
      <c r="I1249" s="10"/>
      <c r="J1249" s="10"/>
      <c r="K1249" s="12">
        <f t="shared" si="358"/>
        <v>0</v>
      </c>
      <c r="L1249" s="18"/>
      <c r="M1249" s="10">
        <v>28</v>
      </c>
      <c r="N1249" s="30"/>
      <c r="O1249" s="31"/>
      <c r="P1249" s="47"/>
      <c r="Q1249" s="31"/>
      <c r="R1249" s="31"/>
      <c r="S1249" s="32">
        <f t="shared" si="359"/>
        <v>0</v>
      </c>
      <c r="T1249" s="10"/>
      <c r="U1249" s="10"/>
      <c r="V1249" s="10"/>
      <c r="W1249" s="12">
        <f t="shared" si="360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61"/>
        <v>0</v>
      </c>
      <c r="AF1249" s="10"/>
      <c r="AG1249" s="10"/>
      <c r="AH1249" s="10"/>
      <c r="AI1249" s="12">
        <f t="shared" si="362"/>
        <v>0</v>
      </c>
      <c r="AK1249" s="10">
        <v>28</v>
      </c>
      <c r="AL1249" s="30"/>
      <c r="AM1249" s="31"/>
      <c r="AN1249" s="47"/>
      <c r="AO1249" s="31"/>
      <c r="AP1249" s="31"/>
      <c r="AQ1249" s="32">
        <f t="shared" si="363"/>
        <v>0</v>
      </c>
      <c r="AR1249" s="10"/>
      <c r="AS1249" s="10"/>
      <c r="AT1249" s="10"/>
      <c r="AU1249" s="12">
        <f t="shared" si="364"/>
        <v>0</v>
      </c>
      <c r="AV1249" s="18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31"/>
      <c r="D1250" s="32"/>
      <c r="E1250" s="32"/>
      <c r="F1250" s="32"/>
      <c r="G1250" s="32">
        <f t="shared" si="357"/>
        <v>0</v>
      </c>
      <c r="H1250" s="10"/>
      <c r="I1250" s="10"/>
      <c r="J1250" s="10"/>
      <c r="K1250" s="12">
        <f t="shared" si="358"/>
        <v>0</v>
      </c>
      <c r="L1250" s="18"/>
      <c r="M1250" s="10">
        <v>29</v>
      </c>
      <c r="N1250" s="30"/>
      <c r="P1250" s="47"/>
      <c r="Q1250" s="31"/>
      <c r="R1250" s="31"/>
      <c r="S1250" s="32">
        <f t="shared" si="359"/>
        <v>0</v>
      </c>
      <c r="T1250" s="10"/>
      <c r="U1250" s="10"/>
      <c r="V1250" s="10"/>
      <c r="W1250" s="12">
        <f t="shared" si="360"/>
        <v>0</v>
      </c>
      <c r="Y1250" s="10">
        <v>29</v>
      </c>
      <c r="Z1250" s="30"/>
      <c r="AB1250" s="47"/>
      <c r="AC1250" s="31"/>
      <c r="AD1250" s="31"/>
      <c r="AE1250" s="32">
        <f t="shared" si="361"/>
        <v>0</v>
      </c>
      <c r="AF1250" s="10"/>
      <c r="AG1250" s="10"/>
      <c r="AH1250" s="10"/>
      <c r="AI1250" s="12">
        <f t="shared" si="362"/>
        <v>0</v>
      </c>
      <c r="AK1250" s="10">
        <v>29</v>
      </c>
      <c r="AL1250" s="30"/>
      <c r="AM1250" s="31"/>
      <c r="AN1250" s="47"/>
      <c r="AO1250" s="31"/>
      <c r="AP1250" s="31"/>
      <c r="AQ1250" s="32">
        <f t="shared" si="363"/>
        <v>0</v>
      </c>
      <c r="AR1250" s="10"/>
      <c r="AS1250" s="10"/>
      <c r="AT1250" s="10"/>
      <c r="AU1250" s="12">
        <f t="shared" si="364"/>
        <v>0</v>
      </c>
      <c r="AV1250" s="18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57"/>
      <c r="D1251" s="32"/>
      <c r="E1251" s="32"/>
      <c r="F1251" s="32"/>
      <c r="G1251" s="32">
        <f t="shared" si="357"/>
        <v>0</v>
      </c>
      <c r="H1251" s="10"/>
      <c r="I1251" s="10"/>
      <c r="J1251" s="10"/>
      <c r="K1251" s="12">
        <f t="shared" si="358"/>
        <v>0</v>
      </c>
      <c r="L1251" s="18"/>
      <c r="M1251" s="10">
        <v>30</v>
      </c>
      <c r="N1251" s="30"/>
      <c r="P1251" s="47"/>
      <c r="Q1251" s="31"/>
      <c r="R1251" s="31"/>
      <c r="S1251" s="32">
        <f t="shared" si="359"/>
        <v>0</v>
      </c>
      <c r="T1251" s="10"/>
      <c r="U1251" s="10"/>
      <c r="V1251" s="10"/>
      <c r="W1251" s="12">
        <f t="shared" si="360"/>
        <v>0</v>
      </c>
      <c r="Y1251" s="10">
        <v>30</v>
      </c>
      <c r="Z1251" s="30"/>
      <c r="AB1251" s="47"/>
      <c r="AC1251" s="31"/>
      <c r="AD1251" s="31"/>
      <c r="AE1251" s="32">
        <f t="shared" si="361"/>
        <v>0</v>
      </c>
      <c r="AF1251" s="10"/>
      <c r="AG1251" s="10"/>
      <c r="AH1251" s="10"/>
      <c r="AI1251" s="12">
        <f t="shared" si="362"/>
        <v>0</v>
      </c>
      <c r="AK1251" s="10">
        <v>30</v>
      </c>
      <c r="AL1251" s="30"/>
      <c r="AN1251" s="47"/>
      <c r="AO1251" s="31"/>
      <c r="AP1251" s="31"/>
      <c r="AQ1251" s="32">
        <f t="shared" si="363"/>
        <v>0</v>
      </c>
      <c r="AR1251" s="10"/>
      <c r="AS1251" s="10"/>
      <c r="AT1251" s="10"/>
      <c r="AU1251" s="12">
        <f t="shared" si="364"/>
        <v>0</v>
      </c>
      <c r="AV1251" s="18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57"/>
      <c r="D1252" s="32"/>
      <c r="E1252" s="32"/>
      <c r="F1252" s="32"/>
      <c r="G1252" s="32">
        <f t="shared" si="357"/>
        <v>0</v>
      </c>
      <c r="H1252" s="10"/>
      <c r="I1252" s="10"/>
      <c r="J1252" s="10"/>
      <c r="K1252" s="12">
        <f t="shared" si="358"/>
        <v>0</v>
      </c>
      <c r="L1252" s="18"/>
      <c r="M1252" s="10">
        <v>31</v>
      </c>
      <c r="N1252" s="30"/>
      <c r="O1252" s="31"/>
      <c r="P1252" s="47"/>
      <c r="Q1252" s="31"/>
      <c r="R1252" s="31"/>
      <c r="S1252" s="32">
        <f t="shared" si="359"/>
        <v>0</v>
      </c>
      <c r="T1252" s="10"/>
      <c r="U1252" s="10"/>
      <c r="V1252" s="10"/>
      <c r="W1252" s="12">
        <f t="shared" si="360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361"/>
        <v>0</v>
      </c>
      <c r="AF1252" s="10"/>
      <c r="AG1252" s="10"/>
      <c r="AH1252" s="10"/>
      <c r="AI1252" s="12">
        <f t="shared" si="362"/>
        <v>0</v>
      </c>
      <c r="AK1252" s="10">
        <v>31</v>
      </c>
      <c r="AL1252" s="30"/>
      <c r="AN1252" s="47"/>
      <c r="AO1252" s="31"/>
      <c r="AP1252" s="31"/>
      <c r="AQ1252" s="32">
        <f t="shared" si="363"/>
        <v>0</v>
      </c>
      <c r="AR1252" s="10"/>
      <c r="AS1252" s="10"/>
      <c r="AT1252" s="10"/>
      <c r="AU1252" s="12">
        <f t="shared" si="364"/>
        <v>0</v>
      </c>
      <c r="AV1252" s="18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31"/>
      <c r="D1253" s="32"/>
      <c r="E1253" s="32"/>
      <c r="F1253" s="32"/>
      <c r="G1253" s="32">
        <f t="shared" si="357"/>
        <v>0</v>
      </c>
      <c r="H1253" s="10"/>
      <c r="I1253" s="10"/>
      <c r="J1253" s="10"/>
      <c r="K1253" s="12">
        <f t="shared" si="358"/>
        <v>0</v>
      </c>
      <c r="L1253" s="18"/>
      <c r="M1253" s="10">
        <v>32</v>
      </c>
      <c r="N1253" s="30"/>
      <c r="P1253" s="47"/>
      <c r="Q1253" s="31"/>
      <c r="R1253" s="31"/>
      <c r="S1253" s="32">
        <f t="shared" si="359"/>
        <v>0</v>
      </c>
      <c r="T1253" s="10"/>
      <c r="U1253" s="10"/>
      <c r="V1253" s="10"/>
      <c r="W1253" s="12">
        <f t="shared" si="360"/>
        <v>0</v>
      </c>
      <c r="Y1253" s="10">
        <v>32</v>
      </c>
      <c r="Z1253" s="30"/>
      <c r="AB1253" s="47"/>
      <c r="AC1253" s="31"/>
      <c r="AD1253" s="31"/>
      <c r="AE1253" s="32">
        <f t="shared" si="361"/>
        <v>0</v>
      </c>
      <c r="AF1253" s="10"/>
      <c r="AG1253" s="10"/>
      <c r="AH1253" s="10"/>
      <c r="AI1253" s="12">
        <f t="shared" si="362"/>
        <v>0</v>
      </c>
      <c r="AK1253" s="10">
        <v>32</v>
      </c>
      <c r="AL1253" s="30"/>
      <c r="AM1253" s="31"/>
      <c r="AN1253" s="47"/>
      <c r="AO1253" s="31"/>
      <c r="AP1253" s="31"/>
      <c r="AQ1253" s="32">
        <f t="shared" si="363"/>
        <v>0</v>
      </c>
      <c r="AR1253" s="10"/>
      <c r="AS1253" s="10"/>
      <c r="AT1253" s="10"/>
      <c r="AU1253" s="12">
        <f t="shared" si="364"/>
        <v>0</v>
      </c>
      <c r="AV1253" s="18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57"/>
      <c r="D1254" s="32"/>
      <c r="E1254" s="32"/>
      <c r="F1254" s="32"/>
      <c r="G1254" s="32">
        <f t="shared" si="357"/>
        <v>0</v>
      </c>
      <c r="H1254" s="10"/>
      <c r="I1254" s="10"/>
      <c r="J1254" s="10"/>
      <c r="K1254" s="12">
        <f t="shared" si="358"/>
        <v>0</v>
      </c>
      <c r="L1254" s="18"/>
      <c r="M1254" s="10">
        <v>33</v>
      </c>
      <c r="N1254" s="30"/>
      <c r="O1254" s="31"/>
      <c r="P1254" s="47"/>
      <c r="Q1254" s="31"/>
      <c r="R1254" s="31"/>
      <c r="S1254" s="32">
        <f t="shared" si="359"/>
        <v>0</v>
      </c>
      <c r="T1254" s="10"/>
      <c r="U1254" s="10"/>
      <c r="V1254" s="10"/>
      <c r="W1254" s="12">
        <f t="shared" si="360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61"/>
        <v>0</v>
      </c>
      <c r="AF1254" s="10"/>
      <c r="AG1254" s="10"/>
      <c r="AH1254" s="10"/>
      <c r="AI1254" s="12">
        <f t="shared" si="362"/>
        <v>0</v>
      </c>
      <c r="AK1254" s="10">
        <v>33</v>
      </c>
      <c r="AL1254" s="30"/>
      <c r="AM1254" s="31"/>
      <c r="AN1254" s="47"/>
      <c r="AO1254" s="31"/>
      <c r="AP1254" s="31"/>
      <c r="AQ1254" s="32">
        <f t="shared" si="363"/>
        <v>0</v>
      </c>
      <c r="AR1254" s="10"/>
      <c r="AS1254" s="10"/>
      <c r="AT1254" s="10"/>
      <c r="AU1254" s="12">
        <f t="shared" si="364"/>
        <v>0</v>
      </c>
      <c r="AV1254" s="18"/>
      <c r="AW1254" s="62"/>
      <c r="AX1254" s="62"/>
      <c r="AY1254" s="62"/>
      <c r="AZ1254" s="62"/>
    </row>
    <row r="1255" spans="1:52" x14ac:dyDescent="0.25">
      <c r="A1255" s="10"/>
      <c r="B1255" s="30"/>
      <c r="C1255" s="57"/>
      <c r="D1255" s="32"/>
      <c r="E1255" s="32"/>
      <c r="F1255" s="32"/>
      <c r="G1255" s="32">
        <f t="shared" si="357"/>
        <v>0</v>
      </c>
      <c r="H1255" s="10"/>
      <c r="I1255" s="10"/>
      <c r="J1255" s="10"/>
      <c r="K1255" s="12">
        <f t="shared" si="358"/>
        <v>0</v>
      </c>
      <c r="L1255" s="18"/>
      <c r="M1255" s="10">
        <v>34</v>
      </c>
      <c r="N1255" s="30"/>
      <c r="O1255" s="31"/>
      <c r="P1255" s="47"/>
      <c r="Q1255" s="31"/>
      <c r="R1255" s="31"/>
      <c r="S1255" s="32">
        <f t="shared" ref="S1255:S1260" si="369">SUM(P1255:Q1255)</f>
        <v>0</v>
      </c>
      <c r="T1255" s="10"/>
      <c r="U1255" s="10"/>
      <c r="V1255" s="10"/>
      <c r="W1255" s="12">
        <f t="shared" si="360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ref="AE1255:AE1260" si="370">SUM(AB1255:AC1255)</f>
        <v>0</v>
      </c>
      <c r="AF1255" s="10"/>
      <c r="AG1255" s="10"/>
      <c r="AH1255" s="10"/>
      <c r="AI1255" s="12">
        <f t="shared" si="362"/>
        <v>0</v>
      </c>
      <c r="AK1255" s="10">
        <v>34</v>
      </c>
      <c r="AL1255" s="30"/>
      <c r="AN1255" s="47"/>
      <c r="AO1255" s="31"/>
      <c r="AP1255" s="31"/>
      <c r="AQ1255" s="32">
        <f t="shared" si="363"/>
        <v>0</v>
      </c>
      <c r="AR1255" s="10"/>
      <c r="AS1255" s="10"/>
      <c r="AT1255" s="10"/>
      <c r="AU1255" s="12">
        <f t="shared" ref="AU1255:AU1263" si="371">SUM(AQ1255:AT1255)</f>
        <v>0</v>
      </c>
      <c r="AV1255" s="18"/>
      <c r="AW1255" s="62"/>
      <c r="AX1255" s="62"/>
      <c r="AY1255" s="62"/>
      <c r="AZ1255" s="62"/>
    </row>
    <row r="1256" spans="1:52" x14ac:dyDescent="0.25">
      <c r="A1256" s="10"/>
      <c r="B1256" s="30"/>
      <c r="C1256" s="31"/>
      <c r="D1256" s="32"/>
      <c r="E1256" s="32"/>
      <c r="F1256" s="32"/>
      <c r="G1256" s="32"/>
      <c r="H1256" s="10"/>
      <c r="I1256" s="10"/>
      <c r="J1256" s="10"/>
      <c r="K1256" s="12"/>
      <c r="L1256" s="18"/>
      <c r="M1256" s="10">
        <v>35</v>
      </c>
      <c r="N1256" s="30"/>
      <c r="O1256" s="31"/>
      <c r="P1256" s="47"/>
      <c r="Q1256" s="31"/>
      <c r="R1256" s="31"/>
      <c r="S1256" s="32">
        <f t="shared" si="369"/>
        <v>0</v>
      </c>
      <c r="T1256" s="10"/>
      <c r="U1256" s="10"/>
      <c r="V1256" s="10"/>
      <c r="W1256" s="12">
        <f t="shared" si="360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70"/>
        <v>0</v>
      </c>
      <c r="AF1256" s="10"/>
      <c r="AG1256" s="10"/>
      <c r="AH1256" s="10"/>
      <c r="AI1256" s="12">
        <f t="shared" si="362"/>
        <v>0</v>
      </c>
      <c r="AK1256" s="10">
        <v>35</v>
      </c>
      <c r="AL1256" s="30"/>
      <c r="AM1256" s="31"/>
      <c r="AN1256" s="47"/>
      <c r="AO1256" s="31"/>
      <c r="AP1256" s="31"/>
      <c r="AQ1256" s="32">
        <f t="shared" si="363"/>
        <v>0</v>
      </c>
      <c r="AR1256" s="10"/>
      <c r="AS1256" s="10"/>
      <c r="AT1256" s="10"/>
      <c r="AU1256" s="12">
        <f t="shared" si="371"/>
        <v>0</v>
      </c>
      <c r="AV1256" s="18"/>
      <c r="AW1256" s="62"/>
      <c r="AX1256" s="62"/>
      <c r="AY1256" s="62"/>
      <c r="AZ1256" s="62"/>
    </row>
    <row r="1257" spans="1:52" x14ac:dyDescent="0.25">
      <c r="A1257" s="10"/>
      <c r="B1257" s="30"/>
      <c r="C1257" s="31"/>
      <c r="D1257" s="32"/>
      <c r="E1257" s="32"/>
      <c r="F1257" s="32"/>
      <c r="G1257" s="32"/>
      <c r="H1257" s="10"/>
      <c r="I1257" s="10"/>
      <c r="J1257" s="10"/>
      <c r="K1257" s="12"/>
      <c r="L1257" s="18"/>
      <c r="M1257" s="10">
        <v>36</v>
      </c>
      <c r="N1257" s="30"/>
      <c r="O1257" s="31"/>
      <c r="P1257" s="47"/>
      <c r="Q1257" s="31"/>
      <c r="R1257" s="31"/>
      <c r="S1257" s="32">
        <f t="shared" si="369"/>
        <v>0</v>
      </c>
      <c r="T1257" s="10"/>
      <c r="U1257" s="10"/>
      <c r="V1257" s="10"/>
      <c r="W1257" s="12">
        <f t="shared" si="360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70"/>
        <v>0</v>
      </c>
      <c r="AF1257" s="10"/>
      <c r="AG1257" s="10"/>
      <c r="AH1257" s="10"/>
      <c r="AI1257" s="12">
        <f t="shared" si="362"/>
        <v>0</v>
      </c>
      <c r="AK1257" s="10">
        <v>36</v>
      </c>
      <c r="AL1257" s="30"/>
      <c r="AM1257" s="31"/>
      <c r="AN1257" s="47"/>
      <c r="AO1257" s="31"/>
      <c r="AP1257" s="31"/>
      <c r="AQ1257" s="32">
        <f t="shared" si="363"/>
        <v>0</v>
      </c>
      <c r="AR1257" s="10"/>
      <c r="AS1257" s="10"/>
      <c r="AT1257" s="10"/>
      <c r="AU1257" s="12">
        <f t="shared" si="371"/>
        <v>0</v>
      </c>
      <c r="AV1257" s="18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L1258" s="18"/>
      <c r="M1258" s="10">
        <v>37</v>
      </c>
      <c r="N1258" s="30"/>
      <c r="P1258" s="47"/>
      <c r="Q1258" s="31"/>
      <c r="R1258" s="31"/>
      <c r="S1258" s="32">
        <f t="shared" si="369"/>
        <v>0</v>
      </c>
      <c r="T1258" s="10"/>
      <c r="U1258" s="10"/>
      <c r="V1258" s="10"/>
      <c r="W1258" s="12">
        <f t="shared" si="360"/>
        <v>0</v>
      </c>
      <c r="Y1258" s="10">
        <v>37</v>
      </c>
      <c r="Z1258" s="30"/>
      <c r="AB1258" s="47"/>
      <c r="AC1258" s="31"/>
      <c r="AD1258" s="31"/>
      <c r="AE1258" s="32">
        <f t="shared" si="370"/>
        <v>0</v>
      </c>
      <c r="AF1258" s="10"/>
      <c r="AG1258" s="10"/>
      <c r="AH1258" s="10"/>
      <c r="AI1258" s="12">
        <f t="shared" si="362"/>
        <v>0</v>
      </c>
      <c r="AK1258" s="10">
        <v>37</v>
      </c>
      <c r="AL1258" s="30"/>
      <c r="AM1258" s="31"/>
      <c r="AN1258" s="47"/>
      <c r="AO1258" s="31"/>
      <c r="AP1258" s="31"/>
      <c r="AQ1258" s="32">
        <f t="shared" si="363"/>
        <v>0</v>
      </c>
      <c r="AR1258" s="10"/>
      <c r="AS1258" s="10"/>
      <c r="AT1258" s="10"/>
      <c r="AU1258" s="12">
        <f t="shared" si="371"/>
        <v>0</v>
      </c>
      <c r="AV1258" s="18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L1259" s="18"/>
      <c r="M1259" s="10">
        <v>38</v>
      </c>
      <c r="N1259" s="30"/>
      <c r="O1259" s="31"/>
      <c r="P1259" s="47"/>
      <c r="Q1259" s="31"/>
      <c r="R1259" s="31"/>
      <c r="S1259" s="32">
        <f t="shared" si="369"/>
        <v>0</v>
      </c>
      <c r="T1259" s="10"/>
      <c r="U1259" s="10"/>
      <c r="V1259" s="10"/>
      <c r="W1259" s="12">
        <f t="shared" si="360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70"/>
        <v>0</v>
      </c>
      <c r="AF1259" s="10"/>
      <c r="AG1259" s="10"/>
      <c r="AH1259" s="10"/>
      <c r="AI1259" s="12">
        <f t="shared" si="362"/>
        <v>0</v>
      </c>
      <c r="AK1259" s="10">
        <v>38</v>
      </c>
      <c r="AL1259" s="30"/>
      <c r="AM1259" s="31"/>
      <c r="AN1259" s="47"/>
      <c r="AO1259" s="31"/>
      <c r="AP1259" s="31"/>
      <c r="AQ1259" s="32">
        <f t="shared" si="363"/>
        <v>0</v>
      </c>
      <c r="AR1259" s="10"/>
      <c r="AS1259" s="10"/>
      <c r="AT1259" s="10"/>
      <c r="AU1259" s="12">
        <f t="shared" si="371"/>
        <v>0</v>
      </c>
      <c r="AV1259" s="18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L1260" s="18"/>
      <c r="M1260" s="10">
        <v>39</v>
      </c>
      <c r="N1260" s="30"/>
      <c r="O1260" s="31"/>
      <c r="P1260" s="47"/>
      <c r="Q1260" s="31"/>
      <c r="R1260" s="31"/>
      <c r="S1260" s="32">
        <f t="shared" si="369"/>
        <v>0</v>
      </c>
      <c r="T1260" s="10"/>
      <c r="U1260" s="10"/>
      <c r="V1260" s="10"/>
      <c r="W1260" s="12">
        <f t="shared" si="360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70"/>
        <v>0</v>
      </c>
      <c r="AF1260" s="10"/>
      <c r="AG1260" s="10"/>
      <c r="AH1260" s="10"/>
      <c r="AI1260" s="12">
        <f t="shared" si="362"/>
        <v>0</v>
      </c>
      <c r="AK1260" s="10">
        <v>39</v>
      </c>
      <c r="AL1260" s="30"/>
      <c r="AM1260" s="31"/>
      <c r="AN1260" s="47"/>
      <c r="AO1260" s="31"/>
      <c r="AP1260" s="31"/>
      <c r="AQ1260" s="32">
        <f t="shared" si="363"/>
        <v>0</v>
      </c>
      <c r="AR1260" s="10"/>
      <c r="AS1260" s="10"/>
      <c r="AT1260" s="10"/>
      <c r="AU1260" s="12">
        <f t="shared" si="371"/>
        <v>0</v>
      </c>
      <c r="AV1260" s="18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L1261" s="18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60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62"/>
        <v>0</v>
      </c>
      <c r="AK1261" s="10"/>
      <c r="AL1261" s="30"/>
      <c r="AN1261" s="47"/>
      <c r="AO1261" s="31"/>
      <c r="AP1261" s="31"/>
      <c r="AQ1261" s="32"/>
      <c r="AR1261" s="10"/>
      <c r="AS1261" s="10"/>
      <c r="AT1261" s="10"/>
      <c r="AU1261" s="12">
        <f t="shared" si="371"/>
        <v>0</v>
      </c>
      <c r="AV1261" s="18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72">SUM(D1262:E1262)</f>
        <v>0</v>
      </c>
      <c r="H1262" s="10"/>
      <c r="I1262" s="10"/>
      <c r="J1262" s="10"/>
      <c r="K1262" s="12">
        <f t="shared" ref="K1262" si="373">SUM(G1262:J1262)</f>
        <v>0</v>
      </c>
      <c r="L1262" s="18"/>
      <c r="M1262" s="10"/>
      <c r="N1262" s="30"/>
      <c r="O1262" s="31"/>
      <c r="P1262" s="47"/>
      <c r="Q1262" s="31"/>
      <c r="R1262" s="31"/>
      <c r="S1262" s="32">
        <f t="shared" ref="S1262" si="374">SUM(P1262:Q1262)</f>
        <v>0</v>
      </c>
      <c r="T1262" s="10"/>
      <c r="U1262" s="10"/>
      <c r="V1262" s="10"/>
      <c r="W1262" s="12">
        <f t="shared" si="360"/>
        <v>0</v>
      </c>
      <c r="Y1262" s="10"/>
      <c r="Z1262" s="30"/>
      <c r="AA1262" s="31"/>
      <c r="AB1262" s="47"/>
      <c r="AC1262" s="31"/>
      <c r="AD1262" s="31"/>
      <c r="AE1262" s="32">
        <f t="shared" ref="AE1262" si="375">SUM(AB1262:AC1262)</f>
        <v>0</v>
      </c>
      <c r="AF1262" s="10"/>
      <c r="AG1262" s="10"/>
      <c r="AH1262" s="10"/>
      <c r="AI1262" s="12">
        <f t="shared" si="362"/>
        <v>0</v>
      </c>
      <c r="AK1262" s="10"/>
      <c r="AL1262" s="30"/>
      <c r="AM1262" s="31"/>
      <c r="AN1262" s="47"/>
      <c r="AO1262" s="31"/>
      <c r="AP1262" s="31"/>
      <c r="AQ1262" s="32">
        <f t="shared" ref="AQ1262" si="376">SUM(AN1262:AO1262)</f>
        <v>0</v>
      </c>
      <c r="AR1262" s="10"/>
      <c r="AS1262" s="10"/>
      <c r="AT1262" s="10"/>
      <c r="AU1262" s="12">
        <f t="shared" si="371"/>
        <v>0</v>
      </c>
      <c r="AV1262" s="18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L1263" s="18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60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62"/>
        <v>0</v>
      </c>
      <c r="AK1263" s="10"/>
      <c r="AL1263" s="31"/>
      <c r="AM1263" s="31"/>
      <c r="AN1263" s="31"/>
      <c r="AO1263" s="31"/>
      <c r="AP1263" s="31"/>
      <c r="AQ1263" s="31"/>
      <c r="AR1263" s="10"/>
      <c r="AS1263" s="10"/>
      <c r="AT1263" s="10"/>
      <c r="AU1263" s="12">
        <f t="shared" si="371"/>
        <v>0</v>
      </c>
      <c r="AV1263" s="18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L1264" s="18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L1264" s="57"/>
      <c r="AM1264" s="57"/>
      <c r="AN1264" s="36"/>
      <c r="AO1264" s="36"/>
      <c r="AP1264" s="36"/>
      <c r="AQ1264" s="36"/>
      <c r="AR1264" s="37"/>
      <c r="AS1264" s="37"/>
      <c r="AT1264" s="37"/>
      <c r="AU1264" s="37"/>
      <c r="AV1264" s="18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681879</v>
      </c>
      <c r="E1265" s="38">
        <f t="shared" ref="E1265:F1265" si="377">SUM(E1222:E1262)</f>
        <v>-5202</v>
      </c>
      <c r="F1265" s="38">
        <f t="shared" si="377"/>
        <v>0</v>
      </c>
      <c r="G1265" s="38">
        <f>SUM(G1222:G1264)</f>
        <v>676677</v>
      </c>
      <c r="H1265" s="4"/>
      <c r="I1265" s="39">
        <f>SUM(I1222:I1264)</f>
        <v>60768</v>
      </c>
      <c r="J1265" s="39">
        <f>SUM(J1222:J1264)</f>
        <v>0</v>
      </c>
      <c r="K1265" s="40">
        <f>SUM(K1222:K1264)</f>
        <v>737445</v>
      </c>
      <c r="L1265" s="18"/>
      <c r="N1265" s="57"/>
      <c r="O1265" s="57"/>
      <c r="P1265" s="38">
        <f>SUM(P1222:P1264)</f>
        <v>258736.5</v>
      </c>
      <c r="Q1265" s="38">
        <f>SUM(Q1222:Q1246)</f>
        <v>0</v>
      </c>
      <c r="R1265" s="38">
        <f>SUM(R1222:R1246)</f>
        <v>0</v>
      </c>
      <c r="S1265" s="38">
        <f>SUM(S1222:S1264)</f>
        <v>258736.5</v>
      </c>
      <c r="T1265" s="4"/>
      <c r="U1265" s="41">
        <f>SUM(U1222:U1264)</f>
        <v>7624.5</v>
      </c>
      <c r="V1265" s="41">
        <f>SUM(V1222:V1246)</f>
        <v>-20000</v>
      </c>
      <c r="W1265" s="42">
        <f>SUM(W1222:W1264)</f>
        <v>246361</v>
      </c>
      <c r="Z1265" s="57"/>
      <c r="AA1265" s="57"/>
      <c r="AB1265" s="38">
        <f>SUM(AB1222:AB1264)</f>
        <v>322618</v>
      </c>
      <c r="AC1265" s="38">
        <f>SUM(AC1222:AC1246)</f>
        <v>-2118</v>
      </c>
      <c r="AD1265" s="38">
        <f>SUM(AD1222:AD1246)</f>
        <v>0</v>
      </c>
      <c r="AE1265" s="38">
        <f>SUM(AE1222:AE1264)</f>
        <v>320500</v>
      </c>
      <c r="AF1265" s="4"/>
      <c r="AG1265" s="41">
        <f>SUM(AG1222:AG1264)</f>
        <v>12255</v>
      </c>
      <c r="AH1265" s="41">
        <f>SUM(AH1222:AH1246)</f>
        <v>-9879</v>
      </c>
      <c r="AI1265" s="42">
        <f>SUM(AI1222:AI1264)</f>
        <v>322876</v>
      </c>
      <c r="AL1265" s="57"/>
      <c r="AM1265" s="57"/>
      <c r="AN1265" s="38">
        <f>SUM(AN1222:AN1264)</f>
        <v>1161213</v>
      </c>
      <c r="AO1265" s="38">
        <f>SUM(AO1222:AO1246)</f>
        <v>-7968</v>
      </c>
      <c r="AP1265" s="38">
        <f>SUM(AP1222:AP1246)</f>
        <v>0</v>
      </c>
      <c r="AQ1265" s="38">
        <f>SUM(AQ1222:AQ1264)</f>
        <v>1153245</v>
      </c>
      <c r="AR1265" s="4"/>
      <c r="AS1265" s="41">
        <f>SUM(AS1222:AS1264)</f>
        <v>15576</v>
      </c>
      <c r="AT1265" s="41">
        <f>SUM(AT1222:AT1246)</f>
        <v>0</v>
      </c>
      <c r="AU1265" s="42">
        <f>SUM(AU1222:AU1264)</f>
        <v>1168821</v>
      </c>
      <c r="AV1265" s="18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18"/>
      <c r="AL1266" s="18"/>
      <c r="AM1266" s="18"/>
      <c r="AN1266" s="18"/>
      <c r="AO1266" s="18"/>
      <c r="AP1266" s="18"/>
      <c r="AQ1266" s="18"/>
      <c r="AR1266" s="18"/>
      <c r="AS1266" s="18"/>
      <c r="AT1266" s="18"/>
      <c r="AU1266" s="18"/>
      <c r="AV1266" s="18"/>
      <c r="AW1266" s="62"/>
      <c r="AX1266" s="62"/>
      <c r="AY1266" s="62"/>
      <c r="AZ1266" s="62"/>
    </row>
    <row r="1267" spans="1:52" x14ac:dyDescent="0.25">
      <c r="A1267" t="s">
        <v>0</v>
      </c>
      <c r="B1267" s="57"/>
      <c r="C1267" s="57"/>
      <c r="D1267" s="57"/>
      <c r="E1267" s="57"/>
      <c r="G1267" s="57"/>
      <c r="L1267" s="18"/>
      <c r="M1267" t="s">
        <v>0</v>
      </c>
      <c r="N1267" s="57"/>
      <c r="O1267" s="57"/>
      <c r="P1267" s="57"/>
      <c r="Q1267" s="57"/>
      <c r="R1267" s="57"/>
      <c r="S1267" s="57"/>
      <c r="Y1267" t="s">
        <v>0</v>
      </c>
      <c r="Z1267" s="57"/>
      <c r="AA1267" s="57"/>
      <c r="AB1267" s="57"/>
      <c r="AC1267" s="57"/>
      <c r="AD1267" s="57"/>
      <c r="AE1267" s="57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28</v>
      </c>
      <c r="B1268" s="57"/>
      <c r="C1268" s="57"/>
      <c r="D1268" s="57"/>
      <c r="E1268" s="57"/>
      <c r="G1268" s="57"/>
      <c r="L1268" s="18"/>
      <c r="M1268" t="s">
        <v>28</v>
      </c>
      <c r="N1268" s="57"/>
      <c r="O1268" s="57"/>
      <c r="P1268" s="57"/>
      <c r="Q1268" s="57"/>
      <c r="R1268" s="57"/>
      <c r="S1268" s="57"/>
      <c r="Y1268" t="s">
        <v>28</v>
      </c>
      <c r="Z1268" s="57"/>
      <c r="AA1268" s="57"/>
      <c r="AB1268" s="57"/>
      <c r="AC1268" s="57"/>
      <c r="AD1268" s="57"/>
      <c r="AE1268" s="57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B1269" s="57"/>
      <c r="C1269" s="57"/>
      <c r="D1269" s="57"/>
      <c r="E1269" s="57"/>
      <c r="G1269" s="57"/>
      <c r="L1269" s="18"/>
      <c r="N1269" s="57"/>
      <c r="O1269" s="57"/>
      <c r="P1269" s="57"/>
      <c r="Q1269" s="57"/>
      <c r="R1269" s="57"/>
      <c r="S1269" s="57"/>
      <c r="Z1269" s="57"/>
      <c r="AA1269" s="57"/>
      <c r="AB1269" s="57"/>
      <c r="AC1269" s="57"/>
      <c r="AD1269" s="57"/>
      <c r="AE1269" s="57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4" t="s">
        <v>14</v>
      </c>
      <c r="B1270" s="57"/>
      <c r="C1270" s="57"/>
      <c r="D1270" s="57"/>
      <c r="E1270" s="57"/>
      <c r="G1270" s="57"/>
      <c r="L1270" s="18"/>
      <c r="M1270" s="4" t="s">
        <v>14</v>
      </c>
      <c r="N1270" s="57"/>
      <c r="O1270" s="57"/>
      <c r="P1270" s="57"/>
      <c r="Q1270" s="57"/>
      <c r="R1270" s="57"/>
      <c r="S1270" s="57"/>
      <c r="Y1270" s="4" t="s">
        <v>14</v>
      </c>
      <c r="Z1270" s="57"/>
      <c r="AA1270" s="57"/>
      <c r="AB1270" s="57"/>
      <c r="AC1270" s="57"/>
      <c r="AD1270" s="57"/>
      <c r="AE1270" s="57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B1271" s="57"/>
      <c r="C1271" s="57"/>
      <c r="D1271" s="57"/>
      <c r="E1271" s="57"/>
      <c r="G1271" s="57"/>
      <c r="L1271" s="18"/>
      <c r="N1271" s="57"/>
      <c r="O1271" s="57"/>
      <c r="P1271" s="57"/>
      <c r="Q1271" s="57"/>
      <c r="R1271" s="57"/>
      <c r="S1271" s="57"/>
      <c r="Z1271" s="57"/>
      <c r="AA1271" s="57"/>
      <c r="AB1271" s="57"/>
      <c r="AC1271" s="57"/>
      <c r="AD1271" s="57"/>
      <c r="AE1271" s="57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ht="15.75" x14ac:dyDescent="0.25">
      <c r="A1272" t="s">
        <v>39</v>
      </c>
      <c r="B1272" s="57"/>
      <c r="C1272" s="57"/>
      <c r="D1272" s="57"/>
      <c r="E1272" s="57"/>
      <c r="G1272" s="57"/>
      <c r="I1272" s="57" t="s">
        <v>15</v>
      </c>
      <c r="J1272" s="19" t="s">
        <v>101</v>
      </c>
      <c r="L1272" s="18"/>
      <c r="M1272" t="s">
        <v>39</v>
      </c>
      <c r="N1272" s="57"/>
      <c r="O1272" s="57"/>
      <c r="P1272" s="57"/>
      <c r="Q1272" s="57"/>
      <c r="R1272" s="57"/>
      <c r="S1272" s="57"/>
      <c r="U1272" s="57" t="s">
        <v>15</v>
      </c>
      <c r="V1272" s="19" t="s">
        <v>100</v>
      </c>
      <c r="Y1272" t="s">
        <v>39</v>
      </c>
      <c r="Z1272" s="57"/>
      <c r="AA1272" s="57"/>
      <c r="AB1272" s="57"/>
      <c r="AC1272" s="57"/>
      <c r="AD1272" s="57"/>
      <c r="AE1272" s="57"/>
      <c r="AG1272" s="57" t="s">
        <v>15</v>
      </c>
      <c r="AH1272" s="19">
        <v>2</v>
      </c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21" t="s">
        <v>106</v>
      </c>
      <c r="B1273" s="20"/>
      <c r="C1273" s="57"/>
      <c r="D1273" s="57"/>
      <c r="E1273" s="57"/>
      <c r="G1273" s="57"/>
      <c r="I1273" s="22" t="s">
        <v>16</v>
      </c>
      <c r="J1273" s="23" t="s">
        <v>33</v>
      </c>
      <c r="K1273" s="24"/>
      <c r="L1273" s="18"/>
      <c r="M1273" s="21" t="s">
        <v>106</v>
      </c>
      <c r="N1273" s="20"/>
      <c r="O1273" s="57"/>
      <c r="P1273" s="57"/>
      <c r="Q1273" s="57"/>
      <c r="R1273" s="57"/>
      <c r="S1273" s="57"/>
      <c r="U1273" s="22" t="s">
        <v>16</v>
      </c>
      <c r="V1273" s="23" t="s">
        <v>99</v>
      </c>
      <c r="W1273" s="24"/>
      <c r="Y1273" s="21" t="s">
        <v>106</v>
      </c>
      <c r="Z1273" s="20"/>
      <c r="AA1273" s="57"/>
      <c r="AB1273" s="57"/>
      <c r="AC1273" s="57"/>
      <c r="AD1273" s="57"/>
      <c r="AE1273" s="57"/>
      <c r="AG1273" s="22" t="s">
        <v>16</v>
      </c>
      <c r="AH1273" s="23" t="s">
        <v>35</v>
      </c>
      <c r="AI1273" s="24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B1274" s="57"/>
      <c r="C1274" s="57"/>
      <c r="D1274" s="57"/>
      <c r="E1274" s="57"/>
      <c r="G1274" s="57"/>
      <c r="L1274" s="18"/>
      <c r="N1274" s="57"/>
      <c r="O1274" s="57"/>
      <c r="P1274" s="57"/>
      <c r="Q1274" s="57"/>
      <c r="R1274" s="57"/>
      <c r="S1274" s="57"/>
      <c r="Z1274" s="57"/>
      <c r="AA1274" s="57"/>
      <c r="AB1274" s="57"/>
      <c r="AC1274" s="57"/>
      <c r="AD1274" s="57"/>
      <c r="AE1274" s="57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25"/>
      <c r="C1275" s="26"/>
      <c r="D1275" s="125" t="s">
        <v>17</v>
      </c>
      <c r="E1275" s="125"/>
      <c r="F1275" s="115"/>
      <c r="G1275" s="27"/>
      <c r="I1275" s="123" t="s">
        <v>18</v>
      </c>
      <c r="J1275" s="124"/>
      <c r="K1275" s="121" t="s">
        <v>19</v>
      </c>
      <c r="L1275" s="18"/>
      <c r="N1275" s="25"/>
      <c r="O1275" s="26"/>
      <c r="P1275" s="125" t="s">
        <v>17</v>
      </c>
      <c r="Q1275" s="125"/>
      <c r="R1275" s="115"/>
      <c r="S1275" s="27"/>
      <c r="U1275" s="123" t="s">
        <v>18</v>
      </c>
      <c r="V1275" s="124"/>
      <c r="W1275" s="121" t="s">
        <v>19</v>
      </c>
      <c r="Z1275" s="25"/>
      <c r="AA1275" s="26"/>
      <c r="AB1275" s="125" t="s">
        <v>17</v>
      </c>
      <c r="AC1275" s="125"/>
      <c r="AD1275" s="115"/>
      <c r="AE1275" s="27"/>
      <c r="AG1275" s="123" t="s">
        <v>18</v>
      </c>
      <c r="AH1275" s="124"/>
      <c r="AI1275" s="121" t="s">
        <v>19</v>
      </c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ht="30" x14ac:dyDescent="0.25">
      <c r="B1276" s="28" t="s">
        <v>20</v>
      </c>
      <c r="C1276" s="28" t="s">
        <v>21</v>
      </c>
      <c r="D1276" s="79" t="s">
        <v>22</v>
      </c>
      <c r="E1276" s="78" t="s">
        <v>23</v>
      </c>
      <c r="F1276" s="80" t="s">
        <v>32</v>
      </c>
      <c r="G1276" s="80" t="s">
        <v>24</v>
      </c>
      <c r="I1276" s="29" t="s">
        <v>25</v>
      </c>
      <c r="J1276" s="29" t="s">
        <v>26</v>
      </c>
      <c r="K1276" s="122"/>
      <c r="L1276" s="18"/>
      <c r="N1276" s="28" t="s">
        <v>20</v>
      </c>
      <c r="O1276" s="28" t="s">
        <v>21</v>
      </c>
      <c r="P1276" s="79" t="s">
        <v>22</v>
      </c>
      <c r="Q1276" s="80" t="s">
        <v>23</v>
      </c>
      <c r="R1276" s="80" t="s">
        <v>32</v>
      </c>
      <c r="S1276" s="80" t="s">
        <v>24</v>
      </c>
      <c r="U1276" s="29" t="s">
        <v>25</v>
      </c>
      <c r="V1276" s="29" t="s">
        <v>26</v>
      </c>
      <c r="W1276" s="122"/>
      <c r="Z1276" s="28" t="s">
        <v>20</v>
      </c>
      <c r="AA1276" s="28" t="s">
        <v>21</v>
      </c>
      <c r="AB1276" s="79" t="s">
        <v>22</v>
      </c>
      <c r="AC1276" s="80" t="s">
        <v>23</v>
      </c>
      <c r="AD1276" s="80" t="s">
        <v>32</v>
      </c>
      <c r="AE1276" s="80" t="s">
        <v>24</v>
      </c>
      <c r="AG1276" s="29" t="s">
        <v>25</v>
      </c>
      <c r="AH1276" s="29" t="s">
        <v>26</v>
      </c>
      <c r="AI1276" s="12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10">
        <v>1</v>
      </c>
      <c r="B1277" s="30" t="s">
        <v>107</v>
      </c>
      <c r="C1277" s="88">
        <v>8083</v>
      </c>
      <c r="D1277" s="32">
        <f>3130+614+2980+832</f>
        <v>7556</v>
      </c>
      <c r="E1277" s="32"/>
      <c r="F1277" s="32"/>
      <c r="G1277" s="32">
        <f t="shared" ref="G1277:G1310" si="378">SUM(D1277:E1277)</f>
        <v>7556</v>
      </c>
      <c r="H1277" s="12"/>
      <c r="I1277" s="12">
        <f>120+54</f>
        <v>174</v>
      </c>
      <c r="J1277" s="12"/>
      <c r="K1277" s="12">
        <f t="shared" ref="K1277:K1310" si="379">SUM(G1277:J1277)</f>
        <v>7730</v>
      </c>
      <c r="L1277" s="18"/>
      <c r="M1277" s="10">
        <v>1</v>
      </c>
      <c r="N1277" s="30" t="s">
        <v>107</v>
      </c>
      <c r="O1277" s="31">
        <v>8269</v>
      </c>
      <c r="P1277" s="32">
        <f>832*2+229*5+559*8</f>
        <v>7281</v>
      </c>
      <c r="Q1277" s="32"/>
      <c r="R1277" s="32"/>
      <c r="S1277" s="32">
        <f>SUM(P1277:Q1277)</f>
        <v>7281</v>
      </c>
      <c r="T1277" s="12"/>
      <c r="U1277" s="12"/>
      <c r="V1277" s="12"/>
      <c r="W1277" s="12">
        <f>SUM(S1277:V1277)</f>
        <v>7281</v>
      </c>
      <c r="Y1277" s="10">
        <v>1</v>
      </c>
      <c r="Z1277" s="30" t="s">
        <v>107</v>
      </c>
      <c r="AA1277" s="31">
        <v>8213</v>
      </c>
      <c r="AB1277" s="32">
        <f>131460+6140+6740+59600+1603</f>
        <v>205543</v>
      </c>
      <c r="AC1277" s="32">
        <v>-1980</v>
      </c>
      <c r="AD1277" s="32"/>
      <c r="AE1277" s="32">
        <f>SUM(AB1277:AC1277)</f>
        <v>203563</v>
      </c>
      <c r="AF1277" s="12"/>
      <c r="AG1277" s="12"/>
      <c r="AH1277" s="12"/>
      <c r="AI1277" s="12">
        <f>SUM(AE1277:AH1277)</f>
        <v>203563</v>
      </c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2</v>
      </c>
      <c r="B1278" s="30" t="s">
        <v>107</v>
      </c>
      <c r="C1278" s="88">
        <f>C1277+1</f>
        <v>8084</v>
      </c>
      <c r="D1278" s="32">
        <f>3070+47</f>
        <v>3117</v>
      </c>
      <c r="E1278" s="32"/>
      <c r="F1278" s="32"/>
      <c r="G1278" s="32">
        <f t="shared" si="378"/>
        <v>3117</v>
      </c>
      <c r="H1278" s="12"/>
      <c r="I1278" s="12"/>
      <c r="J1278" s="12"/>
      <c r="K1278" s="12">
        <f t="shared" si="379"/>
        <v>3117</v>
      </c>
      <c r="L1278" s="18"/>
      <c r="M1278" s="10">
        <v>2</v>
      </c>
      <c r="N1278" s="30" t="s">
        <v>107</v>
      </c>
      <c r="O1278" s="31">
        <f>O1277+1</f>
        <v>8270</v>
      </c>
      <c r="P1278" s="32">
        <f>626+229+650</f>
        <v>1505</v>
      </c>
      <c r="Q1278" s="32"/>
      <c r="R1278" s="32"/>
      <c r="S1278" s="32">
        <f t="shared" ref="S1278:S1309" si="380">SUM(P1278:Q1278)</f>
        <v>1505</v>
      </c>
      <c r="T1278" s="12"/>
      <c r="U1278" s="12"/>
      <c r="V1278" s="12"/>
      <c r="W1278" s="12">
        <f t="shared" ref="W1278:W1318" si="381">SUM(S1278:V1278)</f>
        <v>1505</v>
      </c>
      <c r="Y1278" s="10">
        <v>2</v>
      </c>
      <c r="Z1278" s="30" t="s">
        <v>107</v>
      </c>
      <c r="AA1278" s="31">
        <f>AA1277+1</f>
        <v>8214</v>
      </c>
      <c r="AB1278" s="32">
        <f>626*40+614*5+596*10+229*2</f>
        <v>34528</v>
      </c>
      <c r="AC1278" s="32"/>
      <c r="AD1278" s="32"/>
      <c r="AE1278" s="32">
        <f t="shared" ref="AE1278:AE1309" si="382">SUM(AB1278:AC1278)</f>
        <v>34528</v>
      </c>
      <c r="AF1278" s="12"/>
      <c r="AG1278" s="12"/>
      <c r="AH1278" s="12"/>
      <c r="AI1278" s="12">
        <f t="shared" ref="AI1278:AI1318" si="383">SUM(AE1278:AH1278)</f>
        <v>34528</v>
      </c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3</v>
      </c>
      <c r="B1279" s="30" t="s">
        <v>107</v>
      </c>
      <c r="C1279" s="88">
        <f t="shared" ref="C1279:C1289" si="384">C1278+1</f>
        <v>8085</v>
      </c>
      <c r="D1279" s="33">
        <f>135216+12280+64368+1664+2748</f>
        <v>216276</v>
      </c>
      <c r="E1279" s="33">
        <v>-2076</v>
      </c>
      <c r="F1279" s="33"/>
      <c r="G1279" s="33">
        <f t="shared" si="378"/>
        <v>214200</v>
      </c>
      <c r="H1279" s="34"/>
      <c r="I1279" s="34">
        <f>240+546</f>
        <v>786</v>
      </c>
      <c r="J1279" s="34"/>
      <c r="K1279" s="34">
        <f t="shared" si="379"/>
        <v>214986</v>
      </c>
      <c r="L1279" s="18"/>
      <c r="M1279" s="10">
        <v>3</v>
      </c>
      <c r="N1279" s="30" t="s">
        <v>107</v>
      </c>
      <c r="O1279" s="31">
        <f t="shared" ref="O1279:O1313" si="385">O1278+1</f>
        <v>8271</v>
      </c>
      <c r="P1279" s="32">
        <f>1252+458</f>
        <v>1710</v>
      </c>
      <c r="Q1279" s="32"/>
      <c r="R1279" s="32"/>
      <c r="S1279" s="32">
        <f t="shared" si="380"/>
        <v>1710</v>
      </c>
      <c r="T1279" s="12"/>
      <c r="U1279" s="12"/>
      <c r="V1279" s="12"/>
      <c r="W1279" s="12">
        <f t="shared" si="381"/>
        <v>1710</v>
      </c>
      <c r="Y1279" s="10">
        <v>3</v>
      </c>
      <c r="Z1279" s="30" t="s">
        <v>107</v>
      </c>
      <c r="AA1279" s="31">
        <f t="shared" ref="AA1279:AA1289" si="386">AA1278+1</f>
        <v>8215</v>
      </c>
      <c r="AB1279" s="32">
        <f>626*40+614*50+596*30+832*5</f>
        <v>77780</v>
      </c>
      <c r="AC1279" s="32"/>
      <c r="AD1279" s="32"/>
      <c r="AE1279" s="32">
        <f t="shared" si="382"/>
        <v>77780</v>
      </c>
      <c r="AF1279" s="12"/>
      <c r="AG1279" s="12"/>
      <c r="AH1279" s="12"/>
      <c r="AI1279" s="12">
        <f t="shared" si="383"/>
        <v>77780</v>
      </c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10">
        <v>4</v>
      </c>
      <c r="B1280" s="30" t="s">
        <v>107</v>
      </c>
      <c r="C1280" s="88">
        <f t="shared" si="384"/>
        <v>8086</v>
      </c>
      <c r="D1280" s="32">
        <f>5634+614+674+11324+650</f>
        <v>18896</v>
      </c>
      <c r="E1280" s="32"/>
      <c r="F1280" s="32"/>
      <c r="G1280" s="32">
        <f t="shared" si="378"/>
        <v>18896</v>
      </c>
      <c r="H1280" s="12"/>
      <c r="I1280" s="12">
        <v>555</v>
      </c>
      <c r="J1280" s="12"/>
      <c r="K1280" s="12">
        <f t="shared" si="379"/>
        <v>19451</v>
      </c>
      <c r="L1280" s="18"/>
      <c r="M1280" s="10">
        <v>4</v>
      </c>
      <c r="N1280" s="30" t="s">
        <v>107</v>
      </c>
      <c r="O1280" s="31">
        <f t="shared" si="385"/>
        <v>8272</v>
      </c>
      <c r="P1280" s="32">
        <f>3130</f>
        <v>3130</v>
      </c>
      <c r="Q1280" s="32"/>
      <c r="R1280" s="32"/>
      <c r="S1280" s="32">
        <f t="shared" si="380"/>
        <v>3130</v>
      </c>
      <c r="T1280" s="12"/>
      <c r="U1280" s="12"/>
      <c r="V1280" s="12"/>
      <c r="W1280" s="12">
        <f t="shared" si="381"/>
        <v>3130</v>
      </c>
      <c r="Y1280" s="10">
        <v>4</v>
      </c>
      <c r="Z1280" s="30" t="s">
        <v>107</v>
      </c>
      <c r="AA1280" s="31">
        <f t="shared" si="386"/>
        <v>8216</v>
      </c>
      <c r="AB1280" s="32">
        <f>626*648+596*200+852*10+1005*10+832*10+8244</f>
        <v>559982</v>
      </c>
      <c r="AC1280" s="32">
        <v>-5268</v>
      </c>
      <c r="AD1280" s="32"/>
      <c r="AE1280" s="32">
        <f t="shared" si="382"/>
        <v>554714</v>
      </c>
      <c r="AF1280" s="12"/>
      <c r="AG1280" s="12">
        <f>3600+336*111+78*36</f>
        <v>43704</v>
      </c>
      <c r="AH1280" s="12"/>
      <c r="AI1280" s="12">
        <f t="shared" si="383"/>
        <v>598418</v>
      </c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5</v>
      </c>
      <c r="B1281" s="30" t="s">
        <v>107</v>
      </c>
      <c r="C1281" s="88">
        <f t="shared" si="384"/>
        <v>8087</v>
      </c>
      <c r="D1281" s="32">
        <f>852+1664+1000</f>
        <v>3516</v>
      </c>
      <c r="E1281" s="32"/>
      <c r="F1281" s="32"/>
      <c r="G1281" s="32">
        <f t="shared" si="378"/>
        <v>3516</v>
      </c>
      <c r="H1281" s="12"/>
      <c r="I1281" s="12"/>
      <c r="J1281" s="12"/>
      <c r="K1281" s="12">
        <f t="shared" si="379"/>
        <v>3516</v>
      </c>
      <c r="L1281" s="18"/>
      <c r="M1281" s="10">
        <v>5</v>
      </c>
      <c r="N1281" s="30" t="s">
        <v>107</v>
      </c>
      <c r="O1281" s="31">
        <f t="shared" si="385"/>
        <v>8273</v>
      </c>
      <c r="P1281" s="32">
        <f>12556</f>
        <v>12556</v>
      </c>
      <c r="Q1281" s="32"/>
      <c r="R1281" s="32"/>
      <c r="S1281" s="32">
        <f t="shared" si="380"/>
        <v>12556</v>
      </c>
      <c r="T1281" s="12"/>
      <c r="U1281" s="12">
        <v>1150.5</v>
      </c>
      <c r="V1281" s="12"/>
      <c r="W1281" s="12">
        <f t="shared" si="381"/>
        <v>13706.5</v>
      </c>
      <c r="Y1281" s="10">
        <v>5</v>
      </c>
      <c r="Z1281" s="30" t="s">
        <v>107</v>
      </c>
      <c r="AA1281" s="31">
        <f t="shared" si="386"/>
        <v>8217</v>
      </c>
      <c r="AB1281" s="32">
        <f>626*400+614*50+913*2+108*596+852*10+1005*5+832*15+229*25</f>
        <v>379044</v>
      </c>
      <c r="AC1281" s="32">
        <v>-3540</v>
      </c>
      <c r="AD1281" s="32"/>
      <c r="AE1281" s="32">
        <f t="shared" si="382"/>
        <v>375504</v>
      </c>
      <c r="AF1281" s="12"/>
      <c r="AG1281" s="12">
        <f>3000+111*275</f>
        <v>33525</v>
      </c>
      <c r="AH1281" s="12"/>
      <c r="AI1281" s="12">
        <f t="shared" si="383"/>
        <v>409029</v>
      </c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6</v>
      </c>
      <c r="B1282" s="30" t="s">
        <v>107</v>
      </c>
      <c r="C1282" s="88">
        <f t="shared" si="384"/>
        <v>8088</v>
      </c>
      <c r="D1282" s="32">
        <f>3756+12280+2980+832</f>
        <v>19848</v>
      </c>
      <c r="E1282" s="32"/>
      <c r="F1282" s="32"/>
      <c r="G1282" s="32">
        <f t="shared" si="378"/>
        <v>19848</v>
      </c>
      <c r="H1282" s="12"/>
      <c r="I1282" s="12">
        <v>130</v>
      </c>
      <c r="J1282" s="12"/>
      <c r="K1282" s="12">
        <f t="shared" si="379"/>
        <v>19978</v>
      </c>
      <c r="L1282" s="18"/>
      <c r="M1282" s="10">
        <v>6</v>
      </c>
      <c r="N1282" s="30" t="s">
        <v>107</v>
      </c>
      <c r="O1282" s="31">
        <f t="shared" si="385"/>
        <v>8274</v>
      </c>
      <c r="P1282" s="32">
        <f>626*10+2384+110</f>
        <v>8754</v>
      </c>
      <c r="Q1282" s="32"/>
      <c r="R1282" s="32"/>
      <c r="S1282" s="32">
        <f t="shared" si="380"/>
        <v>8754</v>
      </c>
      <c r="T1282" s="12"/>
      <c r="U1282" s="12">
        <f>49.5+1.5</f>
        <v>51</v>
      </c>
      <c r="V1282" s="10"/>
      <c r="W1282" s="12">
        <f t="shared" si="381"/>
        <v>8805</v>
      </c>
      <c r="Y1282" s="10">
        <v>6</v>
      </c>
      <c r="Z1282" s="30" t="s">
        <v>107</v>
      </c>
      <c r="AA1282" s="31">
        <f t="shared" si="386"/>
        <v>8218</v>
      </c>
      <c r="AB1282" s="32">
        <f>626*108+614*50+108*596+1102*2+229*9+650*5</f>
        <v>170191</v>
      </c>
      <c r="AC1282" s="32">
        <v>-1608</v>
      </c>
      <c r="AD1282" s="32"/>
      <c r="AE1282" s="32">
        <f t="shared" si="382"/>
        <v>168583</v>
      </c>
      <c r="AF1282" s="12"/>
      <c r="AG1282" s="12">
        <v>324</v>
      </c>
      <c r="AH1282" s="10"/>
      <c r="AI1282" s="12">
        <f t="shared" si="383"/>
        <v>168907</v>
      </c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7</v>
      </c>
      <c r="B1283" s="30" t="s">
        <v>107</v>
      </c>
      <c r="C1283" s="88">
        <f t="shared" si="384"/>
        <v>8089</v>
      </c>
      <c r="D1283" s="32">
        <f>1228+5960+650</f>
        <v>7838</v>
      </c>
      <c r="E1283" s="32"/>
      <c r="F1283" s="32"/>
      <c r="G1283" s="32">
        <f t="shared" si="378"/>
        <v>7838</v>
      </c>
      <c r="H1283" s="12"/>
      <c r="I1283" s="12">
        <v>270</v>
      </c>
      <c r="J1283" s="12"/>
      <c r="K1283" s="12">
        <f t="shared" si="379"/>
        <v>8108</v>
      </c>
      <c r="L1283" s="18"/>
      <c r="M1283" s="10">
        <v>7</v>
      </c>
      <c r="N1283" s="30" t="s">
        <v>107</v>
      </c>
      <c r="O1283" s="31">
        <f t="shared" si="385"/>
        <v>8275</v>
      </c>
      <c r="P1283" s="32">
        <f>4382+596+80</f>
        <v>5058</v>
      </c>
      <c r="Q1283" s="32"/>
      <c r="R1283" s="32"/>
      <c r="S1283" s="32">
        <f t="shared" si="380"/>
        <v>5058</v>
      </c>
      <c r="T1283" s="12"/>
      <c r="U1283" s="12">
        <v>12</v>
      </c>
      <c r="V1283" s="12"/>
      <c r="W1283" s="12">
        <f t="shared" si="381"/>
        <v>5070</v>
      </c>
      <c r="Y1283" s="10">
        <v>7</v>
      </c>
      <c r="Z1283" s="30" t="s">
        <v>107</v>
      </c>
      <c r="AA1283" s="31">
        <f t="shared" si="386"/>
        <v>8219</v>
      </c>
      <c r="AB1283" s="32">
        <f>30700+64368+8320+916</f>
        <v>104304</v>
      </c>
      <c r="AC1283" s="32">
        <v>-1008</v>
      </c>
      <c r="AD1283" s="32"/>
      <c r="AE1283" s="32">
        <f t="shared" si="382"/>
        <v>103296</v>
      </c>
      <c r="AF1283" s="12"/>
      <c r="AG1283" s="12"/>
      <c r="AH1283" s="12"/>
      <c r="AI1283" s="12">
        <f t="shared" si="383"/>
        <v>103296</v>
      </c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8</v>
      </c>
      <c r="B1284" s="30" t="s">
        <v>107</v>
      </c>
      <c r="C1284" s="88">
        <f t="shared" si="384"/>
        <v>8090</v>
      </c>
      <c r="D1284" s="32">
        <f>18420+41124</f>
        <v>59544</v>
      </c>
      <c r="E1284" s="32"/>
      <c r="F1284" s="32"/>
      <c r="G1284" s="32">
        <f t="shared" si="378"/>
        <v>59544</v>
      </c>
      <c r="H1284" s="12"/>
      <c r="I1284" s="12"/>
      <c r="J1284" s="12"/>
      <c r="K1284" s="12">
        <f t="shared" si="379"/>
        <v>59544</v>
      </c>
      <c r="L1284" s="18"/>
      <c r="M1284" s="10">
        <v>8</v>
      </c>
      <c r="N1284" s="30" t="s">
        <v>107</v>
      </c>
      <c r="O1284" s="31">
        <f t="shared" si="385"/>
        <v>8276</v>
      </c>
      <c r="P1284" s="32">
        <f>3130+596+60</f>
        <v>3786</v>
      </c>
      <c r="Q1284" s="32"/>
      <c r="R1284" s="32"/>
      <c r="S1284" s="32">
        <f t="shared" si="380"/>
        <v>3786</v>
      </c>
      <c r="T1284" s="12"/>
      <c r="U1284" s="12">
        <v>222</v>
      </c>
      <c r="V1284" s="12"/>
      <c r="W1284" s="12">
        <f t="shared" si="381"/>
        <v>4008</v>
      </c>
      <c r="Y1284" s="10">
        <v>8</v>
      </c>
      <c r="Z1284" s="30" t="s">
        <v>107</v>
      </c>
      <c r="AA1284" s="31">
        <f t="shared" si="386"/>
        <v>8220</v>
      </c>
      <c r="AB1284" s="32">
        <f>500800+178800+10305</f>
        <v>689905</v>
      </c>
      <c r="AC1284" s="32">
        <v>-6600</v>
      </c>
      <c r="AD1284" s="32"/>
      <c r="AE1284" s="32">
        <f t="shared" si="382"/>
        <v>683305</v>
      </c>
      <c r="AF1284" s="12"/>
      <c r="AG1284" s="12">
        <f>111*1100+78*45</f>
        <v>125610</v>
      </c>
      <c r="AH1284" s="12"/>
      <c r="AI1284" s="12">
        <f t="shared" si="383"/>
        <v>808915</v>
      </c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9</v>
      </c>
      <c r="B1285" s="30" t="s">
        <v>107</v>
      </c>
      <c r="C1285" s="88">
        <f t="shared" si="384"/>
        <v>8091</v>
      </c>
      <c r="D1285" s="32">
        <f>2504+38</f>
        <v>2542</v>
      </c>
      <c r="E1285" s="32"/>
      <c r="F1285" s="32"/>
      <c r="G1285" s="32">
        <f t="shared" si="378"/>
        <v>2542</v>
      </c>
      <c r="H1285" s="12"/>
      <c r="I1285" s="12"/>
      <c r="J1285" s="12"/>
      <c r="K1285" s="12">
        <f t="shared" si="379"/>
        <v>2542</v>
      </c>
      <c r="L1285" s="18"/>
      <c r="M1285" s="10">
        <v>9</v>
      </c>
      <c r="N1285" s="30" t="s">
        <v>107</v>
      </c>
      <c r="O1285" s="31">
        <f t="shared" si="385"/>
        <v>8277</v>
      </c>
      <c r="P1285" s="32">
        <f>596*2</f>
        <v>1192</v>
      </c>
      <c r="Q1285" s="32"/>
      <c r="R1285" s="32"/>
      <c r="S1285" s="32">
        <f t="shared" si="380"/>
        <v>1192</v>
      </c>
      <c r="T1285" s="12"/>
      <c r="U1285" s="12"/>
      <c r="V1285" s="12"/>
      <c r="W1285" s="12">
        <f t="shared" si="381"/>
        <v>1192</v>
      </c>
      <c r="Y1285" s="10">
        <v>9</v>
      </c>
      <c r="Z1285" s="30" t="s">
        <v>107</v>
      </c>
      <c r="AA1285" s="31">
        <f t="shared" si="386"/>
        <v>8221</v>
      </c>
      <c r="AB1285" s="32">
        <f>62600+916</f>
        <v>63516</v>
      </c>
      <c r="AC1285" s="32">
        <v>-600</v>
      </c>
      <c r="AD1285" s="32"/>
      <c r="AE1285" s="32">
        <f t="shared" si="382"/>
        <v>62916</v>
      </c>
      <c r="AF1285" s="12"/>
      <c r="AG1285" s="12">
        <f>11100+312</f>
        <v>11412</v>
      </c>
      <c r="AH1285" s="12"/>
      <c r="AI1285" s="12">
        <f t="shared" si="383"/>
        <v>74328</v>
      </c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10</v>
      </c>
      <c r="B1286" s="30" t="s">
        <v>107</v>
      </c>
      <c r="C1286" s="88">
        <f t="shared" si="384"/>
        <v>8092</v>
      </c>
      <c r="D1286" s="32">
        <f>31300+229</f>
        <v>31529</v>
      </c>
      <c r="E1286" s="32"/>
      <c r="F1286" s="32"/>
      <c r="G1286" s="32">
        <f t="shared" si="378"/>
        <v>31529</v>
      </c>
      <c r="H1286" s="12"/>
      <c r="I1286" s="12">
        <v>3108</v>
      </c>
      <c r="J1286" s="12"/>
      <c r="K1286" s="12">
        <f t="shared" si="379"/>
        <v>34637</v>
      </c>
      <c r="L1286" s="18"/>
      <c r="M1286" s="10">
        <v>10</v>
      </c>
      <c r="N1286" s="30" t="s">
        <v>107</v>
      </c>
      <c r="O1286" s="31">
        <f t="shared" si="385"/>
        <v>8278</v>
      </c>
      <c r="P1286" s="32">
        <f>626+11.5</f>
        <v>637.5</v>
      </c>
      <c r="Q1286" s="32"/>
      <c r="R1286" s="32"/>
      <c r="S1286" s="32">
        <f t="shared" si="380"/>
        <v>637.5</v>
      </c>
      <c r="T1286" s="12"/>
      <c r="U1286" s="12"/>
      <c r="V1286" s="12"/>
      <c r="W1286" s="12">
        <f t="shared" si="381"/>
        <v>637.5</v>
      </c>
      <c r="Y1286" s="10">
        <v>10</v>
      </c>
      <c r="Z1286" s="30" t="s">
        <v>107</v>
      </c>
      <c r="AA1286" s="31">
        <f t="shared" si="386"/>
        <v>8222</v>
      </c>
      <c r="AB1286" s="32">
        <f>626*500+614*15+674*10+596*216+832*5+229*30</f>
        <v>468716</v>
      </c>
      <c r="AC1286" s="32">
        <v>-4476</v>
      </c>
      <c r="AD1286" s="32"/>
      <c r="AE1286" s="32">
        <f t="shared" si="382"/>
        <v>464240</v>
      </c>
      <c r="AF1286" s="12"/>
      <c r="AG1286" s="12"/>
      <c r="AH1286" s="12"/>
      <c r="AI1286" s="12">
        <f t="shared" si="383"/>
        <v>464240</v>
      </c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11</v>
      </c>
      <c r="B1287" s="30" t="s">
        <v>107</v>
      </c>
      <c r="C1287" s="88">
        <f t="shared" si="384"/>
        <v>8093</v>
      </c>
      <c r="D1287" s="32">
        <f>7512+1228</f>
        <v>8740</v>
      </c>
      <c r="E1287" s="32"/>
      <c r="F1287" s="32"/>
      <c r="G1287" s="32">
        <f t="shared" si="378"/>
        <v>8740</v>
      </c>
      <c r="H1287" s="12"/>
      <c r="I1287" s="12"/>
      <c r="J1287" s="12"/>
      <c r="K1287" s="12">
        <f t="shared" si="379"/>
        <v>8740</v>
      </c>
      <c r="L1287" s="18"/>
      <c r="M1287" s="10">
        <v>11</v>
      </c>
      <c r="N1287" s="30" t="s">
        <v>107</v>
      </c>
      <c r="O1287" s="31">
        <f t="shared" si="385"/>
        <v>8279</v>
      </c>
      <c r="P1287" s="32">
        <f>3130+50</f>
        <v>3180</v>
      </c>
      <c r="Q1287" s="32"/>
      <c r="R1287" s="32"/>
      <c r="S1287" s="32">
        <f t="shared" si="380"/>
        <v>3180</v>
      </c>
      <c r="T1287" s="12"/>
      <c r="U1287" s="12">
        <f>7.5</f>
        <v>7.5</v>
      </c>
      <c r="V1287" s="12"/>
      <c r="W1287" s="12">
        <f t="shared" si="381"/>
        <v>3187.5</v>
      </c>
      <c r="Y1287" s="10">
        <v>11</v>
      </c>
      <c r="Z1287" s="30" t="s">
        <v>107</v>
      </c>
      <c r="AA1287" s="31">
        <f t="shared" si="386"/>
        <v>8223</v>
      </c>
      <c r="AB1287" s="32">
        <f>626*26+614*15+674*2+596*10+852*2</f>
        <v>34498</v>
      </c>
      <c r="AC1287" s="32">
        <v>-330</v>
      </c>
      <c r="AD1287" s="32"/>
      <c r="AE1287" s="32">
        <f t="shared" si="382"/>
        <v>34168</v>
      </c>
      <c r="AF1287" s="12"/>
      <c r="AG1287" s="12"/>
      <c r="AH1287" s="12"/>
      <c r="AI1287" s="12">
        <f t="shared" si="383"/>
        <v>34168</v>
      </c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12</v>
      </c>
      <c r="B1288" s="30" t="s">
        <v>107</v>
      </c>
      <c r="C1288" s="88">
        <f t="shared" si="384"/>
        <v>8094</v>
      </c>
      <c r="D1288" s="32">
        <f>9390+614</f>
        <v>10004</v>
      </c>
      <c r="E1288" s="32"/>
      <c r="F1288" s="32"/>
      <c r="G1288" s="32">
        <f t="shared" si="378"/>
        <v>10004</v>
      </c>
      <c r="H1288" s="12"/>
      <c r="I1288" s="12"/>
      <c r="J1288" s="10"/>
      <c r="K1288" s="12">
        <f t="shared" si="379"/>
        <v>10004</v>
      </c>
      <c r="L1288" s="18"/>
      <c r="M1288" s="10">
        <v>12</v>
      </c>
      <c r="N1288" s="30" t="s">
        <v>107</v>
      </c>
      <c r="O1288" s="31">
        <f t="shared" si="385"/>
        <v>8280</v>
      </c>
      <c r="P1288" s="32">
        <f>4382+1228+596+80</f>
        <v>6286</v>
      </c>
      <c r="Q1288" s="32"/>
      <c r="R1288" s="32"/>
      <c r="S1288" s="32">
        <f t="shared" si="380"/>
        <v>6286</v>
      </c>
      <c r="T1288" s="12"/>
      <c r="U1288" s="12"/>
      <c r="V1288" s="12"/>
      <c r="W1288" s="12">
        <f t="shared" si="381"/>
        <v>6286</v>
      </c>
      <c r="Y1288" s="10">
        <v>12</v>
      </c>
      <c r="Z1288" s="30" t="s">
        <v>107</v>
      </c>
      <c r="AA1288" s="31">
        <f t="shared" si="386"/>
        <v>8224</v>
      </c>
      <c r="AB1288" s="32">
        <f>2504+614*22+674*5+596*60+852+832*5</f>
        <v>60154</v>
      </c>
      <c r="AC1288" s="32"/>
      <c r="AD1288" s="32"/>
      <c r="AE1288" s="32">
        <f t="shared" si="382"/>
        <v>60154</v>
      </c>
      <c r="AF1288" s="12"/>
      <c r="AG1288" s="12"/>
      <c r="AH1288" s="12"/>
      <c r="AI1288" s="12">
        <f t="shared" si="383"/>
        <v>60154</v>
      </c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13</v>
      </c>
      <c r="B1289" s="30" t="s">
        <v>107</v>
      </c>
      <c r="C1289" s="88">
        <f t="shared" si="384"/>
        <v>8095</v>
      </c>
      <c r="D1289" s="32">
        <f>2504+1228+38</f>
        <v>3770</v>
      </c>
      <c r="E1289" s="32"/>
      <c r="F1289" s="32"/>
      <c r="G1289" s="32">
        <f t="shared" si="378"/>
        <v>3770</v>
      </c>
      <c r="H1289" s="12"/>
      <c r="I1289" s="12"/>
      <c r="J1289" s="12"/>
      <c r="K1289" s="12">
        <f t="shared" si="379"/>
        <v>3770</v>
      </c>
      <c r="L1289" s="18"/>
      <c r="M1289" s="10">
        <v>13</v>
      </c>
      <c r="N1289" s="30" t="s">
        <v>107</v>
      </c>
      <c r="O1289" s="31">
        <f t="shared" si="385"/>
        <v>8281</v>
      </c>
      <c r="P1289" s="32">
        <f>12520+1228+1788+229</f>
        <v>15765</v>
      </c>
      <c r="Q1289" s="32"/>
      <c r="R1289" s="32"/>
      <c r="S1289" s="32">
        <f t="shared" si="380"/>
        <v>15765</v>
      </c>
      <c r="T1289" s="12"/>
      <c r="U1289" s="12">
        <f>2775+78</f>
        <v>2853</v>
      </c>
      <c r="V1289" s="12"/>
      <c r="W1289" s="12">
        <f t="shared" si="381"/>
        <v>18618</v>
      </c>
      <c r="Y1289" s="10">
        <v>13</v>
      </c>
      <c r="Z1289" s="30" t="s">
        <v>107</v>
      </c>
      <c r="AA1289" s="31">
        <f t="shared" si="386"/>
        <v>8225</v>
      </c>
      <c r="AB1289" s="32">
        <f>1252</f>
        <v>1252</v>
      </c>
      <c r="AC1289" s="32"/>
      <c r="AD1289" s="32"/>
      <c r="AE1289" s="32">
        <f t="shared" si="382"/>
        <v>1252</v>
      </c>
      <c r="AF1289" s="12"/>
      <c r="AG1289" s="12"/>
      <c r="AH1289" s="12"/>
      <c r="AI1289" s="12">
        <f t="shared" si="383"/>
        <v>1252</v>
      </c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14</v>
      </c>
      <c r="B1290" s="30"/>
      <c r="C1290" s="11" t="s">
        <v>27</v>
      </c>
      <c r="D1290" s="32"/>
      <c r="E1290" s="32"/>
      <c r="F1290" s="32"/>
      <c r="G1290" s="32">
        <f t="shared" si="378"/>
        <v>0</v>
      </c>
      <c r="H1290" s="12"/>
      <c r="I1290" s="12"/>
      <c r="J1290" s="12"/>
      <c r="K1290" s="12">
        <f t="shared" si="379"/>
        <v>0</v>
      </c>
      <c r="L1290" s="18"/>
      <c r="M1290" s="10">
        <v>14</v>
      </c>
      <c r="N1290" s="30" t="s">
        <v>107</v>
      </c>
      <c r="O1290" s="31">
        <f t="shared" si="385"/>
        <v>8282</v>
      </c>
      <c r="P1290" s="32">
        <f>3130+614+57.5</f>
        <v>3801.5</v>
      </c>
      <c r="Q1290" s="32"/>
      <c r="R1290" s="32"/>
      <c r="S1290" s="32">
        <f t="shared" si="380"/>
        <v>3801.5</v>
      </c>
      <c r="T1290" s="12"/>
      <c r="U1290" s="12"/>
      <c r="V1290" s="12"/>
      <c r="W1290" s="12">
        <f t="shared" si="381"/>
        <v>3801.5</v>
      </c>
      <c r="Y1290" s="10">
        <v>14</v>
      </c>
      <c r="Z1290" s="30"/>
      <c r="AA1290" s="11" t="s">
        <v>27</v>
      </c>
      <c r="AB1290" s="32"/>
      <c r="AC1290" s="32"/>
      <c r="AD1290" s="32"/>
      <c r="AE1290" s="32">
        <f t="shared" si="382"/>
        <v>0</v>
      </c>
      <c r="AF1290" s="12"/>
      <c r="AG1290" s="12"/>
      <c r="AH1290" s="12"/>
      <c r="AI1290" s="12">
        <f t="shared" si="383"/>
        <v>0</v>
      </c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15</v>
      </c>
      <c r="B1291" s="30"/>
      <c r="C1291" s="88"/>
      <c r="D1291" s="32"/>
      <c r="E1291" s="32"/>
      <c r="F1291" s="32"/>
      <c r="G1291" s="32">
        <f t="shared" si="378"/>
        <v>0</v>
      </c>
      <c r="H1291" s="12"/>
      <c r="I1291" s="12"/>
      <c r="J1291" s="12"/>
      <c r="K1291" s="12">
        <f t="shared" si="379"/>
        <v>0</v>
      </c>
      <c r="L1291" s="18"/>
      <c r="M1291" s="10">
        <v>15</v>
      </c>
      <c r="N1291" s="30" t="s">
        <v>107</v>
      </c>
      <c r="O1291" s="31">
        <f t="shared" si="385"/>
        <v>8283</v>
      </c>
      <c r="P1291" s="32">
        <f>13146+5364+229</f>
        <v>18739</v>
      </c>
      <c r="Q1291" s="32"/>
      <c r="R1291" s="32"/>
      <c r="S1291" s="32">
        <f t="shared" si="380"/>
        <v>18739</v>
      </c>
      <c r="T1291" s="12"/>
      <c r="U1291" s="12">
        <f>54+78</f>
        <v>132</v>
      </c>
      <c r="V1291" s="12"/>
      <c r="W1291" s="12">
        <f t="shared" si="381"/>
        <v>18871</v>
      </c>
      <c r="Y1291" s="10">
        <v>15</v>
      </c>
      <c r="Z1291" s="30"/>
      <c r="AA1291" s="31"/>
      <c r="AB1291" s="32"/>
      <c r="AC1291" s="32"/>
      <c r="AD1291" s="32"/>
      <c r="AE1291" s="32">
        <f t="shared" si="382"/>
        <v>0</v>
      </c>
      <c r="AF1291" s="12"/>
      <c r="AG1291" s="12"/>
      <c r="AH1291" s="12"/>
      <c r="AI1291" s="12">
        <f t="shared" si="383"/>
        <v>0</v>
      </c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16</v>
      </c>
      <c r="B1292" s="30"/>
      <c r="C1292" s="88"/>
      <c r="D1292" s="32"/>
      <c r="E1292" s="32"/>
      <c r="F1292" s="32"/>
      <c r="G1292" s="32">
        <f t="shared" si="378"/>
        <v>0</v>
      </c>
      <c r="H1292" s="12"/>
      <c r="I1292" s="12"/>
      <c r="J1292" s="12"/>
      <c r="K1292" s="12">
        <f t="shared" si="379"/>
        <v>0</v>
      </c>
      <c r="L1292" s="18"/>
      <c r="M1292" s="10">
        <v>16</v>
      </c>
      <c r="N1292" s="30" t="s">
        <v>107</v>
      </c>
      <c r="O1292" s="31">
        <f t="shared" si="385"/>
        <v>8284</v>
      </c>
      <c r="P1292" s="32">
        <f>6140+5960+115</f>
        <v>12215</v>
      </c>
      <c r="Q1292" s="32"/>
      <c r="R1292" s="32"/>
      <c r="S1292" s="32">
        <f t="shared" si="380"/>
        <v>12215</v>
      </c>
      <c r="T1292" s="12"/>
      <c r="U1292" s="12"/>
      <c r="V1292" s="12"/>
      <c r="W1292" s="12">
        <f t="shared" si="381"/>
        <v>12215</v>
      </c>
      <c r="Y1292" s="10">
        <v>16</v>
      </c>
      <c r="Z1292" s="30"/>
      <c r="AA1292" s="31"/>
      <c r="AB1292" s="32"/>
      <c r="AC1292" s="32"/>
      <c r="AD1292" s="32"/>
      <c r="AE1292" s="32">
        <f t="shared" si="382"/>
        <v>0</v>
      </c>
      <c r="AF1292" s="12"/>
      <c r="AG1292" s="12"/>
      <c r="AH1292" s="12"/>
      <c r="AI1292" s="12">
        <f t="shared" si="383"/>
        <v>0</v>
      </c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17</v>
      </c>
      <c r="B1293" s="30"/>
      <c r="C1293" s="88"/>
      <c r="D1293" s="32"/>
      <c r="E1293" s="32"/>
      <c r="F1293" s="32"/>
      <c r="G1293" s="32">
        <f t="shared" si="378"/>
        <v>0</v>
      </c>
      <c r="H1293" s="12"/>
      <c r="I1293" s="12"/>
      <c r="J1293" s="12"/>
      <c r="K1293" s="12">
        <f t="shared" si="379"/>
        <v>0</v>
      </c>
      <c r="L1293" s="18"/>
      <c r="M1293" s="10">
        <v>17</v>
      </c>
      <c r="N1293" s="30" t="s">
        <v>107</v>
      </c>
      <c r="O1293" s="31">
        <f t="shared" si="385"/>
        <v>8285</v>
      </c>
      <c r="P1293" s="35">
        <f>1192</f>
        <v>1192</v>
      </c>
      <c r="Q1293" s="32"/>
      <c r="R1293" s="32"/>
      <c r="S1293" s="32">
        <f t="shared" si="380"/>
        <v>1192</v>
      </c>
      <c r="T1293" s="12"/>
      <c r="U1293" s="12">
        <v>222</v>
      </c>
      <c r="V1293" s="12"/>
      <c r="W1293" s="12">
        <f t="shared" si="381"/>
        <v>1414</v>
      </c>
      <c r="Y1293" s="10">
        <v>17</v>
      </c>
      <c r="Z1293" s="30"/>
      <c r="AA1293" s="31"/>
      <c r="AB1293" s="35"/>
      <c r="AC1293" s="32"/>
      <c r="AD1293" s="32"/>
      <c r="AE1293" s="32">
        <f t="shared" si="382"/>
        <v>0</v>
      </c>
      <c r="AF1293" s="12"/>
      <c r="AG1293" s="12"/>
      <c r="AH1293" s="12"/>
      <c r="AI1293" s="12">
        <f t="shared" si="383"/>
        <v>0</v>
      </c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18</v>
      </c>
      <c r="B1294" s="30"/>
      <c r="C1294" s="88"/>
      <c r="D1294" s="32"/>
      <c r="E1294" s="32"/>
      <c r="F1294" s="32"/>
      <c r="G1294" s="32">
        <f t="shared" si="378"/>
        <v>0</v>
      </c>
      <c r="H1294" s="12"/>
      <c r="I1294" s="12"/>
      <c r="J1294" s="12"/>
      <c r="K1294" s="12">
        <f t="shared" si="379"/>
        <v>0</v>
      </c>
      <c r="L1294" s="18"/>
      <c r="M1294" s="10">
        <v>18</v>
      </c>
      <c r="N1294" s="30" t="s">
        <v>107</v>
      </c>
      <c r="O1294" s="31">
        <f t="shared" si="385"/>
        <v>8286</v>
      </c>
      <c r="P1294" s="32">
        <f>1788+34.5</f>
        <v>1822.5</v>
      </c>
      <c r="Q1294" s="32"/>
      <c r="R1294" s="32"/>
      <c r="S1294" s="32">
        <f t="shared" si="380"/>
        <v>1822.5</v>
      </c>
      <c r="T1294" s="12"/>
      <c r="U1294" s="12"/>
      <c r="V1294" s="12"/>
      <c r="W1294" s="12">
        <f t="shared" si="381"/>
        <v>1822.5</v>
      </c>
      <c r="Y1294" s="10">
        <v>18</v>
      </c>
      <c r="Z1294" s="30"/>
      <c r="AA1294" s="31"/>
      <c r="AB1294" s="32"/>
      <c r="AC1294" s="32"/>
      <c r="AD1294" s="32"/>
      <c r="AE1294" s="32">
        <f t="shared" si="382"/>
        <v>0</v>
      </c>
      <c r="AF1294" s="12"/>
      <c r="AG1294" s="12"/>
      <c r="AH1294" s="12"/>
      <c r="AI1294" s="12">
        <f t="shared" si="383"/>
        <v>0</v>
      </c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19</v>
      </c>
      <c r="B1295" s="30"/>
      <c r="C1295" s="88"/>
      <c r="D1295" s="32"/>
      <c r="E1295" s="32"/>
      <c r="F1295" s="32"/>
      <c r="G1295" s="32">
        <f t="shared" si="378"/>
        <v>0</v>
      </c>
      <c r="H1295" s="12"/>
      <c r="I1295" s="12"/>
      <c r="J1295" s="12"/>
      <c r="K1295" s="12">
        <f t="shared" si="379"/>
        <v>0</v>
      </c>
      <c r="L1295" s="18"/>
      <c r="M1295" s="10">
        <v>19</v>
      </c>
      <c r="N1295" s="30" t="s">
        <v>107</v>
      </c>
      <c r="O1295" s="31">
        <f t="shared" si="385"/>
        <v>8287</v>
      </c>
      <c r="P1295" s="32">
        <f>1252+20</f>
        <v>1272</v>
      </c>
      <c r="Q1295" s="32"/>
      <c r="R1295" s="32"/>
      <c r="S1295" s="32">
        <f t="shared" si="380"/>
        <v>1272</v>
      </c>
      <c r="T1295" s="12"/>
      <c r="U1295" s="12"/>
      <c r="V1295" s="12"/>
      <c r="W1295" s="12">
        <f t="shared" si="381"/>
        <v>1272</v>
      </c>
      <c r="Y1295" s="10">
        <v>19</v>
      </c>
      <c r="Z1295" s="30"/>
      <c r="AB1295" s="32"/>
      <c r="AC1295" s="32"/>
      <c r="AD1295" s="32"/>
      <c r="AE1295" s="32">
        <f t="shared" si="382"/>
        <v>0</v>
      </c>
      <c r="AF1295" s="12"/>
      <c r="AG1295" s="12"/>
      <c r="AH1295" s="12"/>
      <c r="AI1295" s="12">
        <f t="shared" si="383"/>
        <v>0</v>
      </c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20</v>
      </c>
      <c r="B1296" s="30"/>
      <c r="C1296" s="88"/>
      <c r="D1296" s="32"/>
      <c r="E1296" s="32"/>
      <c r="F1296" s="32"/>
      <c r="G1296" s="32">
        <f t="shared" si="378"/>
        <v>0</v>
      </c>
      <c r="H1296" s="12"/>
      <c r="I1296" s="12"/>
      <c r="J1296" s="12"/>
      <c r="K1296" s="12">
        <f t="shared" si="379"/>
        <v>0</v>
      </c>
      <c r="L1296" s="18"/>
      <c r="M1296" s="10">
        <v>20</v>
      </c>
      <c r="N1296" s="30" t="s">
        <v>107</v>
      </c>
      <c r="O1296" s="31">
        <f t="shared" si="385"/>
        <v>8288</v>
      </c>
      <c r="P1296" s="32">
        <f>626</f>
        <v>626</v>
      </c>
      <c r="Q1296" s="32"/>
      <c r="R1296" s="32"/>
      <c r="S1296" s="32">
        <f t="shared" si="380"/>
        <v>626</v>
      </c>
      <c r="T1296" s="12"/>
      <c r="U1296" s="12"/>
      <c r="V1296" s="12"/>
      <c r="W1296" s="12">
        <f t="shared" si="381"/>
        <v>626</v>
      </c>
      <c r="Y1296" s="10">
        <v>20</v>
      </c>
      <c r="Z1296" s="30"/>
      <c r="AB1296" s="32"/>
      <c r="AC1296" s="32"/>
      <c r="AD1296" s="32"/>
      <c r="AE1296" s="32">
        <f t="shared" si="382"/>
        <v>0</v>
      </c>
      <c r="AF1296" s="12"/>
      <c r="AG1296" s="12"/>
      <c r="AH1296" s="12"/>
      <c r="AI1296" s="12">
        <f t="shared" si="383"/>
        <v>0</v>
      </c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21</v>
      </c>
      <c r="B1297" s="30"/>
      <c r="D1297" s="32"/>
      <c r="E1297" s="32"/>
      <c r="F1297" s="32"/>
      <c r="G1297" s="32">
        <f t="shared" si="378"/>
        <v>0</v>
      </c>
      <c r="H1297" s="10"/>
      <c r="I1297" s="10"/>
      <c r="J1297" s="10"/>
      <c r="K1297" s="12">
        <f t="shared" si="379"/>
        <v>0</v>
      </c>
      <c r="L1297" s="18"/>
      <c r="M1297" s="10">
        <v>21</v>
      </c>
      <c r="N1297" s="30" t="s">
        <v>107</v>
      </c>
      <c r="O1297" s="31">
        <f t="shared" si="385"/>
        <v>8289</v>
      </c>
      <c r="P1297" s="46">
        <f>18780+596*20+458</f>
        <v>31158</v>
      </c>
      <c r="Q1297" s="31"/>
      <c r="R1297" s="31"/>
      <c r="S1297" s="32">
        <f t="shared" si="380"/>
        <v>31158</v>
      </c>
      <c r="T1297" s="10"/>
      <c r="U1297" s="10">
        <f>40*111+78</f>
        <v>4518</v>
      </c>
      <c r="V1297" s="10"/>
      <c r="W1297" s="12">
        <f t="shared" si="381"/>
        <v>35676</v>
      </c>
      <c r="Y1297" s="10">
        <v>21</v>
      </c>
      <c r="Z1297" s="30"/>
      <c r="AB1297" s="46"/>
      <c r="AC1297" s="31"/>
      <c r="AD1297" s="31"/>
      <c r="AE1297" s="32">
        <f t="shared" si="382"/>
        <v>0</v>
      </c>
      <c r="AF1297" s="10"/>
      <c r="AG1297" s="10"/>
      <c r="AH1297" s="10"/>
      <c r="AI1297" s="12">
        <f t="shared" si="383"/>
        <v>0</v>
      </c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22</v>
      </c>
      <c r="B1298" s="30"/>
      <c r="C1298" s="88"/>
      <c r="D1298" s="32"/>
      <c r="E1298" s="32"/>
      <c r="F1298" s="32"/>
      <c r="G1298" s="32">
        <f t="shared" si="378"/>
        <v>0</v>
      </c>
      <c r="H1298" s="10"/>
      <c r="I1298" s="10"/>
      <c r="J1298" s="10"/>
      <c r="K1298" s="12">
        <f t="shared" si="379"/>
        <v>0</v>
      </c>
      <c r="L1298" s="18"/>
      <c r="M1298" s="10">
        <v>22</v>
      </c>
      <c r="N1298" s="30" t="s">
        <v>107</v>
      </c>
      <c r="O1298" s="31">
        <f t="shared" si="385"/>
        <v>8290</v>
      </c>
      <c r="P1298" s="45">
        <f>62600+14900+1145</f>
        <v>78645</v>
      </c>
      <c r="Q1298" s="31"/>
      <c r="R1298" s="31"/>
      <c r="S1298" s="32">
        <f t="shared" si="380"/>
        <v>78645</v>
      </c>
      <c r="T1298" s="10"/>
      <c r="U1298" s="10">
        <f>13875</f>
        <v>13875</v>
      </c>
      <c r="V1298" s="10"/>
      <c r="W1298" s="12">
        <f t="shared" si="381"/>
        <v>92520</v>
      </c>
      <c r="Y1298" s="10">
        <v>22</v>
      </c>
      <c r="Z1298" s="30"/>
      <c r="AA1298" s="31"/>
      <c r="AB1298" s="45"/>
      <c r="AC1298" s="31"/>
      <c r="AD1298" s="31"/>
      <c r="AE1298" s="32">
        <f t="shared" si="382"/>
        <v>0</v>
      </c>
      <c r="AF1298" s="10"/>
      <c r="AG1298" s="10"/>
      <c r="AH1298" s="10"/>
      <c r="AI1298" s="12">
        <f t="shared" si="383"/>
        <v>0</v>
      </c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23</v>
      </c>
      <c r="B1299" s="30"/>
      <c r="C1299" s="88"/>
      <c r="D1299" s="32"/>
      <c r="E1299" s="32"/>
      <c r="F1299" s="32"/>
      <c r="G1299" s="32">
        <f t="shared" si="378"/>
        <v>0</v>
      </c>
      <c r="H1299" s="10"/>
      <c r="I1299" s="10"/>
      <c r="J1299" s="12"/>
      <c r="K1299" s="12">
        <f t="shared" si="379"/>
        <v>0</v>
      </c>
      <c r="L1299" s="18"/>
      <c r="M1299" s="10">
        <v>23</v>
      </c>
      <c r="N1299" s="30" t="s">
        <v>107</v>
      </c>
      <c r="O1299" s="31">
        <f t="shared" si="385"/>
        <v>8291</v>
      </c>
      <c r="P1299" s="47">
        <f>1252+596</f>
        <v>1848</v>
      </c>
      <c r="S1299" s="32">
        <f t="shared" si="380"/>
        <v>1848</v>
      </c>
      <c r="T1299" s="10"/>
      <c r="U1299" s="10"/>
      <c r="V1299" s="10"/>
      <c r="W1299" s="12">
        <f t="shared" si="381"/>
        <v>1848</v>
      </c>
      <c r="Y1299" s="10">
        <v>23</v>
      </c>
      <c r="Z1299" s="30"/>
      <c r="AA1299" s="31"/>
      <c r="AB1299" s="47"/>
      <c r="AE1299" s="32">
        <f t="shared" si="382"/>
        <v>0</v>
      </c>
      <c r="AF1299" s="10"/>
      <c r="AG1299" s="10"/>
      <c r="AH1299" s="10"/>
      <c r="AI1299" s="12">
        <f t="shared" si="383"/>
        <v>0</v>
      </c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24</v>
      </c>
      <c r="B1300" s="30"/>
      <c r="C1300" s="57"/>
      <c r="D1300" s="32"/>
      <c r="E1300" s="32"/>
      <c r="F1300" s="32"/>
      <c r="G1300" s="32">
        <f t="shared" si="378"/>
        <v>0</v>
      </c>
      <c r="H1300" s="10"/>
      <c r="I1300" s="10"/>
      <c r="J1300" s="10"/>
      <c r="K1300" s="12">
        <f t="shared" si="379"/>
        <v>0</v>
      </c>
      <c r="L1300" s="18"/>
      <c r="M1300" s="10">
        <v>24</v>
      </c>
      <c r="N1300" s="30" t="s">
        <v>107</v>
      </c>
      <c r="O1300" s="31">
        <f t="shared" si="385"/>
        <v>8292</v>
      </c>
      <c r="P1300" s="47">
        <f>1192+20</f>
        <v>1212</v>
      </c>
      <c r="Q1300" s="31"/>
      <c r="R1300" s="31"/>
      <c r="S1300" s="32">
        <f t="shared" si="380"/>
        <v>1212</v>
      </c>
      <c r="T1300" s="10"/>
      <c r="U1300" s="10"/>
      <c r="V1300" s="10">
        <v>-888</v>
      </c>
      <c r="W1300" s="12">
        <f t="shared" si="381"/>
        <v>324</v>
      </c>
      <c r="Y1300" s="10">
        <v>24</v>
      </c>
      <c r="Z1300" s="30"/>
      <c r="AA1300" s="31"/>
      <c r="AB1300" s="47"/>
      <c r="AC1300" s="31"/>
      <c r="AD1300" s="31"/>
      <c r="AE1300" s="32">
        <f t="shared" si="382"/>
        <v>0</v>
      </c>
      <c r="AF1300" s="10"/>
      <c r="AG1300" s="10"/>
      <c r="AH1300" s="10"/>
      <c r="AI1300" s="12">
        <f t="shared" si="383"/>
        <v>0</v>
      </c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25</v>
      </c>
      <c r="B1301" s="30"/>
      <c r="C1301" s="31"/>
      <c r="D1301" s="32"/>
      <c r="E1301" s="32"/>
      <c r="F1301" s="32"/>
      <c r="G1301" s="32">
        <f t="shared" si="378"/>
        <v>0</v>
      </c>
      <c r="H1301" s="10"/>
      <c r="I1301" s="10"/>
      <c r="J1301" s="10"/>
      <c r="K1301" s="12">
        <f t="shared" si="379"/>
        <v>0</v>
      </c>
      <c r="L1301" s="18"/>
      <c r="M1301" s="10">
        <v>25</v>
      </c>
      <c r="N1301" s="30" t="s">
        <v>107</v>
      </c>
      <c r="O1301" s="31">
        <f t="shared" si="385"/>
        <v>8293</v>
      </c>
      <c r="P1301" s="47">
        <f>626*2+596+9.5*3</f>
        <v>1876.5</v>
      </c>
      <c r="Q1301" s="31"/>
      <c r="R1301" s="31"/>
      <c r="S1301" s="32">
        <f t="shared" si="380"/>
        <v>1876.5</v>
      </c>
      <c r="T1301" s="10"/>
      <c r="U1301" s="10">
        <v>111</v>
      </c>
      <c r="V1301" s="10"/>
      <c r="W1301" s="12">
        <f t="shared" si="381"/>
        <v>1987.5</v>
      </c>
      <c r="Y1301" s="10">
        <v>25</v>
      </c>
      <c r="Z1301" s="30"/>
      <c r="AB1301" s="47"/>
      <c r="AC1301" s="31"/>
      <c r="AD1301" s="31"/>
      <c r="AE1301" s="32">
        <f t="shared" si="382"/>
        <v>0</v>
      </c>
      <c r="AF1301" s="10"/>
      <c r="AG1301" s="10"/>
      <c r="AH1301" s="10"/>
      <c r="AI1301" s="12">
        <f t="shared" si="383"/>
        <v>0</v>
      </c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26</v>
      </c>
      <c r="B1302" s="30"/>
      <c r="C1302" s="11"/>
      <c r="D1302" s="32"/>
      <c r="E1302" s="32"/>
      <c r="F1302" s="32"/>
      <c r="G1302" s="32">
        <f t="shared" si="378"/>
        <v>0</v>
      </c>
      <c r="H1302" s="10"/>
      <c r="I1302" s="10"/>
      <c r="J1302" s="10"/>
      <c r="K1302" s="12">
        <f t="shared" si="379"/>
        <v>0</v>
      </c>
      <c r="L1302" s="18"/>
      <c r="M1302" s="10">
        <v>26</v>
      </c>
      <c r="N1302" s="30" t="s">
        <v>107</v>
      </c>
      <c r="O1302" s="31">
        <f t="shared" si="385"/>
        <v>8294</v>
      </c>
      <c r="P1302" s="47">
        <f>2504+596+50</f>
        <v>3150</v>
      </c>
      <c r="Q1302" s="31"/>
      <c r="R1302" s="31"/>
      <c r="S1302" s="32">
        <f t="shared" si="380"/>
        <v>3150</v>
      </c>
      <c r="T1302" s="10"/>
      <c r="U1302" s="10">
        <v>444</v>
      </c>
      <c r="V1302" s="10"/>
      <c r="W1302" s="12">
        <f t="shared" si="381"/>
        <v>3594</v>
      </c>
      <c r="Y1302" s="10">
        <v>26</v>
      </c>
      <c r="Z1302" s="30"/>
      <c r="AB1302" s="47"/>
      <c r="AC1302" s="31"/>
      <c r="AD1302" s="31"/>
      <c r="AE1302" s="32">
        <f t="shared" si="382"/>
        <v>0</v>
      </c>
      <c r="AF1302" s="10"/>
      <c r="AG1302" s="10"/>
      <c r="AH1302" s="10"/>
      <c r="AI1302" s="12">
        <f t="shared" si="383"/>
        <v>0</v>
      </c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27</v>
      </c>
      <c r="B1303" s="30"/>
      <c r="C1303" s="57"/>
      <c r="D1303" s="32"/>
      <c r="E1303" s="32"/>
      <c r="F1303" s="32"/>
      <c r="G1303" s="32">
        <f t="shared" si="378"/>
        <v>0</v>
      </c>
      <c r="H1303" s="10"/>
      <c r="I1303" s="10"/>
      <c r="J1303" s="10"/>
      <c r="K1303" s="12">
        <f t="shared" si="379"/>
        <v>0</v>
      </c>
      <c r="L1303" s="18"/>
      <c r="M1303" s="10">
        <v>27</v>
      </c>
      <c r="N1303" s="30" t="s">
        <v>107</v>
      </c>
      <c r="O1303" s="31">
        <f t="shared" si="385"/>
        <v>8295</v>
      </c>
      <c r="P1303" s="47">
        <f>626*200+596*100+1005*20+832*15+229*12</f>
        <v>220128</v>
      </c>
      <c r="Q1303" s="31">
        <v>-2010</v>
      </c>
      <c r="R1303" s="31"/>
      <c r="S1303" s="32">
        <f t="shared" si="380"/>
        <v>218118</v>
      </c>
      <c r="T1303" s="10"/>
      <c r="U1303" s="10">
        <v>453</v>
      </c>
      <c r="V1303" s="10">
        <v>-678</v>
      </c>
      <c r="W1303" s="12">
        <f t="shared" si="381"/>
        <v>217893</v>
      </c>
      <c r="Y1303" s="10">
        <v>27</v>
      </c>
      <c r="Z1303" s="30"/>
      <c r="AA1303" s="31"/>
      <c r="AB1303" s="47"/>
      <c r="AC1303" s="31"/>
      <c r="AD1303" s="31"/>
      <c r="AE1303" s="32">
        <f t="shared" si="382"/>
        <v>0</v>
      </c>
      <c r="AF1303" s="10"/>
      <c r="AG1303" s="10"/>
      <c r="AH1303" s="10"/>
      <c r="AI1303" s="12">
        <f t="shared" si="383"/>
        <v>0</v>
      </c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28</v>
      </c>
      <c r="B1304" s="30"/>
      <c r="C1304" s="31"/>
      <c r="D1304" s="32"/>
      <c r="E1304" s="32"/>
      <c r="F1304" s="32"/>
      <c r="G1304" s="32">
        <f t="shared" si="378"/>
        <v>0</v>
      </c>
      <c r="H1304" s="10"/>
      <c r="I1304" s="10"/>
      <c r="J1304" s="10"/>
      <c r="K1304" s="12">
        <f t="shared" si="379"/>
        <v>0</v>
      </c>
      <c r="L1304" s="18"/>
      <c r="M1304" s="10">
        <v>28</v>
      </c>
      <c r="N1304" s="30" t="s">
        <v>107</v>
      </c>
      <c r="O1304" s="31">
        <f t="shared" si="385"/>
        <v>8296</v>
      </c>
      <c r="P1304" s="47">
        <f>626+9.5</f>
        <v>635.5</v>
      </c>
      <c r="Q1304" s="31"/>
      <c r="R1304" s="31"/>
      <c r="S1304" s="32">
        <f t="shared" si="380"/>
        <v>635.5</v>
      </c>
      <c r="T1304" s="10"/>
      <c r="U1304" s="10"/>
      <c r="V1304" s="10"/>
      <c r="W1304" s="12">
        <f t="shared" si="381"/>
        <v>635.5</v>
      </c>
      <c r="Y1304" s="10">
        <v>28</v>
      </c>
      <c r="Z1304" s="30"/>
      <c r="AA1304" s="31"/>
      <c r="AB1304" s="47"/>
      <c r="AC1304" s="31"/>
      <c r="AD1304" s="31"/>
      <c r="AE1304" s="32">
        <f t="shared" si="382"/>
        <v>0</v>
      </c>
      <c r="AF1304" s="10"/>
      <c r="AG1304" s="10"/>
      <c r="AH1304" s="10"/>
      <c r="AI1304" s="12">
        <f t="shared" si="383"/>
        <v>0</v>
      </c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29</v>
      </c>
      <c r="B1305" s="30"/>
      <c r="C1305" s="31"/>
      <c r="D1305" s="32"/>
      <c r="E1305" s="32"/>
      <c r="F1305" s="32"/>
      <c r="G1305" s="32">
        <f t="shared" si="378"/>
        <v>0</v>
      </c>
      <c r="H1305" s="10"/>
      <c r="I1305" s="10"/>
      <c r="J1305" s="10"/>
      <c r="K1305" s="12">
        <f t="shared" si="379"/>
        <v>0</v>
      </c>
      <c r="L1305" s="18"/>
      <c r="M1305" s="10">
        <v>29</v>
      </c>
      <c r="N1305" s="30" t="s">
        <v>107</v>
      </c>
      <c r="O1305" s="31">
        <f t="shared" si="385"/>
        <v>8297</v>
      </c>
      <c r="P1305" s="47">
        <f>626+9.5</f>
        <v>635.5</v>
      </c>
      <c r="Q1305" s="31"/>
      <c r="R1305" s="31"/>
      <c r="S1305" s="32">
        <f t="shared" si="380"/>
        <v>635.5</v>
      </c>
      <c r="T1305" s="10"/>
      <c r="U1305" s="10"/>
      <c r="V1305" s="10"/>
      <c r="W1305" s="12">
        <f t="shared" si="381"/>
        <v>635.5</v>
      </c>
      <c r="Y1305" s="10">
        <v>29</v>
      </c>
      <c r="Z1305" s="30"/>
      <c r="AB1305" s="47"/>
      <c r="AC1305" s="31"/>
      <c r="AD1305" s="31"/>
      <c r="AE1305" s="32">
        <f t="shared" si="382"/>
        <v>0</v>
      </c>
      <c r="AF1305" s="10"/>
      <c r="AG1305" s="10"/>
      <c r="AH1305" s="10"/>
      <c r="AI1305" s="12">
        <f t="shared" si="383"/>
        <v>0</v>
      </c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30</v>
      </c>
      <c r="B1306" s="30"/>
      <c r="C1306" s="57"/>
      <c r="D1306" s="32"/>
      <c r="E1306" s="32"/>
      <c r="F1306" s="32"/>
      <c r="G1306" s="32">
        <f t="shared" si="378"/>
        <v>0</v>
      </c>
      <c r="H1306" s="10"/>
      <c r="I1306" s="10"/>
      <c r="J1306" s="10"/>
      <c r="K1306" s="12">
        <f t="shared" si="379"/>
        <v>0</v>
      </c>
      <c r="L1306" s="18"/>
      <c r="M1306" s="10">
        <v>30</v>
      </c>
      <c r="N1306" s="30" t="s">
        <v>107</v>
      </c>
      <c r="O1306" s="31">
        <f t="shared" si="385"/>
        <v>8298</v>
      </c>
      <c r="P1306" s="47">
        <f>2504+40</f>
        <v>2544</v>
      </c>
      <c r="Q1306" s="31"/>
      <c r="R1306" s="31"/>
      <c r="S1306" s="32">
        <f t="shared" si="380"/>
        <v>2544</v>
      </c>
      <c r="T1306" s="10"/>
      <c r="U1306" s="10"/>
      <c r="V1306" s="10"/>
      <c r="W1306" s="12">
        <f t="shared" si="381"/>
        <v>2544</v>
      </c>
      <c r="Y1306" s="10">
        <v>30</v>
      </c>
      <c r="Z1306" s="30"/>
      <c r="AB1306" s="47"/>
      <c r="AC1306" s="31"/>
      <c r="AD1306" s="31"/>
      <c r="AE1306" s="32">
        <f t="shared" si="382"/>
        <v>0</v>
      </c>
      <c r="AF1306" s="10"/>
      <c r="AG1306" s="10"/>
      <c r="AH1306" s="10"/>
      <c r="AI1306" s="12">
        <f t="shared" si="383"/>
        <v>0</v>
      </c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31</v>
      </c>
      <c r="B1307" s="30"/>
      <c r="C1307" s="57"/>
      <c r="D1307" s="32"/>
      <c r="E1307" s="32"/>
      <c r="F1307" s="32"/>
      <c r="G1307" s="32">
        <f t="shared" si="378"/>
        <v>0</v>
      </c>
      <c r="H1307" s="10"/>
      <c r="I1307" s="10"/>
      <c r="J1307" s="10"/>
      <c r="K1307" s="12">
        <f t="shared" si="379"/>
        <v>0</v>
      </c>
      <c r="L1307" s="18"/>
      <c r="M1307" s="10">
        <v>31</v>
      </c>
      <c r="N1307" s="30" t="s">
        <v>107</v>
      </c>
      <c r="O1307" s="31">
        <f t="shared" si="385"/>
        <v>8299</v>
      </c>
      <c r="P1307" s="47">
        <f>626+9.5</f>
        <v>635.5</v>
      </c>
      <c r="Q1307" s="31"/>
      <c r="R1307" s="31"/>
      <c r="S1307" s="32">
        <f t="shared" si="380"/>
        <v>635.5</v>
      </c>
      <c r="T1307" s="10"/>
      <c r="U1307" s="10">
        <v>111</v>
      </c>
      <c r="V1307" s="10"/>
      <c r="W1307" s="12">
        <f>SUM(S1307:V1307)</f>
        <v>746.5</v>
      </c>
      <c r="Y1307" s="10">
        <v>31</v>
      </c>
      <c r="Z1307" s="30"/>
      <c r="AA1307" s="31"/>
      <c r="AB1307" s="47"/>
      <c r="AC1307" s="31"/>
      <c r="AD1307" s="31"/>
      <c r="AE1307" s="32">
        <f t="shared" si="382"/>
        <v>0</v>
      </c>
      <c r="AF1307" s="10"/>
      <c r="AG1307" s="10"/>
      <c r="AH1307" s="10"/>
      <c r="AI1307" s="12">
        <f t="shared" si="383"/>
        <v>0</v>
      </c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32</v>
      </c>
      <c r="B1308" s="30"/>
      <c r="C1308" s="31"/>
      <c r="D1308" s="32"/>
      <c r="E1308" s="32"/>
      <c r="F1308" s="32"/>
      <c r="G1308" s="32">
        <f t="shared" si="378"/>
        <v>0</v>
      </c>
      <c r="H1308" s="10"/>
      <c r="I1308" s="10"/>
      <c r="J1308" s="10"/>
      <c r="K1308" s="12">
        <f t="shared" si="379"/>
        <v>0</v>
      </c>
      <c r="L1308" s="18"/>
      <c r="M1308" s="10">
        <v>32</v>
      </c>
      <c r="N1308" s="30" t="s">
        <v>107</v>
      </c>
      <c r="O1308" s="31">
        <f t="shared" si="385"/>
        <v>8300</v>
      </c>
      <c r="P1308" s="47">
        <f>626*10+596*8</f>
        <v>11028</v>
      </c>
      <c r="Q1308" s="31"/>
      <c r="R1308" s="31"/>
      <c r="S1308" s="32">
        <f t="shared" si="380"/>
        <v>11028</v>
      </c>
      <c r="T1308" s="10"/>
      <c r="U1308" s="10"/>
      <c r="V1308" s="10"/>
      <c r="W1308" s="12">
        <f t="shared" si="381"/>
        <v>11028</v>
      </c>
      <c r="Y1308" s="10">
        <v>32</v>
      </c>
      <c r="Z1308" s="30"/>
      <c r="AB1308" s="47"/>
      <c r="AC1308" s="31"/>
      <c r="AD1308" s="31"/>
      <c r="AE1308" s="32">
        <f t="shared" si="382"/>
        <v>0</v>
      </c>
      <c r="AF1308" s="10"/>
      <c r="AG1308" s="10"/>
      <c r="AH1308" s="10"/>
      <c r="AI1308" s="12">
        <f t="shared" si="383"/>
        <v>0</v>
      </c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33</v>
      </c>
      <c r="B1309" s="30"/>
      <c r="C1309" s="57"/>
      <c r="D1309" s="32"/>
      <c r="E1309" s="32"/>
      <c r="F1309" s="32"/>
      <c r="G1309" s="32">
        <f t="shared" si="378"/>
        <v>0</v>
      </c>
      <c r="H1309" s="10"/>
      <c r="I1309" s="10"/>
      <c r="J1309" s="10"/>
      <c r="K1309" s="12">
        <f t="shared" si="379"/>
        <v>0</v>
      </c>
      <c r="L1309" s="18"/>
      <c r="M1309" s="10">
        <v>33</v>
      </c>
      <c r="N1309" s="30" t="s">
        <v>107</v>
      </c>
      <c r="O1309" s="31">
        <f t="shared" si="385"/>
        <v>8301</v>
      </c>
      <c r="P1309" s="47">
        <f>12520+1664</f>
        <v>14184</v>
      </c>
      <c r="Q1309" s="31"/>
      <c r="R1309" s="31"/>
      <c r="S1309" s="32">
        <f t="shared" si="380"/>
        <v>14184</v>
      </c>
      <c r="T1309" s="10"/>
      <c r="U1309" s="10"/>
      <c r="V1309" s="10"/>
      <c r="W1309" s="12">
        <f t="shared" si="381"/>
        <v>14184</v>
      </c>
      <c r="Y1309" s="10">
        <v>33</v>
      </c>
      <c r="Z1309" s="30"/>
      <c r="AA1309" s="31"/>
      <c r="AB1309" s="47"/>
      <c r="AC1309" s="31"/>
      <c r="AD1309" s="31"/>
      <c r="AE1309" s="32">
        <f t="shared" si="382"/>
        <v>0</v>
      </c>
      <c r="AF1309" s="10"/>
      <c r="AG1309" s="10"/>
      <c r="AH1309" s="10"/>
      <c r="AI1309" s="12">
        <f t="shared" si="383"/>
        <v>0</v>
      </c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/>
      <c r="B1310" s="30"/>
      <c r="C1310" s="57"/>
      <c r="D1310" s="32"/>
      <c r="E1310" s="32"/>
      <c r="F1310" s="32"/>
      <c r="G1310" s="32">
        <f t="shared" si="378"/>
        <v>0</v>
      </c>
      <c r="H1310" s="10"/>
      <c r="I1310" s="10"/>
      <c r="J1310" s="10"/>
      <c r="K1310" s="12">
        <f t="shared" si="379"/>
        <v>0</v>
      </c>
      <c r="L1310" s="18"/>
      <c r="M1310" s="10">
        <v>34</v>
      </c>
      <c r="N1310" s="30" t="s">
        <v>107</v>
      </c>
      <c r="O1310" s="31">
        <f t="shared" si="385"/>
        <v>8302</v>
      </c>
      <c r="P1310" s="47">
        <f>3130+2980+229</f>
        <v>6339</v>
      </c>
      <c r="Q1310" s="31"/>
      <c r="R1310" s="31"/>
      <c r="S1310" s="32">
        <f t="shared" ref="S1310:S1315" si="387">SUM(P1310:Q1310)</f>
        <v>6339</v>
      </c>
      <c r="T1310" s="10"/>
      <c r="U1310" s="10"/>
      <c r="V1310" s="10"/>
      <c r="W1310" s="12">
        <f t="shared" si="381"/>
        <v>6339</v>
      </c>
      <c r="Y1310" s="10">
        <v>34</v>
      </c>
      <c r="Z1310" s="30"/>
      <c r="AA1310" s="31"/>
      <c r="AB1310" s="47"/>
      <c r="AC1310" s="31"/>
      <c r="AD1310" s="31"/>
      <c r="AE1310" s="32">
        <f t="shared" ref="AE1310:AE1315" si="388">SUM(AB1310:AC1310)</f>
        <v>0</v>
      </c>
      <c r="AF1310" s="10"/>
      <c r="AG1310" s="10"/>
      <c r="AH1310" s="10"/>
      <c r="AI1310" s="12">
        <f t="shared" si="383"/>
        <v>0</v>
      </c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31"/>
      <c r="D1311" s="32"/>
      <c r="E1311" s="32"/>
      <c r="F1311" s="32"/>
      <c r="G1311" s="32"/>
      <c r="H1311" s="10"/>
      <c r="I1311" s="10"/>
      <c r="J1311" s="10"/>
      <c r="K1311" s="12"/>
      <c r="L1311" s="18"/>
      <c r="M1311" s="10">
        <v>35</v>
      </c>
      <c r="N1311" s="30" t="s">
        <v>107</v>
      </c>
      <c r="O1311" s="31">
        <f t="shared" si="385"/>
        <v>8303</v>
      </c>
      <c r="P1311" s="47">
        <f>156500+29800+2748</f>
        <v>189048</v>
      </c>
      <c r="Q1311" s="31">
        <v>-1800</v>
      </c>
      <c r="R1311" s="31"/>
      <c r="S1311" s="32">
        <f t="shared" si="387"/>
        <v>187248</v>
      </c>
      <c r="T1311" s="10"/>
      <c r="U1311" s="10">
        <v>18696</v>
      </c>
      <c r="V1311" s="10"/>
      <c r="W1311" s="12">
        <f t="shared" si="381"/>
        <v>205944</v>
      </c>
      <c r="Y1311" s="10">
        <v>35</v>
      </c>
      <c r="Z1311" s="30"/>
      <c r="AA1311" s="31"/>
      <c r="AB1311" s="47"/>
      <c r="AC1311" s="31"/>
      <c r="AD1311" s="31"/>
      <c r="AE1311" s="32">
        <f t="shared" si="388"/>
        <v>0</v>
      </c>
      <c r="AF1311" s="10"/>
      <c r="AG1311" s="10"/>
      <c r="AH1311" s="10"/>
      <c r="AI1311" s="12">
        <f t="shared" si="383"/>
        <v>0</v>
      </c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31"/>
      <c r="D1312" s="32"/>
      <c r="E1312" s="32"/>
      <c r="F1312" s="32"/>
      <c r="G1312" s="32"/>
      <c r="H1312" s="10"/>
      <c r="I1312" s="10"/>
      <c r="J1312" s="10"/>
      <c r="K1312" s="12"/>
      <c r="L1312" s="18"/>
      <c r="M1312" s="10">
        <v>36</v>
      </c>
      <c r="N1312" s="30" t="s">
        <v>107</v>
      </c>
      <c r="O1312" s="31">
        <f t="shared" si="385"/>
        <v>8304</v>
      </c>
      <c r="P1312" s="47">
        <f>650</f>
        <v>650</v>
      </c>
      <c r="Q1312" s="31"/>
      <c r="R1312" s="31"/>
      <c r="S1312" s="32">
        <f t="shared" si="387"/>
        <v>650</v>
      </c>
      <c r="T1312" s="10"/>
      <c r="U1312" s="10"/>
      <c r="V1312" s="10"/>
      <c r="W1312" s="12">
        <f t="shared" si="381"/>
        <v>650</v>
      </c>
      <c r="Y1312" s="10">
        <v>36</v>
      </c>
      <c r="Z1312" s="30"/>
      <c r="AA1312" s="31"/>
      <c r="AB1312" s="47"/>
      <c r="AC1312" s="31"/>
      <c r="AD1312" s="31"/>
      <c r="AE1312" s="32">
        <f t="shared" si="388"/>
        <v>0</v>
      </c>
      <c r="AF1312" s="10"/>
      <c r="AG1312" s="10"/>
      <c r="AH1312" s="10"/>
      <c r="AI1312" s="12">
        <f t="shared" si="383"/>
        <v>0</v>
      </c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31"/>
      <c r="D1313" s="32"/>
      <c r="E1313" s="32"/>
      <c r="F1313" s="32"/>
      <c r="G1313" s="32"/>
      <c r="H1313" s="10"/>
      <c r="I1313" s="10"/>
      <c r="J1313" s="10"/>
      <c r="K1313" s="12"/>
      <c r="L1313" s="18"/>
      <c r="M1313" s="10">
        <v>37</v>
      </c>
      <c r="N1313" s="30" t="s">
        <v>107</v>
      </c>
      <c r="O1313" s="31">
        <f t="shared" si="385"/>
        <v>8305</v>
      </c>
      <c r="P1313" s="47">
        <f>93900+29800+1832</f>
        <v>125532</v>
      </c>
      <c r="Q1313" s="31">
        <v>-1200</v>
      </c>
      <c r="R1313" s="31"/>
      <c r="S1313" s="32">
        <f t="shared" si="387"/>
        <v>124332</v>
      </c>
      <c r="T1313" s="10"/>
      <c r="U1313" s="10"/>
      <c r="V1313" s="10"/>
      <c r="W1313" s="12">
        <f t="shared" si="381"/>
        <v>124332</v>
      </c>
      <c r="Y1313" s="10">
        <v>37</v>
      </c>
      <c r="Z1313" s="30"/>
      <c r="AB1313" s="47"/>
      <c r="AC1313" s="31"/>
      <c r="AD1313" s="31"/>
      <c r="AE1313" s="32">
        <f t="shared" si="388"/>
        <v>0</v>
      </c>
      <c r="AF1313" s="10"/>
      <c r="AG1313" s="10"/>
      <c r="AH1313" s="10"/>
      <c r="AI1313" s="12">
        <f t="shared" si="383"/>
        <v>0</v>
      </c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L1314" s="18"/>
      <c r="M1314" s="10">
        <v>38</v>
      </c>
      <c r="N1314" s="30"/>
      <c r="O1314" s="11" t="s">
        <v>27</v>
      </c>
      <c r="P1314" s="47"/>
      <c r="Q1314" s="31"/>
      <c r="R1314" s="31"/>
      <c r="S1314" s="32">
        <f t="shared" si="387"/>
        <v>0</v>
      </c>
      <c r="T1314" s="10"/>
      <c r="U1314" s="10"/>
      <c r="V1314" s="10"/>
      <c r="W1314" s="12">
        <f t="shared" si="381"/>
        <v>0</v>
      </c>
      <c r="Y1314" s="10">
        <v>38</v>
      </c>
      <c r="Z1314" s="30"/>
      <c r="AA1314" s="31"/>
      <c r="AB1314" s="47"/>
      <c r="AC1314" s="31"/>
      <c r="AD1314" s="31"/>
      <c r="AE1314" s="32">
        <f t="shared" si="388"/>
        <v>0</v>
      </c>
      <c r="AF1314" s="10"/>
      <c r="AG1314" s="10"/>
      <c r="AH1314" s="10"/>
      <c r="AI1314" s="12">
        <f t="shared" si="383"/>
        <v>0</v>
      </c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L1315" s="18"/>
      <c r="M1315" s="10">
        <v>39</v>
      </c>
      <c r="N1315" s="30"/>
      <c r="O1315" s="31"/>
      <c r="P1315" s="47"/>
      <c r="Q1315" s="31"/>
      <c r="R1315" s="31"/>
      <c r="S1315" s="32">
        <f t="shared" si="387"/>
        <v>0</v>
      </c>
      <c r="T1315" s="10"/>
      <c r="U1315" s="10"/>
      <c r="V1315" s="10"/>
      <c r="W1315" s="12">
        <f t="shared" si="381"/>
        <v>0</v>
      </c>
      <c r="Y1315" s="10">
        <v>39</v>
      </c>
      <c r="Z1315" s="30"/>
      <c r="AA1315" s="31"/>
      <c r="AB1315" s="47"/>
      <c r="AC1315" s="31"/>
      <c r="AD1315" s="31"/>
      <c r="AE1315" s="32">
        <f t="shared" si="388"/>
        <v>0</v>
      </c>
      <c r="AF1315" s="10"/>
      <c r="AG1315" s="10"/>
      <c r="AH1315" s="10"/>
      <c r="AI1315" s="12">
        <f t="shared" si="383"/>
        <v>0</v>
      </c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L1316" s="18"/>
      <c r="M1316" s="10"/>
      <c r="N1316" s="30"/>
      <c r="P1316" s="47"/>
      <c r="Q1316" s="31"/>
      <c r="R1316" s="31"/>
      <c r="S1316" s="32"/>
      <c r="T1316" s="10"/>
      <c r="U1316" s="10"/>
      <c r="V1316" s="10"/>
      <c r="W1316" s="12">
        <f t="shared" si="381"/>
        <v>0</v>
      </c>
      <c r="Y1316" s="10"/>
      <c r="Z1316" s="30"/>
      <c r="AB1316" s="47"/>
      <c r="AC1316" s="31"/>
      <c r="AD1316" s="31"/>
      <c r="AE1316" s="32"/>
      <c r="AF1316" s="10"/>
      <c r="AG1316" s="10"/>
      <c r="AH1316" s="10"/>
      <c r="AI1316" s="12">
        <f t="shared" si="383"/>
        <v>0</v>
      </c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>
        <f t="shared" ref="G1317" si="389">SUM(D1317:E1317)</f>
        <v>0</v>
      </c>
      <c r="H1317" s="10"/>
      <c r="I1317" s="10"/>
      <c r="J1317" s="10"/>
      <c r="K1317" s="12">
        <f t="shared" ref="K1317" si="390">SUM(G1317:J1317)</f>
        <v>0</v>
      </c>
      <c r="L1317" s="18"/>
      <c r="M1317" s="10"/>
      <c r="N1317" s="30"/>
      <c r="O1317" s="31"/>
      <c r="P1317" s="47"/>
      <c r="Q1317" s="31"/>
      <c r="R1317" s="31"/>
      <c r="S1317" s="32">
        <f t="shared" ref="S1317" si="391">SUM(P1317:Q1317)</f>
        <v>0</v>
      </c>
      <c r="T1317" s="10"/>
      <c r="U1317" s="10"/>
      <c r="V1317" s="10"/>
      <c r="W1317" s="12">
        <f t="shared" si="381"/>
        <v>0</v>
      </c>
      <c r="Y1317" s="10"/>
      <c r="Z1317" s="30"/>
      <c r="AA1317" s="31"/>
      <c r="AB1317" s="47"/>
      <c r="AC1317" s="31"/>
      <c r="AD1317" s="31"/>
      <c r="AE1317" s="32">
        <f t="shared" ref="AE1317" si="392">SUM(AB1317:AC1317)</f>
        <v>0</v>
      </c>
      <c r="AF1317" s="10"/>
      <c r="AG1317" s="10"/>
      <c r="AH1317" s="10"/>
      <c r="AI1317" s="12">
        <f t="shared" si="383"/>
        <v>0</v>
      </c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L1318" s="18"/>
      <c r="M1318" s="10"/>
      <c r="N1318" s="31"/>
      <c r="O1318" s="31"/>
      <c r="P1318" s="31"/>
      <c r="Q1318" s="31"/>
      <c r="R1318" s="31"/>
      <c r="S1318" s="31"/>
      <c r="T1318" s="10"/>
      <c r="U1318" s="10"/>
      <c r="V1318" s="10"/>
      <c r="W1318" s="12">
        <f t="shared" si="381"/>
        <v>0</v>
      </c>
      <c r="Y1318" s="10"/>
      <c r="Z1318" s="31"/>
      <c r="AA1318" s="31"/>
      <c r="AB1318" s="31"/>
      <c r="AC1318" s="31"/>
      <c r="AD1318" s="31"/>
      <c r="AE1318" s="31"/>
      <c r="AF1318" s="10"/>
      <c r="AG1318" s="10"/>
      <c r="AH1318" s="10"/>
      <c r="AI1318" s="12">
        <f t="shared" si="383"/>
        <v>0</v>
      </c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L1319" s="18"/>
      <c r="N1319" s="57"/>
      <c r="O1319" s="57"/>
      <c r="P1319" s="36"/>
      <c r="Q1319" s="36"/>
      <c r="R1319" s="36"/>
      <c r="S1319" s="36"/>
      <c r="T1319" s="37"/>
      <c r="U1319" s="37"/>
      <c r="V1319" s="37"/>
      <c r="W1319" s="37"/>
      <c r="Z1319" s="57"/>
      <c r="AA1319" s="57"/>
      <c r="AB1319" s="36"/>
      <c r="AC1319" s="36"/>
      <c r="AD1319" s="36"/>
      <c r="AE1319" s="36"/>
      <c r="AF1319" s="37"/>
      <c r="AG1319" s="37"/>
      <c r="AH1319" s="37"/>
      <c r="AI1319" s="37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8">
        <f>SUM(D1277:D1319)</f>
        <v>393176</v>
      </c>
      <c r="E1320" s="38">
        <f t="shared" ref="E1320:F1320" si="393">SUM(E1277:E1317)</f>
        <v>-2076</v>
      </c>
      <c r="F1320" s="38">
        <f t="shared" si="393"/>
        <v>0</v>
      </c>
      <c r="G1320" s="38">
        <f>SUM(G1277:G1319)</f>
        <v>391100</v>
      </c>
      <c r="H1320" s="4"/>
      <c r="I1320" s="39">
        <f>SUM(I1277:I1319)</f>
        <v>5023</v>
      </c>
      <c r="J1320" s="39">
        <f>SUM(J1277:J1319)</f>
        <v>0</v>
      </c>
      <c r="K1320" s="40">
        <f>SUM(K1277:K1319)</f>
        <v>396123</v>
      </c>
      <c r="L1320" s="18"/>
      <c r="N1320" s="57"/>
      <c r="O1320" s="57"/>
      <c r="P1320" s="38">
        <f>SUM(P1277:P1319)</f>
        <v>799757.5</v>
      </c>
      <c r="Q1320" s="38">
        <f>SUM(Q1277:Q1301)</f>
        <v>0</v>
      </c>
      <c r="R1320" s="38">
        <f>SUM(R1277:R1301)</f>
        <v>0</v>
      </c>
      <c r="S1320" s="38">
        <f>SUM(S1277:S1319)</f>
        <v>794747.5</v>
      </c>
      <c r="T1320" s="4"/>
      <c r="U1320" s="41">
        <f>SUM(U1277:U1319)</f>
        <v>42858</v>
      </c>
      <c r="V1320" s="41">
        <f>SUM(V1277:V1301)</f>
        <v>-888</v>
      </c>
      <c r="W1320" s="42">
        <f>SUM(W1277:W1319)</f>
        <v>836039.5</v>
      </c>
      <c r="Z1320" s="57"/>
      <c r="AA1320" s="57"/>
      <c r="AB1320" s="38">
        <f>SUM(AB1277:AB1319)</f>
        <v>2849413</v>
      </c>
      <c r="AC1320" s="38">
        <f>SUM(AC1277:AC1301)</f>
        <v>-25410</v>
      </c>
      <c r="AD1320" s="38">
        <f>SUM(AD1277:AD1301)</f>
        <v>0</v>
      </c>
      <c r="AE1320" s="38">
        <f>SUM(AE1277:AE1319)</f>
        <v>2824003</v>
      </c>
      <c r="AF1320" s="4"/>
      <c r="AG1320" s="41">
        <f>SUM(AG1277:AG1319)</f>
        <v>214575</v>
      </c>
      <c r="AH1320" s="41">
        <f>SUM(AH1277:AH1301)</f>
        <v>0</v>
      </c>
      <c r="AI1320" s="42">
        <f>SUM(AI1277:AI1319)</f>
        <v>3038578</v>
      </c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L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t="s">
        <v>0</v>
      </c>
      <c r="B1322" s="57"/>
      <c r="C1322" s="57"/>
      <c r="D1322" s="57"/>
      <c r="E1322" s="57"/>
      <c r="G1322" s="57"/>
      <c r="L1322" s="18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t="s">
        <v>28</v>
      </c>
      <c r="B1323" s="57"/>
      <c r="C1323" s="57"/>
      <c r="D1323" s="57"/>
      <c r="E1323" s="57"/>
      <c r="G1323" s="57"/>
      <c r="L1323" s="18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B1324" s="57"/>
      <c r="C1324" s="57"/>
      <c r="D1324" s="57"/>
      <c r="E1324" s="57"/>
      <c r="G1324" s="57"/>
      <c r="L1324" s="18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4" t="s">
        <v>14</v>
      </c>
      <c r="B1325" s="57"/>
      <c r="C1325" s="57"/>
      <c r="D1325" s="57"/>
      <c r="E1325" s="57"/>
      <c r="G1325" s="57"/>
      <c r="L1325" s="18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B1326" s="57"/>
      <c r="C1326" s="57"/>
      <c r="D1326" s="57"/>
      <c r="E1326" s="57"/>
      <c r="G1326" s="57"/>
      <c r="L1326" s="18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ht="15.75" x14ac:dyDescent="0.25">
      <c r="A1327" t="s">
        <v>42</v>
      </c>
      <c r="B1327" s="57"/>
      <c r="C1327" s="57"/>
      <c r="D1327" s="57"/>
      <c r="E1327" s="57"/>
      <c r="G1327" s="57"/>
      <c r="I1327" s="57" t="s">
        <v>15</v>
      </c>
      <c r="J1327" s="19" t="s">
        <v>101</v>
      </c>
      <c r="L1327" s="18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21" t="s">
        <v>109</v>
      </c>
      <c r="B1328" s="20"/>
      <c r="C1328" s="57"/>
      <c r="D1328" s="57"/>
      <c r="E1328" s="57"/>
      <c r="G1328" s="57"/>
      <c r="I1328" s="22" t="s">
        <v>16</v>
      </c>
      <c r="J1328" s="23" t="s">
        <v>33</v>
      </c>
      <c r="K1328" s="24"/>
      <c r="L1328" s="18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B1329" s="57"/>
      <c r="C1329" s="57"/>
      <c r="D1329" s="57"/>
      <c r="E1329" s="57"/>
      <c r="G1329" s="57"/>
      <c r="L1329" s="18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  <row r="1330" spans="1:36" x14ac:dyDescent="0.25">
      <c r="B1330" s="25"/>
      <c r="C1330" s="26"/>
      <c r="D1330" s="125" t="s">
        <v>17</v>
      </c>
      <c r="E1330" s="125"/>
      <c r="F1330" s="116"/>
      <c r="G1330" s="27"/>
      <c r="I1330" s="123" t="s">
        <v>18</v>
      </c>
      <c r="J1330" s="124"/>
      <c r="K1330" s="121" t="s">
        <v>19</v>
      </c>
      <c r="L1330" s="18"/>
    </row>
    <row r="1331" spans="1:36" ht="30" x14ac:dyDescent="0.25">
      <c r="B1331" s="28" t="s">
        <v>20</v>
      </c>
      <c r="C1331" s="28" t="s">
        <v>21</v>
      </c>
      <c r="D1331" s="79" t="s">
        <v>22</v>
      </c>
      <c r="E1331" s="78" t="s">
        <v>23</v>
      </c>
      <c r="F1331" s="80" t="s">
        <v>32</v>
      </c>
      <c r="G1331" s="80" t="s">
        <v>24</v>
      </c>
      <c r="I1331" s="29" t="s">
        <v>25</v>
      </c>
      <c r="J1331" s="29" t="s">
        <v>26</v>
      </c>
      <c r="K1331" s="122"/>
      <c r="L1331" s="18"/>
    </row>
    <row r="1332" spans="1:36" x14ac:dyDescent="0.25">
      <c r="A1332" s="10">
        <v>1</v>
      </c>
      <c r="B1332" s="30" t="s">
        <v>110</v>
      </c>
      <c r="C1332" s="88">
        <v>8096</v>
      </c>
      <c r="D1332" s="32">
        <f>31300+14122+20860</f>
        <v>66282</v>
      </c>
      <c r="E1332" s="32"/>
      <c r="F1332" s="32"/>
      <c r="G1332" s="32">
        <f t="shared" ref="G1332:G1376" si="394">SUM(D1332:E1332)</f>
        <v>66282</v>
      </c>
      <c r="H1332" s="12"/>
      <c r="I1332" s="12">
        <f>2886+13</f>
        <v>2899</v>
      </c>
      <c r="J1332" s="12"/>
      <c r="K1332" s="12">
        <f t="shared" ref="K1332:K1376" si="395">SUM(G1332:J1332)</f>
        <v>69181</v>
      </c>
      <c r="L1332" s="18"/>
    </row>
    <row r="1333" spans="1:36" x14ac:dyDescent="0.25">
      <c r="A1333" s="10">
        <v>2</v>
      </c>
      <c r="B1333" s="30" t="s">
        <v>110</v>
      </c>
      <c r="C1333" s="88">
        <f>C1332+1</f>
        <v>8097</v>
      </c>
      <c r="D1333" s="32">
        <f>3070+11920</f>
        <v>14990</v>
      </c>
      <c r="E1333" s="32"/>
      <c r="F1333" s="32"/>
      <c r="G1333" s="32">
        <f t="shared" si="394"/>
        <v>14990</v>
      </c>
      <c r="H1333" s="12"/>
      <c r="I1333" s="12"/>
      <c r="J1333" s="12"/>
      <c r="K1333" s="12">
        <f t="shared" si="395"/>
        <v>14990</v>
      </c>
      <c r="L1333" s="18"/>
    </row>
    <row r="1334" spans="1:36" x14ac:dyDescent="0.25">
      <c r="A1334" s="10">
        <v>3</v>
      </c>
      <c r="B1334" s="30" t="s">
        <v>110</v>
      </c>
      <c r="C1334" s="88">
        <f t="shared" ref="C1334:C1344" si="396">C1333+1</f>
        <v>8098</v>
      </c>
      <c r="D1334" s="33">
        <f>15350</f>
        <v>15350</v>
      </c>
      <c r="E1334" s="33"/>
      <c r="F1334" s="33"/>
      <c r="G1334" s="33">
        <f t="shared" si="394"/>
        <v>15350</v>
      </c>
      <c r="H1334" s="34"/>
      <c r="I1334" s="34"/>
      <c r="J1334" s="34"/>
      <c r="K1334" s="34">
        <f t="shared" si="395"/>
        <v>15350</v>
      </c>
      <c r="L1334" s="18"/>
    </row>
    <row r="1335" spans="1:36" x14ac:dyDescent="0.25">
      <c r="A1335" s="10">
        <v>4</v>
      </c>
      <c r="B1335" s="30" t="s">
        <v>110</v>
      </c>
      <c r="C1335" s="88">
        <f t="shared" si="396"/>
        <v>8099</v>
      </c>
      <c r="D1335" s="32">
        <f>2504</f>
        <v>2504</v>
      </c>
      <c r="E1335" s="32"/>
      <c r="F1335" s="32"/>
      <c r="G1335" s="32">
        <f t="shared" si="394"/>
        <v>2504</v>
      </c>
      <c r="H1335" s="12"/>
      <c r="I1335" s="12"/>
      <c r="J1335" s="12"/>
      <c r="K1335" s="12">
        <f t="shared" si="395"/>
        <v>2504</v>
      </c>
      <c r="L1335" s="18"/>
    </row>
    <row r="1336" spans="1:36" x14ac:dyDescent="0.25">
      <c r="A1336" s="10">
        <v>5</v>
      </c>
      <c r="B1336" s="30"/>
      <c r="C1336" s="11" t="s">
        <v>27</v>
      </c>
      <c r="D1336" s="32"/>
      <c r="E1336" s="32"/>
      <c r="F1336" s="32"/>
      <c r="G1336" s="32">
        <f t="shared" si="394"/>
        <v>0</v>
      </c>
      <c r="H1336" s="12"/>
      <c r="I1336" s="12"/>
      <c r="J1336" s="12"/>
      <c r="K1336" s="12">
        <f t="shared" si="395"/>
        <v>0</v>
      </c>
      <c r="L1336" s="18"/>
    </row>
    <row r="1337" spans="1:36" x14ac:dyDescent="0.25">
      <c r="A1337" s="10">
        <v>6</v>
      </c>
      <c r="B1337" s="30"/>
      <c r="C1337" s="88"/>
      <c r="D1337" s="32"/>
      <c r="E1337" s="32"/>
      <c r="F1337" s="32"/>
      <c r="G1337" s="32">
        <f t="shared" si="394"/>
        <v>0</v>
      </c>
      <c r="H1337" s="12"/>
      <c r="I1337" s="12"/>
      <c r="J1337" s="12"/>
      <c r="K1337" s="12">
        <f t="shared" si="395"/>
        <v>0</v>
      </c>
      <c r="L1337" s="18"/>
    </row>
    <row r="1338" spans="1:36" x14ac:dyDescent="0.25">
      <c r="A1338" s="10">
        <v>7</v>
      </c>
      <c r="B1338" s="30"/>
      <c r="C1338" s="88"/>
      <c r="D1338" s="32"/>
      <c r="E1338" s="32"/>
      <c r="F1338" s="32"/>
      <c r="G1338" s="32">
        <f t="shared" si="394"/>
        <v>0</v>
      </c>
      <c r="H1338" s="12"/>
      <c r="I1338" s="12"/>
      <c r="J1338" s="12"/>
      <c r="K1338" s="12">
        <f t="shared" si="395"/>
        <v>0</v>
      </c>
      <c r="L1338" s="18"/>
    </row>
    <row r="1339" spans="1:36" x14ac:dyDescent="0.25">
      <c r="A1339" s="10">
        <v>8</v>
      </c>
      <c r="B1339" s="30"/>
      <c r="C1339" s="88"/>
      <c r="D1339" s="32"/>
      <c r="E1339" s="32"/>
      <c r="F1339" s="32"/>
      <c r="G1339" s="32">
        <f t="shared" si="394"/>
        <v>0</v>
      </c>
      <c r="H1339" s="12"/>
      <c r="I1339" s="12"/>
      <c r="J1339" s="12"/>
      <c r="K1339" s="12">
        <f t="shared" si="395"/>
        <v>0</v>
      </c>
      <c r="L1339" s="18"/>
    </row>
    <row r="1340" spans="1:36" x14ac:dyDescent="0.25">
      <c r="A1340" s="10">
        <v>9</v>
      </c>
      <c r="B1340" s="30"/>
      <c r="C1340" s="88"/>
      <c r="D1340" s="32"/>
      <c r="E1340" s="32"/>
      <c r="F1340" s="32"/>
      <c r="G1340" s="32">
        <f t="shared" si="394"/>
        <v>0</v>
      </c>
      <c r="H1340" s="12"/>
      <c r="I1340" s="12"/>
      <c r="J1340" s="12"/>
      <c r="K1340" s="12">
        <f t="shared" si="395"/>
        <v>0</v>
      </c>
      <c r="L1340" s="18"/>
    </row>
    <row r="1341" spans="1:36" x14ac:dyDescent="0.25">
      <c r="A1341" s="10">
        <v>10</v>
      </c>
      <c r="B1341" s="30"/>
      <c r="C1341" s="88"/>
      <c r="D1341" s="32"/>
      <c r="E1341" s="32"/>
      <c r="F1341" s="32"/>
      <c r="G1341" s="32">
        <f t="shared" si="394"/>
        <v>0</v>
      </c>
      <c r="H1341" s="12"/>
      <c r="I1341" s="12"/>
      <c r="J1341" s="12"/>
      <c r="K1341" s="12">
        <f t="shared" si="395"/>
        <v>0</v>
      </c>
      <c r="L1341" s="18"/>
    </row>
    <row r="1342" spans="1:36" x14ac:dyDescent="0.25">
      <c r="A1342" s="10">
        <v>11</v>
      </c>
      <c r="B1342" s="30"/>
      <c r="C1342" s="88"/>
      <c r="D1342" s="32"/>
      <c r="E1342" s="32"/>
      <c r="F1342" s="32"/>
      <c r="G1342" s="32">
        <f t="shared" si="394"/>
        <v>0</v>
      </c>
      <c r="H1342" s="12"/>
      <c r="I1342" s="12"/>
      <c r="J1342" s="12"/>
      <c r="K1342" s="12">
        <f t="shared" si="395"/>
        <v>0</v>
      </c>
      <c r="L1342" s="18"/>
    </row>
    <row r="1343" spans="1:36" x14ac:dyDescent="0.25">
      <c r="A1343" s="10">
        <v>12</v>
      </c>
      <c r="B1343" s="30"/>
      <c r="C1343" s="88"/>
      <c r="D1343" s="32"/>
      <c r="E1343" s="32"/>
      <c r="F1343" s="32"/>
      <c r="G1343" s="32">
        <f t="shared" si="394"/>
        <v>0</v>
      </c>
      <c r="H1343" s="12"/>
      <c r="I1343" s="12"/>
      <c r="J1343" s="10"/>
      <c r="K1343" s="12">
        <f t="shared" si="395"/>
        <v>0</v>
      </c>
      <c r="L1343" s="18"/>
    </row>
    <row r="1344" spans="1:36" x14ac:dyDescent="0.25">
      <c r="A1344" s="10">
        <v>13</v>
      </c>
      <c r="B1344" s="30"/>
      <c r="C1344" s="88"/>
      <c r="D1344" s="32"/>
      <c r="E1344" s="32"/>
      <c r="F1344" s="32"/>
      <c r="G1344" s="32">
        <f t="shared" si="394"/>
        <v>0</v>
      </c>
      <c r="H1344" s="12"/>
      <c r="I1344" s="12"/>
      <c r="J1344" s="12"/>
      <c r="K1344" s="12">
        <f t="shared" si="395"/>
        <v>0</v>
      </c>
      <c r="L1344" s="18"/>
    </row>
    <row r="1345" spans="1:12" x14ac:dyDescent="0.25">
      <c r="A1345" s="10">
        <v>14</v>
      </c>
      <c r="B1345" s="30"/>
      <c r="C1345" s="11"/>
      <c r="D1345" s="32"/>
      <c r="E1345" s="32"/>
      <c r="F1345" s="32"/>
      <c r="G1345" s="32">
        <f t="shared" si="394"/>
        <v>0</v>
      </c>
      <c r="H1345" s="12"/>
      <c r="I1345" s="12"/>
      <c r="J1345" s="12"/>
      <c r="K1345" s="12">
        <f t="shared" si="395"/>
        <v>0</v>
      </c>
      <c r="L1345" s="18"/>
    </row>
    <row r="1346" spans="1:12" x14ac:dyDescent="0.25">
      <c r="A1346" s="10">
        <v>15</v>
      </c>
      <c r="B1346" s="30"/>
      <c r="C1346" s="88"/>
      <c r="D1346" s="32"/>
      <c r="E1346" s="32"/>
      <c r="F1346" s="32"/>
      <c r="G1346" s="32">
        <f t="shared" si="394"/>
        <v>0</v>
      </c>
      <c r="H1346" s="12"/>
      <c r="I1346" s="12"/>
      <c r="J1346" s="12"/>
      <c r="K1346" s="12">
        <f t="shared" si="395"/>
        <v>0</v>
      </c>
      <c r="L1346" s="18"/>
    </row>
    <row r="1347" spans="1:12" x14ac:dyDescent="0.25">
      <c r="A1347" s="10">
        <v>16</v>
      </c>
      <c r="B1347" s="30"/>
      <c r="C1347" s="88"/>
      <c r="D1347" s="32"/>
      <c r="E1347" s="32"/>
      <c r="F1347" s="32"/>
      <c r="G1347" s="32">
        <f t="shared" si="394"/>
        <v>0</v>
      </c>
      <c r="H1347" s="12"/>
      <c r="I1347" s="12"/>
      <c r="J1347" s="12"/>
      <c r="K1347" s="12">
        <f t="shared" si="395"/>
        <v>0</v>
      </c>
      <c r="L1347" s="18"/>
    </row>
    <row r="1348" spans="1:12" x14ac:dyDescent="0.25">
      <c r="A1348" s="10">
        <v>17</v>
      </c>
      <c r="B1348" s="30"/>
      <c r="C1348" s="88"/>
      <c r="D1348" s="32"/>
      <c r="E1348" s="32"/>
      <c r="F1348" s="32"/>
      <c r="G1348" s="32">
        <f t="shared" si="394"/>
        <v>0</v>
      </c>
      <c r="H1348" s="12"/>
      <c r="I1348" s="12"/>
      <c r="J1348" s="12"/>
      <c r="K1348" s="12">
        <f t="shared" si="395"/>
        <v>0</v>
      </c>
      <c r="L1348" s="18"/>
    </row>
    <row r="1349" spans="1:12" x14ac:dyDescent="0.25">
      <c r="A1349" s="10">
        <v>18</v>
      </c>
      <c r="B1349" s="30"/>
      <c r="C1349" s="88"/>
      <c r="D1349" s="32"/>
      <c r="E1349" s="32"/>
      <c r="F1349" s="32"/>
      <c r="G1349" s="32">
        <f t="shared" si="394"/>
        <v>0</v>
      </c>
      <c r="H1349" s="12"/>
      <c r="I1349" s="12"/>
      <c r="J1349" s="12"/>
      <c r="K1349" s="12">
        <f t="shared" si="395"/>
        <v>0</v>
      </c>
      <c r="L1349" s="18"/>
    </row>
    <row r="1350" spans="1:12" x14ac:dyDescent="0.25">
      <c r="A1350" s="10">
        <v>19</v>
      </c>
      <c r="B1350" s="30"/>
      <c r="C1350" s="88"/>
      <c r="D1350" s="32"/>
      <c r="E1350" s="32"/>
      <c r="F1350" s="32"/>
      <c r="G1350" s="32">
        <f t="shared" si="394"/>
        <v>0</v>
      </c>
      <c r="H1350" s="12"/>
      <c r="I1350" s="12"/>
      <c r="J1350" s="12"/>
      <c r="K1350" s="12">
        <f t="shared" si="395"/>
        <v>0</v>
      </c>
      <c r="L1350" s="18"/>
    </row>
    <row r="1351" spans="1:12" x14ac:dyDescent="0.25">
      <c r="A1351" s="10">
        <v>20</v>
      </c>
      <c r="B1351" s="30"/>
      <c r="C1351" s="88"/>
      <c r="D1351" s="32"/>
      <c r="E1351" s="32"/>
      <c r="F1351" s="32"/>
      <c r="G1351" s="32">
        <f t="shared" si="394"/>
        <v>0</v>
      </c>
      <c r="H1351" s="12"/>
      <c r="I1351" s="12"/>
      <c r="J1351" s="12"/>
      <c r="K1351" s="12">
        <f t="shared" si="395"/>
        <v>0</v>
      </c>
      <c r="L1351" s="18"/>
    </row>
    <row r="1352" spans="1:12" x14ac:dyDescent="0.25">
      <c r="A1352" s="10">
        <v>21</v>
      </c>
      <c r="B1352" s="30"/>
      <c r="C1352" s="57"/>
      <c r="D1352" s="32"/>
      <c r="E1352" s="32"/>
      <c r="F1352" s="32"/>
      <c r="G1352" s="32">
        <f t="shared" si="394"/>
        <v>0</v>
      </c>
      <c r="H1352" s="10"/>
      <c r="I1352" s="10"/>
      <c r="J1352" s="10"/>
      <c r="K1352" s="12">
        <f t="shared" si="395"/>
        <v>0</v>
      </c>
      <c r="L1352" s="18"/>
    </row>
    <row r="1353" spans="1:12" x14ac:dyDescent="0.25">
      <c r="A1353" s="10">
        <v>22</v>
      </c>
      <c r="B1353" s="30"/>
      <c r="C1353" s="88"/>
      <c r="D1353" s="32"/>
      <c r="E1353" s="32"/>
      <c r="F1353" s="32"/>
      <c r="G1353" s="32">
        <f t="shared" si="394"/>
        <v>0</v>
      </c>
      <c r="H1353" s="10"/>
      <c r="I1353" s="10"/>
      <c r="J1353" s="10"/>
      <c r="K1353" s="12">
        <f t="shared" si="395"/>
        <v>0</v>
      </c>
      <c r="L1353" s="18"/>
    </row>
    <row r="1354" spans="1:12" x14ac:dyDescent="0.25">
      <c r="A1354" s="10">
        <v>23</v>
      </c>
      <c r="B1354" s="30"/>
      <c r="C1354" s="88"/>
      <c r="D1354" s="32"/>
      <c r="E1354" s="32"/>
      <c r="F1354" s="32"/>
      <c r="G1354" s="32">
        <f t="shared" si="394"/>
        <v>0</v>
      </c>
      <c r="H1354" s="10"/>
      <c r="I1354" s="10"/>
      <c r="J1354" s="12"/>
      <c r="K1354" s="12">
        <f t="shared" si="395"/>
        <v>0</v>
      </c>
      <c r="L1354" s="18"/>
    </row>
    <row r="1355" spans="1:12" x14ac:dyDescent="0.25">
      <c r="A1355" s="10">
        <v>24</v>
      </c>
      <c r="B1355" s="30"/>
      <c r="C1355" s="57"/>
      <c r="D1355" s="32"/>
      <c r="E1355" s="32"/>
      <c r="F1355" s="32"/>
      <c r="G1355" s="32">
        <f t="shared" si="394"/>
        <v>0</v>
      </c>
      <c r="H1355" s="10"/>
      <c r="I1355" s="10"/>
      <c r="J1355" s="10"/>
      <c r="K1355" s="12">
        <f t="shared" si="395"/>
        <v>0</v>
      </c>
      <c r="L1355" s="18"/>
    </row>
    <row r="1356" spans="1:12" x14ac:dyDescent="0.25">
      <c r="A1356" s="10">
        <v>25</v>
      </c>
      <c r="B1356" s="30"/>
      <c r="C1356" s="31"/>
      <c r="D1356" s="32"/>
      <c r="E1356" s="32"/>
      <c r="F1356" s="32"/>
      <c r="G1356" s="32">
        <f t="shared" si="394"/>
        <v>0</v>
      </c>
      <c r="H1356" s="10"/>
      <c r="I1356" s="10"/>
      <c r="J1356" s="10"/>
      <c r="K1356" s="12">
        <f t="shared" si="395"/>
        <v>0</v>
      </c>
      <c r="L1356" s="18"/>
    </row>
    <row r="1357" spans="1:12" x14ac:dyDescent="0.25">
      <c r="A1357" s="10">
        <v>26</v>
      </c>
      <c r="B1357" s="30"/>
      <c r="C1357" s="11"/>
      <c r="D1357" s="32"/>
      <c r="E1357" s="32"/>
      <c r="F1357" s="32"/>
      <c r="G1357" s="32">
        <f t="shared" si="394"/>
        <v>0</v>
      </c>
      <c r="H1357" s="10"/>
      <c r="I1357" s="10"/>
      <c r="J1357" s="10"/>
      <c r="K1357" s="12">
        <f t="shared" si="395"/>
        <v>0</v>
      </c>
      <c r="L1357" s="18"/>
    </row>
    <row r="1358" spans="1:12" x14ac:dyDescent="0.25">
      <c r="A1358" s="10">
        <v>27</v>
      </c>
      <c r="B1358" s="30"/>
      <c r="C1358" s="57"/>
      <c r="D1358" s="32"/>
      <c r="E1358" s="32"/>
      <c r="F1358" s="32"/>
      <c r="G1358" s="32">
        <f t="shared" si="394"/>
        <v>0</v>
      </c>
      <c r="H1358" s="10"/>
      <c r="I1358" s="10"/>
      <c r="J1358" s="10"/>
      <c r="K1358" s="12">
        <f t="shared" si="395"/>
        <v>0</v>
      </c>
      <c r="L1358" s="18"/>
    </row>
    <row r="1359" spans="1:12" x14ac:dyDescent="0.25">
      <c r="A1359" s="10">
        <v>28</v>
      </c>
      <c r="B1359" s="30"/>
      <c r="C1359" s="31"/>
      <c r="D1359" s="32"/>
      <c r="E1359" s="32"/>
      <c r="F1359" s="32"/>
      <c r="G1359" s="32">
        <f t="shared" si="394"/>
        <v>0</v>
      </c>
      <c r="H1359" s="10"/>
      <c r="I1359" s="10"/>
      <c r="J1359" s="10"/>
      <c r="K1359" s="12">
        <f t="shared" si="395"/>
        <v>0</v>
      </c>
      <c r="L1359" s="18"/>
    </row>
    <row r="1360" spans="1:12" x14ac:dyDescent="0.25">
      <c r="A1360" s="10">
        <v>29</v>
      </c>
      <c r="B1360" s="30"/>
      <c r="C1360" s="31"/>
      <c r="D1360" s="32"/>
      <c r="E1360" s="32"/>
      <c r="F1360" s="32"/>
      <c r="G1360" s="32">
        <f t="shared" si="394"/>
        <v>0</v>
      </c>
      <c r="H1360" s="10"/>
      <c r="I1360" s="10"/>
      <c r="J1360" s="10"/>
      <c r="K1360" s="12">
        <f t="shared" si="395"/>
        <v>0</v>
      </c>
      <c r="L1360" s="18"/>
    </row>
    <row r="1361" spans="1:12" x14ac:dyDescent="0.25">
      <c r="A1361" s="10">
        <v>30</v>
      </c>
      <c r="B1361" s="30"/>
      <c r="C1361" s="57"/>
      <c r="D1361" s="32"/>
      <c r="E1361" s="32"/>
      <c r="F1361" s="32"/>
      <c r="G1361" s="32">
        <f t="shared" si="394"/>
        <v>0</v>
      </c>
      <c r="H1361" s="10"/>
      <c r="I1361" s="10"/>
      <c r="J1361" s="10"/>
      <c r="K1361" s="12">
        <f t="shared" si="395"/>
        <v>0</v>
      </c>
      <c r="L1361" s="18"/>
    </row>
    <row r="1362" spans="1:12" x14ac:dyDescent="0.25">
      <c r="A1362" s="10">
        <v>31</v>
      </c>
      <c r="B1362" s="30"/>
      <c r="C1362" s="57"/>
      <c r="D1362" s="32"/>
      <c r="E1362" s="32"/>
      <c r="F1362" s="32"/>
      <c r="G1362" s="32">
        <f t="shared" si="394"/>
        <v>0</v>
      </c>
      <c r="H1362" s="10"/>
      <c r="I1362" s="10"/>
      <c r="J1362" s="10"/>
      <c r="K1362" s="12">
        <f t="shared" si="395"/>
        <v>0</v>
      </c>
      <c r="L1362" s="18"/>
    </row>
    <row r="1363" spans="1:12" x14ac:dyDescent="0.25">
      <c r="A1363" s="10">
        <v>32</v>
      </c>
      <c r="B1363" s="30"/>
      <c r="C1363" s="31"/>
      <c r="D1363" s="32"/>
      <c r="E1363" s="32"/>
      <c r="F1363" s="32"/>
      <c r="G1363" s="32">
        <f t="shared" si="394"/>
        <v>0</v>
      </c>
      <c r="H1363" s="10"/>
      <c r="I1363" s="10"/>
      <c r="J1363" s="10"/>
      <c r="K1363" s="12">
        <f t="shared" si="395"/>
        <v>0</v>
      </c>
      <c r="L1363" s="18"/>
    </row>
    <row r="1364" spans="1:12" x14ac:dyDescent="0.25">
      <c r="A1364" s="10">
        <v>33</v>
      </c>
      <c r="B1364" s="30"/>
      <c r="C1364" s="57"/>
      <c r="D1364" s="32"/>
      <c r="E1364" s="32"/>
      <c r="F1364" s="32"/>
      <c r="G1364" s="32">
        <f t="shared" si="394"/>
        <v>0</v>
      </c>
      <c r="H1364" s="10"/>
      <c r="I1364" s="10"/>
      <c r="J1364" s="10"/>
      <c r="K1364" s="12">
        <f t="shared" si="395"/>
        <v>0</v>
      </c>
      <c r="L1364" s="18"/>
    </row>
    <row r="1365" spans="1:12" x14ac:dyDescent="0.25">
      <c r="A1365" s="10"/>
      <c r="B1365" s="30"/>
      <c r="C1365" s="57"/>
      <c r="D1365" s="32"/>
      <c r="E1365" s="32"/>
      <c r="F1365" s="32"/>
      <c r="G1365" s="32">
        <f t="shared" si="394"/>
        <v>0</v>
      </c>
      <c r="H1365" s="10"/>
      <c r="I1365" s="10"/>
      <c r="J1365" s="10"/>
      <c r="K1365" s="12">
        <f t="shared" si="395"/>
        <v>0</v>
      </c>
      <c r="L1365" s="18"/>
    </row>
    <row r="1366" spans="1:12" x14ac:dyDescent="0.25">
      <c r="A1366" s="10"/>
      <c r="B1366" s="30"/>
      <c r="C1366" s="31"/>
      <c r="D1366" s="32"/>
      <c r="E1366" s="32"/>
      <c r="F1366" s="32"/>
      <c r="G1366" s="32"/>
      <c r="H1366" s="10"/>
      <c r="I1366" s="10"/>
      <c r="J1366" s="10"/>
      <c r="K1366" s="12"/>
      <c r="L1366" s="18"/>
    </row>
    <row r="1367" spans="1:12" x14ac:dyDescent="0.25">
      <c r="A1367" s="10"/>
      <c r="B1367" s="30"/>
      <c r="C1367" s="31"/>
      <c r="D1367" s="32"/>
      <c r="E1367" s="32"/>
      <c r="F1367" s="32"/>
      <c r="G1367" s="32"/>
      <c r="H1367" s="10"/>
      <c r="I1367" s="10"/>
      <c r="J1367" s="10"/>
      <c r="K1367" s="12"/>
      <c r="L1367" s="18"/>
    </row>
    <row r="1368" spans="1:12" x14ac:dyDescent="0.25">
      <c r="A1368" s="10"/>
      <c r="B1368" s="30"/>
      <c r="C1368" s="31"/>
      <c r="D1368" s="32"/>
      <c r="E1368" s="32"/>
      <c r="F1368" s="32"/>
      <c r="G1368" s="32"/>
      <c r="H1368" s="10"/>
      <c r="I1368" s="10"/>
      <c r="J1368" s="10"/>
      <c r="K1368" s="12"/>
      <c r="L1368" s="18"/>
    </row>
    <row r="1369" spans="1:12" x14ac:dyDescent="0.25">
      <c r="A1369" s="10"/>
      <c r="B1369" s="30"/>
      <c r="C1369" s="31"/>
      <c r="D1369" s="32"/>
      <c r="E1369" s="32"/>
      <c r="F1369" s="32"/>
      <c r="G1369" s="32"/>
      <c r="H1369" s="10"/>
      <c r="I1369" s="10"/>
      <c r="J1369" s="10"/>
      <c r="K1369" s="12"/>
      <c r="L1369" s="18"/>
    </row>
    <row r="1370" spans="1:12" x14ac:dyDescent="0.25">
      <c r="A1370" s="10"/>
      <c r="B1370" s="30"/>
      <c r="C1370" s="31"/>
      <c r="D1370" s="32"/>
      <c r="E1370" s="32"/>
      <c r="F1370" s="32"/>
      <c r="G1370" s="32"/>
      <c r="H1370" s="10"/>
      <c r="I1370" s="10"/>
      <c r="J1370" s="10"/>
      <c r="K1370" s="12"/>
      <c r="L1370" s="18"/>
    </row>
    <row r="1371" spans="1:12" x14ac:dyDescent="0.25">
      <c r="A1371" s="10"/>
      <c r="B1371" s="30"/>
      <c r="C1371" s="31"/>
      <c r="D1371" s="32"/>
      <c r="E1371" s="32"/>
      <c r="F1371" s="32"/>
      <c r="G1371" s="32"/>
      <c r="H1371" s="10"/>
      <c r="I1371" s="10"/>
      <c r="J1371" s="10"/>
      <c r="K1371" s="12"/>
      <c r="L1371" s="18"/>
    </row>
    <row r="1372" spans="1:12" x14ac:dyDescent="0.25">
      <c r="A1372" s="10"/>
      <c r="B1372" s="30"/>
      <c r="C1372" s="31"/>
      <c r="D1372" s="32"/>
      <c r="E1372" s="32"/>
      <c r="F1372" s="32"/>
      <c r="G1372" s="32">
        <f t="shared" ref="G1372" si="397">SUM(D1372:E1372)</f>
        <v>0</v>
      </c>
      <c r="H1372" s="10"/>
      <c r="I1372" s="10"/>
      <c r="J1372" s="10"/>
      <c r="K1372" s="12">
        <f t="shared" ref="K1372" si="398">SUM(G1372:J1372)</f>
        <v>0</v>
      </c>
      <c r="L1372" s="18"/>
    </row>
    <row r="1373" spans="1:12" x14ac:dyDescent="0.25">
      <c r="A1373" s="10"/>
      <c r="B1373" s="30"/>
      <c r="C1373" s="30"/>
      <c r="D1373" s="32"/>
      <c r="E1373" s="32"/>
      <c r="F1373" s="32"/>
      <c r="G1373" s="32"/>
      <c r="H1373" s="10"/>
      <c r="I1373" s="10"/>
      <c r="J1373" s="10"/>
      <c r="K1373" s="12"/>
      <c r="L1373" s="18"/>
    </row>
    <row r="1374" spans="1:12" x14ac:dyDescent="0.25">
      <c r="B1374" s="57"/>
      <c r="C1374" s="57"/>
      <c r="D1374" s="36"/>
      <c r="E1374" s="36"/>
      <c r="F1374" s="36"/>
      <c r="G1374" s="36"/>
      <c r="H1374" s="37"/>
      <c r="I1374" s="37"/>
      <c r="J1374" s="37"/>
      <c r="K1374" s="37"/>
      <c r="L1374" s="18"/>
    </row>
    <row r="1375" spans="1:12" x14ac:dyDescent="0.25">
      <c r="B1375" s="57"/>
      <c r="C1375" s="57"/>
      <c r="D1375" s="38">
        <f>SUM(D1332:D1374)</f>
        <v>99126</v>
      </c>
      <c r="E1375" s="38">
        <f t="shared" ref="E1375:G1375" si="399">SUM(E1332:E1372)</f>
        <v>0</v>
      </c>
      <c r="F1375" s="38">
        <f t="shared" si="399"/>
        <v>0</v>
      </c>
      <c r="G1375" s="38">
        <f>SUM(G1332:G1374)</f>
        <v>99126</v>
      </c>
      <c r="H1375" s="4"/>
      <c r="I1375" s="39">
        <f>SUM(I1332:I1374)</f>
        <v>2899</v>
      </c>
      <c r="J1375" s="39">
        <f>SUM(J1332:J1374)</f>
        <v>0</v>
      </c>
      <c r="K1375" s="40">
        <f>SUM(K1332:K1374)</f>
        <v>102025</v>
      </c>
      <c r="L1375" s="18"/>
    </row>
    <row r="1376" spans="1:12" x14ac:dyDescent="0.25">
      <c r="A1376" s="18"/>
      <c r="B1376" s="18"/>
      <c r="C1376" s="18"/>
      <c r="D1376" s="18"/>
      <c r="E1376" s="18"/>
      <c r="F1376" s="18"/>
      <c r="G1376" s="18"/>
      <c r="H1376" s="18"/>
      <c r="I1376" s="18"/>
      <c r="J1376" s="18"/>
      <c r="K1376" s="18"/>
      <c r="L1376" s="18"/>
    </row>
  </sheetData>
  <mergeCells count="231">
    <mergeCell ref="AB1055:AC1055"/>
    <mergeCell ref="K1330:K1331"/>
    <mergeCell ref="I1330:J1330"/>
    <mergeCell ref="D1330:E1330"/>
    <mergeCell ref="W890:W891"/>
    <mergeCell ref="U890:V890"/>
    <mergeCell ref="P890:Q890"/>
    <mergeCell ref="AI725:AI726"/>
    <mergeCell ref="AU1220:AU1221"/>
    <mergeCell ref="AS1220:AT1220"/>
    <mergeCell ref="AN1220:AO1220"/>
    <mergeCell ref="AI835:AI836"/>
    <mergeCell ref="AI890:AI891"/>
    <mergeCell ref="AG890:AH890"/>
    <mergeCell ref="AB890:AC890"/>
    <mergeCell ref="AI945:AI946"/>
    <mergeCell ref="AB835:AC835"/>
    <mergeCell ref="AG835:AH835"/>
    <mergeCell ref="AU945:AU946"/>
    <mergeCell ref="AS945:AT945"/>
    <mergeCell ref="AN945:AO945"/>
    <mergeCell ref="AG945:AH945"/>
    <mergeCell ref="AB945:AC945"/>
    <mergeCell ref="AI1000:AI1001"/>
    <mergeCell ref="AG1000:AH1000"/>
    <mergeCell ref="AB1000:AC1000"/>
    <mergeCell ref="AI1055:AI1056"/>
    <mergeCell ref="AG1055:AH1055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W835:W836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P670:Q670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P1055:Q1055"/>
    <mergeCell ref="P1000:Q1000"/>
    <mergeCell ref="K945:K946"/>
    <mergeCell ref="I945:J945"/>
    <mergeCell ref="D780:E780"/>
    <mergeCell ref="P780:Q780"/>
    <mergeCell ref="I615:J615"/>
    <mergeCell ref="K1220:K1221"/>
    <mergeCell ref="I1220:J1220"/>
    <mergeCell ref="D1220:E1220"/>
    <mergeCell ref="P1220:Q1220"/>
    <mergeCell ref="U1220:V1220"/>
    <mergeCell ref="K1275:K1276"/>
    <mergeCell ref="I1275:J1275"/>
    <mergeCell ref="D1275:E1275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165:K1166"/>
    <mergeCell ref="W65:W66"/>
    <mergeCell ref="U65:V65"/>
    <mergeCell ref="I65:J65"/>
    <mergeCell ref="U120:V120"/>
    <mergeCell ref="U340:V340"/>
    <mergeCell ref="U945:V945"/>
    <mergeCell ref="D1110:E1110"/>
    <mergeCell ref="W1110:W1111"/>
    <mergeCell ref="U1110:V1110"/>
    <mergeCell ref="P1110:Q1110"/>
    <mergeCell ref="W1055:W1056"/>
    <mergeCell ref="U1055:V1055"/>
    <mergeCell ref="W1000:W1001"/>
    <mergeCell ref="U1000:V1000"/>
    <mergeCell ref="W945:W946"/>
    <mergeCell ref="W780:W781"/>
    <mergeCell ref="U780:V780"/>
    <mergeCell ref="D615:E615"/>
    <mergeCell ref="W615:W616"/>
    <mergeCell ref="U615:V615"/>
    <mergeCell ref="U835:V835"/>
    <mergeCell ref="P835:Q835"/>
    <mergeCell ref="K890:K891"/>
    <mergeCell ref="I890:J890"/>
    <mergeCell ref="W1220:W1221"/>
    <mergeCell ref="AI1220:AI1221"/>
    <mergeCell ref="AG1220:AH1220"/>
    <mergeCell ref="W1275:W1276"/>
    <mergeCell ref="U1275:V1275"/>
    <mergeCell ref="P1275:Q1275"/>
    <mergeCell ref="AI1275:AI1276"/>
    <mergeCell ref="AG1275:AH1275"/>
    <mergeCell ref="AB1275:AC1275"/>
    <mergeCell ref="AB1220:AC1220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2025-12-29T02:21:22Z</cp:lastPrinted>
  <dcterms:created xsi:type="dcterms:W3CDTF">2024-09-23T07:17:57Z</dcterms:created>
  <dcterms:modified xsi:type="dcterms:W3CDTF">2026-01-02T07:27:09Z</dcterms:modified>
</cp:coreProperties>
</file>