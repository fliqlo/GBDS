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A283450-1C54-461C-9443-1542402F30AA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56" i="2" l="1"/>
  <c r="AG955" i="2"/>
  <c r="AB955" i="2"/>
  <c r="AG954" i="2"/>
  <c r="AB954" i="2"/>
  <c r="AB953" i="2"/>
  <c r="AE953" i="2" s="1"/>
  <c r="AI953" i="2" s="1"/>
  <c r="AB952" i="2"/>
  <c r="AE952" i="2" s="1"/>
  <c r="AI952" i="2" s="1"/>
  <c r="AG951" i="2"/>
  <c r="AB951" i="2"/>
  <c r="AE951" i="2" s="1"/>
  <c r="AG950" i="2"/>
  <c r="AB950" i="2"/>
  <c r="AB949" i="2"/>
  <c r="AB948" i="2"/>
  <c r="AB947" i="2"/>
  <c r="AA952" i="2"/>
  <c r="AA953" i="2" s="1"/>
  <c r="AA954" i="2" s="1"/>
  <c r="AA955" i="2" s="1"/>
  <c r="AA956" i="2" s="1"/>
  <c r="AE947" i="2"/>
  <c r="AI947" i="2"/>
  <c r="AA948" i="2"/>
  <c r="AA949" i="2" s="1"/>
  <c r="AA950" i="2" s="1"/>
  <c r="AA951" i="2" s="1"/>
  <c r="AE948" i="2"/>
  <c r="AE949" i="2"/>
  <c r="AI949" i="2" s="1"/>
  <c r="AE954" i="2"/>
  <c r="AI954" i="2"/>
  <c r="AE955" i="2"/>
  <c r="AI955" i="2" s="1"/>
  <c r="AE956" i="2"/>
  <c r="AI956" i="2"/>
  <c r="AE957" i="2"/>
  <c r="AI957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V952" i="2"/>
  <c r="U952" i="2"/>
  <c r="P952" i="2"/>
  <c r="S952" i="2" s="1"/>
  <c r="U951" i="2"/>
  <c r="P951" i="2"/>
  <c r="S951" i="2" s="1"/>
  <c r="P950" i="2"/>
  <c r="P949" i="2"/>
  <c r="P948" i="2"/>
  <c r="S948" i="2" s="1"/>
  <c r="W948" i="2" s="1"/>
  <c r="P947" i="2"/>
  <c r="S947" i="2"/>
  <c r="W947" i="2" s="1"/>
  <c r="O948" i="2"/>
  <c r="O949" i="2"/>
  <c r="O950" i="2" s="1"/>
  <c r="O951" i="2" s="1"/>
  <c r="O952" i="2" s="1"/>
  <c r="S949" i="2"/>
  <c r="W949" i="2" s="1"/>
  <c r="S950" i="2"/>
  <c r="W950" i="2" s="1"/>
  <c r="S953" i="2"/>
  <c r="W953" i="2" s="1"/>
  <c r="S954" i="2"/>
  <c r="W954" i="2" s="1"/>
  <c r="S955" i="2"/>
  <c r="W955" i="2" s="1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/>
  <c r="W986" i="2"/>
  <c r="S987" i="2"/>
  <c r="W987" i="2"/>
  <c r="W988" i="2"/>
  <c r="Q990" i="2"/>
  <c r="R990" i="2"/>
  <c r="V990" i="2"/>
  <c r="D957" i="2"/>
  <c r="G957" i="2" s="1"/>
  <c r="K957" i="2" s="1"/>
  <c r="D956" i="2"/>
  <c r="G956" i="2" s="1"/>
  <c r="K956" i="2" s="1"/>
  <c r="I955" i="2"/>
  <c r="D955" i="2"/>
  <c r="G955" i="2" s="1"/>
  <c r="K955" i="2" s="1"/>
  <c r="D954" i="2"/>
  <c r="D953" i="2"/>
  <c r="D952" i="2"/>
  <c r="G952" i="2" s="1"/>
  <c r="K952" i="2" s="1"/>
  <c r="D951" i="2"/>
  <c r="G951" i="2" s="1"/>
  <c r="K951" i="2" s="1"/>
  <c r="I950" i="2"/>
  <c r="D950" i="2"/>
  <c r="I949" i="2"/>
  <c r="D949" i="2"/>
  <c r="G949" i="2" s="1"/>
  <c r="D948" i="2"/>
  <c r="G948" i="2"/>
  <c r="K948" i="2" s="1"/>
  <c r="D947" i="2"/>
  <c r="G947" i="2" s="1"/>
  <c r="K947" i="2" s="1"/>
  <c r="C954" i="2"/>
  <c r="C955" i="2" s="1"/>
  <c r="C956" i="2" s="1"/>
  <c r="C957" i="2" s="1"/>
  <c r="C948" i="2"/>
  <c r="C949" i="2"/>
  <c r="C950" i="2" s="1"/>
  <c r="C951" i="2" s="1"/>
  <c r="C952" i="2" s="1"/>
  <c r="C953" i="2" s="1"/>
  <c r="G950" i="2"/>
  <c r="J990" i="2"/>
  <c r="G953" i="2"/>
  <c r="K953" i="2" s="1"/>
  <c r="G954" i="2"/>
  <c r="K954" i="2"/>
  <c r="G958" i="2"/>
  <c r="K958" i="2"/>
  <c r="G959" i="2"/>
  <c r="K959" i="2"/>
  <c r="G960" i="2"/>
  <c r="K960" i="2" s="1"/>
  <c r="G961" i="2"/>
  <c r="K961" i="2" s="1"/>
  <c r="G962" i="2"/>
  <c r="K962" i="2"/>
  <c r="G963" i="2"/>
  <c r="K963" i="2"/>
  <c r="G964" i="2"/>
  <c r="K964" i="2" s="1"/>
  <c r="G965" i="2"/>
  <c r="K965" i="2"/>
  <c r="G966" i="2"/>
  <c r="K966" i="2"/>
  <c r="G967" i="2"/>
  <c r="K967" i="2"/>
  <c r="G968" i="2"/>
  <c r="K968" i="2" s="1"/>
  <c r="G969" i="2"/>
  <c r="K969" i="2" s="1"/>
  <c r="G970" i="2"/>
  <c r="K970" i="2"/>
  <c r="G971" i="2"/>
  <c r="K971" i="2"/>
  <c r="G972" i="2"/>
  <c r="K972" i="2" s="1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 s="1"/>
  <c r="G987" i="2"/>
  <c r="K987" i="2"/>
  <c r="E990" i="2"/>
  <c r="F990" i="2"/>
  <c r="AG990" i="2" l="1"/>
  <c r="AI951" i="2"/>
  <c r="AB990" i="2"/>
  <c r="AE950" i="2"/>
  <c r="AI950" i="2" s="1"/>
  <c r="AI948" i="2"/>
  <c r="U990" i="2"/>
  <c r="W952" i="2"/>
  <c r="W990" i="2" s="1"/>
  <c r="W951" i="2"/>
  <c r="P990" i="2"/>
  <c r="S990" i="2"/>
  <c r="K950" i="2"/>
  <c r="K990" i="2" s="1"/>
  <c r="I990" i="2"/>
  <c r="K949" i="2"/>
  <c r="D990" i="2"/>
  <c r="G990" i="2"/>
  <c r="AB896" i="2"/>
  <c r="AB895" i="2"/>
  <c r="AE895" i="2" s="1"/>
  <c r="AI895" i="2" s="1"/>
  <c r="AB894" i="2"/>
  <c r="AE894" i="2" s="1"/>
  <c r="AI894" i="2" s="1"/>
  <c r="AB893" i="2"/>
  <c r="AE893" i="2" s="1"/>
  <c r="AI893" i="2" s="1"/>
  <c r="AB892" i="2"/>
  <c r="AE892" i="2" s="1"/>
  <c r="AI892" i="2" s="1"/>
  <c r="AA893" i="2"/>
  <c r="AA894" i="2"/>
  <c r="AA895" i="2" s="1"/>
  <c r="AA896" i="2" s="1"/>
  <c r="AE896" i="2"/>
  <c r="AI896" i="2" s="1"/>
  <c r="AE897" i="2"/>
  <c r="AE898" i="2"/>
  <c r="AI898" i="2" s="1"/>
  <c r="AE899" i="2"/>
  <c r="AI899" i="2" s="1"/>
  <c r="AE900" i="2"/>
  <c r="AI900" i="2" s="1"/>
  <c r="AE901" i="2"/>
  <c r="AI901" i="2"/>
  <c r="AE902" i="2"/>
  <c r="AI902" i="2"/>
  <c r="AE903" i="2"/>
  <c r="AI903" i="2" s="1"/>
  <c r="AE904" i="2"/>
  <c r="AI904" i="2" s="1"/>
  <c r="AE905" i="2"/>
  <c r="AI905" i="2" s="1"/>
  <c r="AE906" i="2"/>
  <c r="AI906" i="2"/>
  <c r="AE907" i="2"/>
  <c r="AI907" i="2" s="1"/>
  <c r="AE908" i="2"/>
  <c r="AI908" i="2"/>
  <c r="AE909" i="2"/>
  <c r="AI909" i="2"/>
  <c r="AE910" i="2"/>
  <c r="AI910" i="2"/>
  <c r="AE911" i="2"/>
  <c r="AI911" i="2" s="1"/>
  <c r="AE912" i="2"/>
  <c r="AI912" i="2" s="1"/>
  <c r="AE913" i="2"/>
  <c r="AI913" i="2" s="1"/>
  <c r="AE914" i="2"/>
  <c r="AI914" i="2"/>
  <c r="AE915" i="2"/>
  <c r="AI915" i="2" s="1"/>
  <c r="AE916" i="2"/>
  <c r="AI916" i="2"/>
  <c r="AE917" i="2"/>
  <c r="AI917" i="2"/>
  <c r="AE918" i="2"/>
  <c r="AI918" i="2"/>
  <c r="AE919" i="2"/>
  <c r="AI919" i="2" s="1"/>
  <c r="AE920" i="2"/>
  <c r="AI920" i="2" s="1"/>
  <c r="AE921" i="2"/>
  <c r="AI921" i="2" s="1"/>
  <c r="AE922" i="2"/>
  <c r="AI922" i="2"/>
  <c r="AE923" i="2"/>
  <c r="AI923" i="2" s="1"/>
  <c r="AE924" i="2"/>
  <c r="AI924" i="2"/>
  <c r="AE925" i="2"/>
  <c r="AI925" i="2"/>
  <c r="AE926" i="2"/>
  <c r="AI926" i="2"/>
  <c r="AE927" i="2"/>
  <c r="AI927" i="2" s="1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11" i="2"/>
  <c r="S911" i="2" s="1"/>
  <c r="W911" i="2" s="1"/>
  <c r="O911" i="2"/>
  <c r="P910" i="2"/>
  <c r="S910" i="2" s="1"/>
  <c r="W910" i="2" s="1"/>
  <c r="P909" i="2"/>
  <c r="P908" i="2"/>
  <c r="U907" i="2"/>
  <c r="P907" i="2"/>
  <c r="P906" i="2"/>
  <c r="S906" i="2" s="1"/>
  <c r="W906" i="2" s="1"/>
  <c r="P905" i="2"/>
  <c r="S905" i="2" s="1"/>
  <c r="W905" i="2" s="1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U900" i="2"/>
  <c r="P900" i="2"/>
  <c r="U899" i="2"/>
  <c r="P899" i="2"/>
  <c r="P898" i="2"/>
  <c r="P897" i="2"/>
  <c r="U896" i="2"/>
  <c r="P896" i="2"/>
  <c r="P895" i="2"/>
  <c r="S895" i="2" s="1"/>
  <c r="W895" i="2" s="1"/>
  <c r="P894" i="2"/>
  <c r="S894" i="2" s="1"/>
  <c r="W894" i="2" s="1"/>
  <c r="P893" i="2"/>
  <c r="U892" i="2"/>
  <c r="P892" i="2"/>
  <c r="S892" i="2" s="1"/>
  <c r="W892" i="2" s="1"/>
  <c r="O900" i="2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O897" i="2" s="1"/>
  <c r="O898" i="2" s="1"/>
  <c r="O899" i="2" s="1"/>
  <c r="S893" i="2"/>
  <c r="W893" i="2" s="1"/>
  <c r="S896" i="2"/>
  <c r="S897" i="2"/>
  <c r="W897" i="2" s="1"/>
  <c r="S898" i="2"/>
  <c r="W898" i="2" s="1"/>
  <c r="V935" i="2"/>
  <c r="S899" i="2"/>
  <c r="W899" i="2" s="1"/>
  <c r="S900" i="2"/>
  <c r="W900" i="2" s="1"/>
  <c r="S907" i="2"/>
  <c r="W907" i="2" s="1"/>
  <c r="S908" i="2"/>
  <c r="W908" i="2" s="1"/>
  <c r="S909" i="2"/>
  <c r="W909" i="2" s="1"/>
  <c r="S912" i="2"/>
  <c r="W912" i="2" s="1"/>
  <c r="S913" i="2"/>
  <c r="W913" i="2"/>
  <c r="S914" i="2"/>
  <c r="W914" i="2" s="1"/>
  <c r="S915" i="2"/>
  <c r="W915" i="2"/>
  <c r="S916" i="2"/>
  <c r="W916" i="2" s="1"/>
  <c r="S917" i="2"/>
  <c r="W917" i="2"/>
  <c r="S918" i="2"/>
  <c r="W918" i="2"/>
  <c r="S919" i="2"/>
  <c r="W919" i="2" s="1"/>
  <c r="S920" i="2"/>
  <c r="W920" i="2" s="1"/>
  <c r="S921" i="2"/>
  <c r="W921" i="2"/>
  <c r="S922" i="2"/>
  <c r="W922" i="2" s="1"/>
  <c r="S923" i="2"/>
  <c r="W923" i="2"/>
  <c r="S924" i="2"/>
  <c r="W924" i="2" s="1"/>
  <c r="S925" i="2"/>
  <c r="W925" i="2"/>
  <c r="S926" i="2"/>
  <c r="W926" i="2"/>
  <c r="S927" i="2"/>
  <c r="W927" i="2" s="1"/>
  <c r="S928" i="2"/>
  <c r="W928" i="2" s="1"/>
  <c r="S929" i="2"/>
  <c r="W929" i="2"/>
  <c r="S930" i="2"/>
  <c r="W930" i="2" s="1"/>
  <c r="W931" i="2"/>
  <c r="S932" i="2"/>
  <c r="W932" i="2"/>
  <c r="W933" i="2"/>
  <c r="Q935" i="2"/>
  <c r="R935" i="2"/>
  <c r="D898" i="2"/>
  <c r="D897" i="2"/>
  <c r="G897" i="2" s="1"/>
  <c r="K897" i="2" s="1"/>
  <c r="J896" i="2"/>
  <c r="I896" i="2"/>
  <c r="D896" i="2"/>
  <c r="G896" i="2" s="1"/>
  <c r="K896" i="2" s="1"/>
  <c r="D895" i="2"/>
  <c r="G895" i="2" s="1"/>
  <c r="K895" i="2" s="1"/>
  <c r="D894" i="2"/>
  <c r="I893" i="2"/>
  <c r="D893" i="2"/>
  <c r="G893" i="2" s="1"/>
  <c r="K893" i="2" s="1"/>
  <c r="I892" i="2"/>
  <c r="D892" i="2"/>
  <c r="G892" i="2"/>
  <c r="C893" i="2"/>
  <c r="C894" i="2" s="1"/>
  <c r="C895" i="2" s="1"/>
  <c r="C896" i="2" s="1"/>
  <c r="C897" i="2" s="1"/>
  <c r="C898" i="2" s="1"/>
  <c r="G894" i="2"/>
  <c r="K894" i="2" s="1"/>
  <c r="G898" i="2"/>
  <c r="K898" i="2" s="1"/>
  <c r="G899" i="2"/>
  <c r="K899" i="2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/>
  <c r="G906" i="2"/>
  <c r="K906" i="2" s="1"/>
  <c r="G907" i="2"/>
  <c r="K907" i="2"/>
  <c r="G908" i="2"/>
  <c r="K908" i="2" s="1"/>
  <c r="G909" i="2"/>
  <c r="K909" i="2"/>
  <c r="G910" i="2"/>
  <c r="K910" i="2"/>
  <c r="G911" i="2"/>
  <c r="K911" i="2"/>
  <c r="G912" i="2"/>
  <c r="K912" i="2"/>
  <c r="G913" i="2"/>
  <c r="K913" i="2"/>
  <c r="G914" i="2"/>
  <c r="K914" i="2" s="1"/>
  <c r="G915" i="2"/>
  <c r="K915" i="2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 s="1"/>
  <c r="G923" i="2"/>
  <c r="K923" i="2"/>
  <c r="G924" i="2"/>
  <c r="K924" i="2" s="1"/>
  <c r="G925" i="2"/>
  <c r="K925" i="2"/>
  <c r="G932" i="2"/>
  <c r="K932" i="2"/>
  <c r="E935" i="2"/>
  <c r="F935" i="2"/>
  <c r="J935" i="2"/>
  <c r="AI990" i="2" l="1"/>
  <c r="AE990" i="2"/>
  <c r="AB935" i="2"/>
  <c r="AE935" i="2"/>
  <c r="AI897" i="2"/>
  <c r="AI935" i="2" s="1"/>
  <c r="U935" i="2"/>
  <c r="P935" i="2"/>
  <c r="S935" i="2"/>
  <c r="W896" i="2"/>
  <c r="W935" i="2" s="1"/>
  <c r="I935" i="2"/>
  <c r="D935" i="2"/>
  <c r="K892" i="2"/>
  <c r="K935" i="2" s="1"/>
  <c r="G935" i="2"/>
  <c r="AG846" i="2"/>
  <c r="AB846" i="2"/>
  <c r="AG845" i="2"/>
  <c r="AB845" i="2"/>
  <c r="AE845" i="2" s="1"/>
  <c r="AI845" i="2" s="1"/>
  <c r="AB844" i="2"/>
  <c r="AE844" i="2" s="1"/>
  <c r="AI844" i="2" s="1"/>
  <c r="AG843" i="2"/>
  <c r="AG880" i="2" s="1"/>
  <c r="AB843" i="2"/>
  <c r="AB842" i="2"/>
  <c r="AE842" i="2" s="1"/>
  <c r="AI842" i="2" s="1"/>
  <c r="AG841" i="2"/>
  <c r="AB841" i="2"/>
  <c r="AB840" i="2"/>
  <c r="AB839" i="2"/>
  <c r="AG838" i="2"/>
  <c r="AB838" i="2"/>
  <c r="AG837" i="2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8" i="2"/>
  <c r="AI838" i="2" s="1"/>
  <c r="AE839" i="2"/>
  <c r="AI839" i="2" s="1"/>
  <c r="AH880" i="2"/>
  <c r="AE840" i="2"/>
  <c r="AE841" i="2"/>
  <c r="AI841" i="2" s="1"/>
  <c r="AE843" i="2"/>
  <c r="AE846" i="2"/>
  <c r="AI846" i="2"/>
  <c r="AE847" i="2"/>
  <c r="AI847" i="2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/>
  <c r="AE855" i="2"/>
  <c r="AI855" i="2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P855" i="2"/>
  <c r="P854" i="2"/>
  <c r="P853" i="2"/>
  <c r="P852" i="2"/>
  <c r="P851" i="2"/>
  <c r="P850" i="2"/>
  <c r="S850" i="2" s="1"/>
  <c r="W850" i="2" s="1"/>
  <c r="U849" i="2"/>
  <c r="P849" i="2"/>
  <c r="P848" i="2"/>
  <c r="P847" i="2"/>
  <c r="S847" i="2" s="1"/>
  <c r="W847" i="2" s="1"/>
  <c r="P846" i="2"/>
  <c r="U845" i="2"/>
  <c r="P845" i="2"/>
  <c r="S845" i="2" s="1"/>
  <c r="P844" i="2"/>
  <c r="V843" i="2"/>
  <c r="V880" i="2" s="1"/>
  <c r="U843" i="2"/>
  <c r="P843" i="2"/>
  <c r="S843" i="2" s="1"/>
  <c r="P842" i="2"/>
  <c r="S842" i="2" s="1"/>
  <c r="W842" i="2" s="1"/>
  <c r="P841" i="2"/>
  <c r="U840" i="2"/>
  <c r="P840" i="2"/>
  <c r="S840" i="2" s="1"/>
  <c r="P839" i="2"/>
  <c r="S839" i="2" s="1"/>
  <c r="W839" i="2" s="1"/>
  <c r="P838" i="2"/>
  <c r="S838" i="2" s="1"/>
  <c r="W838" i="2" s="1"/>
  <c r="P837" i="2"/>
  <c r="O847" i="2"/>
  <c r="O848" i="2" s="1"/>
  <c r="O849" i="2" s="1"/>
  <c r="O850" i="2" s="1"/>
  <c r="O851" i="2" s="1"/>
  <c r="O852" i="2" s="1"/>
  <c r="O853" i="2" s="1"/>
  <c r="O854" i="2" s="1"/>
  <c r="O855" i="2" s="1"/>
  <c r="O839" i="2"/>
  <c r="O840" i="2"/>
  <c r="O841" i="2"/>
  <c r="O842" i="2"/>
  <c r="O843" i="2"/>
  <c r="O844" i="2"/>
  <c r="O846" i="2"/>
  <c r="O838" i="2"/>
  <c r="S841" i="2"/>
  <c r="W841" i="2"/>
  <c r="S844" i="2"/>
  <c r="W844" i="2" s="1"/>
  <c r="S846" i="2"/>
  <c r="W846" i="2" s="1"/>
  <c r="S848" i="2"/>
  <c r="W848" i="2" s="1"/>
  <c r="S849" i="2"/>
  <c r="W849" i="2" s="1"/>
  <c r="S851" i="2"/>
  <c r="W851" i="2" s="1"/>
  <c r="S852" i="2"/>
  <c r="W852" i="2" s="1"/>
  <c r="S853" i="2"/>
  <c r="W853" i="2" s="1"/>
  <c r="S854" i="2"/>
  <c r="W854" i="2"/>
  <c r="S855" i="2"/>
  <c r="W855" i="2" s="1"/>
  <c r="S856" i="2"/>
  <c r="W856" i="2"/>
  <c r="S857" i="2"/>
  <c r="W857" i="2"/>
  <c r="S858" i="2"/>
  <c r="W858" i="2" s="1"/>
  <c r="S859" i="2"/>
  <c r="W859" i="2"/>
  <c r="S860" i="2"/>
  <c r="W860" i="2"/>
  <c r="S861" i="2"/>
  <c r="W861" i="2"/>
  <c r="S862" i="2"/>
  <c r="W862" i="2"/>
  <c r="S863" i="2"/>
  <c r="W863" i="2"/>
  <c r="S864" i="2"/>
  <c r="W864" i="2"/>
  <c r="S865" i="2"/>
  <c r="W865" i="2"/>
  <c r="S866" i="2"/>
  <c r="W866" i="2" s="1"/>
  <c r="S867" i="2"/>
  <c r="W867" i="2"/>
  <c r="S868" i="2"/>
  <c r="W868" i="2"/>
  <c r="S869" i="2"/>
  <c r="W869" i="2"/>
  <c r="S870" i="2"/>
  <c r="W870" i="2"/>
  <c r="S871" i="2"/>
  <c r="W871" i="2"/>
  <c r="S872" i="2"/>
  <c r="W872" i="2"/>
  <c r="S873" i="2"/>
  <c r="W873" i="2"/>
  <c r="S874" i="2"/>
  <c r="W874" i="2" s="1"/>
  <c r="S875" i="2"/>
  <c r="W875" i="2"/>
  <c r="W876" i="2"/>
  <c r="S877" i="2"/>
  <c r="W877" i="2"/>
  <c r="W878" i="2"/>
  <c r="Q880" i="2"/>
  <c r="R880" i="2"/>
  <c r="D838" i="2"/>
  <c r="G838" i="2" s="1"/>
  <c r="K838" i="2" s="1"/>
  <c r="I837" i="2"/>
  <c r="I880" i="2" s="1"/>
  <c r="D837" i="2"/>
  <c r="G837" i="2" s="1"/>
  <c r="K837" i="2" s="1"/>
  <c r="C838" i="2"/>
  <c r="G839" i="2"/>
  <c r="G840" i="2"/>
  <c r="K840" i="2" s="1"/>
  <c r="G841" i="2"/>
  <c r="K841" i="2"/>
  <c r="G842" i="2"/>
  <c r="K842" i="2" s="1"/>
  <c r="G843" i="2"/>
  <c r="K843" i="2"/>
  <c r="G844" i="2"/>
  <c r="K844" i="2"/>
  <c r="G845" i="2"/>
  <c r="K845" i="2"/>
  <c r="G846" i="2"/>
  <c r="K846" i="2" s="1"/>
  <c r="G847" i="2"/>
  <c r="K847" i="2"/>
  <c r="G848" i="2"/>
  <c r="K848" i="2"/>
  <c r="G849" i="2"/>
  <c r="K849" i="2"/>
  <c r="G850" i="2"/>
  <c r="K850" i="2"/>
  <c r="G851" i="2"/>
  <c r="K851" i="2"/>
  <c r="G852" i="2"/>
  <c r="K852" i="2"/>
  <c r="G853" i="2"/>
  <c r="K853" i="2"/>
  <c r="G854" i="2"/>
  <c r="K854" i="2"/>
  <c r="G855" i="2"/>
  <c r="K855" i="2"/>
  <c r="G856" i="2"/>
  <c r="K856" i="2"/>
  <c r="G857" i="2"/>
  <c r="K857" i="2"/>
  <c r="G858" i="2"/>
  <c r="K858" i="2"/>
  <c r="G859" i="2"/>
  <c r="K859" i="2"/>
  <c r="G860" i="2"/>
  <c r="K860" i="2"/>
  <c r="G861" i="2"/>
  <c r="K861" i="2"/>
  <c r="G862" i="2"/>
  <c r="K862" i="2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/>
  <c r="G877" i="2"/>
  <c r="K877" i="2"/>
  <c r="E880" i="2"/>
  <c r="F880" i="2"/>
  <c r="J880" i="2"/>
  <c r="AI843" i="2" l="1"/>
  <c r="AB880" i="2"/>
  <c r="AI840" i="2"/>
  <c r="AE880" i="2"/>
  <c r="AI880" i="2"/>
  <c r="W845" i="2"/>
  <c r="W843" i="2"/>
  <c r="U880" i="2"/>
  <c r="W840" i="2"/>
  <c r="P880" i="2"/>
  <c r="S837" i="2"/>
  <c r="W837" i="2" s="1"/>
  <c r="D880" i="2"/>
  <c r="G880" i="2"/>
  <c r="K839" i="2"/>
  <c r="K880" i="2" s="1"/>
  <c r="AB791" i="2"/>
  <c r="AB790" i="2"/>
  <c r="AG789" i="2"/>
  <c r="AB789" i="2"/>
  <c r="AB788" i="2"/>
  <c r="AB787" i="2"/>
  <c r="AE787" i="2" s="1"/>
  <c r="AI787" i="2" s="1"/>
  <c r="AG825" i="2"/>
  <c r="AH825" i="2"/>
  <c r="AB786" i="2"/>
  <c r="AE786" i="2" s="1"/>
  <c r="AB785" i="2"/>
  <c r="AH784" i="2"/>
  <c r="AB784" i="2"/>
  <c r="AE784" i="2" s="1"/>
  <c r="AI784" i="2" s="1"/>
  <c r="AB783" i="2"/>
  <c r="AE783" i="2" s="1"/>
  <c r="AI783" i="2" s="1"/>
  <c r="AG782" i="2"/>
  <c r="AB782" i="2"/>
  <c r="AE782" i="2" s="1"/>
  <c r="AA785" i="2"/>
  <c r="AA786" i="2"/>
  <c r="AA787" i="2"/>
  <c r="AA788" i="2"/>
  <c r="AA789" i="2"/>
  <c r="AA790" i="2"/>
  <c r="AA791" i="2"/>
  <c r="AA783" i="2"/>
  <c r="AA784" i="2" s="1"/>
  <c r="AE785" i="2"/>
  <c r="AI785" i="2" s="1"/>
  <c r="AE788" i="2"/>
  <c r="AI788" i="2" s="1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 s="1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 s="1"/>
  <c r="AI823" i="2"/>
  <c r="AC825" i="2"/>
  <c r="AD825" i="2"/>
  <c r="V783" i="2"/>
  <c r="P783" i="2"/>
  <c r="V782" i="2"/>
  <c r="V825" i="2" s="1"/>
  <c r="U782" i="2"/>
  <c r="U825" i="2" s="1"/>
  <c r="P782" i="2"/>
  <c r="P825" i="2" s="1"/>
  <c r="O783" i="2"/>
  <c r="S783" i="2"/>
  <c r="W783" i="2" s="1"/>
  <c r="S784" i="2"/>
  <c r="W784" i="2" s="1"/>
  <c r="S785" i="2"/>
  <c r="W785" i="2" s="1"/>
  <c r="S786" i="2"/>
  <c r="W786" i="2"/>
  <c r="S787" i="2"/>
  <c r="W787" i="2"/>
  <c r="S788" i="2"/>
  <c r="W788" i="2"/>
  <c r="S789" i="2"/>
  <c r="W789" i="2" s="1"/>
  <c r="S790" i="2"/>
  <c r="W790" i="2" s="1"/>
  <c r="S791" i="2"/>
  <c r="W791" i="2" s="1"/>
  <c r="S792" i="2"/>
  <c r="W792" i="2"/>
  <c r="S793" i="2"/>
  <c r="W793" i="2"/>
  <c r="S794" i="2"/>
  <c r="W794" i="2"/>
  <c r="S795" i="2"/>
  <c r="W795" i="2" s="1"/>
  <c r="S796" i="2"/>
  <c r="W796" i="2"/>
  <c r="S797" i="2"/>
  <c r="W797" i="2"/>
  <c r="S798" i="2"/>
  <c r="W798" i="2"/>
  <c r="S799" i="2"/>
  <c r="W799" i="2" s="1"/>
  <c r="S800" i="2"/>
  <c r="W800" i="2"/>
  <c r="S801" i="2"/>
  <c r="W801" i="2"/>
  <c r="S802" i="2"/>
  <c r="W802" i="2"/>
  <c r="S803" i="2"/>
  <c r="W803" i="2" s="1"/>
  <c r="S804" i="2"/>
  <c r="W804" i="2"/>
  <c r="S805" i="2"/>
  <c r="W805" i="2"/>
  <c r="S806" i="2"/>
  <c r="W806" i="2"/>
  <c r="S807" i="2"/>
  <c r="W807" i="2" s="1"/>
  <c r="S808" i="2"/>
  <c r="W808" i="2"/>
  <c r="S809" i="2"/>
  <c r="W809" i="2"/>
  <c r="S810" i="2"/>
  <c r="W810" i="2"/>
  <c r="S811" i="2"/>
  <c r="W811" i="2" s="1"/>
  <c r="S812" i="2"/>
  <c r="W812" i="2" s="1"/>
  <c r="S813" i="2"/>
  <c r="W813" i="2"/>
  <c r="S814" i="2"/>
  <c r="W814" i="2"/>
  <c r="S815" i="2"/>
  <c r="W815" i="2" s="1"/>
  <c r="S816" i="2"/>
  <c r="W816" i="2"/>
  <c r="S817" i="2"/>
  <c r="W817" i="2"/>
  <c r="S818" i="2"/>
  <c r="W818" i="2"/>
  <c r="S819" i="2"/>
  <c r="W819" i="2" s="1"/>
  <c r="S820" i="2"/>
  <c r="W820" i="2" s="1"/>
  <c r="W821" i="2"/>
  <c r="S822" i="2"/>
  <c r="W822" i="2"/>
  <c r="W823" i="2"/>
  <c r="Q825" i="2"/>
  <c r="R825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D783" i="2"/>
  <c r="G783" i="2" s="1"/>
  <c r="K783" i="2" s="1"/>
  <c r="D782" i="2"/>
  <c r="G782" i="2"/>
  <c r="K782" i="2" s="1"/>
  <c r="C783" i="2"/>
  <c r="C784" i="2"/>
  <c r="C785" i="2" s="1"/>
  <c r="C786" i="2" s="1"/>
  <c r="C787" i="2" s="1"/>
  <c r="C788" i="2" s="1"/>
  <c r="C789" i="2" s="1"/>
  <c r="G785" i="2"/>
  <c r="K785" i="2" s="1"/>
  <c r="G788" i="2"/>
  <c r="K788" i="2" s="1"/>
  <c r="G789" i="2"/>
  <c r="K789" i="2" s="1"/>
  <c r="G790" i="2"/>
  <c r="K790" i="2" s="1"/>
  <c r="G791" i="2"/>
  <c r="K791" i="2" s="1"/>
  <c r="G792" i="2"/>
  <c r="K792" i="2" s="1"/>
  <c r="G793" i="2"/>
  <c r="K793" i="2" s="1"/>
  <c r="G794" i="2"/>
  <c r="K794" i="2" s="1"/>
  <c r="G795" i="2"/>
  <c r="K795" i="2" s="1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 s="1"/>
  <c r="G802" i="2"/>
  <c r="K802" i="2" s="1"/>
  <c r="G803" i="2"/>
  <c r="K803" i="2"/>
  <c r="G804" i="2"/>
  <c r="K804" i="2"/>
  <c r="G805" i="2"/>
  <c r="K805" i="2" s="1"/>
  <c r="G806" i="2"/>
  <c r="K806" i="2" s="1"/>
  <c r="G807" i="2"/>
  <c r="K807" i="2"/>
  <c r="G808" i="2"/>
  <c r="K808" i="2" s="1"/>
  <c r="G809" i="2"/>
  <c r="K809" i="2" s="1"/>
  <c r="G810" i="2"/>
  <c r="K810" i="2" s="1"/>
  <c r="G811" i="2"/>
  <c r="K811" i="2"/>
  <c r="G812" i="2"/>
  <c r="K812" i="2"/>
  <c r="G813" i="2"/>
  <c r="K813" i="2" s="1"/>
  <c r="G814" i="2"/>
  <c r="K814" i="2" s="1"/>
  <c r="G815" i="2"/>
  <c r="K815" i="2"/>
  <c r="G822" i="2"/>
  <c r="K822" i="2" s="1"/>
  <c r="E825" i="2"/>
  <c r="F825" i="2"/>
  <c r="J825" i="2"/>
  <c r="W880" i="2" l="1"/>
  <c r="S880" i="2"/>
  <c r="AI786" i="2"/>
  <c r="AI825" i="2" s="1"/>
  <c r="AI782" i="2"/>
  <c r="AB825" i="2"/>
  <c r="AE825" i="2"/>
  <c r="S782" i="2"/>
  <c r="W782" i="2" s="1"/>
  <c r="W825" i="2" s="1"/>
  <c r="S825" i="2"/>
  <c r="K786" i="2"/>
  <c r="D825" i="2"/>
  <c r="K825" i="2"/>
  <c r="G825" i="2"/>
  <c r="AG729" i="2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782" authorId="0" shapeId="0" xr:uid="{BE377993-5EBB-40E4-8165-A48A34868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82" authorId="0" shapeId="0" xr:uid="{70FFEC61-B46F-4299-989E-F3F6E62890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82" authorId="0" shapeId="0" xr:uid="{11F25488-BE33-4DE1-8AC2-01FF7C2602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7915F275-1DF8-4769-8E1C-D31DCE150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783" authorId="0" shapeId="0" xr:uid="{52DC4688-EB4D-4986-B7C0-7CBABC305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783" authorId="0" shapeId="0" xr:uid="{AAA50B24-505E-49EA-901B-B703B9535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4" authorId="0" shapeId="0" xr:uid="{92AF5874-CAD0-475F-8984-8ADF7EC471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AA784" authorId="0" shapeId="0" xr:uid="{A8081BD7-6B59-4C4A-BA4B-748117F03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785" authorId="0" shapeId="0" xr:uid="{6B232439-C44B-4DDC-AE41-143BEA9D0F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AA785" authorId="0" shapeId="0" xr:uid="{66154677-213F-4F68-AA89-6F2EBB841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C786" authorId="0" shapeId="0" xr:uid="{8F11B3C4-F8B1-43A7-80BA-FF54FF7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IVY ONES
LABAKID, SINDANGAN</t>
        </r>
      </text>
    </comment>
    <comment ref="AA786" authorId="0" shapeId="0" xr:uid="{C1879D1D-1577-4C9C-954F-3B5B3A0D13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7" authorId="0" shapeId="0" xr:uid="{1868EC73-2A59-4A5E-B030-C04C90A814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DEPOSA
DEPOSA STORE
DICOYONG, SINDANGAN</t>
        </r>
      </text>
    </comment>
    <comment ref="AA787" authorId="0" shapeId="0" xr:uid="{0A344D36-D7D3-4812-9DA4-B5F30A18F1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8" authorId="0" shapeId="0" xr:uid="{30D8B568-6080-4B9A-8D78-CE67B4307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788" authorId="0" shapeId="0" xr:uid="{8C757C70-E919-4B27-BCA2-6034AFC9D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89" authorId="0" shapeId="0" xr:uid="{74758BC9-8D75-49F5-A6F4-C3A37064E9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STORE
DAPAON, SINDANGAN</t>
        </r>
      </text>
    </comment>
    <comment ref="AA789" authorId="0" shapeId="0" xr:uid="{1E95BDE7-DC43-4AB0-A63C-A4F1EA423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AA790" authorId="0" shapeId="0" xr:uid="{11C52CBA-4774-4C6E-B699-F4B403016A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AA791" authorId="0" shapeId="0" xr:uid="{700422E6-7A8B-4900-86DA-99603B4811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37" authorId="0" shapeId="0" xr:uid="{761E29A2-39F1-4740-B07F-A98B57E5D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37" authorId="0" shapeId="0" xr:uid="{EDFEA8E7-06B4-4908-87ED-C532247A33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APRIL ROSE STORE
GOLEO, SINDANGAN</t>
        </r>
      </text>
    </comment>
    <comment ref="AA837" authorId="0" shapeId="0" xr:uid="{ACFB7C42-26A4-4C96-83AD-00096008A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38" authorId="0" shapeId="0" xr:uid="{7151671D-FE14-4186-BEDB-84B607071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GUNYAN, SIAYAN</t>
        </r>
      </text>
    </comment>
    <comment ref="O838" authorId="0" shapeId="0" xr:uid="{E7223C79-3E19-477B-A79C-57E648F68D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838" authorId="0" shapeId="0" xr:uid="{AE396F8A-7BE2-4A59-B6BD-3CAC4E36C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BACONG
BACONG, SALUG</t>
        </r>
      </text>
    </comment>
    <comment ref="O839" authorId="0" shapeId="0" xr:uid="{69F07B3A-6CA2-4CB0-B6EC-07E90EEB0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839" authorId="0" shapeId="0" xr:uid="{CEFBD633-A16E-45DF-A463-99B0B9397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840" authorId="0" shapeId="0" xr:uid="{324847EF-FB3F-4757-AFA2-8E73F6BC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NILFA
GOLEO, SINDANGAN</t>
        </r>
      </text>
    </comment>
    <comment ref="AA840" authorId="0" shapeId="0" xr:uid="{83F75FE1-96EB-4E3F-8B58-E034AFA67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LIPAYO MARY ANN
BACONG, SALUG</t>
        </r>
      </text>
    </comment>
    <comment ref="O841" authorId="0" shapeId="0" xr:uid="{D3580B6B-797D-4F73-8D55-E9CFD55C72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841" authorId="0" shapeId="0" xr:uid="{8A296088-0CFA-4EDC-824B-978171DF4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842" authorId="0" shapeId="0" xr:uid="{849B97F9-4968-48E2-8FCF-876CECED8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842" authorId="0" shapeId="0" xr:uid="{2F943E6A-B18B-4FD6-94B7-525F84DCC0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O843" authorId="0" shapeId="0" xr:uid="{9938839E-50E0-4993-9840-B93EA15C0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843" authorId="0" shapeId="0" xr:uid="{4985293E-EA91-4837-BCCF-8619338EE5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44" authorId="0" shapeId="0" xr:uid="{C8C9A5E9-DBD7-4ADC-BF50-C6EFCCF527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RHEDERA VILLA
TALINGA, SINDANGAN</t>
        </r>
      </text>
    </comment>
    <comment ref="AA844" authorId="0" shapeId="0" xr:uid="{77922DA7-80BF-40E0-9EE7-CAF950A4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O845" authorId="0" shapeId="0" xr:uid="{7B24122A-418D-4C18-BA31-1F27683E40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5" authorId="0" shapeId="0" xr:uid="{064D56EA-AB76-4D96-88A6-76A946971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846" authorId="0" shapeId="0" xr:uid="{CEA2CA45-397C-4548-BD7C-8703FDC0B4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846" authorId="0" shapeId="0" xr:uid="{B5A7B2E5-2F10-4198-A502-6172766C60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</t>
        </r>
      </text>
    </comment>
    <comment ref="O847" authorId="0" shapeId="0" xr:uid="{CEDB3E9D-129B-473D-808D-87A22A791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848" authorId="0" shapeId="0" xr:uid="{B85284D3-E8BB-4312-B9CC-56413EB50D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EBALES STORE
MARAS, SINDANGAN</t>
        </r>
      </text>
    </comment>
    <comment ref="O849" authorId="0" shapeId="0" xr:uid="{08F18B98-E673-44EC-9DF0-51D40F6E16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850" authorId="0" shapeId="0" xr:uid="{60490A75-5856-4D76-B557-59192C5F5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 GERMATA
MARAS, SINDANGAN</t>
        </r>
      </text>
    </comment>
    <comment ref="O851" authorId="0" shapeId="0" xr:uid="{E8671E18-0AD3-4801-B7D8-7006876CFD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CABARDO STORE
MARAS, SINDANGAN</t>
        </r>
      </text>
    </comment>
    <comment ref="O852" authorId="0" shapeId="0" xr:uid="{6B867864-36D9-4EB3-9559-612DFD49EA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ANN KATHLEEN STORE
MARAS, SINDANGAN</t>
        </r>
      </text>
    </comment>
    <comment ref="O853" authorId="0" shapeId="0" xr:uid="{06E8360E-9784-4A9F-AA7F-41419608D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854" authorId="0" shapeId="0" xr:uid="{09B0AA1B-91BB-4592-9110-65111F979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G VALLECER STORE
MARAS, SINDANGAN</t>
        </r>
      </text>
    </comment>
    <comment ref="O855" authorId="0" shapeId="0" xr:uid="{E1D55800-A793-49D7-A05B-7A471E85DA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892" authorId="0" shapeId="0" xr:uid="{C01A3EA3-6326-4BBB-A360-36551B76E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TEBAN
GOLEO, SINDANGAN</t>
        </r>
      </text>
    </comment>
    <comment ref="O892" authorId="0" shapeId="0" xr:uid="{0B257D2D-A75B-4895-B47A-28C4A79F3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892" authorId="0" shapeId="0" xr:uid="{015D15A0-0946-49E6-81D5-16E7C1A7AC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2640998-C2E3-4B60-AF2E-011B274DD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93" authorId="0" shapeId="0" xr:uid="{42F1BC24-5DC0-4684-981D-2ABE1CC39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AA893" authorId="0" shapeId="0" xr:uid="{E0F38FE3-C124-4B78-8BB2-31B4B9F73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C894" authorId="0" shapeId="0" xr:uid="{602B0A11-3624-48A6-8FE3-179B7E2A6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894" authorId="0" shapeId="0" xr:uid="{A1819E7B-F170-4F76-9699-228479EF0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
INUMAN, SINDANGAN</t>
        </r>
      </text>
    </comment>
    <comment ref="AA894" authorId="0" shapeId="0" xr:uid="{3DCE0F52-9A74-41CC-96B9-1F7EFF84A4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JAMOY
BAYBAY, LILOY</t>
        </r>
      </text>
    </comment>
    <comment ref="C895" authorId="0" shapeId="0" xr:uid="{64BC2C6E-B682-4155-85DE-882541B6DF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O895" authorId="0" shapeId="0" xr:uid="{4D662D19-AFAD-4567-AA54-894DAF8B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895" authorId="0" shapeId="0" xr:uid="{1A8204D1-4254-4CB7-96CD-2A8D25E2A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896" authorId="0" shapeId="0" xr:uid="{FF11F8E8-9F75-4B94-8F0E-EA69AA48A2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6" authorId="0" shapeId="0" xr:uid="{25E4D8FB-D7B2-46A6-9449-52A232598C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896" authorId="0" shapeId="0" xr:uid="{927CD82F-0059-4BE2-8520-038F4B716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897" authorId="0" shapeId="0" xr:uid="{FC24DF31-11E2-49D1-B3C8-E2EA686BB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O897" authorId="0" shapeId="0" xr:uid="{F1122918-CDD9-47BE-8413-DF26AC876F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898" authorId="0" shapeId="0" xr:uid="{BDA151CF-67DF-4BA8-8696-72D783182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898" authorId="0" shapeId="0" xr:uid="{06FD59CD-757F-474A-AAFB-FB5380662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STORE
RM, SALUG</t>
        </r>
      </text>
    </comment>
    <comment ref="O899" authorId="0" shapeId="0" xr:uid="{C82D12BA-FE3C-4309-B875-664D5AC3D9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900" authorId="0" shapeId="0" xr:uid="{47C27607-A5A9-4C93-AC94-4ECBBF6E8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901" authorId="0" shapeId="0" xr:uid="{832A200B-33C0-4FD9-B7B8-6B3B697CB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902" authorId="0" shapeId="0" xr:uid="{57BBEFFB-DCA7-4F0E-B553-571837677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DIANNE STORE
BOGABONGAN, BACUNGAN</t>
        </r>
      </text>
    </comment>
    <comment ref="O903" authorId="0" shapeId="0" xr:uid="{6F30C308-73A2-4E0F-8DD6-E09C0AB59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
BOGABONGAN, BACUNGAN</t>
        </r>
      </text>
    </comment>
    <comment ref="O904" authorId="0" shapeId="0" xr:uid="{458D67E2-63B5-4FC2-826F-C2DB3A1FCB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O905" authorId="0" shapeId="0" xr:uid="{44C6FF99-2843-43BD-A566-4F4B6E0DE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O906" authorId="0" shapeId="0" xr:uid="{1CC0E32D-972C-4749-BBD7-41B36A54D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 STORE
BOGABONGAN, BACUNGAN</t>
        </r>
      </text>
    </comment>
    <comment ref="O907" authorId="0" shapeId="0" xr:uid="{A7CA3B46-F6BD-4FF1-9145-526D4694C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JACKIE CEROS
BOGABONGAN, BACUNGAN</t>
        </r>
      </text>
    </comment>
    <comment ref="O908" authorId="0" shapeId="0" xr:uid="{E9430453-4459-4C93-9750-CB2506DEBC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909" authorId="0" shapeId="0" xr:uid="{49E3EF53-419C-4FAC-B658-C079E978C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O910" authorId="0" shapeId="0" xr:uid="{1AB5A37C-C4AE-4714-9DC4-50576AF35C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911" authorId="0" shapeId="0" xr:uid="{E95BBF16-4399-43B7-9915-BD9F0A809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AKT JOY
DAPAON, SINDANGAN</t>
        </r>
      </text>
    </comment>
    <comment ref="C947" authorId="0" shapeId="0" xr:uid="{6BDD9BF1-E36A-4E50-8388-BF75EEFFF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947" authorId="0" shapeId="0" xr:uid="{5314551C-D47C-44AD-9930-C4D02B463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OYLANE STORE
DELOSOM, BACUNGAN</t>
        </r>
      </text>
    </comment>
    <comment ref="AA947" authorId="0" shapeId="0" xr:uid="{4EEC59AD-CB32-4859-BFA6-2B505585ED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POB, SALUG</t>
        </r>
      </text>
    </comment>
    <comment ref="C948" authorId="0" shapeId="0" xr:uid="{FD79D3CC-26AC-4235-A372-FAD03997E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948" authorId="0" shapeId="0" xr:uid="{78EBA31E-FE11-4B0D-8331-B0DB085A6E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POB, BACUNGAN</t>
        </r>
      </text>
    </comment>
    <comment ref="AA948" authorId="0" shapeId="0" xr:uid="{4B1184EC-5353-4995-B1A5-38B2EF0B7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CAYACAP, TERESITA
POB, SALUG</t>
        </r>
      </text>
    </comment>
    <comment ref="C949" authorId="0" shapeId="0" xr:uid="{26EF4BC3-71CA-4DC7-BC51-11F5C66AF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949" authorId="0" shapeId="0" xr:uid="{6BAFFE2B-6919-491F-AAC7-FDB2A2C659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949" authorId="0" shapeId="0" xr:uid="{003D19BA-06DA-459E-8D0D-3D216FA9A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950" authorId="0" shapeId="0" xr:uid="{76508145-684D-42F6-BEF0-61DAD3A62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950" authorId="0" shapeId="0" xr:uid="{C1C9A8A9-1A9E-46FA-910A-B4052568D6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CHERRY STORE
GUSAO, BACUNGAN</t>
        </r>
      </text>
    </comment>
    <comment ref="AA950" authorId="0" shapeId="0" xr:uid="{89168F80-0867-422E-98E6-1B2DD45A8B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ALBERT
BAYBAY, LILOY</t>
        </r>
      </text>
    </comment>
    <comment ref="C951" authorId="0" shapeId="0" xr:uid="{CBB1C2A6-804E-428C-92DC-8228AF76F7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51" authorId="0" shapeId="0" xr:uid="{AA41A830-2B75-4A45-913A-D599EC7FC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951" authorId="0" shapeId="0" xr:uid="{625EC9E3-0187-42B2-983C-A618F435B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952" authorId="0" shapeId="0" xr:uid="{3DEF72A2-54F1-48F6-84FE-1FD281B36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STORE
PIAO, SINDANGAN</t>
        </r>
      </text>
    </comment>
    <comment ref="O952" authorId="0" shapeId="0" xr:uid="{D3555E4A-5C54-4FA6-B676-8B0A286C76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952" authorId="0" shapeId="0" xr:uid="{D6E5AD90-1164-4362-9110-315667235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 ANALIZA
BAYBAY, LILOY</t>
        </r>
      </text>
    </comment>
    <comment ref="C953" authorId="0" shapeId="0" xr:uid="{3F770D94-01BC-43FA-B54C-B89230564C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AA953" authorId="0" shapeId="0" xr:uid="{027DF27A-4393-43E6-8369-C680237E4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954" authorId="0" shapeId="0" xr:uid="{F4D202AC-489A-47C7-8707-2D770A73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KRYSTAL DAWN STORE
POB, SINDANGAN</t>
        </r>
      </text>
    </comment>
    <comment ref="AA954" authorId="0" shapeId="0" xr:uid="{04B7A178-8533-4691-9AD6-0A082EE19A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5" authorId="0" shapeId="0" xr:uid="{1E76CE08-7FEF-4844-B3F8-AB43C710F0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AA955" authorId="0" shapeId="0" xr:uid="{71902B57-7F06-42E7-94A0-8461E058FA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956" authorId="0" shapeId="0" xr:uid="{DB99E416-D984-46DB-AE35-E28AFB87F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AA956" authorId="0" shapeId="0" xr:uid="{431D74DA-AEA2-49D3-B3E3-B49123613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TIMAGOS, EATERY
BAYBAY, LILOY</t>
        </r>
      </text>
    </comment>
    <comment ref="C957" authorId="0" shapeId="0" xr:uid="{947DE67C-05E5-499E-95E4-69645CDA5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</commentList>
</comments>
</file>

<file path=xl/sharedStrings.xml><?xml version="1.0" encoding="utf-8"?>
<sst xmlns="http://schemas.openxmlformats.org/spreadsheetml/2006/main" count="1287" uniqueCount="87">
  <si>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</si>
  <si>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</si>
  <si>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</si>
  <si>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</si>
  <si>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</si>
  <si>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</si>
  <si>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</si>
  <si>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</si>
  <si>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</si>
  <si>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</si>
  <si>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</si>
  <si>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</si>
  <si>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</si>
  <si>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</si>
  <si>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</si>
  <si>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</si>
  <si>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</si>
  <si>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</si>
  <si>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</si>
  <si>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</si>
  <si>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</si>
  <si>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</si>
  <si>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</si>
  <si>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</si>
  <si>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</si>
  <si>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</si>
  <si>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</si>
  <si>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</si>
  <si>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</si>
  <si>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</si>
  <si>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</si>
  <si>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</si>
  <si>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</si>
  <si>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</si>
  <si>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</si>
  <si>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</si>
  <si>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</si>
  <si>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</si>
  <si>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</si>
  <si>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</si>
  <si>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</si>
  <si>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</si>
  <si>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</si>
  <si>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</si>
  <si>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</si>
  <si>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</si>
  <si>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</si>
  <si>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</si>
  <si>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</si>
  <si>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</si>
  <si>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</si>
  <si>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</si>
  <si>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</si>
  <si>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</si>
  <si>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</si>
  <si>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</si>
  <si>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</si>
  <si>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</si>
  <si>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</si>
  <si>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</si>
  <si>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</si>
  <si>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</si>
  <si>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</si>
  <si>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</si>
  <si>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</si>
  <si>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</si>
  <si>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</si>
  <si>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</si>
  <si>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</si>
  <si>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</si>
  <si>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</si>
  <si>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</si>
  <si>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</si>
  <si>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</si>
  <si>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</si>
  <si>
    <t>DECEMBER 17, 2025</t>
  </si>
  <si>
    <t>12/17/2025</t>
  </si>
  <si>
    <t>7972-7979/7941-7942/7866-7875</t>
  </si>
  <si>
    <t>DECEMBER 18, 2025</t>
  </si>
  <si>
    <t>12/18/2025</t>
  </si>
  <si>
    <t>7980-7981/7943-7950,8001-8011/7876-7885</t>
  </si>
  <si>
    <t>DECEMBER 19, 2025</t>
  </si>
  <si>
    <t>12/19/2025</t>
  </si>
  <si>
    <t>7982-7988/8012-8031/7886-7890</t>
  </si>
  <si>
    <t>DECEMBER 20, 2025</t>
  </si>
  <si>
    <t>12/20/2025</t>
  </si>
  <si>
    <t>7989-7999/8032-8037/7891-7900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</si>
</sst>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D29" sqref="D2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38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3"/>
        <v>1458706</v>
      </c>
      <c r="F26" s="14">
        <v>157455</v>
      </c>
      <c r="G26" s="14">
        <v>408977</v>
      </c>
      <c r="H26" s="14">
        <v>892274</v>
      </c>
      <c r="I26" s="14"/>
      <c r="J26" s="17">
        <f t="shared" si="1"/>
        <v>1458706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3"/>
        <v>948677.5</v>
      </c>
      <c r="F27" s="14">
        <v>407714</v>
      </c>
      <c r="G27" s="14">
        <v>223605.5</v>
      </c>
      <c r="H27" s="14">
        <v>317358</v>
      </c>
      <c r="I27" s="14"/>
      <c r="J27" s="17">
        <f t="shared" si="1"/>
        <v>948677.5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3"/>
        <v>1236037.5</v>
      </c>
      <c r="F28" s="14">
        <v>765768</v>
      </c>
      <c r="G28" s="14">
        <v>203572.5</v>
      </c>
      <c r="H28" s="14">
        <v>266697</v>
      </c>
      <c r="I28" s="14"/>
      <c r="J28" s="17">
        <f t="shared" si="1"/>
        <v>1236037.5</v>
      </c>
    </row>
    <row r="29" spans="1:10" x14ac:dyDescent="0.25">
      <c r="A29" s="10">
        <f t="shared" si="2"/>
        <v>20</v>
      </c>
      <c r="B29" s="56" t="s">
        <v>5</v>
      </c>
      <c r="C29" s="12" t="s">
        <v>86</v>
      </c>
      <c r="D29" s="16">
        <f t="shared" ref="D29:D36" si="4">J29</f>
        <v>1221189</v>
      </c>
      <c r="F29" s="14">
        <v>451062.5</v>
      </c>
      <c r="G29" s="14">
        <v>295332.5</v>
      </c>
      <c r="H29" s="14">
        <v>474794</v>
      </c>
      <c r="I29" s="14"/>
      <c r="J29" s="17">
        <f t="shared" si="1"/>
        <v>1221189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16010028</v>
      </c>
      <c r="J42" s="49">
        <f>SUM(J10:J41)</f>
        <v>16010028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965" zoomScale="115" zoomScaleNormal="115" workbookViewId="0">
      <selection activeCell="A991" sqref="A99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7"/>
      <c r="G10" s="27"/>
      <c r="I10" s="119" t="s">
        <v>18</v>
      </c>
      <c r="J10" s="120"/>
      <c r="K10" s="117" t="s">
        <v>19</v>
      </c>
      <c r="N10" s="25"/>
      <c r="O10" s="26"/>
      <c r="P10" s="121" t="s">
        <v>17</v>
      </c>
      <c r="Q10" s="121"/>
      <c r="R10" s="77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7"/>
      <c r="AE10" s="27"/>
      <c r="AG10" s="119" t="s">
        <v>18</v>
      </c>
      <c r="AH10" s="120"/>
      <c r="AI10" s="117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8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8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21" t="s">
        <v>17</v>
      </c>
      <c r="E65" s="121"/>
      <c r="F65" s="95"/>
      <c r="G65" s="27"/>
      <c r="I65" s="119" t="s">
        <v>18</v>
      </c>
      <c r="J65" s="120"/>
      <c r="K65" s="117" t="s">
        <v>19</v>
      </c>
      <c r="N65" s="25"/>
      <c r="O65" s="26"/>
      <c r="P65" s="121" t="s">
        <v>17</v>
      </c>
      <c r="Q65" s="121"/>
      <c r="R65" s="95"/>
      <c r="S65" s="27"/>
      <c r="U65" s="119" t="s">
        <v>18</v>
      </c>
      <c r="V65" s="120"/>
      <c r="W65" s="117" t="s">
        <v>19</v>
      </c>
      <c r="Z65" s="25"/>
      <c r="AA65" s="26"/>
      <c r="AB65" s="121" t="s">
        <v>17</v>
      </c>
      <c r="AC65" s="121"/>
      <c r="AD65" s="95"/>
      <c r="AE65" s="27"/>
      <c r="AG65" s="119" t="s">
        <v>18</v>
      </c>
      <c r="AH65" s="120"/>
      <c r="AI65" s="117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8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8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8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23"/>
      <c r="AO67" s="123"/>
      <c r="AP67" s="87"/>
      <c r="AQ67" s="62"/>
      <c r="AR67" s="123"/>
      <c r="AS67" s="123"/>
      <c r="AT67" s="12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2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6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96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96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23"/>
      <c r="E175" s="123"/>
      <c r="F175" s="93"/>
      <c r="G175" s="93"/>
      <c r="H175" s="62"/>
      <c r="I175" s="123"/>
      <c r="J175" s="123"/>
      <c r="K175" s="122"/>
      <c r="N175" s="25"/>
      <c r="O175" s="26"/>
      <c r="P175" s="121" t="s">
        <v>17</v>
      </c>
      <c r="Q175" s="121"/>
      <c r="R175" s="97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97"/>
      <c r="AE175" s="27"/>
      <c r="AG175" s="119" t="s">
        <v>18</v>
      </c>
      <c r="AH175" s="120"/>
      <c r="AI175" s="117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22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8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23"/>
      <c r="AO181" s="123"/>
      <c r="AP181" s="87"/>
      <c r="AQ181" s="62"/>
      <c r="AR181" s="123"/>
      <c r="AS181" s="123"/>
      <c r="AT181" s="122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22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98"/>
      <c r="G230" s="27"/>
      <c r="I230" s="119" t="s">
        <v>18</v>
      </c>
      <c r="J230" s="120"/>
      <c r="K230" s="117" t="s">
        <v>19</v>
      </c>
      <c r="N230" s="25"/>
      <c r="O230" s="26"/>
      <c r="P230" s="121" t="s">
        <v>17</v>
      </c>
      <c r="Q230" s="121"/>
      <c r="R230" s="98"/>
      <c r="S230" s="27"/>
      <c r="U230" s="119" t="s">
        <v>18</v>
      </c>
      <c r="V230" s="120"/>
      <c r="W230" s="117" t="s">
        <v>19</v>
      </c>
      <c r="Z230" s="25"/>
      <c r="AA230" s="26"/>
      <c r="AB230" s="121" t="s">
        <v>17</v>
      </c>
      <c r="AC230" s="121"/>
      <c r="AD230" s="98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9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9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9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100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100"/>
      <c r="S340" s="27"/>
      <c r="U340" s="119" t="s">
        <v>18</v>
      </c>
      <c r="V340" s="120"/>
      <c r="W340" s="117" t="s">
        <v>19</v>
      </c>
      <c r="Z340" s="25"/>
      <c r="AA340" s="26"/>
      <c r="AB340" s="121" t="s">
        <v>17</v>
      </c>
      <c r="AC340" s="121"/>
      <c r="AD340" s="100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101"/>
      <c r="G395" s="27"/>
      <c r="I395" s="119" t="s">
        <v>18</v>
      </c>
      <c r="J395" s="120"/>
      <c r="K395" s="117" t="s">
        <v>19</v>
      </c>
      <c r="N395" s="25"/>
      <c r="O395" s="26"/>
      <c r="P395" s="121" t="s">
        <v>17</v>
      </c>
      <c r="Q395" s="121"/>
      <c r="R395" s="101"/>
      <c r="S395" s="27"/>
      <c r="U395" s="119" t="s">
        <v>18</v>
      </c>
      <c r="V395" s="120"/>
      <c r="W395" s="117" t="s">
        <v>19</v>
      </c>
      <c r="Z395" s="25"/>
      <c r="AA395" s="26"/>
      <c r="AB395" s="121" t="s">
        <v>17</v>
      </c>
      <c r="AC395" s="121"/>
      <c r="AD395" s="101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8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8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23"/>
      <c r="E450" s="123"/>
      <c r="F450" s="93"/>
      <c r="G450" s="93"/>
      <c r="H450" s="62"/>
      <c r="I450" s="123"/>
      <c r="J450" s="123"/>
      <c r="K450" s="122"/>
      <c r="N450" s="25"/>
      <c r="O450" s="26"/>
      <c r="P450" s="121" t="s">
        <v>17</v>
      </c>
      <c r="Q450" s="121"/>
      <c r="R450" s="102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102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22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103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103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103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1" t="s">
        <v>17</v>
      </c>
      <c r="E560" s="121"/>
      <c r="F560" s="104"/>
      <c r="G560" s="27"/>
      <c r="I560" s="119" t="s">
        <v>18</v>
      </c>
      <c r="J560" s="120"/>
      <c r="K560" s="117" t="s">
        <v>19</v>
      </c>
      <c r="N560" s="25"/>
      <c r="O560" s="26"/>
      <c r="P560" s="121" t="s">
        <v>17</v>
      </c>
      <c r="Q560" s="121"/>
      <c r="R560" s="104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104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1" t="s">
        <v>17</v>
      </c>
      <c r="E615" s="121"/>
      <c r="F615" s="105"/>
      <c r="G615" s="27"/>
      <c r="I615" s="119" t="s">
        <v>18</v>
      </c>
      <c r="J615" s="120"/>
      <c r="K615" s="117" t="s">
        <v>19</v>
      </c>
      <c r="N615" s="25"/>
      <c r="O615" s="26"/>
      <c r="P615" s="121" t="s">
        <v>17</v>
      </c>
      <c r="Q615" s="121"/>
      <c r="R615" s="105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105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106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106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106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72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72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37</v>
      </c>
      <c r="W723" s="24"/>
      <c r="Y723" s="21" t="s">
        <v>72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7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8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8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73</v>
      </c>
      <c r="C727" s="91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73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73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73</v>
      </c>
      <c r="C728" s="91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73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59" si="217">SUM(P728:Q728)</f>
        <v>67768</v>
      </c>
      <c r="T728" s="12"/>
      <c r="U728" s="12"/>
      <c r="V728" s="12"/>
      <c r="W728" s="12">
        <f t="shared" ref="W728:W768" si="218">SUM(S728:V728)</f>
        <v>67768</v>
      </c>
      <c r="Y728" s="10">
        <v>2</v>
      </c>
      <c r="Z728" s="30" t="s">
        <v>73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65" si="219">SUM(AB728:AC728)</f>
        <v>39331</v>
      </c>
      <c r="AF728" s="12"/>
      <c r="AG728" s="12"/>
      <c r="AH728" s="12"/>
      <c r="AI728" s="12">
        <f t="shared" ref="AI728:AI759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73</v>
      </c>
      <c r="C729" s="91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73</v>
      </c>
      <c r="O729" s="31">
        <f t="shared" ref="O729:O735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73</v>
      </c>
      <c r="AA729" s="31">
        <f t="shared" ref="AA729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73</v>
      </c>
      <c r="C730" s="91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73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73</v>
      </c>
      <c r="C731" s="91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73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73</v>
      </c>
      <c r="C732" s="91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73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73</v>
      </c>
      <c r="C733" s="91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73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73</v>
      </c>
      <c r="C734" s="91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73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73</v>
      </c>
      <c r="C735" s="91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73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73</v>
      </c>
      <c r="C736" s="91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73</v>
      </c>
      <c r="C737" s="91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73</v>
      </c>
      <c r="C738" s="91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73</v>
      </c>
      <c r="C739" s="91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73</v>
      </c>
      <c r="C740" s="91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73</v>
      </c>
      <c r="C741" s="91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73</v>
      </c>
      <c r="C742" s="91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73</v>
      </c>
      <c r="C743" s="91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91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91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91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91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91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65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68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44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75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75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37</v>
      </c>
      <c r="W778" s="24"/>
      <c r="Y778" s="21" t="s">
        <v>75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09"/>
      <c r="G780" s="27"/>
      <c r="I780" s="119" t="s">
        <v>18</v>
      </c>
      <c r="J780" s="120"/>
      <c r="K780" s="117" t="s">
        <v>19</v>
      </c>
      <c r="N780" s="25"/>
      <c r="O780" s="26"/>
      <c r="P780" s="121" t="s">
        <v>17</v>
      </c>
      <c r="Q780" s="121"/>
      <c r="R780" s="109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9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76</v>
      </c>
      <c r="C782" s="91">
        <v>7972</v>
      </c>
      <c r="D782" s="32">
        <f>61974+1842+1826+2980+1704+2010+1664+1374+1000</f>
        <v>76374</v>
      </c>
      <c r="E782" s="32"/>
      <c r="F782" s="32"/>
      <c r="G782" s="32">
        <f t="shared" ref="G782:G815" si="231">SUM(D782:E782)</f>
        <v>76374</v>
      </c>
      <c r="H782" s="12"/>
      <c r="I782" s="12">
        <v>135</v>
      </c>
      <c r="J782" s="12"/>
      <c r="K782" s="12">
        <f t="shared" ref="K782:K815" si="232">SUM(G782:J782)</f>
        <v>76509</v>
      </c>
      <c r="M782" s="10">
        <v>1</v>
      </c>
      <c r="N782" s="30" t="s">
        <v>76</v>
      </c>
      <c r="O782" s="31">
        <v>7941</v>
      </c>
      <c r="P782" s="32">
        <f>338040+64368+1102+6183+1300</f>
        <v>410993</v>
      </c>
      <c r="Q782" s="32">
        <v>-3894</v>
      </c>
      <c r="R782" s="32"/>
      <c r="S782" s="32">
        <f>SUM(P782:Q782)</f>
        <v>407099</v>
      </c>
      <c r="T782" s="12"/>
      <c r="U782" s="12">
        <f>24642+1872</f>
        <v>26514</v>
      </c>
      <c r="V782" s="12">
        <f>-1428+-882</f>
        <v>-2310</v>
      </c>
      <c r="W782" s="12">
        <f>SUM(S782:V782)</f>
        <v>431303</v>
      </c>
      <c r="Y782" s="10">
        <v>1</v>
      </c>
      <c r="Z782" s="30" t="s">
        <v>76</v>
      </c>
      <c r="AA782" s="31">
        <v>7866</v>
      </c>
      <c r="AB782" s="32">
        <f>626*150+596*30+1005+832+1374+650</f>
        <v>115641</v>
      </c>
      <c r="AC782" s="32">
        <v>-1092</v>
      </c>
      <c r="AD782" s="32"/>
      <c r="AE782" s="32">
        <f>SUM(AB782:AC782)</f>
        <v>114549</v>
      </c>
      <c r="AF782" s="12"/>
      <c r="AG782" s="12">
        <f>63*111</f>
        <v>6993</v>
      </c>
      <c r="AH782" s="12"/>
      <c r="AI782" s="12">
        <f>SUM(AE782:AH782)</f>
        <v>121542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76</v>
      </c>
      <c r="C783" s="91">
        <f>C782+1</f>
        <v>7973</v>
      </c>
      <c r="D783" s="32">
        <f>4382+66.5</f>
        <v>4448.5</v>
      </c>
      <c r="E783" s="32"/>
      <c r="F783" s="32"/>
      <c r="G783" s="32">
        <f t="shared" si="231"/>
        <v>4448.5</v>
      </c>
      <c r="H783" s="12"/>
      <c r="I783" s="12"/>
      <c r="J783" s="12"/>
      <c r="K783" s="12">
        <f t="shared" si="232"/>
        <v>4448.5</v>
      </c>
      <c r="M783" s="10">
        <v>2</v>
      </c>
      <c r="N783" s="30" t="s">
        <v>76</v>
      </c>
      <c r="O783" s="31">
        <f>O782+1</f>
        <v>7942</v>
      </c>
      <c r="P783" s="32">
        <f>1878</f>
        <v>1878</v>
      </c>
      <c r="Q783" s="32"/>
      <c r="R783" s="32"/>
      <c r="S783" s="32">
        <f t="shared" ref="S783:S814" si="233">SUM(P783:Q783)</f>
        <v>1878</v>
      </c>
      <c r="T783" s="12"/>
      <c r="U783" s="12">
        <v>54</v>
      </c>
      <c r="V783" s="12">
        <f>-84</f>
        <v>-84</v>
      </c>
      <c r="W783" s="12">
        <f t="shared" ref="W783:W823" si="234">SUM(S783:V783)</f>
        <v>1848</v>
      </c>
      <c r="Y783" s="10">
        <v>2</v>
      </c>
      <c r="Z783" s="30" t="s">
        <v>76</v>
      </c>
      <c r="AA783" s="31">
        <f>AA782+1</f>
        <v>7867</v>
      </c>
      <c r="AB783" s="32">
        <f>17430</f>
        <v>17430</v>
      </c>
      <c r="AC783" s="32"/>
      <c r="AD783" s="32"/>
      <c r="AE783" s="32">
        <f t="shared" ref="AE783:AE820" si="235">SUM(AB783:AC783)</f>
        <v>17430</v>
      </c>
      <c r="AF783" s="12"/>
      <c r="AG783" s="12"/>
      <c r="AH783" s="12"/>
      <c r="AI783" s="12">
        <f t="shared" ref="AI783:AI814" si="236">SUM(AE783:AH783)</f>
        <v>17430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76</v>
      </c>
      <c r="C784" s="91">
        <f t="shared" ref="C784:C789" si="237">C783+1</f>
        <v>7974</v>
      </c>
      <c r="D784" s="33">
        <f>21910+1842+2980</f>
        <v>26732</v>
      </c>
      <c r="E784" s="33"/>
      <c r="F784" s="33"/>
      <c r="G784" s="33">
        <f t="shared" si="231"/>
        <v>26732</v>
      </c>
      <c r="H784" s="34"/>
      <c r="I784" s="34"/>
      <c r="J784" s="34"/>
      <c r="K784" s="34">
        <f t="shared" si="232"/>
        <v>26732</v>
      </c>
      <c r="M784" s="10">
        <v>3</v>
      </c>
      <c r="N784" s="30"/>
      <c r="O784" s="11" t="s">
        <v>27</v>
      </c>
      <c r="P784" s="32"/>
      <c r="Q784" s="32"/>
      <c r="R784" s="32"/>
      <c r="S784" s="32">
        <f t="shared" si="233"/>
        <v>0</v>
      </c>
      <c r="T784" s="12"/>
      <c r="U784" s="12"/>
      <c r="V784" s="12"/>
      <c r="W784" s="12">
        <f t="shared" si="234"/>
        <v>0</v>
      </c>
      <c r="Y784" s="10">
        <v>3</v>
      </c>
      <c r="Z784" s="30" t="s">
        <v>76</v>
      </c>
      <c r="AA784" s="31">
        <f t="shared" ref="AA784:AA791" si="238">AA783+1</f>
        <v>7868</v>
      </c>
      <c r="AB784" s="33">
        <f>10642+3070+596*5</f>
        <v>16692</v>
      </c>
      <c r="AC784" s="33"/>
      <c r="AD784" s="32"/>
      <c r="AE784" s="32">
        <f t="shared" si="235"/>
        <v>16692</v>
      </c>
      <c r="AF784" s="12"/>
      <c r="AG784" s="12"/>
      <c r="AH784" s="12">
        <f>-55*111</f>
        <v>-6105</v>
      </c>
      <c r="AI784" s="12">
        <f t="shared" si="236"/>
        <v>10587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76</v>
      </c>
      <c r="C785" s="91">
        <f t="shared" si="237"/>
        <v>7975</v>
      </c>
      <c r="D785" s="32">
        <f>9390+142.5</f>
        <v>9532.5</v>
      </c>
      <c r="E785" s="32"/>
      <c r="F785" s="32"/>
      <c r="G785" s="32">
        <f t="shared" si="231"/>
        <v>9532.5</v>
      </c>
      <c r="H785" s="12"/>
      <c r="I785" s="12"/>
      <c r="J785" s="12">
        <v>-222</v>
      </c>
      <c r="K785" s="12">
        <f t="shared" si="232"/>
        <v>9310.5</v>
      </c>
      <c r="M785" s="10">
        <v>4</v>
      </c>
      <c r="N785" s="30"/>
      <c r="O785" s="31"/>
      <c r="P785" s="32"/>
      <c r="Q785" s="32"/>
      <c r="R785" s="32"/>
      <c r="S785" s="32">
        <f t="shared" si="233"/>
        <v>0</v>
      </c>
      <c r="T785" s="12"/>
      <c r="U785" s="12"/>
      <c r="V785" s="12"/>
      <c r="W785" s="12">
        <f t="shared" si="234"/>
        <v>0</v>
      </c>
      <c r="Y785" s="10">
        <v>4</v>
      </c>
      <c r="Z785" s="30" t="s">
        <v>76</v>
      </c>
      <c r="AA785" s="31">
        <f t="shared" si="238"/>
        <v>7869</v>
      </c>
      <c r="AB785" s="32">
        <f>3070+832</f>
        <v>3902</v>
      </c>
      <c r="AC785" s="32"/>
      <c r="AD785" s="32"/>
      <c r="AE785" s="32">
        <f t="shared" si="235"/>
        <v>3902</v>
      </c>
      <c r="AF785" s="12"/>
      <c r="AH785" s="12"/>
      <c r="AI785" s="12">
        <f t="shared" si="236"/>
        <v>3902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76</v>
      </c>
      <c r="C786" s="91">
        <f t="shared" si="237"/>
        <v>7976</v>
      </c>
      <c r="D786" s="32">
        <f>10642+2980+832+1300</f>
        <v>15754</v>
      </c>
      <c r="E786" s="32"/>
      <c r="F786" s="32"/>
      <c r="G786" s="32">
        <f t="shared" si="231"/>
        <v>15754</v>
      </c>
      <c r="H786" s="12"/>
      <c r="I786" s="12">
        <f>19.5+162</f>
        <v>181.5</v>
      </c>
      <c r="J786" s="12"/>
      <c r="K786" s="12">
        <f t="shared" si="232"/>
        <v>15935.5</v>
      </c>
      <c r="M786" s="10">
        <v>5</v>
      </c>
      <c r="N786" s="30"/>
      <c r="O786" s="31"/>
      <c r="P786" s="32"/>
      <c r="Q786" s="32"/>
      <c r="R786" s="32"/>
      <c r="S786" s="32">
        <f t="shared" si="233"/>
        <v>0</v>
      </c>
      <c r="T786" s="12"/>
      <c r="U786" s="12"/>
      <c r="V786" s="12"/>
      <c r="W786" s="12">
        <f t="shared" si="234"/>
        <v>0</v>
      </c>
      <c r="Y786" s="10">
        <v>5</v>
      </c>
      <c r="Z786" s="30" t="s">
        <v>76</v>
      </c>
      <c r="AA786" s="31">
        <f t="shared" si="238"/>
        <v>7870</v>
      </c>
      <c r="AB786" s="32">
        <f>375600+49120+13480+59600+17040+2894+4160+2500+5000</f>
        <v>529394</v>
      </c>
      <c r="AC786" s="32"/>
      <c r="AD786" s="32"/>
      <c r="AE786" s="32">
        <f t="shared" si="235"/>
        <v>529394</v>
      </c>
      <c r="AF786" s="12"/>
      <c r="AG786" s="12">
        <v>59643</v>
      </c>
      <c r="AH786" s="12"/>
      <c r="AI786" s="12">
        <f t="shared" si="236"/>
        <v>589037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76</v>
      </c>
      <c r="C787" s="91">
        <f t="shared" si="237"/>
        <v>7977</v>
      </c>
      <c r="D787" s="32">
        <f>626*9+614+76</f>
        <v>6324</v>
      </c>
      <c r="E787" s="32"/>
      <c r="F787" s="32"/>
      <c r="G787" s="32">
        <f t="shared" si="231"/>
        <v>6324</v>
      </c>
      <c r="H787" s="12"/>
      <c r="I787" s="12">
        <v>13.5</v>
      </c>
      <c r="J787" s="12"/>
      <c r="K787" s="12">
        <f t="shared" si="232"/>
        <v>6337.5</v>
      </c>
      <c r="M787" s="10">
        <v>6</v>
      </c>
      <c r="N787" s="30"/>
      <c r="O787" s="31"/>
      <c r="P787" s="32"/>
      <c r="Q787" s="32"/>
      <c r="R787" s="32"/>
      <c r="S787" s="32">
        <f t="shared" si="233"/>
        <v>0</v>
      </c>
      <c r="T787" s="12"/>
      <c r="U787" s="12"/>
      <c r="V787" s="10"/>
      <c r="W787" s="12">
        <f t="shared" si="234"/>
        <v>0</v>
      </c>
      <c r="Y787" s="10">
        <v>6</v>
      </c>
      <c r="Z787" s="30" t="s">
        <v>76</v>
      </c>
      <c r="AA787" s="31">
        <f t="shared" si="238"/>
        <v>7871</v>
      </c>
      <c r="AB787" s="32">
        <f>1728+1447+1020+2204</f>
        <v>6399</v>
      </c>
      <c r="AC787" s="32"/>
      <c r="AD787" s="32"/>
      <c r="AE787" s="32">
        <f t="shared" si="235"/>
        <v>6399</v>
      </c>
      <c r="AF787" s="12"/>
      <c r="AG787" s="12"/>
      <c r="AH787" s="10"/>
      <c r="AI787" s="12">
        <f t="shared" si="236"/>
        <v>6399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76</v>
      </c>
      <c r="C788" s="91">
        <f t="shared" si="237"/>
        <v>7978</v>
      </c>
      <c r="D788" s="32">
        <f>15650+1788</f>
        <v>17438</v>
      </c>
      <c r="E788" s="32"/>
      <c r="F788" s="32"/>
      <c r="G788" s="32">
        <f t="shared" si="231"/>
        <v>17438</v>
      </c>
      <c r="H788" s="12"/>
      <c r="I788" s="12"/>
      <c r="J788" s="12">
        <v>-333</v>
      </c>
      <c r="K788" s="12">
        <f t="shared" si="232"/>
        <v>17105</v>
      </c>
      <c r="M788" s="10">
        <v>7</v>
      </c>
      <c r="N788" s="30"/>
      <c r="O788" s="31"/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 t="s">
        <v>76</v>
      </c>
      <c r="AA788" s="31">
        <f t="shared" si="238"/>
        <v>7872</v>
      </c>
      <c r="AB788" s="32">
        <f>11750+1582+2204+1582+2350+11750+1102+3250+6500+1582</f>
        <v>43652</v>
      </c>
      <c r="AC788" s="32"/>
      <c r="AD788" s="32"/>
      <c r="AE788" s="32">
        <f t="shared" si="235"/>
        <v>43652</v>
      </c>
      <c r="AF788" s="12"/>
      <c r="AG788" s="58"/>
      <c r="AH788" s="12"/>
      <c r="AI788" s="12">
        <f t="shared" si="236"/>
        <v>43652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76</v>
      </c>
      <c r="C789" s="91">
        <f t="shared" si="237"/>
        <v>7979</v>
      </c>
      <c r="D789" s="32">
        <f>852</f>
        <v>852</v>
      </c>
      <c r="E789" s="32"/>
      <c r="F789" s="32"/>
      <c r="G789" s="32">
        <f t="shared" si="231"/>
        <v>852</v>
      </c>
      <c r="H789" s="12"/>
      <c r="I789" s="12"/>
      <c r="J789" s="12"/>
      <c r="K789" s="12">
        <f t="shared" si="232"/>
        <v>852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 t="s">
        <v>76</v>
      </c>
      <c r="AA789" s="31">
        <f t="shared" si="238"/>
        <v>7873</v>
      </c>
      <c r="AB789" s="32">
        <f>125200</f>
        <v>125200</v>
      </c>
      <c r="AC789" s="32"/>
      <c r="AE789" s="32">
        <f t="shared" si="235"/>
        <v>125200</v>
      </c>
      <c r="AF789" s="12"/>
      <c r="AG789" s="12">
        <f>22200</f>
        <v>22200</v>
      </c>
      <c r="AH789" s="12"/>
      <c r="AI789" s="12">
        <f t="shared" si="236"/>
        <v>147400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11" t="s">
        <v>27</v>
      </c>
      <c r="D790" s="32"/>
      <c r="E790" s="32"/>
      <c r="F790" s="32"/>
      <c r="G790" s="32">
        <f t="shared" si="231"/>
        <v>0</v>
      </c>
      <c r="H790" s="12"/>
      <c r="I790" s="12"/>
      <c r="J790" s="12"/>
      <c r="K790" s="12">
        <f t="shared" si="232"/>
        <v>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 t="s">
        <v>76</v>
      </c>
      <c r="AA790" s="31">
        <f t="shared" si="238"/>
        <v>7874</v>
      </c>
      <c r="AB790">
        <f>18780</f>
        <v>18780</v>
      </c>
      <c r="AC790" s="32"/>
      <c r="AD790" s="32"/>
      <c r="AE790" s="32">
        <f t="shared" si="235"/>
        <v>18780</v>
      </c>
      <c r="AF790" s="12"/>
      <c r="AH790" s="12"/>
      <c r="AI790" s="12">
        <f t="shared" si="236"/>
        <v>18780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31"/>
        <v>0</v>
      </c>
      <c r="H791" s="12"/>
      <c r="I791" s="12"/>
      <c r="J791" s="12"/>
      <c r="K791" s="12">
        <f t="shared" si="232"/>
        <v>0</v>
      </c>
      <c r="M791" s="10">
        <v>10</v>
      </c>
      <c r="N791" s="30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 t="s">
        <v>76</v>
      </c>
      <c r="AA791" s="31">
        <f t="shared" si="238"/>
        <v>7875</v>
      </c>
      <c r="AB791" s="32">
        <f>16276</f>
        <v>16276</v>
      </c>
      <c r="AC791" s="32"/>
      <c r="AD791" s="32"/>
      <c r="AE791" s="32">
        <f t="shared" si="235"/>
        <v>16276</v>
      </c>
      <c r="AF791" s="12"/>
      <c r="AG791" s="12"/>
      <c r="AH791" s="12">
        <v>-8400</v>
      </c>
      <c r="AI791" s="12">
        <f t="shared" si="236"/>
        <v>7876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31"/>
        <v>0</v>
      </c>
      <c r="H792" s="12"/>
      <c r="I792" s="12"/>
      <c r="J792" s="12"/>
      <c r="K792" s="12">
        <f t="shared" si="232"/>
        <v>0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O794" s="31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91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57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1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57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57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31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57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57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ref="S815:S820" si="239">SUM(P815:Q815)</f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B815" s="47"/>
      <c r="AC815" s="31"/>
      <c r="AD815" s="31"/>
      <c r="AE815" s="32">
        <f t="shared" si="235"/>
        <v>0</v>
      </c>
      <c r="AF815" s="10"/>
      <c r="AG815" s="10"/>
      <c r="AH815" s="10"/>
      <c r="AI815" s="12">
        <f t="shared" ref="AI815:AI823" si="240">SUM(AE815:AH815)</f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9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5"/>
        <v>0</v>
      </c>
      <c r="AF816" s="10"/>
      <c r="AG816" s="10"/>
      <c r="AH816" s="10"/>
      <c r="AI816" s="12">
        <f t="shared" si="24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9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5"/>
        <v>0</v>
      </c>
      <c r="AF817" s="10"/>
      <c r="AG817" s="10"/>
      <c r="AH817" s="10"/>
      <c r="AI817" s="12">
        <f t="shared" si="24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9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5"/>
        <v>0</v>
      </c>
      <c r="AF818" s="10"/>
      <c r="AG818" s="10"/>
      <c r="AH818" s="10"/>
      <c r="AI818" s="12">
        <f t="shared" si="24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9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5"/>
        <v>0</v>
      </c>
      <c r="AF819" s="10"/>
      <c r="AG819" s="10"/>
      <c r="AH819" s="10"/>
      <c r="AI819" s="12">
        <f t="shared" si="24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9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5"/>
        <v>0</v>
      </c>
      <c r="AF820" s="10"/>
      <c r="AG820" s="10"/>
      <c r="AH820" s="10"/>
      <c r="AI820" s="12">
        <f t="shared" si="24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4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4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4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157455</v>
      </c>
      <c r="E825" s="38">
        <f t="shared" ref="E825:F825" si="245">SUM(E782:E822)</f>
        <v>0</v>
      </c>
      <c r="F825" s="38">
        <f t="shared" si="245"/>
        <v>0</v>
      </c>
      <c r="G825" s="38">
        <f>SUM(G782:G824)</f>
        <v>157455</v>
      </c>
      <c r="H825" s="4"/>
      <c r="I825" s="39">
        <f>SUM(I782:I824)</f>
        <v>330</v>
      </c>
      <c r="J825" s="39">
        <f>SUM(J782:J824)</f>
        <v>-555</v>
      </c>
      <c r="K825" s="40">
        <f>SUM(K782:K824)</f>
        <v>157230</v>
      </c>
      <c r="N825" s="57"/>
      <c r="O825" s="57"/>
      <c r="P825" s="38">
        <f>SUM(P782:P824)</f>
        <v>412871</v>
      </c>
      <c r="Q825" s="38">
        <f>SUM(Q782:Q806)</f>
        <v>-3894</v>
      </c>
      <c r="R825" s="38">
        <f>SUM(R782:R806)</f>
        <v>0</v>
      </c>
      <c r="S825" s="38">
        <f>SUM(S782:S824)</f>
        <v>408977</v>
      </c>
      <c r="T825" s="4"/>
      <c r="U825" s="41">
        <f>SUM(U782:U824)</f>
        <v>26568</v>
      </c>
      <c r="V825" s="41">
        <f>SUM(V782:V806)</f>
        <v>-2394</v>
      </c>
      <c r="W825" s="42">
        <f>SUM(W782:W824)</f>
        <v>433151</v>
      </c>
      <c r="Z825" s="57"/>
      <c r="AA825" s="57"/>
      <c r="AB825" s="38">
        <f>SUM(AB782:AB824)</f>
        <v>893366</v>
      </c>
      <c r="AC825" s="38">
        <f>SUM(AC782:AC806)</f>
        <v>-1092</v>
      </c>
      <c r="AD825" s="38">
        <f>SUM(AD782:AD806)</f>
        <v>0</v>
      </c>
      <c r="AE825" s="38">
        <f>SUM(AE782:AE824)</f>
        <v>892274</v>
      </c>
      <c r="AF825" s="4"/>
      <c r="AG825" s="41">
        <f>SUM(AG782:AG824)</f>
        <v>88836</v>
      </c>
      <c r="AH825" s="41">
        <f>SUM(AH782:AH806)</f>
        <v>-14505</v>
      </c>
      <c r="AI825" s="42">
        <f>SUM(AI782:AI824)</f>
        <v>966605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78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21" t="s">
        <v>78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37</v>
      </c>
      <c r="W833" s="24"/>
      <c r="Y833" s="21" t="s">
        <v>78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10"/>
      <c r="G835" s="27"/>
      <c r="I835" s="119" t="s">
        <v>18</v>
      </c>
      <c r="J835" s="120"/>
      <c r="K835" s="117" t="s">
        <v>19</v>
      </c>
      <c r="N835" s="25"/>
      <c r="O835" s="26"/>
      <c r="P835" s="121" t="s">
        <v>17</v>
      </c>
      <c r="Q835" s="121"/>
      <c r="R835" s="110"/>
      <c r="S835" s="27"/>
      <c r="U835" s="119" t="s">
        <v>18</v>
      </c>
      <c r="V835" s="120"/>
      <c r="W835" s="117" t="s">
        <v>19</v>
      </c>
      <c r="Z835" s="25"/>
      <c r="AA835" s="26"/>
      <c r="AB835" s="121" t="s">
        <v>17</v>
      </c>
      <c r="AC835" s="121"/>
      <c r="AD835" s="110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9" t="s">
        <v>22</v>
      </c>
      <c r="Q836" s="80" t="s">
        <v>23</v>
      </c>
      <c r="R836" s="80" t="s">
        <v>32</v>
      </c>
      <c r="S836" s="80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79</v>
      </c>
      <c r="C837" s="91">
        <v>7980</v>
      </c>
      <c r="D837" s="32">
        <f>202824+2977</f>
        <v>205801</v>
      </c>
      <c r="E837" s="32">
        <v>-1944</v>
      </c>
      <c r="F837" s="32"/>
      <c r="G837" s="32">
        <f t="shared" ref="G837:G870" si="246">SUM(D837:E837)</f>
        <v>203857</v>
      </c>
      <c r="H837" s="12"/>
      <c r="I837" s="12">
        <f>702</f>
        <v>702</v>
      </c>
      <c r="J837" s="12">
        <v>-420</v>
      </c>
      <c r="K837" s="12">
        <f t="shared" ref="K837:K870" si="247">SUM(G837:J837)</f>
        <v>204139</v>
      </c>
      <c r="M837" s="10">
        <v>1</v>
      </c>
      <c r="N837" s="30" t="s">
        <v>79</v>
      </c>
      <c r="O837" s="31">
        <v>7943</v>
      </c>
      <c r="P837" s="32">
        <f>626+832+9.5+650</f>
        <v>2117.5</v>
      </c>
      <c r="Q837" s="32"/>
      <c r="R837" s="32"/>
      <c r="S837" s="32">
        <f>SUM(P837:Q837)</f>
        <v>2117.5</v>
      </c>
      <c r="T837" s="12"/>
      <c r="U837" s="12"/>
      <c r="V837" s="12"/>
      <c r="W837" s="12">
        <f>SUM(S837:V837)</f>
        <v>2117.5</v>
      </c>
      <c r="Y837" s="10">
        <v>1</v>
      </c>
      <c r="Z837" s="30" t="s">
        <v>79</v>
      </c>
      <c r="AA837" s="31">
        <v>7876</v>
      </c>
      <c r="AB837" s="32">
        <f>17528+2456+596*12+852+832+229</f>
        <v>29049</v>
      </c>
      <c r="AC837" s="32"/>
      <c r="AD837" s="32"/>
      <c r="AE837" s="32">
        <f>SUM(AB837:AC837)</f>
        <v>29049</v>
      </c>
      <c r="AF837" s="12"/>
      <c r="AG837" s="12">
        <f>222+18</f>
        <v>240</v>
      </c>
      <c r="AH837" s="12"/>
      <c r="AI837" s="12">
        <f>SUM(AE837:AH837)</f>
        <v>29289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79</v>
      </c>
      <c r="C838" s="91">
        <f>C837+1</f>
        <v>7981</v>
      </c>
      <c r="D838" s="32">
        <f>626*324+229*13</f>
        <v>205801</v>
      </c>
      <c r="E838" s="32">
        <v>-1944</v>
      </c>
      <c r="F838" s="32"/>
      <c r="G838" s="32">
        <f t="shared" si="246"/>
        <v>203857</v>
      </c>
      <c r="H838" s="12"/>
      <c r="I838" s="12"/>
      <c r="J838" s="12"/>
      <c r="K838" s="12">
        <f t="shared" si="247"/>
        <v>203857</v>
      </c>
      <c r="M838" s="10">
        <v>2</v>
      </c>
      <c r="N838" s="30" t="s">
        <v>79</v>
      </c>
      <c r="O838" s="31">
        <f>O837+1</f>
        <v>7944</v>
      </c>
      <c r="P838" s="32">
        <f>1878+614+28.5</f>
        <v>2520.5</v>
      </c>
      <c r="Q838" s="32"/>
      <c r="R838" s="32"/>
      <c r="S838" s="32">
        <f t="shared" ref="S838:S869" si="248">SUM(P838:Q838)</f>
        <v>2520.5</v>
      </c>
      <c r="T838" s="12"/>
      <c r="U838" s="12"/>
      <c r="V838" s="12"/>
      <c r="W838" s="12">
        <f t="shared" ref="W838:W878" si="249">SUM(S838:V838)</f>
        <v>2520.5</v>
      </c>
      <c r="Y838" s="10">
        <v>2</v>
      </c>
      <c r="Z838" s="30" t="s">
        <v>79</v>
      </c>
      <c r="AA838" s="31">
        <f>AA837+1</f>
        <v>7877</v>
      </c>
      <c r="AB838" s="32">
        <f>21910+8940+229</f>
        <v>31079</v>
      </c>
      <c r="AC838" s="32"/>
      <c r="AD838" s="32"/>
      <c r="AE838" s="32">
        <f t="shared" ref="AE838:AE875" si="250">SUM(AB838:AC838)</f>
        <v>31079</v>
      </c>
      <c r="AF838" s="12"/>
      <c r="AG838" s="12">
        <f>1776+78</f>
        <v>1854</v>
      </c>
      <c r="AH838" s="12"/>
      <c r="AI838" s="12">
        <f t="shared" ref="AI838:AI869" si="251">SUM(AE838:AH838)</f>
        <v>32933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/>
      <c r="C839" s="11" t="s">
        <v>27</v>
      </c>
      <c r="D839" s="33"/>
      <c r="E839" s="33"/>
      <c r="F839" s="33"/>
      <c r="G839" s="33">
        <f t="shared" si="246"/>
        <v>0</v>
      </c>
      <c r="H839" s="34"/>
      <c r="I839" s="34"/>
      <c r="J839" s="34"/>
      <c r="K839" s="34">
        <f t="shared" si="247"/>
        <v>0</v>
      </c>
      <c r="M839" s="10">
        <v>3</v>
      </c>
      <c r="N839" s="30" t="s">
        <v>79</v>
      </c>
      <c r="O839" s="31">
        <f t="shared" ref="O839:O855" si="252">O838+1</f>
        <v>7945</v>
      </c>
      <c r="P839" s="32">
        <f>4382+614+66.5</f>
        <v>5062.5</v>
      </c>
      <c r="Q839" s="32"/>
      <c r="R839" s="32"/>
      <c r="S839" s="32">
        <f t="shared" si="248"/>
        <v>5062.5</v>
      </c>
      <c r="T839" s="12"/>
      <c r="U839" s="12"/>
      <c r="V839" s="12"/>
      <c r="W839" s="12">
        <f t="shared" si="249"/>
        <v>5062.5</v>
      </c>
      <c r="Y839" s="10">
        <v>3</v>
      </c>
      <c r="Z839" s="30" t="s">
        <v>79</v>
      </c>
      <c r="AA839" s="31">
        <f t="shared" ref="AA839:AA846" si="253">AA838+1</f>
        <v>7878</v>
      </c>
      <c r="AB839" s="33">
        <f>3756</f>
        <v>3756</v>
      </c>
      <c r="AC839" s="33"/>
      <c r="AD839" s="32"/>
      <c r="AE839" s="32">
        <f t="shared" si="250"/>
        <v>3756</v>
      </c>
      <c r="AF839" s="12"/>
      <c r="AG839" s="12"/>
      <c r="AH839" s="12"/>
      <c r="AI839" s="12">
        <f t="shared" si="251"/>
        <v>3756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91"/>
      <c r="D840" s="32"/>
      <c r="E840" s="32"/>
      <c r="F840" s="32"/>
      <c r="G840" s="32">
        <f t="shared" si="246"/>
        <v>0</v>
      </c>
      <c r="H840" s="12"/>
      <c r="I840" s="12"/>
      <c r="J840" s="12"/>
      <c r="K840" s="12">
        <f t="shared" si="247"/>
        <v>0</v>
      </c>
      <c r="M840" s="10">
        <v>4</v>
      </c>
      <c r="N840" s="30" t="s">
        <v>79</v>
      </c>
      <c r="O840" s="31">
        <f t="shared" si="252"/>
        <v>7946</v>
      </c>
      <c r="P840" s="32">
        <f>10016+1228+1788</f>
        <v>13032</v>
      </c>
      <c r="Q840" s="32"/>
      <c r="R840" s="32"/>
      <c r="S840" s="32">
        <f t="shared" si="248"/>
        <v>13032</v>
      </c>
      <c r="T840" s="12"/>
      <c r="U840" s="12">
        <f>4.5+2.25</f>
        <v>6.75</v>
      </c>
      <c r="V840" s="12"/>
      <c r="W840" s="12">
        <f t="shared" si="249"/>
        <v>13038.75</v>
      </c>
      <c r="Y840" s="10">
        <v>4</v>
      </c>
      <c r="Z840" s="30" t="s">
        <v>79</v>
      </c>
      <c r="AA840" s="31">
        <f t="shared" si="253"/>
        <v>7879</v>
      </c>
      <c r="AB840" s="32">
        <f>9390+2980+190</f>
        <v>12560</v>
      </c>
      <c r="AC840" s="32"/>
      <c r="AD840" s="32"/>
      <c r="AE840" s="32">
        <f t="shared" si="250"/>
        <v>12560</v>
      </c>
      <c r="AF840" s="12"/>
      <c r="AH840" s="12"/>
      <c r="AI840" s="12">
        <f t="shared" si="251"/>
        <v>12560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46"/>
        <v>0</v>
      </c>
      <c r="H841" s="12"/>
      <c r="I841" s="12"/>
      <c r="J841" s="12"/>
      <c r="K841" s="12">
        <f t="shared" si="247"/>
        <v>0</v>
      </c>
      <c r="M841" s="10">
        <v>5</v>
      </c>
      <c r="N841" s="30" t="s">
        <v>79</v>
      </c>
      <c r="O841" s="31">
        <f t="shared" si="252"/>
        <v>7947</v>
      </c>
      <c r="P841" s="32">
        <f>1878+596+38</f>
        <v>2512</v>
      </c>
      <c r="Q841" s="32"/>
      <c r="R841" s="32"/>
      <c r="S841" s="32">
        <f t="shared" si="248"/>
        <v>2512</v>
      </c>
      <c r="T841" s="12"/>
      <c r="U841" s="12"/>
      <c r="V841" s="12"/>
      <c r="W841" s="12">
        <f t="shared" si="249"/>
        <v>2512</v>
      </c>
      <c r="Y841" s="10">
        <v>5</v>
      </c>
      <c r="Z841" s="30" t="s">
        <v>79</v>
      </c>
      <c r="AA841" s="31">
        <f t="shared" si="253"/>
        <v>7880</v>
      </c>
      <c r="AB841" s="32">
        <f>9390+2980+10816+3250</f>
        <v>26436</v>
      </c>
      <c r="AC841" s="32"/>
      <c r="AD841" s="32"/>
      <c r="AE841" s="32">
        <f t="shared" si="250"/>
        <v>26436</v>
      </c>
      <c r="AF841" s="12"/>
      <c r="AG841" s="12">
        <f>1200+108</f>
        <v>1308</v>
      </c>
      <c r="AH841" s="12"/>
      <c r="AI841" s="12">
        <f t="shared" si="251"/>
        <v>27744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46"/>
        <v>0</v>
      </c>
      <c r="H842" s="12"/>
      <c r="I842" s="12"/>
      <c r="J842" s="12"/>
      <c r="K842" s="12">
        <f t="shared" si="247"/>
        <v>0</v>
      </c>
      <c r="M842" s="10">
        <v>6</v>
      </c>
      <c r="N842" s="30" t="s">
        <v>79</v>
      </c>
      <c r="O842" s="31">
        <f t="shared" si="252"/>
        <v>7948</v>
      </c>
      <c r="P842" s="32">
        <f>2504+224+1788</f>
        <v>4516</v>
      </c>
      <c r="Q842" s="32"/>
      <c r="R842" s="32"/>
      <c r="S842" s="32">
        <f t="shared" si="248"/>
        <v>4516</v>
      </c>
      <c r="T842" s="12"/>
      <c r="U842" s="12">
        <v>9</v>
      </c>
      <c r="V842" s="10"/>
      <c r="W842" s="12">
        <f t="shared" si="249"/>
        <v>4525</v>
      </c>
      <c r="Y842" s="10">
        <v>6</v>
      </c>
      <c r="Z842" s="30" t="s">
        <v>79</v>
      </c>
      <c r="AA842" s="31">
        <f t="shared" si="253"/>
        <v>7881</v>
      </c>
      <c r="AB842" s="32">
        <f>37560+8940+458</f>
        <v>46958</v>
      </c>
      <c r="AC842" s="32"/>
      <c r="AD842" s="32"/>
      <c r="AE842" s="32">
        <f t="shared" si="250"/>
        <v>46958</v>
      </c>
      <c r="AF842" s="12"/>
      <c r="AG842" s="12"/>
      <c r="AH842" s="10"/>
      <c r="AI842" s="12">
        <f t="shared" si="251"/>
        <v>46958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91"/>
      <c r="D843" s="32"/>
      <c r="E843" s="32"/>
      <c r="F843" s="32"/>
      <c r="G843" s="32">
        <f t="shared" si="246"/>
        <v>0</v>
      </c>
      <c r="H843" s="12"/>
      <c r="I843" s="12"/>
      <c r="J843" s="12"/>
      <c r="K843" s="12">
        <f t="shared" si="247"/>
        <v>0</v>
      </c>
      <c r="M843" s="10">
        <v>7</v>
      </c>
      <c r="N843" s="30" t="s">
        <v>79</v>
      </c>
      <c r="O843" s="31">
        <f t="shared" si="252"/>
        <v>7949</v>
      </c>
      <c r="P843" s="32">
        <f>112680+3070+5960+1704+2010+1664+229*7</f>
        <v>128691</v>
      </c>
      <c r="Q843" s="32">
        <v>-1206</v>
      </c>
      <c r="R843" s="32"/>
      <c r="S843" s="32">
        <f t="shared" si="248"/>
        <v>127485</v>
      </c>
      <c r="T843" s="12"/>
      <c r="U843" s="12">
        <f>720+10101+468</f>
        <v>11289</v>
      </c>
      <c r="V843" s="12">
        <f>-840+-84</f>
        <v>-924</v>
      </c>
      <c r="W843" s="12">
        <f t="shared" si="249"/>
        <v>137850</v>
      </c>
      <c r="Y843" s="10">
        <v>7</v>
      </c>
      <c r="Z843" s="30" t="s">
        <v>79</v>
      </c>
      <c r="AA843" s="31">
        <f t="shared" si="253"/>
        <v>7882</v>
      </c>
      <c r="AB843" s="32">
        <f>109550+14900+1664+1832</f>
        <v>127946</v>
      </c>
      <c r="AC843" s="32">
        <v>-1212</v>
      </c>
      <c r="AD843" s="32"/>
      <c r="AE843" s="32">
        <f t="shared" si="250"/>
        <v>126734</v>
      </c>
      <c r="AF843" s="12"/>
      <c r="AG843" s="58">
        <f>120+3441+78+81</f>
        <v>3720</v>
      </c>
      <c r="AH843" s="12"/>
      <c r="AI843" s="12">
        <f t="shared" si="251"/>
        <v>130454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46"/>
        <v>0</v>
      </c>
      <c r="H844" s="12"/>
      <c r="I844" s="12"/>
      <c r="J844" s="12"/>
      <c r="K844" s="12">
        <f t="shared" si="247"/>
        <v>0</v>
      </c>
      <c r="M844" s="10">
        <v>8</v>
      </c>
      <c r="N844" s="30" t="s">
        <v>79</v>
      </c>
      <c r="O844" s="31">
        <f t="shared" si="252"/>
        <v>7950</v>
      </c>
      <c r="P844" s="32">
        <f>2504</f>
        <v>2504</v>
      </c>
      <c r="Q844" s="32"/>
      <c r="R844" s="32"/>
      <c r="S844" s="32">
        <f t="shared" si="248"/>
        <v>2504</v>
      </c>
      <c r="T844" s="12"/>
      <c r="U844" s="12"/>
      <c r="V844" s="12"/>
      <c r="W844" s="12">
        <f t="shared" si="249"/>
        <v>2504</v>
      </c>
      <c r="Y844" s="10">
        <v>8</v>
      </c>
      <c r="Z844" s="30" t="s">
        <v>79</v>
      </c>
      <c r="AA844" s="31">
        <f t="shared" si="253"/>
        <v>7883</v>
      </c>
      <c r="AB844" s="32">
        <f>8138+913</f>
        <v>9051</v>
      </c>
      <c r="AC844" s="32"/>
      <c r="AE844" s="32">
        <f t="shared" si="250"/>
        <v>9051</v>
      </c>
      <c r="AF844" s="12"/>
      <c r="AG844" s="12"/>
      <c r="AH844" s="12"/>
      <c r="AI844" s="12">
        <f t="shared" si="251"/>
        <v>9051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46"/>
        <v>0</v>
      </c>
      <c r="H845" s="12"/>
      <c r="I845" s="12"/>
      <c r="J845" s="12"/>
      <c r="K845" s="12">
        <f t="shared" si="247"/>
        <v>0</v>
      </c>
      <c r="M845" s="10">
        <v>9</v>
      </c>
      <c r="N845" s="30" t="s">
        <v>79</v>
      </c>
      <c r="O845" s="31">
        <v>8001</v>
      </c>
      <c r="P845" s="32">
        <f>3130+614+224+596+832</f>
        <v>5396</v>
      </c>
      <c r="Q845" s="32"/>
      <c r="R845" s="32"/>
      <c r="S845" s="32">
        <f t="shared" si="248"/>
        <v>5396</v>
      </c>
      <c r="T845" s="12"/>
      <c r="U845" s="12">
        <f>31.5+36</f>
        <v>67.5</v>
      </c>
      <c r="V845" s="12"/>
      <c r="W845" s="12">
        <f t="shared" si="249"/>
        <v>5463.5</v>
      </c>
      <c r="Y845" s="10">
        <v>9</v>
      </c>
      <c r="Z845" s="30" t="s">
        <v>79</v>
      </c>
      <c r="AA845" s="31">
        <f t="shared" si="253"/>
        <v>7884</v>
      </c>
      <c r="AB845">
        <f>25040+229</f>
        <v>25269</v>
      </c>
      <c r="AC845" s="32"/>
      <c r="AD845" s="32"/>
      <c r="AE845" s="32">
        <f t="shared" si="250"/>
        <v>25269</v>
      </c>
      <c r="AF845" s="12"/>
      <c r="AG845">
        <f>1554+486</f>
        <v>2040</v>
      </c>
      <c r="AH845" s="12"/>
      <c r="AI845" s="12">
        <f t="shared" si="251"/>
        <v>27309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46"/>
        <v>0</v>
      </c>
      <c r="H846" s="12"/>
      <c r="I846" s="12"/>
      <c r="J846" s="12"/>
      <c r="K846" s="12">
        <f t="shared" si="247"/>
        <v>0</v>
      </c>
      <c r="M846" s="10">
        <v>10</v>
      </c>
      <c r="N846" s="30" t="s">
        <v>79</v>
      </c>
      <c r="O846" s="31">
        <f t="shared" si="252"/>
        <v>8002</v>
      </c>
      <c r="P846" s="32">
        <f>1252+614+19</f>
        <v>1885</v>
      </c>
      <c r="Q846" s="32"/>
      <c r="R846" s="32"/>
      <c r="S846" s="32">
        <f t="shared" si="248"/>
        <v>1885</v>
      </c>
      <c r="T846" s="12"/>
      <c r="U846" s="12"/>
      <c r="V846" s="12"/>
      <c r="W846" s="12">
        <f t="shared" si="249"/>
        <v>1885</v>
      </c>
      <c r="Y846" s="10">
        <v>10</v>
      </c>
      <c r="Z846" s="30" t="s">
        <v>79</v>
      </c>
      <c r="AA846" s="31">
        <f t="shared" si="253"/>
        <v>7885</v>
      </c>
      <c r="AB846" s="32">
        <f>5634+832</f>
        <v>6466</v>
      </c>
      <c r="AC846" s="32"/>
      <c r="AD846" s="32"/>
      <c r="AE846" s="32">
        <f t="shared" si="250"/>
        <v>6466</v>
      </c>
      <c r="AF846" s="12"/>
      <c r="AG846" s="12">
        <f>111*9</f>
        <v>999</v>
      </c>
      <c r="AH846" s="12">
        <v>-120</v>
      </c>
      <c r="AI846" s="12">
        <f t="shared" si="251"/>
        <v>7345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46"/>
        <v>0</v>
      </c>
      <c r="H847" s="12"/>
      <c r="I847" s="12"/>
      <c r="J847" s="12"/>
      <c r="K847" s="12">
        <f t="shared" si="247"/>
        <v>0</v>
      </c>
      <c r="M847" s="10">
        <v>11</v>
      </c>
      <c r="N847" s="30" t="s">
        <v>79</v>
      </c>
      <c r="O847" s="31">
        <f t="shared" si="252"/>
        <v>8003</v>
      </c>
      <c r="P847" s="32">
        <f>626+9.5</f>
        <v>635.5</v>
      </c>
      <c r="Q847" s="32"/>
      <c r="R847" s="32"/>
      <c r="S847" s="32">
        <f t="shared" si="248"/>
        <v>635.5</v>
      </c>
      <c r="T847" s="12"/>
      <c r="U847" s="12"/>
      <c r="V847" s="12"/>
      <c r="W847" s="12">
        <f t="shared" si="249"/>
        <v>635.5</v>
      </c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50"/>
        <v>0</v>
      </c>
      <c r="AF847" s="12"/>
      <c r="AG847" s="12"/>
      <c r="AH847" s="12"/>
      <c r="AI847" s="12">
        <f t="shared" si="251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46"/>
        <v>0</v>
      </c>
      <c r="H848" s="12"/>
      <c r="I848" s="12"/>
      <c r="J848" s="10"/>
      <c r="K848" s="12">
        <f t="shared" si="247"/>
        <v>0</v>
      </c>
      <c r="M848" s="10">
        <v>12</v>
      </c>
      <c r="N848" s="30" t="s">
        <v>79</v>
      </c>
      <c r="O848" s="31">
        <f t="shared" si="252"/>
        <v>8004</v>
      </c>
      <c r="P848" s="32">
        <f>3130+1192+66.5</f>
        <v>4388.5</v>
      </c>
      <c r="Q848" s="32"/>
      <c r="R848" s="32"/>
      <c r="S848" s="32">
        <f t="shared" si="248"/>
        <v>4388.5</v>
      </c>
      <c r="T848" s="12"/>
      <c r="U848" s="12"/>
      <c r="V848" s="12"/>
      <c r="W848" s="12">
        <f t="shared" si="249"/>
        <v>4388.5</v>
      </c>
      <c r="Y848" s="10">
        <v>12</v>
      </c>
      <c r="Z848" s="30"/>
      <c r="AA848" s="31"/>
      <c r="AB848" s="32"/>
      <c r="AC848" s="32"/>
      <c r="AD848" s="32"/>
      <c r="AE848" s="32">
        <f t="shared" si="250"/>
        <v>0</v>
      </c>
      <c r="AF848" s="12"/>
      <c r="AG848" s="12"/>
      <c r="AH848" s="12"/>
      <c r="AI848" s="12">
        <f t="shared" si="251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46"/>
        <v>0</v>
      </c>
      <c r="H849" s="12"/>
      <c r="I849" s="12"/>
      <c r="J849" s="12"/>
      <c r="K849" s="12">
        <f t="shared" si="247"/>
        <v>0</v>
      </c>
      <c r="M849" s="10">
        <v>13</v>
      </c>
      <c r="N849" s="30" t="s">
        <v>79</v>
      </c>
      <c r="O849" s="31">
        <f t="shared" si="252"/>
        <v>8005</v>
      </c>
      <c r="P849" s="32">
        <f>1878+1192+229</f>
        <v>3299</v>
      </c>
      <c r="Q849" s="32"/>
      <c r="R849" s="32"/>
      <c r="S849" s="32">
        <f t="shared" si="248"/>
        <v>3299</v>
      </c>
      <c r="T849" s="12"/>
      <c r="U849" s="12">
        <f>109.5</f>
        <v>109.5</v>
      </c>
      <c r="V849" s="12"/>
      <c r="W849" s="12">
        <f t="shared" si="249"/>
        <v>3408.5</v>
      </c>
      <c r="Y849" s="10">
        <v>13</v>
      </c>
      <c r="Z849" s="30"/>
      <c r="AA849" s="31"/>
      <c r="AB849" s="32"/>
      <c r="AC849" s="32"/>
      <c r="AD849" s="32"/>
      <c r="AE849" s="32">
        <f t="shared" si="250"/>
        <v>0</v>
      </c>
      <c r="AF849" s="12"/>
      <c r="AG849" s="12"/>
      <c r="AH849" s="12"/>
      <c r="AI849" s="12">
        <f t="shared" si="251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46"/>
        <v>0</v>
      </c>
      <c r="H850" s="12"/>
      <c r="I850" s="12"/>
      <c r="J850" s="12"/>
      <c r="K850" s="12">
        <f t="shared" si="247"/>
        <v>0</v>
      </c>
      <c r="M850" s="10">
        <v>14</v>
      </c>
      <c r="N850" s="30" t="s">
        <v>79</v>
      </c>
      <c r="O850" s="31">
        <f t="shared" si="252"/>
        <v>8006</v>
      </c>
      <c r="P850" s="32">
        <f>626*5+1192+85.5</f>
        <v>4407.5</v>
      </c>
      <c r="Q850" s="32"/>
      <c r="R850" s="32"/>
      <c r="S850" s="32">
        <f t="shared" si="248"/>
        <v>4407.5</v>
      </c>
      <c r="T850" s="12"/>
      <c r="U850" s="12"/>
      <c r="V850" s="12">
        <v>-1994</v>
      </c>
      <c r="W850" s="12">
        <f t="shared" si="249"/>
        <v>2413.5</v>
      </c>
      <c r="Y850" s="10">
        <v>14</v>
      </c>
      <c r="Z850" s="30"/>
      <c r="AA850" s="31"/>
      <c r="AB850" s="32"/>
      <c r="AC850" s="32"/>
      <c r="AD850" s="32"/>
      <c r="AE850" s="32">
        <f t="shared" si="250"/>
        <v>0</v>
      </c>
      <c r="AF850" s="12"/>
      <c r="AG850" s="12"/>
      <c r="AH850" s="12"/>
      <c r="AI850" s="12">
        <f t="shared" si="251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46"/>
        <v>0</v>
      </c>
      <c r="H851" s="12"/>
      <c r="I851" s="12"/>
      <c r="J851" s="12"/>
      <c r="K851" s="12">
        <f t="shared" si="247"/>
        <v>0</v>
      </c>
      <c r="M851" s="10">
        <v>15</v>
      </c>
      <c r="N851" s="30" t="s">
        <v>79</v>
      </c>
      <c r="O851" s="31">
        <f t="shared" si="252"/>
        <v>8007</v>
      </c>
      <c r="P851" s="32">
        <f>1252+19</f>
        <v>1271</v>
      </c>
      <c r="Q851" s="32"/>
      <c r="R851" s="32"/>
      <c r="S851" s="32">
        <f t="shared" si="248"/>
        <v>1271</v>
      </c>
      <c r="T851" s="12"/>
      <c r="U851" s="12"/>
      <c r="V851" s="12"/>
      <c r="W851" s="12">
        <f t="shared" si="249"/>
        <v>1271</v>
      </c>
      <c r="Y851" s="10">
        <v>15</v>
      </c>
      <c r="Z851" s="30"/>
      <c r="AA851" s="31"/>
      <c r="AB851" s="32"/>
      <c r="AC851" s="32"/>
      <c r="AD851" s="32"/>
      <c r="AE851" s="32">
        <f t="shared" si="250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46"/>
        <v>0</v>
      </c>
      <c r="H852" s="12"/>
      <c r="I852" s="12"/>
      <c r="J852" s="12"/>
      <c r="K852" s="12">
        <f t="shared" si="247"/>
        <v>0</v>
      </c>
      <c r="M852" s="10">
        <v>16</v>
      </c>
      <c r="N852" s="30" t="s">
        <v>79</v>
      </c>
      <c r="O852" s="31">
        <f t="shared" si="252"/>
        <v>8008</v>
      </c>
      <c r="P852" s="32">
        <f>1252+614+1788+47.5+500</f>
        <v>4201.5</v>
      </c>
      <c r="Q852" s="32"/>
      <c r="R852" s="32"/>
      <c r="S852" s="32">
        <f t="shared" si="248"/>
        <v>4201.5</v>
      </c>
      <c r="T852" s="12"/>
      <c r="U852" s="12"/>
      <c r="V852" s="12"/>
      <c r="W852" s="12">
        <f t="shared" si="249"/>
        <v>4201.5</v>
      </c>
      <c r="Y852" s="10">
        <v>16</v>
      </c>
      <c r="Z852" s="30"/>
      <c r="AB852" s="32"/>
      <c r="AC852" s="32"/>
      <c r="AD852" s="32"/>
      <c r="AE852" s="32">
        <f t="shared" si="250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46"/>
        <v>0</v>
      </c>
      <c r="H853" s="12"/>
      <c r="I853" s="12"/>
      <c r="J853" s="12"/>
      <c r="K853" s="12">
        <f t="shared" si="247"/>
        <v>0</v>
      </c>
      <c r="M853" s="10">
        <v>17</v>
      </c>
      <c r="N853" s="30" t="s">
        <v>79</v>
      </c>
      <c r="O853" s="31">
        <f t="shared" si="252"/>
        <v>8009</v>
      </c>
      <c r="P853" s="35">
        <f>3756+57</f>
        <v>3813</v>
      </c>
      <c r="Q853" s="32"/>
      <c r="R853" s="32"/>
      <c r="S853" s="32">
        <f t="shared" si="248"/>
        <v>3813</v>
      </c>
      <c r="T853" s="12"/>
      <c r="U853" s="12"/>
      <c r="V853" s="12"/>
      <c r="W853" s="12">
        <f t="shared" si="249"/>
        <v>3813</v>
      </c>
      <c r="Y853" s="10">
        <v>17</v>
      </c>
      <c r="Z853" s="30"/>
      <c r="AA853" s="31"/>
      <c r="AB853" s="35"/>
      <c r="AC853" s="32"/>
      <c r="AD853" s="32"/>
      <c r="AE853" s="32">
        <f t="shared" si="250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57"/>
      <c r="D854" s="32"/>
      <c r="E854" s="32"/>
      <c r="F854" s="32"/>
      <c r="G854" s="32">
        <f t="shared" si="246"/>
        <v>0</v>
      </c>
      <c r="H854" s="12"/>
      <c r="I854" s="12"/>
      <c r="J854" s="12"/>
      <c r="K854" s="12">
        <f t="shared" si="247"/>
        <v>0</v>
      </c>
      <c r="M854" s="10">
        <v>18</v>
      </c>
      <c r="N854" s="30" t="s">
        <v>79</v>
      </c>
      <c r="O854" s="31">
        <f t="shared" si="252"/>
        <v>8010</v>
      </c>
      <c r="P854" s="32">
        <f>15650+3576+832</f>
        <v>20058</v>
      </c>
      <c r="Q854" s="32"/>
      <c r="R854" s="32"/>
      <c r="S854" s="32">
        <f t="shared" si="248"/>
        <v>20058</v>
      </c>
      <c r="T854" s="12"/>
      <c r="U854" s="12">
        <v>13.5</v>
      </c>
      <c r="V854" s="12"/>
      <c r="W854" s="12">
        <f t="shared" si="249"/>
        <v>20071.5</v>
      </c>
      <c r="Y854" s="10">
        <v>18</v>
      </c>
      <c r="Z854" s="30"/>
      <c r="AA854" s="31"/>
      <c r="AB854" s="32"/>
      <c r="AC854" s="32"/>
      <c r="AD854" s="32"/>
      <c r="AE854" s="32">
        <f t="shared" si="250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46"/>
        <v>0</v>
      </c>
      <c r="H855" s="12"/>
      <c r="I855" s="12"/>
      <c r="J855" s="12"/>
      <c r="K855" s="12">
        <f t="shared" si="247"/>
        <v>0</v>
      </c>
      <c r="M855" s="10">
        <v>19</v>
      </c>
      <c r="N855" s="30" t="s">
        <v>79</v>
      </c>
      <c r="O855" s="31">
        <f t="shared" si="252"/>
        <v>8011</v>
      </c>
      <c r="P855" s="32">
        <f>12520+1102+229+650</f>
        <v>14501</v>
      </c>
      <c r="Q855" s="32"/>
      <c r="R855" s="32"/>
      <c r="S855" s="32">
        <f t="shared" si="248"/>
        <v>14501</v>
      </c>
      <c r="T855" s="12"/>
      <c r="U855" s="12"/>
      <c r="V855" s="12"/>
      <c r="W855" s="12">
        <f t="shared" si="249"/>
        <v>14501</v>
      </c>
      <c r="Y855" s="10">
        <v>19</v>
      </c>
      <c r="Z855" s="30"/>
      <c r="AA855" s="31"/>
      <c r="AB855" s="32"/>
      <c r="AC855" s="32"/>
      <c r="AD855" s="32"/>
      <c r="AE855" s="32">
        <f t="shared" si="250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46"/>
        <v>0</v>
      </c>
      <c r="H856" s="12"/>
      <c r="I856" s="12"/>
      <c r="J856" s="12"/>
      <c r="K856" s="12">
        <f t="shared" si="247"/>
        <v>0</v>
      </c>
      <c r="M856" s="10">
        <v>20</v>
      </c>
      <c r="N856" s="30"/>
      <c r="O856" s="11" t="s">
        <v>27</v>
      </c>
      <c r="P856" s="32"/>
      <c r="Q856" s="32"/>
      <c r="R856" s="32"/>
      <c r="S856" s="32">
        <f t="shared" si="248"/>
        <v>0</v>
      </c>
      <c r="T856" s="12"/>
      <c r="U856" s="12"/>
      <c r="V856" s="12"/>
      <c r="W856" s="12">
        <f t="shared" si="249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0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46"/>
        <v>0</v>
      </c>
      <c r="H857" s="10"/>
      <c r="I857" s="10"/>
      <c r="J857" s="10"/>
      <c r="K857" s="12">
        <f t="shared" si="247"/>
        <v>0</v>
      </c>
      <c r="M857" s="10">
        <v>21</v>
      </c>
      <c r="N857" s="30"/>
      <c r="O857" s="31"/>
      <c r="P857" s="46"/>
      <c r="Q857" s="31"/>
      <c r="R857" s="31"/>
      <c r="S857" s="32">
        <f t="shared" si="248"/>
        <v>0</v>
      </c>
      <c r="T857" s="10"/>
      <c r="U857" s="10"/>
      <c r="V857" s="10"/>
      <c r="W857" s="12">
        <f t="shared" si="249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50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46"/>
        <v>0</v>
      </c>
      <c r="H858" s="10"/>
      <c r="I858" s="10"/>
      <c r="J858" s="10"/>
      <c r="K858" s="12">
        <f t="shared" si="247"/>
        <v>0</v>
      </c>
      <c r="M858" s="10">
        <v>22</v>
      </c>
      <c r="N858" s="30"/>
      <c r="O858" s="31"/>
      <c r="P858" s="45"/>
      <c r="Q858" s="31"/>
      <c r="R858" s="31"/>
      <c r="S858" s="32">
        <f t="shared" si="248"/>
        <v>0</v>
      </c>
      <c r="T858" s="10"/>
      <c r="U858" s="10"/>
      <c r="V858" s="10"/>
      <c r="W858" s="12">
        <f t="shared" si="249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0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91"/>
      <c r="D859" s="32"/>
      <c r="E859" s="32"/>
      <c r="F859" s="32"/>
      <c r="G859" s="32">
        <f t="shared" si="246"/>
        <v>0</v>
      </c>
      <c r="H859" s="10"/>
      <c r="I859" s="10"/>
      <c r="J859" s="12"/>
      <c r="K859" s="12">
        <f t="shared" si="247"/>
        <v>0</v>
      </c>
      <c r="M859" s="10">
        <v>23</v>
      </c>
      <c r="N859" s="30"/>
      <c r="O859" s="31"/>
      <c r="P859" s="47"/>
      <c r="S859" s="32">
        <f t="shared" si="248"/>
        <v>0</v>
      </c>
      <c r="T859" s="10"/>
      <c r="U859" s="10"/>
      <c r="V859" s="10"/>
      <c r="W859" s="12">
        <f t="shared" si="249"/>
        <v>0</v>
      </c>
      <c r="Y859" s="10">
        <v>23</v>
      </c>
      <c r="Z859" s="30"/>
      <c r="AA859" s="31"/>
      <c r="AB859" s="47"/>
      <c r="AE859" s="32">
        <f t="shared" si="250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57"/>
      <c r="D860" s="32"/>
      <c r="E860" s="32"/>
      <c r="F860" s="32"/>
      <c r="G860" s="32">
        <f t="shared" si="246"/>
        <v>0</v>
      </c>
      <c r="H860" s="10"/>
      <c r="I860" s="10"/>
      <c r="J860" s="10"/>
      <c r="K860" s="12">
        <f t="shared" si="247"/>
        <v>0</v>
      </c>
      <c r="M860" s="10">
        <v>24</v>
      </c>
      <c r="N860" s="30"/>
      <c r="O860" s="31"/>
      <c r="P860" s="47"/>
      <c r="Q860" s="31"/>
      <c r="R860" s="31"/>
      <c r="S860" s="32">
        <f t="shared" si="248"/>
        <v>0</v>
      </c>
      <c r="T860" s="10"/>
      <c r="U860" s="10"/>
      <c r="V860" s="10"/>
      <c r="W860" s="12">
        <f t="shared" si="249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0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46"/>
        <v>0</v>
      </c>
      <c r="H861" s="10"/>
      <c r="I861" s="10"/>
      <c r="J861" s="10"/>
      <c r="K861" s="12">
        <f t="shared" si="247"/>
        <v>0</v>
      </c>
      <c r="M861" s="10">
        <v>25</v>
      </c>
      <c r="N861" s="30"/>
      <c r="P861" s="47"/>
      <c r="Q861" s="31"/>
      <c r="R861" s="31"/>
      <c r="S861" s="32">
        <f t="shared" si="248"/>
        <v>0</v>
      </c>
      <c r="T861" s="10"/>
      <c r="U861" s="10"/>
      <c r="V861" s="10"/>
      <c r="W861" s="12">
        <f t="shared" si="249"/>
        <v>0</v>
      </c>
      <c r="Y861" s="10">
        <v>25</v>
      </c>
      <c r="Z861" s="30"/>
      <c r="AA861" s="11"/>
      <c r="AB861" s="47"/>
      <c r="AC861" s="31"/>
      <c r="AD861" s="31"/>
      <c r="AE861" s="32">
        <f t="shared" si="250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11"/>
      <c r="D862" s="32"/>
      <c r="E862" s="32"/>
      <c r="F862" s="32"/>
      <c r="G862" s="32">
        <f t="shared" si="246"/>
        <v>0</v>
      </c>
      <c r="H862" s="10"/>
      <c r="I862" s="10"/>
      <c r="J862" s="10"/>
      <c r="K862" s="12">
        <f t="shared" si="247"/>
        <v>0</v>
      </c>
      <c r="M862" s="10">
        <v>26</v>
      </c>
      <c r="N862" s="30"/>
      <c r="P862" s="47"/>
      <c r="Q862" s="31"/>
      <c r="R862" s="31"/>
      <c r="S862" s="32">
        <f t="shared" si="248"/>
        <v>0</v>
      </c>
      <c r="T862" s="10"/>
      <c r="U862" s="10"/>
      <c r="V862" s="10"/>
      <c r="W862" s="12">
        <f t="shared" si="249"/>
        <v>0</v>
      </c>
      <c r="Y862" s="10">
        <v>26</v>
      </c>
      <c r="Z862" s="30"/>
      <c r="AB862" s="47"/>
      <c r="AC862" s="31"/>
      <c r="AD862" s="31"/>
      <c r="AE862" s="32">
        <f t="shared" si="250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57"/>
      <c r="D863" s="32"/>
      <c r="E863" s="32"/>
      <c r="F863" s="32"/>
      <c r="G863" s="32">
        <f t="shared" si="246"/>
        <v>0</v>
      </c>
      <c r="H863" s="10"/>
      <c r="I863" s="10"/>
      <c r="J863" s="10"/>
      <c r="K863" s="12">
        <f t="shared" si="247"/>
        <v>0</v>
      </c>
      <c r="M863" s="10">
        <v>27</v>
      </c>
      <c r="N863" s="30"/>
      <c r="O863" s="31"/>
      <c r="P863" s="47"/>
      <c r="Q863" s="31"/>
      <c r="R863" s="31"/>
      <c r="S863" s="32">
        <f t="shared" si="248"/>
        <v>0</v>
      </c>
      <c r="T863" s="10"/>
      <c r="U863" s="10"/>
      <c r="V863" s="10"/>
      <c r="W863" s="12">
        <f t="shared" si="249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0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46"/>
        <v>0</v>
      </c>
      <c r="H864" s="10"/>
      <c r="I864" s="10"/>
      <c r="J864" s="10"/>
      <c r="K864" s="12">
        <f t="shared" si="247"/>
        <v>0</v>
      </c>
      <c r="M864" s="10">
        <v>28</v>
      </c>
      <c r="N864" s="30"/>
      <c r="O864" s="31"/>
      <c r="P864" s="47"/>
      <c r="Q864" s="31"/>
      <c r="R864" s="31"/>
      <c r="S864" s="32">
        <f t="shared" si="248"/>
        <v>0</v>
      </c>
      <c r="T864" s="10"/>
      <c r="U864" s="10"/>
      <c r="V864" s="10"/>
      <c r="W864" s="12">
        <f t="shared" si="249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0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31"/>
      <c r="D865" s="32"/>
      <c r="E865" s="32"/>
      <c r="F865" s="32"/>
      <c r="G865" s="32">
        <f t="shared" si="246"/>
        <v>0</v>
      </c>
      <c r="H865" s="10"/>
      <c r="I865" s="10"/>
      <c r="J865" s="10"/>
      <c r="K865" s="12">
        <f t="shared" si="247"/>
        <v>0</v>
      </c>
      <c r="M865" s="10">
        <v>29</v>
      </c>
      <c r="N865" s="30"/>
      <c r="P865" s="47"/>
      <c r="Q865" s="31"/>
      <c r="R865" s="31"/>
      <c r="S865" s="32">
        <f t="shared" si="248"/>
        <v>0</v>
      </c>
      <c r="T865" s="10"/>
      <c r="U865" s="10"/>
      <c r="V865" s="10"/>
      <c r="W865" s="12">
        <f t="shared" si="249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0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46"/>
        <v>0</v>
      </c>
      <c r="H866" s="10"/>
      <c r="I866" s="10"/>
      <c r="J866" s="10"/>
      <c r="K866" s="12">
        <f t="shared" si="247"/>
        <v>0</v>
      </c>
      <c r="M866" s="10">
        <v>30</v>
      </c>
      <c r="N866" s="30"/>
      <c r="P866" s="47"/>
      <c r="Q866" s="31"/>
      <c r="R866" s="31"/>
      <c r="S866" s="32">
        <f t="shared" si="248"/>
        <v>0</v>
      </c>
      <c r="T866" s="10"/>
      <c r="U866" s="10"/>
      <c r="V866" s="10"/>
      <c r="W866" s="12">
        <f t="shared" si="249"/>
        <v>0</v>
      </c>
      <c r="Y866" s="10">
        <v>30</v>
      </c>
      <c r="Z866" s="30"/>
      <c r="AB866" s="47"/>
      <c r="AC866" s="31"/>
      <c r="AD866" s="31"/>
      <c r="AE866" s="32">
        <f t="shared" si="250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57"/>
      <c r="D867" s="32"/>
      <c r="E867" s="32"/>
      <c r="F867" s="32"/>
      <c r="G867" s="32">
        <f t="shared" si="246"/>
        <v>0</v>
      </c>
      <c r="H867" s="10"/>
      <c r="I867" s="10"/>
      <c r="J867" s="10"/>
      <c r="K867" s="12">
        <f t="shared" si="247"/>
        <v>0</v>
      </c>
      <c r="M867" s="10">
        <v>31</v>
      </c>
      <c r="N867" s="30"/>
      <c r="O867" s="31"/>
      <c r="P867" s="47"/>
      <c r="Q867" s="31"/>
      <c r="R867" s="31"/>
      <c r="S867" s="32">
        <f t="shared" si="248"/>
        <v>0</v>
      </c>
      <c r="T867" s="10"/>
      <c r="U867" s="10"/>
      <c r="V867" s="10"/>
      <c r="W867" s="12">
        <f t="shared" si="249"/>
        <v>0</v>
      </c>
      <c r="Y867" s="10">
        <v>31</v>
      </c>
      <c r="Z867" s="30"/>
      <c r="AB867" s="47"/>
      <c r="AC867" s="31"/>
      <c r="AD867" s="31"/>
      <c r="AE867" s="32">
        <f t="shared" si="250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31"/>
      <c r="D868" s="32"/>
      <c r="E868" s="32"/>
      <c r="F868" s="32"/>
      <c r="G868" s="32">
        <f t="shared" si="246"/>
        <v>0</v>
      </c>
      <c r="H868" s="10"/>
      <c r="I868" s="10"/>
      <c r="J868" s="10"/>
      <c r="K868" s="12">
        <f t="shared" si="247"/>
        <v>0</v>
      </c>
      <c r="M868" s="10">
        <v>32</v>
      </c>
      <c r="N868" s="30"/>
      <c r="P868" s="47"/>
      <c r="Q868" s="31"/>
      <c r="R868" s="31"/>
      <c r="S868" s="32">
        <f t="shared" si="248"/>
        <v>0</v>
      </c>
      <c r="T868" s="10"/>
      <c r="U868" s="10"/>
      <c r="V868" s="10"/>
      <c r="W868" s="12">
        <f t="shared" si="249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0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57"/>
      <c r="D869" s="32"/>
      <c r="E869" s="32"/>
      <c r="F869" s="32"/>
      <c r="G869" s="32">
        <f t="shared" si="246"/>
        <v>0</v>
      </c>
      <c r="H869" s="10"/>
      <c r="I869" s="10"/>
      <c r="J869" s="10"/>
      <c r="K869" s="12">
        <f t="shared" si="247"/>
        <v>0</v>
      </c>
      <c r="M869" s="10">
        <v>33</v>
      </c>
      <c r="N869" s="30"/>
      <c r="O869" s="31"/>
      <c r="P869" s="47"/>
      <c r="Q869" s="31"/>
      <c r="R869" s="31"/>
      <c r="S869" s="32">
        <f t="shared" si="248"/>
        <v>0</v>
      </c>
      <c r="T869" s="10"/>
      <c r="U869" s="10"/>
      <c r="V869" s="10"/>
      <c r="W869" s="12">
        <f t="shared" si="249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0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57"/>
      <c r="D870" s="32"/>
      <c r="E870" s="32"/>
      <c r="F870" s="32"/>
      <c r="G870" s="32">
        <f t="shared" si="246"/>
        <v>0</v>
      </c>
      <c r="H870" s="10"/>
      <c r="I870" s="10"/>
      <c r="J870" s="10"/>
      <c r="K870" s="12">
        <f t="shared" si="247"/>
        <v>0</v>
      </c>
      <c r="M870" s="10">
        <v>34</v>
      </c>
      <c r="N870" s="30"/>
      <c r="O870" s="31"/>
      <c r="P870" s="47"/>
      <c r="Q870" s="31"/>
      <c r="R870" s="31"/>
      <c r="S870" s="32">
        <f t="shared" ref="S870:S875" si="254">SUM(P870:Q870)</f>
        <v>0</v>
      </c>
      <c r="T870" s="10"/>
      <c r="U870" s="10"/>
      <c r="V870" s="10"/>
      <c r="W870" s="12">
        <f t="shared" si="249"/>
        <v>0</v>
      </c>
      <c r="Y870" s="10">
        <v>34</v>
      </c>
      <c r="Z870" s="30"/>
      <c r="AB870" s="47"/>
      <c r="AC870" s="31"/>
      <c r="AD870" s="31"/>
      <c r="AE870" s="32">
        <f t="shared" si="250"/>
        <v>0</v>
      </c>
      <c r="AF870" s="10"/>
      <c r="AG870" s="10"/>
      <c r="AH870" s="10"/>
      <c r="AI870" s="12">
        <f t="shared" ref="AI870:AI878" si="255">SUM(AE870:AH870)</f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54"/>
        <v>0</v>
      </c>
      <c r="T871" s="10"/>
      <c r="U871" s="10"/>
      <c r="V871" s="10"/>
      <c r="W871" s="12">
        <f t="shared" si="249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0"/>
        <v>0</v>
      </c>
      <c r="AF871" s="10"/>
      <c r="AG871" s="10"/>
      <c r="AH871" s="10"/>
      <c r="AI871" s="12">
        <f t="shared" si="25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54"/>
        <v>0</v>
      </c>
      <c r="T872" s="10"/>
      <c r="U872" s="10"/>
      <c r="V872" s="10"/>
      <c r="W872" s="12">
        <f t="shared" si="249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0"/>
        <v>0</v>
      </c>
      <c r="AF872" s="10"/>
      <c r="AG872" s="10"/>
      <c r="AH872" s="10"/>
      <c r="AI872" s="12">
        <f t="shared" si="25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54"/>
        <v>0</v>
      </c>
      <c r="T873" s="10"/>
      <c r="U873" s="10"/>
      <c r="V873" s="10"/>
      <c r="W873" s="12">
        <f t="shared" si="249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0"/>
        <v>0</v>
      </c>
      <c r="AF873" s="10"/>
      <c r="AG873" s="10"/>
      <c r="AH873" s="10"/>
      <c r="AI873" s="12">
        <f t="shared" si="25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54"/>
        <v>0</v>
      </c>
      <c r="T874" s="10"/>
      <c r="U874" s="10"/>
      <c r="V874" s="10"/>
      <c r="W874" s="12">
        <f t="shared" si="249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0"/>
        <v>0</v>
      </c>
      <c r="AF874" s="10"/>
      <c r="AG874" s="10"/>
      <c r="AH874" s="10"/>
      <c r="AI874" s="12">
        <f t="shared" si="25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54"/>
        <v>0</v>
      </c>
      <c r="T875" s="10"/>
      <c r="U875" s="10"/>
      <c r="V875" s="10"/>
      <c r="W875" s="12">
        <f t="shared" si="249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0"/>
        <v>0</v>
      </c>
      <c r="AF875" s="10"/>
      <c r="AG875" s="10"/>
      <c r="AH875" s="10"/>
      <c r="AI875" s="12">
        <f t="shared" si="25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9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6">SUM(D877:E877)</f>
        <v>0</v>
      </c>
      <c r="H877" s="10"/>
      <c r="I877" s="10"/>
      <c r="J877" s="10"/>
      <c r="K877" s="12">
        <f t="shared" ref="K877" si="257">SUM(G877:J877)</f>
        <v>0</v>
      </c>
      <c r="M877" s="10"/>
      <c r="N877" s="30"/>
      <c r="O877" s="31"/>
      <c r="P877" s="47"/>
      <c r="Q877" s="31"/>
      <c r="R877" s="31"/>
      <c r="S877" s="32">
        <f t="shared" ref="S877" si="258">SUM(P877:Q877)</f>
        <v>0</v>
      </c>
      <c r="T877" s="10"/>
      <c r="U877" s="10"/>
      <c r="V877" s="10"/>
      <c r="W877" s="12">
        <f t="shared" si="249"/>
        <v>0</v>
      </c>
      <c r="Y877" s="10"/>
      <c r="Z877" s="30"/>
      <c r="AA877" s="31"/>
      <c r="AB877" s="47"/>
      <c r="AC877" s="31"/>
      <c r="AD877" s="31"/>
      <c r="AE877" s="32">
        <f t="shared" ref="AE877" si="259">SUM(AB877:AC877)</f>
        <v>0</v>
      </c>
      <c r="AF877" s="10"/>
      <c r="AG877" s="10"/>
      <c r="AH877" s="10"/>
      <c r="AI877" s="12">
        <f t="shared" si="25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9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411602</v>
      </c>
      <c r="E880" s="38">
        <f t="shared" ref="E880:F880" si="260">SUM(E837:E877)</f>
        <v>-3888</v>
      </c>
      <c r="F880" s="38">
        <f t="shared" si="260"/>
        <v>0</v>
      </c>
      <c r="G880" s="38">
        <f>SUM(G837:G879)</f>
        <v>407714</v>
      </c>
      <c r="H880" s="4"/>
      <c r="I880" s="39">
        <f>SUM(I837:I879)</f>
        <v>702</v>
      </c>
      <c r="J880" s="39">
        <f>SUM(J837:J879)</f>
        <v>-420</v>
      </c>
      <c r="K880" s="40">
        <f>SUM(K837:K879)</f>
        <v>407996</v>
      </c>
      <c r="N880" s="57"/>
      <c r="O880" s="57"/>
      <c r="P880" s="38">
        <f>SUM(P837:P879)</f>
        <v>224811.5</v>
      </c>
      <c r="Q880" s="38">
        <f>SUM(Q837:Q861)</f>
        <v>-1206</v>
      </c>
      <c r="R880" s="38">
        <f>SUM(R837:R861)</f>
        <v>0</v>
      </c>
      <c r="S880" s="38">
        <f>SUM(S837:S879)</f>
        <v>223605.5</v>
      </c>
      <c r="T880" s="4"/>
      <c r="U880" s="41">
        <f>SUM(U837:U879)</f>
        <v>11495.25</v>
      </c>
      <c r="V880" s="41">
        <f>SUM(V837:V861)</f>
        <v>-2918</v>
      </c>
      <c r="W880" s="42">
        <f>SUM(W837:W879)</f>
        <v>232182.75</v>
      </c>
      <c r="Z880" s="57"/>
      <c r="AA880" s="57"/>
      <c r="AB880" s="38">
        <f>SUM(AB837:AB879)</f>
        <v>318570</v>
      </c>
      <c r="AC880" s="38">
        <f>SUM(AC837:AC861)</f>
        <v>-1212</v>
      </c>
      <c r="AD880" s="38">
        <f>SUM(AD837:AD861)</f>
        <v>0</v>
      </c>
      <c r="AE880" s="38">
        <f>SUM(AE837:AE879)</f>
        <v>317358</v>
      </c>
      <c r="AF880" s="4"/>
      <c r="AG880" s="41">
        <f>SUM(AG837:AG879)</f>
        <v>10161</v>
      </c>
      <c r="AH880" s="41">
        <f>SUM(AH837:AH861)</f>
        <v>-120</v>
      </c>
      <c r="AI880" s="42">
        <f>SUM(AI837:AI879)</f>
        <v>327399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81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81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37</v>
      </c>
      <c r="W888" s="24"/>
      <c r="Y888" s="21" t="s">
        <v>81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1" t="s">
        <v>17</v>
      </c>
      <c r="E890" s="121"/>
      <c r="F890" s="111"/>
      <c r="G890" s="27"/>
      <c r="I890" s="119" t="s">
        <v>18</v>
      </c>
      <c r="J890" s="120"/>
      <c r="K890" s="117" t="s">
        <v>19</v>
      </c>
      <c r="N890" s="25"/>
      <c r="O890" s="26"/>
      <c r="P890" s="121" t="s">
        <v>17</v>
      </c>
      <c r="Q890" s="121"/>
      <c r="R890" s="111"/>
      <c r="S890" s="27"/>
      <c r="U890" s="119" t="s">
        <v>18</v>
      </c>
      <c r="V890" s="120"/>
      <c r="W890" s="117" t="s">
        <v>19</v>
      </c>
      <c r="Z890" s="25"/>
      <c r="AA890" s="26"/>
      <c r="AB890" s="121" t="s">
        <v>17</v>
      </c>
      <c r="AC890" s="121"/>
      <c r="AD890" s="111"/>
      <c r="AE890" s="27"/>
      <c r="AG890" s="119" t="s">
        <v>18</v>
      </c>
      <c r="AH890" s="120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18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82</v>
      </c>
      <c r="C892" s="91">
        <v>7982</v>
      </c>
      <c r="D892" s="32">
        <f>37560+11920</f>
        <v>49480</v>
      </c>
      <c r="E892" s="32"/>
      <c r="F892" s="32"/>
      <c r="G892" s="32">
        <f t="shared" ref="G892:G925" si="261">SUM(D892:E892)</f>
        <v>49480</v>
      </c>
      <c r="H892" s="12"/>
      <c r="I892" s="12">
        <f>8880</f>
        <v>8880</v>
      </c>
      <c r="J892" s="12"/>
      <c r="K892" s="12">
        <f t="shared" ref="K892:K925" si="262">SUM(G892:J892)</f>
        <v>58360</v>
      </c>
      <c r="M892" s="10">
        <v>1</v>
      </c>
      <c r="N892" s="30" t="s">
        <v>82</v>
      </c>
      <c r="O892" s="31">
        <v>8012</v>
      </c>
      <c r="P892" s="32">
        <f>13772+1788+458</f>
        <v>16018</v>
      </c>
      <c r="Q892" s="32"/>
      <c r="R892" s="32"/>
      <c r="S892" s="32">
        <f>SUM(P892:Q892)</f>
        <v>16018</v>
      </c>
      <c r="T892" s="12"/>
      <c r="U892" s="12">
        <f>72+3</f>
        <v>75</v>
      </c>
      <c r="V892" s="12"/>
      <c r="W892" s="12">
        <f>SUM(S892:V892)</f>
        <v>16093</v>
      </c>
      <c r="Y892" s="10">
        <v>1</v>
      </c>
      <c r="Z892" s="30" t="s">
        <v>82</v>
      </c>
      <c r="AA892" s="31">
        <v>7886</v>
      </c>
      <c r="AB892" s="32">
        <f>138972+852+2010+1664</f>
        <v>143498</v>
      </c>
      <c r="AC892" s="32">
        <v>-1362</v>
      </c>
      <c r="AD892" s="32"/>
      <c r="AE892" s="32">
        <f>SUM(AB892:AC892)</f>
        <v>142136</v>
      </c>
      <c r="AF892" s="12"/>
      <c r="AG892" s="12">
        <v>1332</v>
      </c>
      <c r="AH892" s="12"/>
      <c r="AI892" s="12">
        <f>SUM(AE892:AH892)</f>
        <v>143468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82</v>
      </c>
      <c r="C893" s="91">
        <f>C892+1</f>
        <v>7983</v>
      </c>
      <c r="D893" s="32">
        <f>56340+1842+5960+832</f>
        <v>64974</v>
      </c>
      <c r="E893" s="32"/>
      <c r="F893" s="32"/>
      <c r="G893" s="32">
        <f t="shared" si="261"/>
        <v>64974</v>
      </c>
      <c r="H893" s="12"/>
      <c r="I893" s="12">
        <f>2220+648</f>
        <v>2868</v>
      </c>
      <c r="J893" s="12"/>
      <c r="K893" s="12">
        <f t="shared" si="262"/>
        <v>67842</v>
      </c>
      <c r="M893" s="10">
        <v>2</v>
      </c>
      <c r="N893" s="30" t="s">
        <v>82</v>
      </c>
      <c r="O893" s="31">
        <f>O892+1</f>
        <v>8013</v>
      </c>
      <c r="P893" s="32">
        <f>1878+28.5</f>
        <v>1906.5</v>
      </c>
      <c r="Q893" s="32"/>
      <c r="R893" s="32"/>
      <c r="S893" s="32">
        <f t="shared" ref="S893:S924" si="263">SUM(P893:Q893)</f>
        <v>1906.5</v>
      </c>
      <c r="T893" s="12"/>
      <c r="U893" s="12"/>
      <c r="V893" s="12"/>
      <c r="W893" s="12">
        <f t="shared" ref="W893:W933" si="264">SUM(S893:V893)</f>
        <v>1906.5</v>
      </c>
      <c r="Y893" s="10">
        <v>2</v>
      </c>
      <c r="Z893" s="30" t="s">
        <v>82</v>
      </c>
      <c r="AA893" s="31">
        <f>AA892+1</f>
        <v>7887</v>
      </c>
      <c r="AB893" s="32">
        <f>75120+7368+2980+687</f>
        <v>86155</v>
      </c>
      <c r="AC893" s="32">
        <v>-762</v>
      </c>
      <c r="AD893" s="32"/>
      <c r="AE893" s="32">
        <f t="shared" ref="AE893:AE930" si="265">SUM(AB893:AC893)</f>
        <v>85393</v>
      </c>
      <c r="AF893" s="12"/>
      <c r="AG893" s="12"/>
      <c r="AH893" s="12"/>
      <c r="AI893" s="12">
        <f t="shared" ref="AI893:AI924" si="266">SUM(AE893:AH893)</f>
        <v>85393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82</v>
      </c>
      <c r="C894" s="91">
        <f t="shared" ref="C894:C898" si="267">C893+1</f>
        <v>7984</v>
      </c>
      <c r="D894" s="33">
        <f>18780+614+114</f>
        <v>19508</v>
      </c>
      <c r="E894" s="33"/>
      <c r="F894" s="33"/>
      <c r="G894" s="33">
        <f t="shared" si="261"/>
        <v>19508</v>
      </c>
      <c r="H894" s="34"/>
      <c r="I894" s="34"/>
      <c r="J894" s="34"/>
      <c r="K894" s="34">
        <f t="shared" si="262"/>
        <v>19508</v>
      </c>
      <c r="M894" s="10">
        <v>3</v>
      </c>
      <c r="N894" s="30" t="s">
        <v>82</v>
      </c>
      <c r="O894" s="31">
        <f t="shared" ref="O894:O911" si="268">O893+1</f>
        <v>8014</v>
      </c>
      <c r="P894" s="32">
        <f>626+9.5</f>
        <v>635.5</v>
      </c>
      <c r="Q894" s="32"/>
      <c r="R894" s="32"/>
      <c r="S894" s="32">
        <f t="shared" si="263"/>
        <v>635.5</v>
      </c>
      <c r="T894" s="12"/>
      <c r="U894" s="12"/>
      <c r="V894" s="12"/>
      <c r="W894" s="12">
        <f t="shared" si="264"/>
        <v>635.5</v>
      </c>
      <c r="Y894" s="10">
        <v>3</v>
      </c>
      <c r="Z894" s="30" t="s">
        <v>82</v>
      </c>
      <c r="AA894" s="31">
        <f t="shared" ref="AA894:AA896" si="269">AA893+1</f>
        <v>7888</v>
      </c>
      <c r="AB894" s="33">
        <f>6260+2384+133</f>
        <v>8777</v>
      </c>
      <c r="AC894" s="33"/>
      <c r="AD894" s="32"/>
      <c r="AE894" s="32">
        <f t="shared" si="265"/>
        <v>8777</v>
      </c>
      <c r="AF894" s="12"/>
      <c r="AG894" s="12"/>
      <c r="AH894" s="12"/>
      <c r="AI894" s="12">
        <f t="shared" si="266"/>
        <v>8777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82</v>
      </c>
      <c r="C895" s="91">
        <f t="shared" si="267"/>
        <v>7985</v>
      </c>
      <c r="D895" s="32">
        <f>21284+3576</f>
        <v>24860</v>
      </c>
      <c r="E895" s="32"/>
      <c r="F895" s="32"/>
      <c r="G895" s="32">
        <f t="shared" si="261"/>
        <v>24860</v>
      </c>
      <c r="H895" s="12"/>
      <c r="I895" s="12"/>
      <c r="J895" s="12"/>
      <c r="K895" s="12">
        <f t="shared" si="262"/>
        <v>24860</v>
      </c>
      <c r="M895" s="10">
        <v>4</v>
      </c>
      <c r="N895" s="30" t="s">
        <v>82</v>
      </c>
      <c r="O895" s="31">
        <f t="shared" si="268"/>
        <v>8015</v>
      </c>
      <c r="P895" s="32">
        <f>21910+674</f>
        <v>22584</v>
      </c>
      <c r="Q895" s="32"/>
      <c r="R895" s="32"/>
      <c r="S895" s="32">
        <f t="shared" si="263"/>
        <v>22584</v>
      </c>
      <c r="T895" s="12"/>
      <c r="U895" s="12">
        <v>45</v>
      </c>
      <c r="V895" s="12"/>
      <c r="W895" s="12">
        <f t="shared" si="264"/>
        <v>22629</v>
      </c>
      <c r="Y895" s="10">
        <v>4</v>
      </c>
      <c r="Z895" s="30" t="s">
        <v>82</v>
      </c>
      <c r="AA895" s="31">
        <f t="shared" si="269"/>
        <v>7889</v>
      </c>
      <c r="AB895" s="32">
        <f>8764+913+458+1000</f>
        <v>11135</v>
      </c>
      <c r="AC895" s="32"/>
      <c r="AD895" s="32"/>
      <c r="AE895" s="32">
        <f t="shared" si="265"/>
        <v>11135</v>
      </c>
      <c r="AF895" s="12"/>
      <c r="AG895">
        <v>148.5</v>
      </c>
      <c r="AH895" s="12"/>
      <c r="AI895" s="12">
        <f t="shared" si="266"/>
        <v>11283.5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82</v>
      </c>
      <c r="C896" s="91">
        <f t="shared" si="267"/>
        <v>7986</v>
      </c>
      <c r="D896" s="32">
        <f>540238+25560+6870</f>
        <v>572668</v>
      </c>
      <c r="E896" s="32">
        <v>-5358</v>
      </c>
      <c r="F896" s="32"/>
      <c r="G896" s="32">
        <f t="shared" si="261"/>
        <v>567310</v>
      </c>
      <c r="H896" s="12"/>
      <c r="I896" s="12">
        <f>34188+312</f>
        <v>34500</v>
      </c>
      <c r="J896" s="12">
        <f>-240+-3480+-3996+-2100+-630</f>
        <v>-10446</v>
      </c>
      <c r="K896" s="12">
        <f t="shared" si="262"/>
        <v>591364</v>
      </c>
      <c r="M896" s="10">
        <v>5</v>
      </c>
      <c r="N896" s="30" t="s">
        <v>82</v>
      </c>
      <c r="O896" s="31">
        <f t="shared" si="268"/>
        <v>8016</v>
      </c>
      <c r="P896" s="32">
        <f>12*626+1192+114</f>
        <v>8818</v>
      </c>
      <c r="Q896" s="32"/>
      <c r="R896" s="32"/>
      <c r="S896" s="32">
        <f t="shared" si="263"/>
        <v>8818</v>
      </c>
      <c r="T896" s="12"/>
      <c r="U896" s="12">
        <f>9*4.5</f>
        <v>40.5</v>
      </c>
      <c r="V896" s="12"/>
      <c r="W896" s="12">
        <f t="shared" si="264"/>
        <v>8858.5</v>
      </c>
      <c r="Y896" s="10">
        <v>5</v>
      </c>
      <c r="Z896" s="30" t="s">
        <v>82</v>
      </c>
      <c r="AA896" s="31">
        <f t="shared" si="269"/>
        <v>7890</v>
      </c>
      <c r="AB896" s="32">
        <f>626*26+596*5</f>
        <v>19256</v>
      </c>
      <c r="AC896" s="32"/>
      <c r="AD896" s="32"/>
      <c r="AE896" s="32">
        <f t="shared" si="265"/>
        <v>19256</v>
      </c>
      <c r="AF896" s="12"/>
      <c r="AG896" s="12"/>
      <c r="AH896" s="12">
        <v>-2886</v>
      </c>
      <c r="AI896" s="12">
        <f t="shared" si="266"/>
        <v>16370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82</v>
      </c>
      <c r="C897" s="91">
        <f t="shared" si="267"/>
        <v>7987</v>
      </c>
      <c r="D897" s="32">
        <f>11268+3328</f>
        <v>14596</v>
      </c>
      <c r="E897" s="32"/>
      <c r="F897" s="32"/>
      <c r="G897" s="32">
        <f t="shared" si="261"/>
        <v>14596</v>
      </c>
      <c r="H897" s="12"/>
      <c r="I897" s="12"/>
      <c r="J897" s="12"/>
      <c r="K897" s="12">
        <f t="shared" si="262"/>
        <v>14596</v>
      </c>
      <c r="M897" s="10">
        <v>6</v>
      </c>
      <c r="N897" s="30" t="s">
        <v>82</v>
      </c>
      <c r="O897" s="31">
        <f t="shared" si="268"/>
        <v>8017</v>
      </c>
      <c r="P897" s="32">
        <f>1252+596+28.5</f>
        <v>1876.5</v>
      </c>
      <c r="Q897" s="32"/>
      <c r="R897" s="32"/>
      <c r="S897" s="32">
        <f t="shared" si="263"/>
        <v>1876.5</v>
      </c>
      <c r="T897" s="12"/>
      <c r="U897" s="12"/>
      <c r="V897" s="10"/>
      <c r="W897" s="12">
        <f t="shared" si="264"/>
        <v>1876.5</v>
      </c>
      <c r="Y897" s="10">
        <v>6</v>
      </c>
      <c r="Z897" s="30"/>
      <c r="AA897" s="11" t="s">
        <v>27</v>
      </c>
      <c r="AB897" s="32"/>
      <c r="AC897" s="32"/>
      <c r="AD897" s="32"/>
      <c r="AE897" s="32">
        <f t="shared" si="265"/>
        <v>0</v>
      </c>
      <c r="AF897" s="12"/>
      <c r="AG897" s="12"/>
      <c r="AH897" s="10"/>
      <c r="AI897" s="12">
        <f t="shared" si="266"/>
        <v>0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82</v>
      </c>
      <c r="C898" s="91">
        <f t="shared" si="267"/>
        <v>7988</v>
      </c>
      <c r="D898" s="32">
        <f>25040</f>
        <v>25040</v>
      </c>
      <c r="E898" s="32"/>
      <c r="F898" s="32"/>
      <c r="G898" s="32">
        <f t="shared" si="261"/>
        <v>25040</v>
      </c>
      <c r="H898" s="12"/>
      <c r="I898" s="12"/>
      <c r="J898" s="12"/>
      <c r="K898" s="12">
        <f t="shared" si="262"/>
        <v>25040</v>
      </c>
      <c r="M898" s="10">
        <v>7</v>
      </c>
      <c r="N898" s="30" t="s">
        <v>82</v>
      </c>
      <c r="O898" s="31">
        <f t="shared" si="268"/>
        <v>8018</v>
      </c>
      <c r="P898" s="32">
        <f>1252+1192+852+38</f>
        <v>3334</v>
      </c>
      <c r="Q898" s="32"/>
      <c r="R898" s="32"/>
      <c r="S898" s="32">
        <f t="shared" si="263"/>
        <v>3334</v>
      </c>
      <c r="T898" s="12"/>
      <c r="U898" s="12"/>
      <c r="V898" s="12"/>
      <c r="W898" s="12">
        <f t="shared" si="264"/>
        <v>3334</v>
      </c>
      <c r="Y898" s="10">
        <v>7</v>
      </c>
      <c r="Z898" s="30"/>
      <c r="AA898" s="31"/>
      <c r="AB898" s="32"/>
      <c r="AC898" s="32"/>
      <c r="AD898" s="32"/>
      <c r="AE898" s="32">
        <f t="shared" si="265"/>
        <v>0</v>
      </c>
      <c r="AF898" s="12"/>
      <c r="AG898" s="58"/>
      <c r="AH898" s="12"/>
      <c r="AI898" s="12">
        <f t="shared" si="266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61"/>
        <v>0</v>
      </c>
      <c r="H899" s="12"/>
      <c r="I899" s="12"/>
      <c r="J899" s="12"/>
      <c r="K899" s="12">
        <f t="shared" si="262"/>
        <v>0</v>
      </c>
      <c r="M899" s="10">
        <v>8</v>
      </c>
      <c r="N899" s="30" t="s">
        <v>82</v>
      </c>
      <c r="O899" s="31">
        <f t="shared" si="268"/>
        <v>8019</v>
      </c>
      <c r="P899" s="32">
        <f>40064+458</f>
        <v>40522</v>
      </c>
      <c r="Q899" s="32"/>
      <c r="R899" s="32"/>
      <c r="S899" s="32">
        <f t="shared" si="263"/>
        <v>40522</v>
      </c>
      <c r="T899" s="12"/>
      <c r="U899" s="12">
        <f>126+72</f>
        <v>198</v>
      </c>
      <c r="V899" s="12"/>
      <c r="W899" s="12">
        <f t="shared" si="264"/>
        <v>40720</v>
      </c>
      <c r="Y899" s="10">
        <v>8</v>
      </c>
      <c r="Z899" s="30"/>
      <c r="AA899" s="31"/>
      <c r="AB899" s="32"/>
      <c r="AC899" s="32"/>
      <c r="AE899" s="32">
        <f t="shared" si="265"/>
        <v>0</v>
      </c>
      <c r="AF899" s="12"/>
      <c r="AG899" s="12"/>
      <c r="AH899" s="12"/>
      <c r="AI899" s="12">
        <f t="shared" si="266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91"/>
      <c r="D900" s="32"/>
      <c r="E900" s="32"/>
      <c r="F900" s="32"/>
      <c r="G900" s="32">
        <f t="shared" si="261"/>
        <v>0</v>
      </c>
      <c r="H900" s="12"/>
      <c r="I900" s="12"/>
      <c r="J900" s="12"/>
      <c r="K900" s="12">
        <f t="shared" si="262"/>
        <v>0</v>
      </c>
      <c r="M900" s="10">
        <v>9</v>
      </c>
      <c r="N900" s="30" t="s">
        <v>82</v>
      </c>
      <c r="O900" s="31">
        <f t="shared" si="268"/>
        <v>8020</v>
      </c>
      <c r="P900" s="32">
        <f>17528+1228+5960+458+1300</f>
        <v>26474</v>
      </c>
      <c r="Q900" s="32"/>
      <c r="R900" s="32"/>
      <c r="S900" s="32">
        <f t="shared" si="263"/>
        <v>26474</v>
      </c>
      <c r="T900" s="12"/>
      <c r="U900" s="12">
        <f>333+72</f>
        <v>405</v>
      </c>
      <c r="V900" s="12"/>
      <c r="W900" s="12">
        <f t="shared" si="264"/>
        <v>26879</v>
      </c>
      <c r="Y900" s="10">
        <v>9</v>
      </c>
      <c r="Z900" s="30"/>
      <c r="AA900" s="31"/>
      <c r="AC900" s="32"/>
      <c r="AD900" s="32"/>
      <c r="AE900" s="32">
        <f t="shared" si="265"/>
        <v>0</v>
      </c>
      <c r="AF900" s="12"/>
      <c r="AH900" s="12"/>
      <c r="AI900" s="12">
        <f t="shared" si="26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91"/>
      <c r="D901" s="32"/>
      <c r="E901" s="32"/>
      <c r="F901" s="32"/>
      <c r="G901" s="32">
        <f t="shared" si="261"/>
        <v>0</v>
      </c>
      <c r="H901" s="12"/>
      <c r="I901" s="12"/>
      <c r="J901" s="12"/>
      <c r="K901" s="12">
        <f t="shared" si="262"/>
        <v>0</v>
      </c>
      <c r="M901" s="10">
        <v>10</v>
      </c>
      <c r="N901" s="30" t="s">
        <v>82</v>
      </c>
      <c r="O901" s="31">
        <f t="shared" si="268"/>
        <v>8021</v>
      </c>
      <c r="P901" s="32">
        <f>1878+112</f>
        <v>1990</v>
      </c>
      <c r="Q901" s="32"/>
      <c r="R901" s="32"/>
      <c r="S901" s="32">
        <f t="shared" si="263"/>
        <v>1990</v>
      </c>
      <c r="T901" s="12"/>
      <c r="U901" s="12"/>
      <c r="V901" s="12"/>
      <c r="W901" s="12">
        <f t="shared" si="264"/>
        <v>1990</v>
      </c>
      <c r="Y901" s="10">
        <v>10</v>
      </c>
      <c r="Z901" s="30"/>
      <c r="AA901" s="31"/>
      <c r="AB901" s="32"/>
      <c r="AC901" s="32"/>
      <c r="AD901" s="32"/>
      <c r="AE901" s="32">
        <f t="shared" si="265"/>
        <v>0</v>
      </c>
      <c r="AF901" s="12"/>
      <c r="AG901" s="12"/>
      <c r="AH901" s="12"/>
      <c r="AI901" s="12">
        <f t="shared" si="26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91"/>
      <c r="D902" s="32"/>
      <c r="E902" s="32"/>
      <c r="F902" s="32"/>
      <c r="G902" s="32">
        <f t="shared" si="261"/>
        <v>0</v>
      </c>
      <c r="H902" s="12"/>
      <c r="I902" s="12"/>
      <c r="J902" s="12"/>
      <c r="K902" s="12">
        <f t="shared" si="262"/>
        <v>0</v>
      </c>
      <c r="M902" s="10">
        <v>11</v>
      </c>
      <c r="N902" s="30" t="s">
        <v>82</v>
      </c>
      <c r="O902" s="31">
        <f t="shared" si="268"/>
        <v>8022</v>
      </c>
      <c r="P902" s="32">
        <f>1878+112</f>
        <v>1990</v>
      </c>
      <c r="Q902" s="32"/>
      <c r="R902" s="32"/>
      <c r="S902" s="32">
        <f t="shared" si="263"/>
        <v>1990</v>
      </c>
      <c r="T902" s="12"/>
      <c r="U902" s="12"/>
      <c r="V902" s="12"/>
      <c r="W902" s="12">
        <f t="shared" si="264"/>
        <v>1990</v>
      </c>
      <c r="Y902" s="10">
        <v>11</v>
      </c>
      <c r="Z902" s="30"/>
      <c r="AB902" s="32"/>
      <c r="AC902" s="32"/>
      <c r="AD902" s="32"/>
      <c r="AE902" s="32">
        <f t="shared" si="265"/>
        <v>0</v>
      </c>
      <c r="AF902" s="12"/>
      <c r="AG902" s="12"/>
      <c r="AH902" s="12"/>
      <c r="AI902" s="12">
        <f t="shared" si="26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91"/>
      <c r="D903" s="32"/>
      <c r="E903" s="32"/>
      <c r="F903" s="32"/>
      <c r="G903" s="32">
        <f t="shared" si="261"/>
        <v>0</v>
      </c>
      <c r="H903" s="12"/>
      <c r="I903" s="12"/>
      <c r="J903" s="10"/>
      <c r="K903" s="12">
        <f t="shared" si="262"/>
        <v>0</v>
      </c>
      <c r="M903" s="10">
        <v>12</v>
      </c>
      <c r="N903" s="30" t="s">
        <v>82</v>
      </c>
      <c r="O903" s="31">
        <f t="shared" si="268"/>
        <v>8023</v>
      </c>
      <c r="P903" s="32">
        <f>1252+19</f>
        <v>1271</v>
      </c>
      <c r="Q903" s="32"/>
      <c r="R903" s="32"/>
      <c r="S903" s="32">
        <f t="shared" si="263"/>
        <v>1271</v>
      </c>
      <c r="T903" s="12"/>
      <c r="U903" s="12"/>
      <c r="V903" s="12"/>
      <c r="W903" s="12">
        <f t="shared" si="264"/>
        <v>1271</v>
      </c>
      <c r="Y903" s="10">
        <v>12</v>
      </c>
      <c r="Z903" s="30"/>
      <c r="AA903" s="31"/>
      <c r="AB903" s="32"/>
      <c r="AC903" s="32"/>
      <c r="AD903" s="32"/>
      <c r="AE903" s="32">
        <f t="shared" si="265"/>
        <v>0</v>
      </c>
      <c r="AF903" s="12"/>
      <c r="AG903" s="12"/>
      <c r="AH903" s="12"/>
      <c r="AI903" s="12">
        <f t="shared" si="26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61"/>
        <v>0</v>
      </c>
      <c r="H904" s="12"/>
      <c r="I904" s="12"/>
      <c r="J904" s="12"/>
      <c r="K904" s="12">
        <f t="shared" si="262"/>
        <v>0</v>
      </c>
      <c r="M904" s="10">
        <v>13</v>
      </c>
      <c r="N904" s="30" t="s">
        <v>82</v>
      </c>
      <c r="O904" s="31">
        <f t="shared" si="268"/>
        <v>8024</v>
      </c>
      <c r="P904" s="32">
        <f>6260+95</f>
        <v>6355</v>
      </c>
      <c r="Q904" s="32"/>
      <c r="R904" s="32"/>
      <c r="S904" s="32">
        <f t="shared" si="263"/>
        <v>6355</v>
      </c>
      <c r="T904" s="12"/>
      <c r="U904" s="12">
        <v>9</v>
      </c>
      <c r="V904" s="12"/>
      <c r="W904" s="12">
        <f t="shared" si="264"/>
        <v>6364</v>
      </c>
      <c r="Y904" s="10">
        <v>13</v>
      </c>
      <c r="Z904" s="30"/>
      <c r="AA904" s="31"/>
      <c r="AB904" s="32"/>
      <c r="AC904" s="32"/>
      <c r="AD904" s="32"/>
      <c r="AE904" s="32">
        <f t="shared" si="265"/>
        <v>0</v>
      </c>
      <c r="AF904" s="12"/>
      <c r="AG904" s="12"/>
      <c r="AH904" s="12"/>
      <c r="AI904" s="12">
        <f t="shared" si="26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61"/>
        <v>0</v>
      </c>
      <c r="H905" s="12"/>
      <c r="I905" s="12"/>
      <c r="J905" s="12"/>
      <c r="K905" s="12">
        <f t="shared" si="262"/>
        <v>0</v>
      </c>
      <c r="M905" s="10">
        <v>14</v>
      </c>
      <c r="N905" s="30" t="s">
        <v>82</v>
      </c>
      <c r="O905" s="31">
        <f t="shared" si="268"/>
        <v>8025</v>
      </c>
      <c r="P905" s="32">
        <f>5008+596+9.5*9</f>
        <v>5689.5</v>
      </c>
      <c r="Q905" s="32"/>
      <c r="R905" s="32"/>
      <c r="S905" s="32">
        <f t="shared" si="263"/>
        <v>5689.5</v>
      </c>
      <c r="T905" s="12"/>
      <c r="U905" s="12"/>
      <c r="V905" s="12"/>
      <c r="W905" s="12">
        <f t="shared" si="264"/>
        <v>5689.5</v>
      </c>
      <c r="Y905" s="10">
        <v>14</v>
      </c>
      <c r="Z905" s="30"/>
      <c r="AA905" s="31"/>
      <c r="AB905" s="32"/>
      <c r="AC905" s="32"/>
      <c r="AD905" s="32"/>
      <c r="AE905" s="32">
        <f t="shared" si="265"/>
        <v>0</v>
      </c>
      <c r="AF905" s="12"/>
      <c r="AG905" s="12"/>
      <c r="AH905" s="12"/>
      <c r="AI905" s="12">
        <f t="shared" si="26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61"/>
        <v>0</v>
      </c>
      <c r="H906" s="12"/>
      <c r="I906" s="12"/>
      <c r="J906" s="12"/>
      <c r="K906" s="12">
        <f t="shared" si="262"/>
        <v>0</v>
      </c>
      <c r="M906" s="10">
        <v>15</v>
      </c>
      <c r="N906" s="30" t="s">
        <v>82</v>
      </c>
      <c r="O906" s="31">
        <f t="shared" si="268"/>
        <v>8026</v>
      </c>
      <c r="P906" s="32">
        <f>3130+47.5</f>
        <v>3177.5</v>
      </c>
      <c r="Q906" s="32"/>
      <c r="R906" s="32"/>
      <c r="S906" s="32">
        <f t="shared" si="263"/>
        <v>3177.5</v>
      </c>
      <c r="T906" s="12"/>
      <c r="U906" s="12">
        <v>22.5</v>
      </c>
      <c r="V906" s="12"/>
      <c r="W906" s="12">
        <f t="shared" si="264"/>
        <v>3200</v>
      </c>
      <c r="Y906" s="10">
        <v>15</v>
      </c>
      <c r="Z906" s="30"/>
      <c r="AA906" s="31"/>
      <c r="AB906" s="32"/>
      <c r="AC906" s="32"/>
      <c r="AD906" s="32"/>
      <c r="AE906" s="32">
        <f t="shared" si="265"/>
        <v>0</v>
      </c>
      <c r="AF906" s="12"/>
      <c r="AG906" s="12"/>
      <c r="AH906" s="12"/>
      <c r="AI906" s="12">
        <f t="shared" si="26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61"/>
        <v>0</v>
      </c>
      <c r="H907" s="12"/>
      <c r="I907" s="12"/>
      <c r="J907" s="12"/>
      <c r="K907" s="12">
        <f t="shared" si="262"/>
        <v>0</v>
      </c>
      <c r="M907" s="10">
        <v>16</v>
      </c>
      <c r="N907" s="30" t="s">
        <v>82</v>
      </c>
      <c r="O907" s="31">
        <f t="shared" si="268"/>
        <v>8027</v>
      </c>
      <c r="P907" s="32">
        <f>626+9.5</f>
        <v>635.5</v>
      </c>
      <c r="Q907" s="32"/>
      <c r="R907" s="32"/>
      <c r="S907" s="32">
        <f t="shared" si="263"/>
        <v>635.5</v>
      </c>
      <c r="T907" s="12"/>
      <c r="U907" s="12">
        <f>111</f>
        <v>111</v>
      </c>
      <c r="V907" s="12"/>
      <c r="W907" s="12">
        <f t="shared" si="264"/>
        <v>746.5</v>
      </c>
      <c r="Y907" s="10">
        <v>16</v>
      </c>
      <c r="Z907" s="30"/>
      <c r="AB907" s="32"/>
      <c r="AC907" s="32"/>
      <c r="AD907" s="32"/>
      <c r="AE907" s="32">
        <f t="shared" si="265"/>
        <v>0</v>
      </c>
      <c r="AF907" s="12"/>
      <c r="AG907" s="12"/>
      <c r="AH907" s="12"/>
      <c r="AI907" s="12">
        <f t="shared" si="26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61"/>
        <v>0</v>
      </c>
      <c r="H908" s="12"/>
      <c r="I908" s="12"/>
      <c r="J908" s="12"/>
      <c r="K908" s="12">
        <f t="shared" si="262"/>
        <v>0</v>
      </c>
      <c r="M908" s="10">
        <v>17</v>
      </c>
      <c r="N908" s="30" t="s">
        <v>82</v>
      </c>
      <c r="O908" s="31">
        <f t="shared" si="268"/>
        <v>8028</v>
      </c>
      <c r="P908" s="35">
        <f>1878+38</f>
        <v>1916</v>
      </c>
      <c r="Q908" s="32"/>
      <c r="R908" s="32"/>
      <c r="S908" s="32">
        <f t="shared" si="263"/>
        <v>1916</v>
      </c>
      <c r="T908" s="12"/>
      <c r="U908" s="12"/>
      <c r="V908" s="12">
        <v>-111</v>
      </c>
      <c r="W908" s="12">
        <f t="shared" si="264"/>
        <v>1805</v>
      </c>
      <c r="Y908" s="10">
        <v>17</v>
      </c>
      <c r="Z908" s="30"/>
      <c r="AA908" s="31"/>
      <c r="AB908" s="35"/>
      <c r="AC908" s="32"/>
      <c r="AD908" s="32"/>
      <c r="AE908" s="32">
        <f t="shared" si="265"/>
        <v>0</v>
      </c>
      <c r="AF908" s="12"/>
      <c r="AG908" s="12"/>
      <c r="AH908" s="12"/>
      <c r="AI908" s="12">
        <f t="shared" si="26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57"/>
      <c r="D909" s="32"/>
      <c r="E909" s="32"/>
      <c r="F909" s="32"/>
      <c r="G909" s="32">
        <f t="shared" si="261"/>
        <v>0</v>
      </c>
      <c r="H909" s="12"/>
      <c r="I909" s="12"/>
      <c r="J909" s="12"/>
      <c r="K909" s="12">
        <f t="shared" si="262"/>
        <v>0</v>
      </c>
      <c r="M909" s="10">
        <v>18</v>
      </c>
      <c r="N909" s="30" t="s">
        <v>82</v>
      </c>
      <c r="O909" s="31">
        <f t="shared" si="268"/>
        <v>8029</v>
      </c>
      <c r="P909" s="32">
        <f>25040</f>
        <v>25040</v>
      </c>
      <c r="Q909" s="32"/>
      <c r="R909" s="32"/>
      <c r="S909" s="32">
        <f t="shared" si="263"/>
        <v>25040</v>
      </c>
      <c r="T909" s="12"/>
      <c r="U909" s="12"/>
      <c r="V909" s="12"/>
      <c r="W909" s="12">
        <f t="shared" si="264"/>
        <v>25040</v>
      </c>
      <c r="Y909" s="10">
        <v>18</v>
      </c>
      <c r="Z909" s="30"/>
      <c r="AA909" s="31"/>
      <c r="AB909" s="32"/>
      <c r="AC909" s="32"/>
      <c r="AD909" s="32"/>
      <c r="AE909" s="32">
        <f t="shared" si="265"/>
        <v>0</v>
      </c>
      <c r="AF909" s="12"/>
      <c r="AG909" s="12"/>
      <c r="AH909" s="12"/>
      <c r="AI909" s="12">
        <f t="shared" si="26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61"/>
        <v>0</v>
      </c>
      <c r="H910" s="12"/>
      <c r="I910" s="12"/>
      <c r="J910" s="12"/>
      <c r="K910" s="12">
        <f t="shared" si="262"/>
        <v>0</v>
      </c>
      <c r="M910" s="10">
        <v>19</v>
      </c>
      <c r="N910" s="30" t="s">
        <v>82</v>
      </c>
      <c r="O910" s="31">
        <f t="shared" si="268"/>
        <v>8030</v>
      </c>
      <c r="P910" s="32">
        <f>28170+1842+1192+229</f>
        <v>31433</v>
      </c>
      <c r="Q910" s="32"/>
      <c r="R910" s="32"/>
      <c r="S910" s="32">
        <f t="shared" si="263"/>
        <v>31433</v>
      </c>
      <c r="T910" s="12"/>
      <c r="U910" s="12">
        <v>783</v>
      </c>
      <c r="V910" s="12"/>
      <c r="W910" s="12">
        <f t="shared" si="264"/>
        <v>32216</v>
      </c>
      <c r="Y910" s="10">
        <v>19</v>
      </c>
      <c r="Z910" s="30"/>
      <c r="AA910" s="31"/>
      <c r="AB910" s="32"/>
      <c r="AC910" s="32"/>
      <c r="AD910" s="32"/>
      <c r="AE910" s="32">
        <f t="shared" si="265"/>
        <v>0</v>
      </c>
      <c r="AF910" s="12"/>
      <c r="AG910" s="12"/>
      <c r="AH910" s="12"/>
      <c r="AI910" s="12">
        <f t="shared" si="26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91"/>
      <c r="D911" s="32"/>
      <c r="E911" s="32"/>
      <c r="F911" s="32"/>
      <c r="G911" s="32">
        <f t="shared" si="261"/>
        <v>0</v>
      </c>
      <c r="H911" s="12"/>
      <c r="I911" s="12"/>
      <c r="J911" s="12"/>
      <c r="K911" s="12">
        <f t="shared" si="262"/>
        <v>0</v>
      </c>
      <c r="M911" s="10">
        <v>20</v>
      </c>
      <c r="N911" s="30" t="s">
        <v>82</v>
      </c>
      <c r="O911" s="31">
        <f t="shared" si="268"/>
        <v>8031</v>
      </c>
      <c r="P911" s="32">
        <f>1878+28.5</f>
        <v>1906.5</v>
      </c>
      <c r="Q911" s="32"/>
      <c r="R911" s="32"/>
      <c r="S911" s="32">
        <f t="shared" si="263"/>
        <v>1906.5</v>
      </c>
      <c r="T911" s="12"/>
      <c r="U911" s="12"/>
      <c r="V911" s="12"/>
      <c r="W911" s="12">
        <f t="shared" si="264"/>
        <v>1906.5</v>
      </c>
      <c r="Y911" s="10">
        <v>20</v>
      </c>
      <c r="Z911" s="30"/>
      <c r="AA911" s="31"/>
      <c r="AB911" s="32"/>
      <c r="AC911" s="32"/>
      <c r="AD911" s="32"/>
      <c r="AE911" s="32">
        <f t="shared" si="265"/>
        <v>0</v>
      </c>
      <c r="AF911" s="12"/>
      <c r="AG911" s="12"/>
      <c r="AH911" s="12"/>
      <c r="AI911" s="12">
        <f t="shared" si="26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61"/>
        <v>0</v>
      </c>
      <c r="H912" s="10"/>
      <c r="I912" s="10"/>
      <c r="J912" s="10"/>
      <c r="K912" s="12">
        <f t="shared" si="262"/>
        <v>0</v>
      </c>
      <c r="M912" s="10">
        <v>21</v>
      </c>
      <c r="N912" s="30"/>
      <c r="O912" s="11" t="s">
        <v>27</v>
      </c>
      <c r="P912" s="46"/>
      <c r="Q912" s="31"/>
      <c r="R912" s="31"/>
      <c r="S912" s="32">
        <f t="shared" si="263"/>
        <v>0</v>
      </c>
      <c r="T912" s="10"/>
      <c r="U912" s="10"/>
      <c r="V912" s="10"/>
      <c r="W912" s="12">
        <f t="shared" si="26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65"/>
        <v>0</v>
      </c>
      <c r="AF912" s="10"/>
      <c r="AG912" s="10"/>
      <c r="AH912" s="10"/>
      <c r="AI912" s="12">
        <f t="shared" si="26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61"/>
        <v>0</v>
      </c>
      <c r="H913" s="10"/>
      <c r="I913" s="10"/>
      <c r="J913" s="10"/>
      <c r="K913" s="12">
        <f t="shared" si="262"/>
        <v>0</v>
      </c>
      <c r="M913" s="10">
        <v>22</v>
      </c>
      <c r="N913" s="30"/>
      <c r="O913" s="31"/>
      <c r="P913" s="45"/>
      <c r="Q913" s="31"/>
      <c r="R913" s="31"/>
      <c r="S913" s="32">
        <f t="shared" si="263"/>
        <v>0</v>
      </c>
      <c r="T913" s="10"/>
      <c r="U913" s="10"/>
      <c r="V913" s="10"/>
      <c r="W913" s="12">
        <f t="shared" si="26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5"/>
        <v>0</v>
      </c>
      <c r="AF913" s="10"/>
      <c r="AG913" s="10"/>
      <c r="AH913" s="10"/>
      <c r="AI913" s="12">
        <f t="shared" si="26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91"/>
      <c r="D914" s="32"/>
      <c r="E914" s="32"/>
      <c r="F914" s="32"/>
      <c r="G914" s="32">
        <f t="shared" si="261"/>
        <v>0</v>
      </c>
      <c r="H914" s="10"/>
      <c r="I914" s="10"/>
      <c r="J914" s="12"/>
      <c r="K914" s="12">
        <f t="shared" si="262"/>
        <v>0</v>
      </c>
      <c r="M914" s="10">
        <v>23</v>
      </c>
      <c r="N914" s="30"/>
      <c r="O914" s="31"/>
      <c r="P914" s="47"/>
      <c r="S914" s="32">
        <f t="shared" si="263"/>
        <v>0</v>
      </c>
      <c r="T914" s="10"/>
      <c r="U914" s="10"/>
      <c r="V914" s="10"/>
      <c r="W914" s="12">
        <f t="shared" si="264"/>
        <v>0</v>
      </c>
      <c r="Y914" s="10">
        <v>23</v>
      </c>
      <c r="Z914" s="30"/>
      <c r="AA914" s="31"/>
      <c r="AB914" s="47"/>
      <c r="AE914" s="32">
        <f t="shared" si="265"/>
        <v>0</v>
      </c>
      <c r="AF914" s="10"/>
      <c r="AG914" s="10"/>
      <c r="AH914" s="10"/>
      <c r="AI914" s="12">
        <f t="shared" si="26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57"/>
      <c r="D915" s="32"/>
      <c r="E915" s="32"/>
      <c r="F915" s="32"/>
      <c r="G915" s="32">
        <f t="shared" si="261"/>
        <v>0</v>
      </c>
      <c r="H915" s="10"/>
      <c r="I915" s="10"/>
      <c r="J915" s="10"/>
      <c r="K915" s="12">
        <f t="shared" si="262"/>
        <v>0</v>
      </c>
      <c r="M915" s="10">
        <v>24</v>
      </c>
      <c r="N915" s="30"/>
      <c r="O915" s="31"/>
      <c r="P915" s="47"/>
      <c r="Q915" s="31"/>
      <c r="R915" s="31"/>
      <c r="S915" s="32">
        <f t="shared" si="263"/>
        <v>0</v>
      </c>
      <c r="T915" s="10"/>
      <c r="U915" s="10"/>
      <c r="V915" s="10"/>
      <c r="W915" s="12">
        <f t="shared" si="26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5"/>
        <v>0</v>
      </c>
      <c r="AF915" s="10"/>
      <c r="AG915" s="10"/>
      <c r="AH915" s="10"/>
      <c r="AI915" s="12">
        <f t="shared" si="26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61"/>
        <v>0</v>
      </c>
      <c r="H916" s="10"/>
      <c r="I916" s="10"/>
      <c r="J916" s="10"/>
      <c r="K916" s="12">
        <f t="shared" si="262"/>
        <v>0</v>
      </c>
      <c r="M916" s="10">
        <v>25</v>
      </c>
      <c r="N916" s="30"/>
      <c r="P916" s="47"/>
      <c r="Q916" s="31"/>
      <c r="R916" s="31"/>
      <c r="S916" s="32">
        <f t="shared" si="263"/>
        <v>0</v>
      </c>
      <c r="T916" s="10"/>
      <c r="U916" s="10"/>
      <c r="V916" s="10"/>
      <c r="W916" s="12">
        <f t="shared" si="264"/>
        <v>0</v>
      </c>
      <c r="Y916" s="10">
        <v>25</v>
      </c>
      <c r="Z916" s="30"/>
      <c r="AA916" s="11"/>
      <c r="AB916" s="47"/>
      <c r="AC916" s="31"/>
      <c r="AD916" s="31"/>
      <c r="AE916" s="32">
        <f t="shared" si="265"/>
        <v>0</v>
      </c>
      <c r="AF916" s="10"/>
      <c r="AG916" s="10"/>
      <c r="AH916" s="10"/>
      <c r="AI916" s="12">
        <f t="shared" si="26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11"/>
      <c r="D917" s="32"/>
      <c r="E917" s="32"/>
      <c r="F917" s="32"/>
      <c r="G917" s="32">
        <f t="shared" si="261"/>
        <v>0</v>
      </c>
      <c r="H917" s="10"/>
      <c r="I917" s="10"/>
      <c r="J917" s="10"/>
      <c r="K917" s="12">
        <f t="shared" si="262"/>
        <v>0</v>
      </c>
      <c r="M917" s="10">
        <v>26</v>
      </c>
      <c r="N917" s="30"/>
      <c r="P917" s="47"/>
      <c r="Q917" s="31"/>
      <c r="R917" s="31"/>
      <c r="S917" s="32">
        <f t="shared" si="263"/>
        <v>0</v>
      </c>
      <c r="T917" s="10"/>
      <c r="U917" s="10"/>
      <c r="V917" s="10"/>
      <c r="W917" s="12">
        <f t="shared" si="264"/>
        <v>0</v>
      </c>
      <c r="Y917" s="10">
        <v>26</v>
      </c>
      <c r="Z917" s="30"/>
      <c r="AB917" s="47"/>
      <c r="AC917" s="31"/>
      <c r="AD917" s="31"/>
      <c r="AE917" s="32">
        <f t="shared" si="265"/>
        <v>0</v>
      </c>
      <c r="AF917" s="10"/>
      <c r="AG917" s="10"/>
      <c r="AH917" s="10"/>
      <c r="AI917" s="12">
        <f t="shared" si="26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57"/>
      <c r="D918" s="32"/>
      <c r="E918" s="32"/>
      <c r="F918" s="32"/>
      <c r="G918" s="32">
        <f t="shared" si="261"/>
        <v>0</v>
      </c>
      <c r="H918" s="10"/>
      <c r="I918" s="10"/>
      <c r="J918" s="10"/>
      <c r="K918" s="12">
        <f t="shared" si="262"/>
        <v>0</v>
      </c>
      <c r="M918" s="10">
        <v>27</v>
      </c>
      <c r="N918" s="30"/>
      <c r="O918" s="31"/>
      <c r="P918" s="47"/>
      <c r="Q918" s="31"/>
      <c r="R918" s="31"/>
      <c r="S918" s="32">
        <f t="shared" si="263"/>
        <v>0</v>
      </c>
      <c r="T918" s="10"/>
      <c r="U918" s="10"/>
      <c r="V918" s="10"/>
      <c r="W918" s="12">
        <f t="shared" si="26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5"/>
        <v>0</v>
      </c>
      <c r="AF918" s="10"/>
      <c r="AG918" s="10"/>
      <c r="AH918" s="10"/>
      <c r="AI918" s="12">
        <f t="shared" si="26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61"/>
        <v>0</v>
      </c>
      <c r="H919" s="10"/>
      <c r="I919" s="10"/>
      <c r="J919" s="10"/>
      <c r="K919" s="12">
        <f t="shared" si="262"/>
        <v>0</v>
      </c>
      <c r="M919" s="10">
        <v>28</v>
      </c>
      <c r="N919" s="30"/>
      <c r="O919" s="31"/>
      <c r="P919" s="47"/>
      <c r="Q919" s="31"/>
      <c r="R919" s="31"/>
      <c r="S919" s="32">
        <f t="shared" si="263"/>
        <v>0</v>
      </c>
      <c r="T919" s="10"/>
      <c r="U919" s="10"/>
      <c r="V919" s="10"/>
      <c r="W919" s="12">
        <f t="shared" si="26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5"/>
        <v>0</v>
      </c>
      <c r="AF919" s="10"/>
      <c r="AG919" s="10"/>
      <c r="AH919" s="10"/>
      <c r="AI919" s="12">
        <f t="shared" si="26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31"/>
      <c r="D920" s="32"/>
      <c r="E920" s="32"/>
      <c r="F920" s="32"/>
      <c r="G920" s="32">
        <f t="shared" si="261"/>
        <v>0</v>
      </c>
      <c r="H920" s="10"/>
      <c r="I920" s="10"/>
      <c r="J920" s="10"/>
      <c r="K920" s="12">
        <f t="shared" si="262"/>
        <v>0</v>
      </c>
      <c r="M920" s="10">
        <v>29</v>
      </c>
      <c r="N920" s="30"/>
      <c r="P920" s="47"/>
      <c r="Q920" s="31"/>
      <c r="R920" s="31"/>
      <c r="S920" s="32">
        <f t="shared" si="263"/>
        <v>0</v>
      </c>
      <c r="T920" s="10"/>
      <c r="U920" s="10"/>
      <c r="V920" s="10"/>
      <c r="W920" s="12">
        <f t="shared" si="26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5"/>
        <v>0</v>
      </c>
      <c r="AF920" s="10"/>
      <c r="AG920" s="10"/>
      <c r="AH920" s="10"/>
      <c r="AI920" s="12">
        <f t="shared" si="26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61"/>
        <v>0</v>
      </c>
      <c r="H921" s="10"/>
      <c r="I921" s="10"/>
      <c r="J921" s="10"/>
      <c r="K921" s="12">
        <f t="shared" si="262"/>
        <v>0</v>
      </c>
      <c r="M921" s="10">
        <v>30</v>
      </c>
      <c r="N921" s="30"/>
      <c r="P921" s="47"/>
      <c r="Q921" s="31"/>
      <c r="R921" s="31"/>
      <c r="S921" s="32">
        <f t="shared" si="263"/>
        <v>0</v>
      </c>
      <c r="T921" s="10"/>
      <c r="U921" s="10"/>
      <c r="V921" s="10"/>
      <c r="W921" s="12">
        <f t="shared" si="264"/>
        <v>0</v>
      </c>
      <c r="Y921" s="10">
        <v>30</v>
      </c>
      <c r="Z921" s="30"/>
      <c r="AB921" s="47"/>
      <c r="AC921" s="31"/>
      <c r="AD921" s="31"/>
      <c r="AE921" s="32">
        <f t="shared" si="265"/>
        <v>0</v>
      </c>
      <c r="AF921" s="10"/>
      <c r="AG921" s="10"/>
      <c r="AH921" s="10"/>
      <c r="AI921" s="12">
        <f t="shared" si="26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57"/>
      <c r="D922" s="32"/>
      <c r="E922" s="32"/>
      <c r="F922" s="32"/>
      <c r="G922" s="32">
        <f t="shared" si="261"/>
        <v>0</v>
      </c>
      <c r="H922" s="10"/>
      <c r="I922" s="10"/>
      <c r="J922" s="10"/>
      <c r="K922" s="12">
        <f t="shared" si="262"/>
        <v>0</v>
      </c>
      <c r="M922" s="10">
        <v>31</v>
      </c>
      <c r="N922" s="30"/>
      <c r="O922" s="31"/>
      <c r="P922" s="47"/>
      <c r="Q922" s="31"/>
      <c r="R922" s="31"/>
      <c r="S922" s="32">
        <f t="shared" si="263"/>
        <v>0</v>
      </c>
      <c r="T922" s="10"/>
      <c r="U922" s="10"/>
      <c r="V922" s="10"/>
      <c r="W922" s="12">
        <f t="shared" si="264"/>
        <v>0</v>
      </c>
      <c r="Y922" s="10">
        <v>31</v>
      </c>
      <c r="Z922" s="30"/>
      <c r="AB922" s="47"/>
      <c r="AC922" s="31"/>
      <c r="AD922" s="31"/>
      <c r="AE922" s="32">
        <f t="shared" si="265"/>
        <v>0</v>
      </c>
      <c r="AF922" s="10"/>
      <c r="AG922" s="10"/>
      <c r="AH922" s="10"/>
      <c r="AI922" s="12">
        <f t="shared" si="26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31"/>
      <c r="D923" s="32"/>
      <c r="E923" s="32"/>
      <c r="F923" s="32"/>
      <c r="G923" s="32">
        <f t="shared" si="261"/>
        <v>0</v>
      </c>
      <c r="H923" s="10"/>
      <c r="I923" s="10"/>
      <c r="J923" s="10"/>
      <c r="K923" s="12">
        <f t="shared" si="262"/>
        <v>0</v>
      </c>
      <c r="M923" s="10">
        <v>32</v>
      </c>
      <c r="N923" s="30"/>
      <c r="P923" s="47"/>
      <c r="Q923" s="31"/>
      <c r="R923" s="31"/>
      <c r="S923" s="32">
        <f t="shared" si="263"/>
        <v>0</v>
      </c>
      <c r="T923" s="10"/>
      <c r="U923" s="10"/>
      <c r="V923" s="10"/>
      <c r="W923" s="12">
        <f t="shared" si="26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5"/>
        <v>0</v>
      </c>
      <c r="AF923" s="10"/>
      <c r="AG923" s="10"/>
      <c r="AH923" s="10"/>
      <c r="AI923" s="12">
        <f t="shared" si="26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57"/>
      <c r="D924" s="32"/>
      <c r="E924" s="32"/>
      <c r="F924" s="32"/>
      <c r="G924" s="32">
        <f t="shared" si="261"/>
        <v>0</v>
      </c>
      <c r="H924" s="10"/>
      <c r="I924" s="10"/>
      <c r="J924" s="10"/>
      <c r="K924" s="12">
        <f t="shared" si="262"/>
        <v>0</v>
      </c>
      <c r="M924" s="10">
        <v>33</v>
      </c>
      <c r="N924" s="30"/>
      <c r="O924" s="31"/>
      <c r="P924" s="47"/>
      <c r="Q924" s="31"/>
      <c r="R924" s="31"/>
      <c r="S924" s="32">
        <f t="shared" si="263"/>
        <v>0</v>
      </c>
      <c r="T924" s="10"/>
      <c r="U924" s="10"/>
      <c r="V924" s="10"/>
      <c r="W924" s="12">
        <f t="shared" si="26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5"/>
        <v>0</v>
      </c>
      <c r="AF924" s="10"/>
      <c r="AG924" s="10"/>
      <c r="AH924" s="10"/>
      <c r="AI924" s="12">
        <f t="shared" si="26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57"/>
      <c r="D925" s="32"/>
      <c r="E925" s="32"/>
      <c r="F925" s="32"/>
      <c r="G925" s="32">
        <f t="shared" si="261"/>
        <v>0</v>
      </c>
      <c r="H925" s="10"/>
      <c r="I925" s="10"/>
      <c r="J925" s="10"/>
      <c r="K925" s="12">
        <f t="shared" si="262"/>
        <v>0</v>
      </c>
      <c r="M925" s="10">
        <v>34</v>
      </c>
      <c r="N925" s="30"/>
      <c r="O925" s="31"/>
      <c r="P925" s="47"/>
      <c r="Q925" s="31"/>
      <c r="R925" s="31"/>
      <c r="S925" s="32">
        <f t="shared" ref="S925:S930" si="270">SUM(P925:Q925)</f>
        <v>0</v>
      </c>
      <c r="T925" s="10"/>
      <c r="U925" s="10"/>
      <c r="V925" s="10"/>
      <c r="W925" s="12">
        <f t="shared" si="264"/>
        <v>0</v>
      </c>
      <c r="Y925" s="10">
        <v>34</v>
      </c>
      <c r="Z925" s="30"/>
      <c r="AB925" s="47"/>
      <c r="AC925" s="31"/>
      <c r="AD925" s="31"/>
      <c r="AE925" s="32">
        <f t="shared" si="265"/>
        <v>0</v>
      </c>
      <c r="AF925" s="10"/>
      <c r="AG925" s="10"/>
      <c r="AH925" s="10"/>
      <c r="AI925" s="12">
        <f t="shared" ref="AI925:AI933" si="271">SUM(AE925:AH925)</f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70"/>
        <v>0</v>
      </c>
      <c r="T926" s="10"/>
      <c r="U926" s="10"/>
      <c r="V926" s="10"/>
      <c r="W926" s="12">
        <f t="shared" si="26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5"/>
        <v>0</v>
      </c>
      <c r="AF926" s="10"/>
      <c r="AG926" s="10"/>
      <c r="AH926" s="10"/>
      <c r="AI926" s="12">
        <f t="shared" si="271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70"/>
        <v>0</v>
      </c>
      <c r="T927" s="10"/>
      <c r="U927" s="10"/>
      <c r="V927" s="10"/>
      <c r="W927" s="12">
        <f t="shared" si="26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5"/>
        <v>0</v>
      </c>
      <c r="AF927" s="10"/>
      <c r="AG927" s="10"/>
      <c r="AH927" s="10"/>
      <c r="AI927" s="12">
        <f t="shared" si="271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70"/>
        <v>0</v>
      </c>
      <c r="T928" s="10"/>
      <c r="U928" s="10"/>
      <c r="V928" s="10"/>
      <c r="W928" s="12">
        <f t="shared" si="26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5"/>
        <v>0</v>
      </c>
      <c r="AF928" s="10"/>
      <c r="AG928" s="10"/>
      <c r="AH928" s="10"/>
      <c r="AI928" s="12">
        <f t="shared" si="271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70"/>
        <v>0</v>
      </c>
      <c r="T929" s="10"/>
      <c r="U929" s="10"/>
      <c r="V929" s="10"/>
      <c r="W929" s="12">
        <f t="shared" si="26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5"/>
        <v>0</v>
      </c>
      <c r="AF929" s="10"/>
      <c r="AG929" s="10"/>
      <c r="AH929" s="10"/>
      <c r="AI929" s="12">
        <f t="shared" si="271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70"/>
        <v>0</v>
      </c>
      <c r="T930" s="10"/>
      <c r="U930" s="10"/>
      <c r="V930" s="10"/>
      <c r="W930" s="12">
        <f t="shared" si="26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5"/>
        <v>0</v>
      </c>
      <c r="AF930" s="10"/>
      <c r="AG930" s="10"/>
      <c r="AH930" s="10"/>
      <c r="AI930" s="12">
        <f t="shared" si="271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71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72">SUM(D932:E932)</f>
        <v>0</v>
      </c>
      <c r="H932" s="10"/>
      <c r="I932" s="10"/>
      <c r="J932" s="10"/>
      <c r="K932" s="12">
        <f t="shared" ref="K932" si="273">SUM(G932:J932)</f>
        <v>0</v>
      </c>
      <c r="M932" s="10"/>
      <c r="N932" s="30"/>
      <c r="O932" s="31"/>
      <c r="P932" s="47"/>
      <c r="Q932" s="31"/>
      <c r="R932" s="31"/>
      <c r="S932" s="32">
        <f t="shared" ref="S932" si="274">SUM(P932:Q932)</f>
        <v>0</v>
      </c>
      <c r="T932" s="10"/>
      <c r="U932" s="10"/>
      <c r="V932" s="10"/>
      <c r="W932" s="12">
        <f t="shared" si="264"/>
        <v>0</v>
      </c>
      <c r="Y932" s="10"/>
      <c r="Z932" s="30"/>
      <c r="AA932" s="31"/>
      <c r="AB932" s="47"/>
      <c r="AC932" s="31"/>
      <c r="AD932" s="31"/>
      <c r="AE932" s="32">
        <f t="shared" ref="AE932" si="275">SUM(AB932:AC932)</f>
        <v>0</v>
      </c>
      <c r="AF932" s="10"/>
      <c r="AG932" s="10"/>
      <c r="AH932" s="10"/>
      <c r="AI932" s="12">
        <f t="shared" si="271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71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771126</v>
      </c>
      <c r="E935" s="38">
        <f t="shared" ref="E935:F935" si="276">SUM(E892:E932)</f>
        <v>-5358</v>
      </c>
      <c r="F935" s="38">
        <f t="shared" si="276"/>
        <v>0</v>
      </c>
      <c r="G935" s="38">
        <f>SUM(G892:G934)</f>
        <v>765768</v>
      </c>
      <c r="H935" s="4"/>
      <c r="I935" s="39">
        <f>SUM(I892:I934)</f>
        <v>46248</v>
      </c>
      <c r="J935" s="39">
        <f>SUM(J892:J934)</f>
        <v>-10446</v>
      </c>
      <c r="K935" s="40">
        <f>SUM(K892:K934)</f>
        <v>801570</v>
      </c>
      <c r="N935" s="57"/>
      <c r="O935" s="57"/>
      <c r="P935" s="38">
        <f>SUM(P892:P934)</f>
        <v>203572.5</v>
      </c>
      <c r="Q935" s="38">
        <f>SUM(Q892:Q916)</f>
        <v>0</v>
      </c>
      <c r="R935" s="38">
        <f>SUM(R892:R916)</f>
        <v>0</v>
      </c>
      <c r="S935" s="38">
        <f>SUM(S892:S934)</f>
        <v>203572.5</v>
      </c>
      <c r="T935" s="4"/>
      <c r="U935" s="41">
        <f>SUM(U892:U934)</f>
        <v>1689</v>
      </c>
      <c r="V935" s="41">
        <f>SUM(V892:V916)</f>
        <v>-111</v>
      </c>
      <c r="W935" s="42">
        <f>SUM(W892:W934)</f>
        <v>205150.5</v>
      </c>
      <c r="Z935" s="57"/>
      <c r="AA935" s="57"/>
      <c r="AB935" s="38">
        <f>SUM(AB892:AB934)</f>
        <v>268821</v>
      </c>
      <c r="AC935" s="38">
        <f>SUM(AC892:AC916)</f>
        <v>-2124</v>
      </c>
      <c r="AD935" s="38">
        <f>SUM(AD892:AD916)</f>
        <v>0</v>
      </c>
      <c r="AE935" s="38">
        <f>SUM(AE892:AE934)</f>
        <v>266697</v>
      </c>
      <c r="AF935" s="4"/>
      <c r="AG935" s="41">
        <f>SUM(AG892:AG934)</f>
        <v>1480.5</v>
      </c>
      <c r="AH935" s="41">
        <f>SUM(AH892:AH916)</f>
        <v>-2886</v>
      </c>
      <c r="AI935" s="42">
        <f>SUM(AI892:AI934)</f>
        <v>265291.5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84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84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37</v>
      </c>
      <c r="W943" s="24"/>
      <c r="Y943" s="21" t="s">
        <v>84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1" t="s">
        <v>17</v>
      </c>
      <c r="E945" s="121"/>
      <c r="F945" s="112"/>
      <c r="G945" s="27"/>
      <c r="I945" s="119" t="s">
        <v>18</v>
      </c>
      <c r="J945" s="120"/>
      <c r="K945" s="117" t="s">
        <v>19</v>
      </c>
      <c r="N945" s="25"/>
      <c r="O945" s="26"/>
      <c r="P945" s="121" t="s">
        <v>17</v>
      </c>
      <c r="Q945" s="121"/>
      <c r="R945" s="112"/>
      <c r="S945" s="27"/>
      <c r="U945" s="119" t="s">
        <v>18</v>
      </c>
      <c r="V945" s="120"/>
      <c r="W945" s="117" t="s">
        <v>19</v>
      </c>
      <c r="Z945" s="25"/>
      <c r="AA945" s="26"/>
      <c r="AB945" s="121" t="s">
        <v>17</v>
      </c>
      <c r="AC945" s="121"/>
      <c r="AD945" s="112"/>
      <c r="AE945" s="27"/>
      <c r="AG945" s="119" t="s">
        <v>18</v>
      </c>
      <c r="AH945" s="120"/>
      <c r="AI945" s="117" t="s">
        <v>19</v>
      </c>
      <c r="AK945" s="62"/>
      <c r="AL945" s="65"/>
      <c r="AM945" s="87"/>
      <c r="AN945" s="123"/>
      <c r="AO945" s="123"/>
      <c r="AP945" s="87"/>
      <c r="AQ945" s="84"/>
      <c r="AR945" s="62"/>
      <c r="AS945" s="123"/>
      <c r="AT945" s="123"/>
      <c r="AU945" s="122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18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18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18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22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85</v>
      </c>
      <c r="C947" s="91">
        <v>7989</v>
      </c>
      <c r="D947" s="32">
        <f>12520+832+190+500</f>
        <v>14042</v>
      </c>
      <c r="E947" s="32"/>
      <c r="F947" s="32"/>
      <c r="G947" s="32">
        <f t="shared" ref="G947:G991" si="277">SUM(D947:E947)</f>
        <v>14042</v>
      </c>
      <c r="H947" s="12"/>
      <c r="I947" s="12">
        <v>270</v>
      </c>
      <c r="J947" s="12"/>
      <c r="K947" s="12">
        <f t="shared" ref="K947:K991" si="278">SUM(G947:J947)</f>
        <v>14312</v>
      </c>
      <c r="M947" s="10">
        <v>1</v>
      </c>
      <c r="N947" s="30" t="s">
        <v>85</v>
      </c>
      <c r="O947" s="31">
        <v>8032</v>
      </c>
      <c r="P947" s="32">
        <f>6260+1228+674</f>
        <v>8162</v>
      </c>
      <c r="Q947" s="32"/>
      <c r="R947" s="32"/>
      <c r="S947" s="32">
        <f>SUM(P947:Q947)</f>
        <v>8162</v>
      </c>
      <c r="T947" s="12"/>
      <c r="U947" s="12"/>
      <c r="V947" s="12"/>
      <c r="W947" s="12">
        <f>SUM(S947:V947)</f>
        <v>8162</v>
      </c>
      <c r="Y947" s="10">
        <v>1</v>
      </c>
      <c r="Z947" s="30" t="s">
        <v>85</v>
      </c>
      <c r="AA947" s="31">
        <v>7891</v>
      </c>
      <c r="AB947" s="32">
        <f>62600+458</f>
        <v>63058</v>
      </c>
      <c r="AC947" s="32">
        <v>-600</v>
      </c>
      <c r="AD947" s="32"/>
      <c r="AE947" s="32">
        <f>SUM(AB947:AC947)</f>
        <v>62458</v>
      </c>
      <c r="AF947" s="12"/>
      <c r="AG947" s="12">
        <v>156</v>
      </c>
      <c r="AH947" s="12"/>
      <c r="AI947" s="12">
        <f>SUM(AE947:AH947)</f>
        <v>62614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85</v>
      </c>
      <c r="C948" s="91">
        <f>C947+1</f>
        <v>7990</v>
      </c>
      <c r="D948" s="32">
        <f>626*13+9.5*13</f>
        <v>8261.5</v>
      </c>
      <c r="E948" s="32"/>
      <c r="F948" s="32"/>
      <c r="G948" s="32">
        <f t="shared" si="277"/>
        <v>8261.5</v>
      </c>
      <c r="H948" s="12"/>
      <c r="I948" s="12"/>
      <c r="J948" s="12"/>
      <c r="K948" s="12">
        <f t="shared" si="278"/>
        <v>8261.5</v>
      </c>
      <c r="M948" s="10">
        <v>2</v>
      </c>
      <c r="N948" s="30" t="s">
        <v>85</v>
      </c>
      <c r="O948" s="31">
        <f>O947+1</f>
        <v>8033</v>
      </c>
      <c r="P948" s="32">
        <f>1878+832+28.5</f>
        <v>2738.5</v>
      </c>
      <c r="Q948" s="32"/>
      <c r="R948" s="32"/>
      <c r="S948" s="32">
        <f t="shared" ref="S948:S991" si="279">SUM(P948:Q948)</f>
        <v>2738.5</v>
      </c>
      <c r="T948" s="12"/>
      <c r="U948" s="12"/>
      <c r="V948" s="12">
        <v>-444</v>
      </c>
      <c r="W948" s="12">
        <f t="shared" ref="W948:W991" si="280">SUM(S948:V948)</f>
        <v>2294.5</v>
      </c>
      <c r="Y948" s="10">
        <v>2</v>
      </c>
      <c r="Z948" s="30" t="s">
        <v>85</v>
      </c>
      <c r="AA948" s="31">
        <f>AA947+1</f>
        <v>7892</v>
      </c>
      <c r="AB948" s="32">
        <f>626*7+229</f>
        <v>4611</v>
      </c>
      <c r="AC948" s="32"/>
      <c r="AD948" s="32"/>
      <c r="AE948" s="32">
        <f t="shared" ref="AE948:AE991" si="281">SUM(AB948:AC948)</f>
        <v>4611</v>
      </c>
      <c r="AF948" s="12"/>
      <c r="AG948" s="12"/>
      <c r="AH948" s="12"/>
      <c r="AI948" s="12">
        <f t="shared" ref="AI948:AI991" si="282">SUM(AE948:AH948)</f>
        <v>4611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85</v>
      </c>
      <c r="C949" s="91">
        <f t="shared" ref="C949:C966" si="283">C948+1</f>
        <v>7991</v>
      </c>
      <c r="D949" s="33">
        <f>626*324+229*13</f>
        <v>205801</v>
      </c>
      <c r="E949" s="33">
        <v>-1944</v>
      </c>
      <c r="F949" s="33"/>
      <c r="G949" s="33">
        <f t="shared" si="277"/>
        <v>203857</v>
      </c>
      <c r="H949" s="34"/>
      <c r="I949" s="34">
        <f>35964+1014</f>
        <v>36978</v>
      </c>
      <c r="J949" s="34"/>
      <c r="K949" s="34">
        <f t="shared" si="278"/>
        <v>240835</v>
      </c>
      <c r="M949" s="10">
        <v>3</v>
      </c>
      <c r="N949" s="30" t="s">
        <v>85</v>
      </c>
      <c r="O949" s="31">
        <f t="shared" ref="O949:O966" si="284">O948+1</f>
        <v>8034</v>
      </c>
      <c r="P949" s="32">
        <f>68860+229</f>
        <v>69089</v>
      </c>
      <c r="Q949" s="32">
        <v>-660</v>
      </c>
      <c r="R949" s="32"/>
      <c r="S949" s="32">
        <f t="shared" si="279"/>
        <v>68429</v>
      </c>
      <c r="T949" s="12"/>
      <c r="U949" s="12">
        <v>837</v>
      </c>
      <c r="V949" s="12"/>
      <c r="W949" s="12">
        <f t="shared" si="280"/>
        <v>69266</v>
      </c>
      <c r="Y949" s="10">
        <v>3</v>
      </c>
      <c r="Z949" s="30" t="s">
        <v>85</v>
      </c>
      <c r="AA949" s="31">
        <f t="shared" ref="AA949:AA956" si="285">AA948+1</f>
        <v>7893</v>
      </c>
      <c r="AB949" s="33">
        <f>31300+5960+1664</f>
        <v>38924</v>
      </c>
      <c r="AC949" s="33"/>
      <c r="AD949" s="32"/>
      <c r="AE949" s="32">
        <f t="shared" si="281"/>
        <v>38924</v>
      </c>
      <c r="AF949" s="12"/>
      <c r="AG949" s="12">
        <v>405</v>
      </c>
      <c r="AH949" s="12"/>
      <c r="AI949" s="12">
        <f t="shared" si="282"/>
        <v>39329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85</v>
      </c>
      <c r="C950" s="91">
        <f t="shared" si="283"/>
        <v>7992</v>
      </c>
      <c r="D950" s="32">
        <f>81380+1300</f>
        <v>82680</v>
      </c>
      <c r="E950" s="32"/>
      <c r="F950" s="32"/>
      <c r="G950" s="32">
        <f t="shared" si="277"/>
        <v>82680</v>
      </c>
      <c r="H950" s="12"/>
      <c r="I950" s="12">
        <f>444+27</f>
        <v>471</v>
      </c>
      <c r="J950" s="12"/>
      <c r="K950" s="12">
        <f t="shared" si="278"/>
        <v>83151</v>
      </c>
      <c r="M950" s="10">
        <v>4</v>
      </c>
      <c r="N950" s="30" t="s">
        <v>85</v>
      </c>
      <c r="O950" s="31">
        <f t="shared" si="284"/>
        <v>8035</v>
      </c>
      <c r="P950" s="32">
        <f>6260+336</f>
        <v>6596</v>
      </c>
      <c r="Q950" s="32"/>
      <c r="R950" s="32"/>
      <c r="S950" s="32">
        <f t="shared" si="279"/>
        <v>6596</v>
      </c>
      <c r="T950" s="12"/>
      <c r="U950" s="12"/>
      <c r="V950" s="12"/>
      <c r="W950" s="12">
        <f t="shared" si="280"/>
        <v>6596</v>
      </c>
      <c r="Y950" s="10">
        <v>4</v>
      </c>
      <c r="Z950" s="30" t="s">
        <v>85</v>
      </c>
      <c r="AA950" s="31">
        <f t="shared" si="285"/>
        <v>7894</v>
      </c>
      <c r="AB950" s="32">
        <f>626*100+614*5+11920+852*3+832*2+229*5+650*5</f>
        <v>86205</v>
      </c>
      <c r="AC950" s="32">
        <v>-780</v>
      </c>
      <c r="AD950" s="32"/>
      <c r="AE950" s="32">
        <f t="shared" si="281"/>
        <v>85425</v>
      </c>
      <c r="AF950" s="12"/>
      <c r="AG950">
        <f>240+144</f>
        <v>384</v>
      </c>
      <c r="AH950" s="12"/>
      <c r="AI950" s="12">
        <f t="shared" si="282"/>
        <v>85809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85</v>
      </c>
      <c r="C951" s="91">
        <f t="shared" si="283"/>
        <v>7993</v>
      </c>
      <c r="D951" s="32">
        <f>45072</f>
        <v>45072</v>
      </c>
      <c r="E951" s="32"/>
      <c r="F951" s="32"/>
      <c r="G951" s="32">
        <f t="shared" si="277"/>
        <v>45072</v>
      </c>
      <c r="H951" s="12"/>
      <c r="I951" s="12"/>
      <c r="J951" s="12"/>
      <c r="K951" s="12">
        <f t="shared" si="278"/>
        <v>45072</v>
      </c>
      <c r="M951" s="10">
        <v>5</v>
      </c>
      <c r="N951" s="30" t="s">
        <v>85</v>
      </c>
      <c r="O951" s="31">
        <f t="shared" si="284"/>
        <v>8036</v>
      </c>
      <c r="P951" s="32">
        <f>68860+1842+5960+852+2496+916</f>
        <v>80926</v>
      </c>
      <c r="Q951" s="32"/>
      <c r="R951" s="32"/>
      <c r="S951" s="32">
        <f t="shared" si="279"/>
        <v>80926</v>
      </c>
      <c r="T951" s="12"/>
      <c r="U951" s="12">
        <f>2886+1566</f>
        <v>4452</v>
      </c>
      <c r="V951" s="12"/>
      <c r="W951" s="12">
        <f t="shared" si="280"/>
        <v>85378</v>
      </c>
      <c r="Y951" s="10">
        <v>5</v>
      </c>
      <c r="Z951" s="30" t="s">
        <v>85</v>
      </c>
      <c r="AA951" s="31">
        <f t="shared" si="285"/>
        <v>7895</v>
      </c>
      <c r="AB951" s="32">
        <f>62600+10050+16640+916</f>
        <v>90206</v>
      </c>
      <c r="AC951" s="32">
        <v>-780</v>
      </c>
      <c r="AD951" s="32"/>
      <c r="AE951" s="32">
        <f t="shared" si="281"/>
        <v>89426</v>
      </c>
      <c r="AF951" s="12"/>
      <c r="AG951" s="12">
        <f>120*19+42</f>
        <v>2322</v>
      </c>
      <c r="AH951" s="12"/>
      <c r="AI951" s="12">
        <f t="shared" si="282"/>
        <v>91748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85</v>
      </c>
      <c r="C952" s="91">
        <f t="shared" si="283"/>
        <v>7994</v>
      </c>
      <c r="D952" s="32">
        <f>7512+114</f>
        <v>7626</v>
      </c>
      <c r="E952" s="32"/>
      <c r="F952" s="32"/>
      <c r="G952" s="32">
        <f t="shared" si="277"/>
        <v>7626</v>
      </c>
      <c r="H952" s="12"/>
      <c r="I952" s="12"/>
      <c r="J952" s="12"/>
      <c r="K952" s="12">
        <f t="shared" si="278"/>
        <v>7626</v>
      </c>
      <c r="M952" s="10">
        <v>6</v>
      </c>
      <c r="N952" s="30" t="s">
        <v>85</v>
      </c>
      <c r="O952" s="31">
        <f t="shared" si="284"/>
        <v>8037</v>
      </c>
      <c r="P952" s="32">
        <f>115810+1175+5960+4260+1832+650</f>
        <v>129687</v>
      </c>
      <c r="Q952" s="32">
        <v>-1206</v>
      </c>
      <c r="R952" s="32"/>
      <c r="S952" s="32">
        <f t="shared" si="279"/>
        <v>128481</v>
      </c>
      <c r="T952" s="12"/>
      <c r="U952" s="12">
        <f>480+6438+546</f>
        <v>7464</v>
      </c>
      <c r="V952" s="10">
        <f>-84+-588+-210</f>
        <v>-882</v>
      </c>
      <c r="W952" s="12">
        <f t="shared" si="280"/>
        <v>135063</v>
      </c>
      <c r="Y952" s="10">
        <v>6</v>
      </c>
      <c r="Z952" s="30" t="s">
        <v>85</v>
      </c>
      <c r="AA952" s="31">
        <f t="shared" si="285"/>
        <v>7896</v>
      </c>
      <c r="AB952" s="32">
        <f>11894+2456+229</f>
        <v>14579</v>
      </c>
      <c r="AC952" s="32"/>
      <c r="AD952" s="32"/>
      <c r="AE952" s="32">
        <f t="shared" si="281"/>
        <v>14579</v>
      </c>
      <c r="AF952" s="12"/>
      <c r="AG952" s="12"/>
      <c r="AH952" s="10"/>
      <c r="AI952" s="12">
        <f t="shared" si="282"/>
        <v>14579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85</v>
      </c>
      <c r="C953" s="91">
        <f t="shared" si="283"/>
        <v>7995</v>
      </c>
      <c r="D953" s="32">
        <f>3756</f>
        <v>3756</v>
      </c>
      <c r="E953" s="32"/>
      <c r="F953" s="32"/>
      <c r="G953" s="32">
        <f t="shared" si="277"/>
        <v>3756</v>
      </c>
      <c r="H953" s="12"/>
      <c r="I953" s="12"/>
      <c r="J953" s="12"/>
      <c r="K953" s="12">
        <f t="shared" si="278"/>
        <v>3756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79"/>
        <v>0</v>
      </c>
      <c r="T953" s="12"/>
      <c r="U953" s="12"/>
      <c r="V953" s="12"/>
      <c r="W953" s="12">
        <f t="shared" si="280"/>
        <v>0</v>
      </c>
      <c r="Y953" s="10">
        <v>7</v>
      </c>
      <c r="Z953" s="30" t="s">
        <v>85</v>
      </c>
      <c r="AA953" s="31">
        <f t="shared" si="285"/>
        <v>7897</v>
      </c>
      <c r="AB953" s="32">
        <f>626*58+614*2+229</f>
        <v>37765</v>
      </c>
      <c r="AC953" s="32"/>
      <c r="AD953" s="32"/>
      <c r="AE953" s="32">
        <f t="shared" si="281"/>
        <v>37765</v>
      </c>
      <c r="AF953" s="12"/>
      <c r="AG953" s="58"/>
      <c r="AH953" s="12"/>
      <c r="AI953" s="12">
        <f t="shared" si="282"/>
        <v>37765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85</v>
      </c>
      <c r="C954" s="91">
        <f t="shared" si="283"/>
        <v>7996</v>
      </c>
      <c r="D954" s="32">
        <f>6260+614+852+832+95</f>
        <v>8653</v>
      </c>
      <c r="E954" s="32"/>
      <c r="F954" s="32"/>
      <c r="G954" s="32">
        <f t="shared" si="277"/>
        <v>8653</v>
      </c>
      <c r="H954" s="12"/>
      <c r="I954" s="12"/>
      <c r="J954" s="12"/>
      <c r="K954" s="12">
        <f t="shared" si="278"/>
        <v>8653</v>
      </c>
      <c r="M954" s="10">
        <v>8</v>
      </c>
      <c r="N954" s="30"/>
      <c r="O954" s="31"/>
      <c r="P954" s="32"/>
      <c r="Q954" s="32"/>
      <c r="R954" s="32"/>
      <c r="S954" s="32">
        <f t="shared" si="279"/>
        <v>0</v>
      </c>
      <c r="T954" s="12"/>
      <c r="U954" s="12"/>
      <c r="V954" s="12"/>
      <c r="W954" s="12">
        <f t="shared" si="280"/>
        <v>0</v>
      </c>
      <c r="Y954" s="10">
        <v>8</v>
      </c>
      <c r="Z954" s="30" t="s">
        <v>85</v>
      </c>
      <c r="AA954" s="31">
        <f t="shared" si="285"/>
        <v>7898</v>
      </c>
      <c r="AB954" s="32">
        <f>35056+11920+458</f>
        <v>47434</v>
      </c>
      <c r="AC954" s="32">
        <v>-456</v>
      </c>
      <c r="AE954" s="32">
        <f t="shared" si="281"/>
        <v>46978</v>
      </c>
      <c r="AF954" s="12"/>
      <c r="AG954" s="12">
        <f>3108+162</f>
        <v>3270</v>
      </c>
      <c r="AH954" s="12"/>
      <c r="AI954" s="12">
        <f t="shared" si="282"/>
        <v>50248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85</v>
      </c>
      <c r="C955" s="91">
        <f t="shared" si="283"/>
        <v>7997</v>
      </c>
      <c r="D955" s="32">
        <f>15650+1826+2980+1005+229+500</f>
        <v>22190</v>
      </c>
      <c r="E955" s="32"/>
      <c r="F955" s="32"/>
      <c r="G955" s="32">
        <f t="shared" si="277"/>
        <v>22190</v>
      </c>
      <c r="H955" s="12"/>
      <c r="I955" s="12">
        <f>1.5*37</f>
        <v>55.5</v>
      </c>
      <c r="J955" s="12"/>
      <c r="K955" s="12">
        <f t="shared" si="278"/>
        <v>22245.5</v>
      </c>
      <c r="M955" s="10">
        <v>9</v>
      </c>
      <c r="N955" s="30"/>
      <c r="O955" s="31"/>
      <c r="P955" s="32"/>
      <c r="Q955" s="32"/>
      <c r="R955" s="32"/>
      <c r="S955" s="32">
        <f t="shared" si="279"/>
        <v>0</v>
      </c>
      <c r="T955" s="12"/>
      <c r="U955" s="12"/>
      <c r="V955" s="12"/>
      <c r="W955" s="12">
        <f t="shared" si="280"/>
        <v>0</v>
      </c>
      <c r="Y955" s="10">
        <v>9</v>
      </c>
      <c r="Z955" s="30" t="s">
        <v>85</v>
      </c>
      <c r="AA955" s="31">
        <f t="shared" si="285"/>
        <v>7899</v>
      </c>
      <c r="AB955">
        <f>67608+25032+1374</f>
        <v>94014</v>
      </c>
      <c r="AC955" s="32"/>
      <c r="AD955" s="32"/>
      <c r="AE955" s="32">
        <f t="shared" si="281"/>
        <v>94014</v>
      </c>
      <c r="AF955" s="12"/>
      <c r="AG955">
        <f>16650+468</f>
        <v>17118</v>
      </c>
      <c r="AH955" s="12"/>
      <c r="AI955" s="12">
        <f t="shared" si="282"/>
        <v>111132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85</v>
      </c>
      <c r="C956" s="91">
        <f t="shared" si="283"/>
        <v>7998</v>
      </c>
      <c r="D956" s="32">
        <f>2739+1005+832</f>
        <v>4576</v>
      </c>
      <c r="E956" s="32"/>
      <c r="F956" s="32"/>
      <c r="G956" s="32">
        <f t="shared" si="277"/>
        <v>4576</v>
      </c>
      <c r="H956" s="12"/>
      <c r="I956" s="12"/>
      <c r="J956" s="12"/>
      <c r="K956" s="12">
        <f t="shared" si="278"/>
        <v>4576</v>
      </c>
      <c r="M956" s="10">
        <v>10</v>
      </c>
      <c r="N956" s="30"/>
      <c r="O956" s="31"/>
      <c r="P956" s="32"/>
      <c r="Q956" s="32"/>
      <c r="R956" s="32"/>
      <c r="S956" s="32">
        <f t="shared" si="279"/>
        <v>0</v>
      </c>
      <c r="T956" s="12"/>
      <c r="U956" s="12"/>
      <c r="V956" s="12"/>
      <c r="W956" s="12">
        <f t="shared" si="280"/>
        <v>0</v>
      </c>
      <c r="Y956" s="10">
        <v>10</v>
      </c>
      <c r="Z956" s="30" t="s">
        <v>85</v>
      </c>
      <c r="AA956" s="31">
        <f t="shared" si="285"/>
        <v>7900</v>
      </c>
      <c r="AB956" s="32">
        <f>614</f>
        <v>614</v>
      </c>
      <c r="AC956" s="32"/>
      <c r="AD956" s="32"/>
      <c r="AE956" s="32">
        <f t="shared" si="281"/>
        <v>614</v>
      </c>
      <c r="AF956" s="12"/>
      <c r="AG956" s="12"/>
      <c r="AH956" s="12"/>
      <c r="AI956" s="12">
        <f t="shared" si="282"/>
        <v>614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85</v>
      </c>
      <c r="C957" s="91">
        <f t="shared" si="283"/>
        <v>7999</v>
      </c>
      <c r="D957" s="32">
        <f>45650+852+3015+832</f>
        <v>50349</v>
      </c>
      <c r="E957" s="32"/>
      <c r="F957" s="32"/>
      <c r="G957" s="32">
        <f t="shared" si="277"/>
        <v>50349</v>
      </c>
      <c r="H957" s="12"/>
      <c r="I957" s="12"/>
      <c r="J957" s="12"/>
      <c r="K957" s="12">
        <f t="shared" si="278"/>
        <v>50349</v>
      </c>
      <c r="M957" s="10">
        <v>11</v>
      </c>
      <c r="N957" s="30"/>
      <c r="O957" s="31"/>
      <c r="P957" s="32"/>
      <c r="Q957" s="32"/>
      <c r="R957" s="32"/>
      <c r="S957" s="32">
        <f t="shared" si="279"/>
        <v>0</v>
      </c>
      <c r="T957" s="12"/>
      <c r="U957" s="12"/>
      <c r="V957" s="12"/>
      <c r="W957" s="12">
        <f t="shared" si="280"/>
        <v>0</v>
      </c>
      <c r="Y957" s="10">
        <v>11</v>
      </c>
      <c r="Z957" s="30"/>
      <c r="AA957" s="11" t="s">
        <v>27</v>
      </c>
      <c r="AB957" s="32"/>
      <c r="AC957" s="32"/>
      <c r="AD957" s="32"/>
      <c r="AE957" s="32">
        <f t="shared" si="281"/>
        <v>0</v>
      </c>
      <c r="AF957" s="12"/>
      <c r="AG957" s="12"/>
      <c r="AH957" s="12"/>
      <c r="AI957" s="12">
        <f t="shared" si="282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7"/>
        <v>0</v>
      </c>
      <c r="H958" s="12"/>
      <c r="I958" s="12"/>
      <c r="J958" s="10"/>
      <c r="K958" s="12">
        <f t="shared" si="278"/>
        <v>0</v>
      </c>
      <c r="M958" s="10">
        <v>12</v>
      </c>
      <c r="N958" s="30"/>
      <c r="O958" s="31"/>
      <c r="P958" s="32"/>
      <c r="Q958" s="32"/>
      <c r="R958" s="32"/>
      <c r="S958" s="32">
        <f t="shared" si="279"/>
        <v>0</v>
      </c>
      <c r="T958" s="12"/>
      <c r="U958" s="12"/>
      <c r="V958" s="12"/>
      <c r="W958" s="12">
        <f t="shared" si="280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1"/>
        <v>0</v>
      </c>
      <c r="AF958" s="12"/>
      <c r="AG958" s="12"/>
      <c r="AH958" s="12"/>
      <c r="AI958" s="12">
        <f t="shared" si="282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91"/>
      <c r="D959" s="32"/>
      <c r="E959" s="32"/>
      <c r="F959" s="32"/>
      <c r="G959" s="32">
        <f t="shared" si="277"/>
        <v>0</v>
      </c>
      <c r="H959" s="12"/>
      <c r="I959" s="12"/>
      <c r="J959" s="12"/>
      <c r="K959" s="12">
        <f t="shared" si="278"/>
        <v>0</v>
      </c>
      <c r="M959" s="10">
        <v>13</v>
      </c>
      <c r="N959" s="30"/>
      <c r="O959" s="31"/>
      <c r="P959" s="32"/>
      <c r="Q959" s="32"/>
      <c r="R959" s="32"/>
      <c r="S959" s="32">
        <f t="shared" si="279"/>
        <v>0</v>
      </c>
      <c r="T959" s="12"/>
      <c r="U959" s="12"/>
      <c r="V959" s="12"/>
      <c r="W959" s="12">
        <f t="shared" si="280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81"/>
        <v>0</v>
      </c>
      <c r="AF959" s="12"/>
      <c r="AG959" s="12"/>
      <c r="AH959" s="12"/>
      <c r="AI959" s="12">
        <f t="shared" si="282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91"/>
      <c r="D960" s="32"/>
      <c r="E960" s="32"/>
      <c r="F960" s="32"/>
      <c r="G960" s="32">
        <f t="shared" si="277"/>
        <v>0</v>
      </c>
      <c r="H960" s="12"/>
      <c r="I960" s="12"/>
      <c r="J960" s="12"/>
      <c r="K960" s="12">
        <f t="shared" si="278"/>
        <v>0</v>
      </c>
      <c r="M960" s="10">
        <v>14</v>
      </c>
      <c r="N960" s="30"/>
      <c r="O960" s="31"/>
      <c r="P960" s="32"/>
      <c r="Q960" s="32"/>
      <c r="R960" s="32"/>
      <c r="S960" s="32">
        <f t="shared" si="279"/>
        <v>0</v>
      </c>
      <c r="T960" s="12"/>
      <c r="U960" s="12"/>
      <c r="V960" s="12"/>
      <c r="W960" s="12">
        <f t="shared" si="280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1"/>
        <v>0</v>
      </c>
      <c r="AF960" s="12"/>
      <c r="AG960" s="12"/>
      <c r="AH960" s="12"/>
      <c r="AI960" s="12">
        <f t="shared" si="282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91"/>
      <c r="D961" s="32"/>
      <c r="E961" s="32"/>
      <c r="F961" s="32"/>
      <c r="G961" s="32">
        <f t="shared" si="277"/>
        <v>0</v>
      </c>
      <c r="H961" s="12"/>
      <c r="I961" s="12"/>
      <c r="J961" s="12"/>
      <c r="K961" s="12">
        <f t="shared" si="278"/>
        <v>0</v>
      </c>
      <c r="M961" s="10">
        <v>15</v>
      </c>
      <c r="N961" s="30"/>
      <c r="O961" s="31"/>
      <c r="P961" s="32"/>
      <c r="Q961" s="32"/>
      <c r="R961" s="32"/>
      <c r="S961" s="32">
        <f t="shared" si="279"/>
        <v>0</v>
      </c>
      <c r="T961" s="12"/>
      <c r="U961" s="12"/>
      <c r="V961" s="12"/>
      <c r="W961" s="12">
        <f t="shared" si="280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81"/>
        <v>0</v>
      </c>
      <c r="AF961" s="12"/>
      <c r="AG961" s="12"/>
      <c r="AH961" s="12"/>
      <c r="AI961" s="12">
        <f t="shared" si="282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1"/>
      <c r="D962" s="32"/>
      <c r="E962" s="32"/>
      <c r="F962" s="32"/>
      <c r="G962" s="32">
        <f t="shared" si="277"/>
        <v>0</v>
      </c>
      <c r="H962" s="12"/>
      <c r="I962" s="12"/>
      <c r="J962" s="12"/>
      <c r="K962" s="12">
        <f t="shared" si="278"/>
        <v>0</v>
      </c>
      <c r="M962" s="10">
        <v>16</v>
      </c>
      <c r="N962" s="30"/>
      <c r="O962" s="31"/>
      <c r="P962" s="32"/>
      <c r="Q962" s="32"/>
      <c r="R962" s="32"/>
      <c r="S962" s="32">
        <f t="shared" si="279"/>
        <v>0</v>
      </c>
      <c r="T962" s="12"/>
      <c r="U962" s="12"/>
      <c r="V962" s="12"/>
      <c r="W962" s="12">
        <f t="shared" si="280"/>
        <v>0</v>
      </c>
      <c r="Y962" s="10">
        <v>16</v>
      </c>
      <c r="Z962" s="30"/>
      <c r="AB962" s="32"/>
      <c r="AC962" s="32"/>
      <c r="AD962" s="32"/>
      <c r="AE962" s="32">
        <f t="shared" si="281"/>
        <v>0</v>
      </c>
      <c r="AF962" s="12"/>
      <c r="AG962" s="12"/>
      <c r="AH962" s="12"/>
      <c r="AI962" s="12">
        <f t="shared" si="282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1"/>
      <c r="D963" s="32"/>
      <c r="E963" s="32"/>
      <c r="F963" s="32"/>
      <c r="G963" s="32">
        <f t="shared" si="277"/>
        <v>0</v>
      </c>
      <c r="H963" s="12"/>
      <c r="I963" s="12"/>
      <c r="J963" s="12"/>
      <c r="K963" s="12">
        <f t="shared" si="278"/>
        <v>0</v>
      </c>
      <c r="M963" s="10">
        <v>17</v>
      </c>
      <c r="N963" s="30"/>
      <c r="O963" s="31"/>
      <c r="P963" s="35"/>
      <c r="Q963" s="32"/>
      <c r="R963" s="32"/>
      <c r="S963" s="32">
        <f t="shared" si="279"/>
        <v>0</v>
      </c>
      <c r="T963" s="12"/>
      <c r="U963" s="12"/>
      <c r="V963" s="12"/>
      <c r="W963" s="12">
        <f t="shared" si="280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1"/>
        <v>0</v>
      </c>
      <c r="AF963" s="12"/>
      <c r="AG963" s="12"/>
      <c r="AH963" s="12"/>
      <c r="AI963" s="12">
        <f t="shared" si="282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1"/>
      <c r="D964" s="32"/>
      <c r="E964" s="32"/>
      <c r="F964" s="32"/>
      <c r="G964" s="32">
        <f t="shared" si="277"/>
        <v>0</v>
      </c>
      <c r="H964" s="12"/>
      <c r="I964" s="12"/>
      <c r="J964" s="12"/>
      <c r="K964" s="12">
        <f t="shared" si="278"/>
        <v>0</v>
      </c>
      <c r="M964" s="10">
        <v>18</v>
      </c>
      <c r="N964" s="30"/>
      <c r="O964" s="31"/>
      <c r="P964" s="32"/>
      <c r="Q964" s="32"/>
      <c r="R964" s="32"/>
      <c r="S964" s="32">
        <f t="shared" si="279"/>
        <v>0</v>
      </c>
      <c r="T964" s="12"/>
      <c r="U964" s="12"/>
      <c r="V964" s="12"/>
      <c r="W964" s="12">
        <f t="shared" si="280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1"/>
        <v>0</v>
      </c>
      <c r="AF964" s="12"/>
      <c r="AG964" s="12"/>
      <c r="AH964" s="12"/>
      <c r="AI964" s="12">
        <f t="shared" si="282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1"/>
      <c r="D965" s="32"/>
      <c r="E965" s="32"/>
      <c r="F965" s="32"/>
      <c r="G965" s="32">
        <f t="shared" si="277"/>
        <v>0</v>
      </c>
      <c r="H965" s="12"/>
      <c r="I965" s="12"/>
      <c r="J965" s="12"/>
      <c r="K965" s="12">
        <f t="shared" si="278"/>
        <v>0</v>
      </c>
      <c r="M965" s="10">
        <v>19</v>
      </c>
      <c r="N965" s="30"/>
      <c r="O965" s="31"/>
      <c r="P965" s="32"/>
      <c r="Q965" s="32"/>
      <c r="R965" s="32"/>
      <c r="S965" s="32">
        <f t="shared" si="279"/>
        <v>0</v>
      </c>
      <c r="T965" s="12"/>
      <c r="U965" s="12"/>
      <c r="V965" s="12"/>
      <c r="W965" s="12">
        <f t="shared" si="280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1"/>
        <v>0</v>
      </c>
      <c r="AF965" s="12"/>
      <c r="AG965" s="12"/>
      <c r="AH965" s="12"/>
      <c r="AI965" s="12">
        <f t="shared" si="282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1"/>
      <c r="D966" s="32"/>
      <c r="E966" s="32"/>
      <c r="F966" s="32"/>
      <c r="G966" s="32">
        <f t="shared" si="277"/>
        <v>0</v>
      </c>
      <c r="H966" s="12"/>
      <c r="I966" s="12"/>
      <c r="J966" s="12"/>
      <c r="K966" s="12">
        <f t="shared" si="278"/>
        <v>0</v>
      </c>
      <c r="M966" s="10">
        <v>20</v>
      </c>
      <c r="N966" s="30"/>
      <c r="O966" s="31"/>
      <c r="P966" s="32"/>
      <c r="Q966" s="32"/>
      <c r="R966" s="32"/>
      <c r="S966" s="32">
        <f t="shared" si="279"/>
        <v>0</v>
      </c>
      <c r="T966" s="12"/>
      <c r="U966" s="12"/>
      <c r="V966" s="12"/>
      <c r="W966" s="12">
        <f t="shared" si="280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1"/>
        <v>0</v>
      </c>
      <c r="AF966" s="12"/>
      <c r="AG966" s="12"/>
      <c r="AH966" s="12"/>
      <c r="AI966" s="12">
        <f t="shared" si="282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77"/>
        <v>0</v>
      </c>
      <c r="H967" s="10"/>
      <c r="I967" s="10"/>
      <c r="J967" s="10"/>
      <c r="K967" s="12">
        <f t="shared" si="278"/>
        <v>0</v>
      </c>
      <c r="M967" s="10">
        <v>21</v>
      </c>
      <c r="N967" s="30"/>
      <c r="P967" s="46"/>
      <c r="Q967" s="31"/>
      <c r="R967" s="31"/>
      <c r="S967" s="32">
        <f t="shared" si="279"/>
        <v>0</v>
      </c>
      <c r="T967" s="10"/>
      <c r="U967" s="10"/>
      <c r="V967" s="10"/>
      <c r="W967" s="12">
        <f t="shared" si="280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81"/>
        <v>0</v>
      </c>
      <c r="AF967" s="10"/>
      <c r="AG967" s="10"/>
      <c r="AH967" s="10"/>
      <c r="AI967" s="12">
        <f t="shared" si="282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1"/>
      <c r="D968" s="32"/>
      <c r="E968" s="32"/>
      <c r="F968" s="32"/>
      <c r="G968" s="32">
        <f t="shared" si="277"/>
        <v>0</v>
      </c>
      <c r="H968" s="10"/>
      <c r="I968" s="10"/>
      <c r="J968" s="10"/>
      <c r="K968" s="12">
        <f t="shared" si="278"/>
        <v>0</v>
      </c>
      <c r="M968" s="10">
        <v>22</v>
      </c>
      <c r="N968" s="30"/>
      <c r="O968" s="31"/>
      <c r="P968" s="45"/>
      <c r="Q968" s="31"/>
      <c r="R968" s="31"/>
      <c r="S968" s="32">
        <f t="shared" si="279"/>
        <v>0</v>
      </c>
      <c r="T968" s="10"/>
      <c r="U968" s="10"/>
      <c r="V968" s="10"/>
      <c r="W968" s="12">
        <f t="shared" si="280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1"/>
        <v>0</v>
      </c>
      <c r="AF968" s="10"/>
      <c r="AG968" s="10"/>
      <c r="AH968" s="10"/>
      <c r="AI968" s="12">
        <f t="shared" si="282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91"/>
      <c r="D969" s="32"/>
      <c r="E969" s="32"/>
      <c r="F969" s="32"/>
      <c r="G969" s="32">
        <f t="shared" si="277"/>
        <v>0</v>
      </c>
      <c r="H969" s="10"/>
      <c r="I969" s="10"/>
      <c r="J969" s="12"/>
      <c r="K969" s="12">
        <f t="shared" si="278"/>
        <v>0</v>
      </c>
      <c r="M969" s="10">
        <v>23</v>
      </c>
      <c r="N969" s="30"/>
      <c r="O969" s="31"/>
      <c r="P969" s="47"/>
      <c r="S969" s="32">
        <f t="shared" si="279"/>
        <v>0</v>
      </c>
      <c r="T969" s="10"/>
      <c r="U969" s="10"/>
      <c r="V969" s="10"/>
      <c r="W969" s="12">
        <f t="shared" si="280"/>
        <v>0</v>
      </c>
      <c r="Y969" s="10">
        <v>23</v>
      </c>
      <c r="Z969" s="30"/>
      <c r="AA969" s="31"/>
      <c r="AB969" s="47"/>
      <c r="AE969" s="32">
        <f t="shared" si="281"/>
        <v>0</v>
      </c>
      <c r="AF969" s="10"/>
      <c r="AG969" s="10"/>
      <c r="AH969" s="10"/>
      <c r="AI969" s="12">
        <f t="shared" si="282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57"/>
      <c r="D970" s="32"/>
      <c r="E970" s="32"/>
      <c r="F970" s="32"/>
      <c r="G970" s="32">
        <f t="shared" si="277"/>
        <v>0</v>
      </c>
      <c r="H970" s="10"/>
      <c r="I970" s="10"/>
      <c r="J970" s="10"/>
      <c r="K970" s="12">
        <f t="shared" si="278"/>
        <v>0</v>
      </c>
      <c r="M970" s="10">
        <v>24</v>
      </c>
      <c r="N970" s="30"/>
      <c r="O970" s="31"/>
      <c r="P970" s="47"/>
      <c r="Q970" s="31"/>
      <c r="R970" s="31"/>
      <c r="S970" s="32">
        <f t="shared" si="279"/>
        <v>0</v>
      </c>
      <c r="T970" s="10"/>
      <c r="U970" s="10"/>
      <c r="V970" s="10"/>
      <c r="W970" s="12">
        <f t="shared" si="280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1"/>
        <v>0</v>
      </c>
      <c r="AF970" s="10"/>
      <c r="AG970" s="10"/>
      <c r="AH970" s="10"/>
      <c r="AI970" s="12">
        <f t="shared" si="282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77"/>
        <v>0</v>
      </c>
      <c r="H971" s="10"/>
      <c r="I971" s="10"/>
      <c r="J971" s="10"/>
      <c r="K971" s="12">
        <f t="shared" si="278"/>
        <v>0</v>
      </c>
      <c r="M971" s="10">
        <v>25</v>
      </c>
      <c r="N971" s="30"/>
      <c r="P971" s="47"/>
      <c r="Q971" s="31"/>
      <c r="R971" s="31"/>
      <c r="S971" s="32">
        <f t="shared" si="279"/>
        <v>0</v>
      </c>
      <c r="T971" s="10"/>
      <c r="U971" s="10"/>
      <c r="V971" s="10"/>
      <c r="W971" s="12">
        <f t="shared" si="280"/>
        <v>0</v>
      </c>
      <c r="Y971" s="10">
        <v>25</v>
      </c>
      <c r="Z971" s="30"/>
      <c r="AB971" s="47"/>
      <c r="AC971" s="31"/>
      <c r="AD971" s="31"/>
      <c r="AE971" s="32">
        <f t="shared" si="281"/>
        <v>0</v>
      </c>
      <c r="AF971" s="10"/>
      <c r="AG971" s="10"/>
      <c r="AH971" s="10"/>
      <c r="AI971" s="12">
        <f t="shared" si="282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11"/>
      <c r="D972" s="32"/>
      <c r="E972" s="32"/>
      <c r="F972" s="32"/>
      <c r="G972" s="32">
        <f t="shared" si="277"/>
        <v>0</v>
      </c>
      <c r="H972" s="10"/>
      <c r="I972" s="10"/>
      <c r="J972" s="10"/>
      <c r="K972" s="12">
        <f t="shared" si="278"/>
        <v>0</v>
      </c>
      <c r="M972" s="10">
        <v>26</v>
      </c>
      <c r="N972" s="30"/>
      <c r="P972" s="47"/>
      <c r="Q972" s="31"/>
      <c r="R972" s="31"/>
      <c r="S972" s="32">
        <f t="shared" si="279"/>
        <v>0</v>
      </c>
      <c r="T972" s="10"/>
      <c r="U972" s="10"/>
      <c r="V972" s="10"/>
      <c r="W972" s="12">
        <f t="shared" si="280"/>
        <v>0</v>
      </c>
      <c r="Y972" s="10">
        <v>26</v>
      </c>
      <c r="Z972" s="30"/>
      <c r="AB972" s="47"/>
      <c r="AC972" s="31"/>
      <c r="AD972" s="31"/>
      <c r="AE972" s="32">
        <f t="shared" si="281"/>
        <v>0</v>
      </c>
      <c r="AF972" s="10"/>
      <c r="AG972" s="10"/>
      <c r="AH972" s="10"/>
      <c r="AI972" s="12">
        <f t="shared" si="282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57"/>
      <c r="D973" s="32"/>
      <c r="E973" s="32"/>
      <c r="F973" s="32"/>
      <c r="G973" s="32">
        <f t="shared" si="277"/>
        <v>0</v>
      </c>
      <c r="H973" s="10"/>
      <c r="I973" s="10"/>
      <c r="J973" s="10"/>
      <c r="K973" s="12">
        <f t="shared" si="278"/>
        <v>0</v>
      </c>
      <c r="M973" s="10">
        <v>27</v>
      </c>
      <c r="N973" s="30"/>
      <c r="O973" s="31"/>
      <c r="P973" s="47"/>
      <c r="Q973" s="31"/>
      <c r="R973" s="31"/>
      <c r="S973" s="32">
        <f t="shared" si="279"/>
        <v>0</v>
      </c>
      <c r="T973" s="10"/>
      <c r="U973" s="10"/>
      <c r="V973" s="10"/>
      <c r="W973" s="12">
        <f t="shared" si="280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1"/>
        <v>0</v>
      </c>
      <c r="AF973" s="10"/>
      <c r="AG973" s="10"/>
      <c r="AH973" s="10"/>
      <c r="AI973" s="12">
        <f t="shared" si="282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77"/>
        <v>0</v>
      </c>
      <c r="H974" s="10"/>
      <c r="I974" s="10"/>
      <c r="J974" s="10"/>
      <c r="K974" s="12">
        <f t="shared" si="278"/>
        <v>0</v>
      </c>
      <c r="M974" s="10">
        <v>28</v>
      </c>
      <c r="N974" s="30"/>
      <c r="O974" s="31"/>
      <c r="P974" s="47"/>
      <c r="Q974" s="31"/>
      <c r="R974" s="31"/>
      <c r="S974" s="32">
        <f t="shared" si="279"/>
        <v>0</v>
      </c>
      <c r="T974" s="10"/>
      <c r="U974" s="10"/>
      <c r="V974" s="10"/>
      <c r="W974" s="12">
        <f t="shared" si="280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1"/>
        <v>0</v>
      </c>
      <c r="AF974" s="10"/>
      <c r="AG974" s="10"/>
      <c r="AH974" s="10"/>
      <c r="AI974" s="12">
        <f t="shared" si="282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31"/>
      <c r="D975" s="32"/>
      <c r="E975" s="32"/>
      <c r="F975" s="32"/>
      <c r="G975" s="32">
        <f t="shared" si="277"/>
        <v>0</v>
      </c>
      <c r="H975" s="10"/>
      <c r="I975" s="10"/>
      <c r="J975" s="10"/>
      <c r="K975" s="12">
        <f t="shared" si="278"/>
        <v>0</v>
      </c>
      <c r="M975" s="10">
        <v>29</v>
      </c>
      <c r="N975" s="30"/>
      <c r="P975" s="47"/>
      <c r="Q975" s="31"/>
      <c r="R975" s="31"/>
      <c r="S975" s="32">
        <f t="shared" si="279"/>
        <v>0</v>
      </c>
      <c r="T975" s="10"/>
      <c r="U975" s="10"/>
      <c r="V975" s="10"/>
      <c r="W975" s="12">
        <f t="shared" si="280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1"/>
        <v>0</v>
      </c>
      <c r="AF975" s="10"/>
      <c r="AG975" s="10"/>
      <c r="AH975" s="10"/>
      <c r="AI975" s="12">
        <f t="shared" si="282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7"/>
        <v>0</v>
      </c>
      <c r="H976" s="10"/>
      <c r="I976" s="10"/>
      <c r="J976" s="10"/>
      <c r="K976" s="12">
        <f t="shared" si="278"/>
        <v>0</v>
      </c>
      <c r="M976" s="10">
        <v>30</v>
      </c>
      <c r="N976" s="30"/>
      <c r="P976" s="47"/>
      <c r="Q976" s="31"/>
      <c r="R976" s="31"/>
      <c r="S976" s="32">
        <f t="shared" si="279"/>
        <v>0</v>
      </c>
      <c r="T976" s="10"/>
      <c r="U976" s="10"/>
      <c r="V976" s="10"/>
      <c r="W976" s="12">
        <f t="shared" si="280"/>
        <v>0</v>
      </c>
      <c r="Y976" s="10">
        <v>30</v>
      </c>
      <c r="Z976" s="30"/>
      <c r="AB976" s="47"/>
      <c r="AC976" s="31"/>
      <c r="AD976" s="31"/>
      <c r="AE976" s="32">
        <f t="shared" si="281"/>
        <v>0</v>
      </c>
      <c r="AF976" s="10"/>
      <c r="AG976" s="10"/>
      <c r="AH976" s="10"/>
      <c r="AI976" s="12">
        <f t="shared" si="282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57"/>
      <c r="D977" s="32"/>
      <c r="E977" s="32"/>
      <c r="F977" s="32"/>
      <c r="G977" s="32">
        <f t="shared" si="277"/>
        <v>0</v>
      </c>
      <c r="H977" s="10"/>
      <c r="I977" s="10"/>
      <c r="J977" s="10"/>
      <c r="K977" s="12">
        <f t="shared" si="278"/>
        <v>0</v>
      </c>
      <c r="M977" s="10">
        <v>31</v>
      </c>
      <c r="N977" s="30"/>
      <c r="O977" s="31"/>
      <c r="P977" s="47"/>
      <c r="Q977" s="31"/>
      <c r="R977" s="31"/>
      <c r="S977" s="32">
        <f t="shared" si="279"/>
        <v>0</v>
      </c>
      <c r="T977" s="10"/>
      <c r="U977" s="10"/>
      <c r="V977" s="10"/>
      <c r="W977" s="12">
        <f t="shared" si="280"/>
        <v>0</v>
      </c>
      <c r="Y977" s="10">
        <v>31</v>
      </c>
      <c r="Z977" s="30"/>
      <c r="AB977" s="47"/>
      <c r="AC977" s="31"/>
      <c r="AD977" s="31"/>
      <c r="AE977" s="32">
        <f t="shared" si="281"/>
        <v>0</v>
      </c>
      <c r="AF977" s="10"/>
      <c r="AG977" s="10"/>
      <c r="AH977" s="10"/>
      <c r="AI977" s="12">
        <f t="shared" si="282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31"/>
      <c r="D978" s="32"/>
      <c r="E978" s="32"/>
      <c r="F978" s="32"/>
      <c r="G978" s="32">
        <f t="shared" si="277"/>
        <v>0</v>
      </c>
      <c r="H978" s="10"/>
      <c r="I978" s="10"/>
      <c r="J978" s="10"/>
      <c r="K978" s="12">
        <f t="shared" si="278"/>
        <v>0</v>
      </c>
      <c r="M978" s="10">
        <v>32</v>
      </c>
      <c r="N978" s="30"/>
      <c r="P978" s="47"/>
      <c r="Q978" s="31"/>
      <c r="R978" s="31"/>
      <c r="S978" s="32">
        <f t="shared" si="279"/>
        <v>0</v>
      </c>
      <c r="T978" s="10"/>
      <c r="U978" s="10"/>
      <c r="V978" s="10"/>
      <c r="W978" s="12">
        <f t="shared" si="280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1"/>
        <v>0</v>
      </c>
      <c r="AF978" s="10"/>
      <c r="AG978" s="10"/>
      <c r="AH978" s="10"/>
      <c r="AI978" s="12">
        <f t="shared" si="282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57"/>
      <c r="D979" s="32"/>
      <c r="E979" s="32"/>
      <c r="F979" s="32"/>
      <c r="G979" s="32">
        <f t="shared" si="277"/>
        <v>0</v>
      </c>
      <c r="H979" s="10"/>
      <c r="I979" s="10"/>
      <c r="J979" s="10"/>
      <c r="K979" s="12">
        <f t="shared" si="278"/>
        <v>0</v>
      </c>
      <c r="M979" s="10">
        <v>33</v>
      </c>
      <c r="N979" s="30"/>
      <c r="O979" s="31"/>
      <c r="P979" s="47"/>
      <c r="Q979" s="31"/>
      <c r="R979" s="31"/>
      <c r="S979" s="32">
        <f t="shared" si="279"/>
        <v>0</v>
      </c>
      <c r="T979" s="10"/>
      <c r="U979" s="10"/>
      <c r="V979" s="10"/>
      <c r="W979" s="12">
        <f t="shared" si="280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1"/>
        <v>0</v>
      </c>
      <c r="AF979" s="10"/>
      <c r="AG979" s="10"/>
      <c r="AH979" s="10"/>
      <c r="AI979" s="12">
        <f t="shared" si="282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57"/>
      <c r="D980" s="32"/>
      <c r="E980" s="32"/>
      <c r="F980" s="32"/>
      <c r="G980" s="32">
        <f t="shared" si="277"/>
        <v>0</v>
      </c>
      <c r="H980" s="10"/>
      <c r="I980" s="10"/>
      <c r="J980" s="10"/>
      <c r="K980" s="12">
        <f t="shared" si="278"/>
        <v>0</v>
      </c>
      <c r="M980" s="10">
        <v>34</v>
      </c>
      <c r="N980" s="30"/>
      <c r="O980" s="31"/>
      <c r="P980" s="47"/>
      <c r="Q980" s="31"/>
      <c r="R980" s="31"/>
      <c r="S980" s="32">
        <f t="shared" ref="S980:S990" si="286">SUM(P980:Q980)</f>
        <v>0</v>
      </c>
      <c r="T980" s="10"/>
      <c r="U980" s="10"/>
      <c r="V980" s="10"/>
      <c r="W980" s="12">
        <f t="shared" si="280"/>
        <v>0</v>
      </c>
      <c r="Y980" s="10">
        <v>34</v>
      </c>
      <c r="Z980" s="30"/>
      <c r="AB980" s="47"/>
      <c r="AC980" s="31"/>
      <c r="AD980" s="31"/>
      <c r="AE980" s="32">
        <f t="shared" si="281"/>
        <v>0</v>
      </c>
      <c r="AF980" s="10"/>
      <c r="AG980" s="10"/>
      <c r="AH980" s="10"/>
      <c r="AI980" s="12">
        <f t="shared" ref="AI980:AI991" si="287">SUM(AE980:AH980)</f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86"/>
        <v>0</v>
      </c>
      <c r="T981" s="10"/>
      <c r="U981" s="10"/>
      <c r="V981" s="10"/>
      <c r="W981" s="12">
        <f t="shared" si="280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1"/>
        <v>0</v>
      </c>
      <c r="AF981" s="10"/>
      <c r="AG981" s="10"/>
      <c r="AH981" s="10"/>
      <c r="AI981" s="12">
        <f t="shared" si="287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86"/>
        <v>0</v>
      </c>
      <c r="T982" s="10"/>
      <c r="U982" s="10"/>
      <c r="V982" s="10"/>
      <c r="W982" s="12">
        <f t="shared" si="280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1"/>
        <v>0</v>
      </c>
      <c r="AF982" s="10"/>
      <c r="AG982" s="10"/>
      <c r="AH982" s="10"/>
      <c r="AI982" s="12">
        <f t="shared" si="287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86"/>
        <v>0</v>
      </c>
      <c r="T983" s="10"/>
      <c r="U983" s="10"/>
      <c r="V983" s="10"/>
      <c r="W983" s="12">
        <f t="shared" si="280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1"/>
        <v>0</v>
      </c>
      <c r="AF983" s="10"/>
      <c r="AG983" s="10"/>
      <c r="AH983" s="10"/>
      <c r="AI983" s="12">
        <f t="shared" si="287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86"/>
        <v>0</v>
      </c>
      <c r="T984" s="10"/>
      <c r="U984" s="10"/>
      <c r="V984" s="10"/>
      <c r="W984" s="12">
        <f t="shared" si="280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1"/>
        <v>0</v>
      </c>
      <c r="AF984" s="10"/>
      <c r="AG984" s="10"/>
      <c r="AH984" s="10"/>
      <c r="AI984" s="12">
        <f t="shared" si="287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86"/>
        <v>0</v>
      </c>
      <c r="T985" s="10"/>
      <c r="U985" s="10"/>
      <c r="V985" s="10"/>
      <c r="W985" s="12">
        <f t="shared" si="280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1"/>
        <v>0</v>
      </c>
      <c r="AF985" s="10"/>
      <c r="AG985" s="10"/>
      <c r="AH985" s="10"/>
      <c r="AI985" s="12">
        <f t="shared" si="287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80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7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8">SUM(D987:E987)</f>
        <v>0</v>
      </c>
      <c r="H987" s="10"/>
      <c r="I987" s="10"/>
      <c r="J987" s="10"/>
      <c r="K987" s="12">
        <f t="shared" ref="K987" si="289">SUM(G987:J987)</f>
        <v>0</v>
      </c>
      <c r="M987" s="10"/>
      <c r="N987" s="30"/>
      <c r="O987" s="31"/>
      <c r="P987" s="47"/>
      <c r="Q987" s="31"/>
      <c r="R987" s="31"/>
      <c r="S987" s="32">
        <f t="shared" ref="S987" si="290">SUM(P987:Q987)</f>
        <v>0</v>
      </c>
      <c r="T987" s="10"/>
      <c r="U987" s="10"/>
      <c r="V987" s="10"/>
      <c r="W987" s="12">
        <f t="shared" si="280"/>
        <v>0</v>
      </c>
      <c r="Y987" s="10"/>
      <c r="Z987" s="30"/>
      <c r="AA987" s="31"/>
      <c r="AB987" s="47"/>
      <c r="AC987" s="31"/>
      <c r="AD987" s="31"/>
      <c r="AE987" s="32">
        <f t="shared" ref="AE987" si="291">SUM(AB987:AC987)</f>
        <v>0</v>
      </c>
      <c r="AF987" s="10"/>
      <c r="AG987" s="10"/>
      <c r="AH987" s="10"/>
      <c r="AI987" s="12">
        <f t="shared" si="287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80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7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453006.5</v>
      </c>
      <c r="E990" s="38">
        <f t="shared" ref="E990:G990" si="292">SUM(E947:E987)</f>
        <v>-1944</v>
      </c>
      <c r="F990" s="38">
        <f t="shared" si="292"/>
        <v>0</v>
      </c>
      <c r="G990" s="38">
        <f>SUM(G947:G989)</f>
        <v>451062.5</v>
      </c>
      <c r="H990" s="4"/>
      <c r="I990" s="39">
        <f>SUM(I947:I989)</f>
        <v>37774.5</v>
      </c>
      <c r="J990" s="39">
        <f>SUM(J947:J989)</f>
        <v>0</v>
      </c>
      <c r="K990" s="40">
        <f>SUM(K947:K989)</f>
        <v>488837</v>
      </c>
      <c r="N990" s="57"/>
      <c r="O990" s="57"/>
      <c r="P990" s="38">
        <f>SUM(P947:P989)</f>
        <v>297198.5</v>
      </c>
      <c r="Q990" s="38">
        <f>SUM(Q947:Q971)</f>
        <v>-1866</v>
      </c>
      <c r="R990" s="38">
        <f>SUM(R947:R971)</f>
        <v>0</v>
      </c>
      <c r="S990" s="38">
        <f>SUM(S947:S989)</f>
        <v>295332.5</v>
      </c>
      <c r="T990" s="4"/>
      <c r="U990" s="41">
        <f>SUM(U947:U989)</f>
        <v>12753</v>
      </c>
      <c r="V990" s="41">
        <f>SUM(V947:V971)</f>
        <v>-1326</v>
      </c>
      <c r="W990" s="42">
        <f>SUM(W947:W989)</f>
        <v>306759.5</v>
      </c>
      <c r="Z990" s="57"/>
      <c r="AA990" s="57"/>
      <c r="AB990" s="38">
        <f>SUM(AB947:AB989)</f>
        <v>477410</v>
      </c>
      <c r="AC990" s="38">
        <f>SUM(AC947:AC971)</f>
        <v>-2616</v>
      </c>
      <c r="AD990" s="38">
        <f>SUM(AD947:AD971)</f>
        <v>0</v>
      </c>
      <c r="AE990" s="38">
        <f>SUM(AE947:AE989)</f>
        <v>474794</v>
      </c>
      <c r="AF990" s="4"/>
      <c r="AG990" s="41">
        <f>SUM(AG947:AG989)</f>
        <v>23655</v>
      </c>
      <c r="AH990" s="41">
        <f>SUM(AH947:AH971)</f>
        <v>0</v>
      </c>
      <c r="AI990" s="42">
        <f>SUM(AI947:AI989)</f>
        <v>498449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23"/>
      <c r="E1000" s="123"/>
      <c r="F1000" s="93"/>
      <c r="G1000" s="93"/>
      <c r="H1000" s="62"/>
      <c r="I1000" s="123"/>
      <c r="J1000" s="123"/>
      <c r="K1000" s="122"/>
      <c r="L1000" s="62"/>
      <c r="M1000" s="62"/>
      <c r="N1000" s="65"/>
      <c r="O1000" s="93"/>
      <c r="P1000" s="123"/>
      <c r="Q1000" s="123"/>
      <c r="R1000" s="93"/>
      <c r="S1000" s="93"/>
      <c r="T1000" s="62"/>
      <c r="U1000" s="123"/>
      <c r="V1000" s="123"/>
      <c r="W1000" s="122"/>
      <c r="X1000" s="62"/>
      <c r="Y1000" s="62"/>
      <c r="Z1000" s="65"/>
      <c r="AA1000" s="93"/>
      <c r="AB1000" s="123"/>
      <c r="AC1000" s="123"/>
      <c r="AD1000" s="93"/>
      <c r="AE1000" s="93"/>
      <c r="AF1000" s="62"/>
      <c r="AG1000" s="123"/>
      <c r="AH1000" s="123"/>
      <c r="AI1000" s="12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22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22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2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23"/>
      <c r="E1055" s="123"/>
      <c r="F1055" s="93"/>
      <c r="G1055" s="93"/>
      <c r="H1055" s="62"/>
      <c r="I1055" s="123"/>
      <c r="J1055" s="123"/>
      <c r="K1055" s="122"/>
      <c r="L1055" s="62"/>
      <c r="M1055" s="62"/>
      <c r="N1055" s="65"/>
      <c r="O1055" s="93"/>
      <c r="P1055" s="123"/>
      <c r="Q1055" s="123"/>
      <c r="R1055" s="93"/>
      <c r="S1055" s="93"/>
      <c r="T1055" s="62"/>
      <c r="U1055" s="123"/>
      <c r="V1055" s="123"/>
      <c r="W1055" s="122"/>
      <c r="X1055" s="62"/>
      <c r="Y1055" s="62"/>
      <c r="Z1055" s="65"/>
      <c r="AA1055" s="93"/>
      <c r="AB1055" s="123"/>
      <c r="AC1055" s="123"/>
      <c r="AD1055" s="93"/>
      <c r="AE1055" s="93"/>
      <c r="AF1055" s="62"/>
      <c r="AG1055" s="123"/>
      <c r="AH1055" s="123"/>
      <c r="AI1055" s="12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22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22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2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23"/>
      <c r="E1110" s="123"/>
      <c r="F1110" s="89"/>
      <c r="G1110" s="89"/>
      <c r="H1110" s="62"/>
      <c r="I1110" s="123"/>
      <c r="J1110" s="123"/>
      <c r="K1110" s="122"/>
      <c r="L1110" s="62"/>
      <c r="M1110" s="62"/>
      <c r="N1110" s="65"/>
      <c r="O1110" s="89"/>
      <c r="P1110" s="123"/>
      <c r="Q1110" s="123"/>
      <c r="R1110" s="89"/>
      <c r="S1110" s="89"/>
      <c r="T1110" s="62"/>
      <c r="U1110" s="123"/>
      <c r="V1110" s="123"/>
      <c r="W1110" s="122"/>
      <c r="X1110" s="62"/>
      <c r="Y1110" s="62"/>
      <c r="Z1110" s="65"/>
      <c r="AA1110" s="89"/>
      <c r="AB1110" s="123"/>
      <c r="AC1110" s="123"/>
      <c r="AD1110" s="89"/>
      <c r="AE1110" s="89"/>
      <c r="AF1110" s="62"/>
      <c r="AG1110" s="123"/>
      <c r="AH1110" s="123"/>
      <c r="AI1110" s="12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22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22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2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3"/>
      <c r="E1165" s="123"/>
      <c r="F1165" s="89"/>
      <c r="G1165" s="89"/>
      <c r="H1165" s="62"/>
      <c r="I1165" s="123"/>
      <c r="J1165" s="123"/>
      <c r="K1165" s="122"/>
      <c r="L1165" s="62"/>
      <c r="M1165" s="62"/>
      <c r="N1165" s="65"/>
      <c r="O1165" s="89"/>
      <c r="P1165" s="123"/>
      <c r="Q1165" s="123"/>
      <c r="R1165" s="89"/>
      <c r="S1165" s="89"/>
      <c r="T1165" s="62"/>
      <c r="U1165" s="123"/>
      <c r="V1165" s="123"/>
      <c r="W1165" s="122"/>
      <c r="X1165" s="62"/>
      <c r="Y1165" s="62"/>
      <c r="Z1165" s="65"/>
      <c r="AA1165" s="89"/>
      <c r="AB1165" s="123"/>
      <c r="AC1165" s="123"/>
      <c r="AD1165" s="89"/>
      <c r="AE1165" s="89"/>
      <c r="AF1165" s="62"/>
      <c r="AG1165" s="123"/>
      <c r="AH1165" s="123"/>
      <c r="AI1165" s="12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22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22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2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3"/>
      <c r="E1221" s="123"/>
      <c r="F1221" s="87"/>
      <c r="G1221" s="87"/>
      <c r="H1221" s="62"/>
      <c r="I1221" s="123"/>
      <c r="J1221" s="123"/>
      <c r="K1221" s="122"/>
      <c r="L1221" s="62"/>
      <c r="M1221" s="62"/>
      <c r="N1221" s="65"/>
      <c r="O1221" s="87"/>
      <c r="P1221" s="123"/>
      <c r="Q1221" s="123"/>
      <c r="R1221" s="87"/>
      <c r="S1221" s="87"/>
      <c r="T1221" s="62"/>
      <c r="U1221" s="123"/>
      <c r="V1221" s="123"/>
      <c r="W1221" s="122"/>
      <c r="X1221" s="62"/>
      <c r="Y1221" s="62"/>
      <c r="Z1221" s="65"/>
      <c r="AA1221" s="87"/>
      <c r="AB1221" s="123"/>
      <c r="AC1221" s="123"/>
      <c r="AD1221" s="87"/>
      <c r="AE1221" s="87"/>
      <c r="AF1221" s="62"/>
      <c r="AG1221" s="123"/>
      <c r="AH1221" s="123"/>
      <c r="AI1221" s="12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22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22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2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3"/>
      <c r="E1283" s="123"/>
      <c r="F1283" s="84"/>
      <c r="G1283" s="84"/>
      <c r="H1283" s="62"/>
      <c r="I1283" s="123"/>
      <c r="J1283" s="123"/>
      <c r="K1283" s="122"/>
      <c r="L1283" s="62"/>
      <c r="M1283" s="62"/>
      <c r="N1283" s="65"/>
      <c r="O1283" s="84"/>
      <c r="P1283" s="123"/>
      <c r="Q1283" s="123"/>
      <c r="R1283" s="84"/>
      <c r="S1283" s="84"/>
      <c r="T1283" s="62"/>
      <c r="U1283" s="123"/>
      <c r="V1283" s="123"/>
      <c r="W1283" s="122"/>
      <c r="X1283" s="62"/>
      <c r="Y1283" s="62"/>
      <c r="Z1283" s="65"/>
      <c r="AA1283" s="84"/>
      <c r="AB1283" s="123"/>
      <c r="AC1283" s="123"/>
      <c r="AD1283" s="84"/>
      <c r="AE1283" s="84"/>
      <c r="AF1283" s="62"/>
      <c r="AG1283" s="123"/>
      <c r="AH1283" s="123"/>
      <c r="AI1283" s="12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2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2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2025-12-22T01:33:01Z</dcterms:modified>
</cp:coreProperties>
</file>