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36E6BDD-17EE-4CC3-B36A-F2FA82B68A4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9" i="6" l="1"/>
  <c r="I18" i="6" l="1"/>
  <c r="I17" i="6"/>
  <c r="G17" i="6"/>
  <c r="I16" i="6" l="1"/>
  <c r="G16" i="6"/>
  <c r="I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<sst xmlns="http://schemas.openxmlformats.org/spreadsheetml/2006/main" count="261" uniqueCount="83">
  <si>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</si>
  <si>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</si>
  <si>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</si>
  <si>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</si>
  <si>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</si>
  <si>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</si>
  <si>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</si>
  <si>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</si>
  <si>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</si>
  <si>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</si>
  <si>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</si>
  <si>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</si>
  <si>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</si>
  <si>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</si>
  <si>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</si>
  <si>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</si>
  <si>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</si>
  <si>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</si>
  <si>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</si>
  <si>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</si>
  <si>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</si>
  <si>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</si>
  <si>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</si>
  <si>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</si>
  <si>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</si>
  <si>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</si>
  <si>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</si>
  <si>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</si>
  <si>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</si>
  <si>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</si>
  <si>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</si>
  <si>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</si>
  <si>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</si>
  <si>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</si>
  <si>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</si>
  <si>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</si>
  <si>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</si>
  <si>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</si>
  <si>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</si>
  <si>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</si>
  <si>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</si>
  <si>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</si>
  <si>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</si>
  <si>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</si>
  <si>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</si>
  <si>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</si>
  <si>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</si>
  <si>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</si>
  <si>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</si>
  <si>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</si>
  <si>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</si>
  <si>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</si>
  <si>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</si>
  <si>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</si>
  <si>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</si>
  <si>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</si>
  <si>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</si>
  <si>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</si>
  <si>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</si>
  <si>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</si>
  <si>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</si>
  <si>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</si>
  <si>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</si>
  <si>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</si>
  <si>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</si>
  <si>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</si>
  <si>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</si>
  <si>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</si>
  <si>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</si>
  <si>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</si>
  <si>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</si>
  <si>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</si>
  <si>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</si>
  <si>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</si>
  <si>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</si>
  <si>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</si>
  <si>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</si>
  <si>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</si>
  <si>
    <t>12/16/2025</t>
  </si>
  <si>
    <t>12/17/2025</t>
  </si>
  <si>
    <t>12/18/2025</t>
  </si>
  <si>
    <t>12/19/2025</t>
  </si>
  <si>
    <t>12/22/2025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</si>
</sst>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9" sqref="I19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518203057</v>
      </c>
      <c r="H12" s="20" t="s">
        <v>74</v>
      </c>
      <c r="I12" s="21">
        <f>1317381-52927.83</f>
        <v>1264453.17</v>
      </c>
      <c r="K12" s="21">
        <f t="shared" si="2"/>
        <v>135477.12535714285</v>
      </c>
      <c r="L12" s="27">
        <f t="shared" si="3"/>
        <v>1128976.044642857</v>
      </c>
      <c r="M12" s="33">
        <f t="shared" si="0"/>
        <v>11289.760446428571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79</v>
      </c>
      <c r="D13" s="20" t="s">
        <v>68</v>
      </c>
      <c r="E13" s="20"/>
      <c r="F13" s="20" t="s">
        <v>70</v>
      </c>
      <c r="G13" s="20">
        <v>518208019</v>
      </c>
      <c r="H13" s="20" t="s">
        <v>74</v>
      </c>
      <c r="I13" s="21">
        <f>1353132-56255.04</f>
        <v>1296876.96</v>
      </c>
      <c r="K13" s="21">
        <f t="shared" si="2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518207445</v>
      </c>
      <c r="H14" s="20" t="s">
        <v>74</v>
      </c>
      <c r="I14" s="38">
        <f>1353132-56255.04</f>
        <v>1296876.96</v>
      </c>
      <c r="K14" s="21">
        <f t="shared" si="2"/>
        <v>138951.10285714286</v>
      </c>
      <c r="L14" s="27">
        <f t="shared" si="3"/>
        <v>1157925.857142857</v>
      </c>
      <c r="M14" s="33">
        <f t="shared" si="0"/>
        <v>11579.258571428571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80</v>
      </c>
      <c r="D15" s="20" t="s">
        <v>68</v>
      </c>
      <c r="E15" s="20"/>
      <c r="F15" s="20" t="s">
        <v>70</v>
      </c>
      <c r="G15" s="20">
        <v>518212442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f>518212935</f>
        <v>518212935</v>
      </c>
      <c r="H16" s="20" t="s">
        <v>74</v>
      </c>
      <c r="I16" s="21">
        <f>1353132-56255.04</f>
        <v>1296876.96</v>
      </c>
      <c r="K16" s="21">
        <f t="shared" si="2"/>
        <v>138951.10285714286</v>
      </c>
      <c r="L16" s="27">
        <f t="shared" si="3"/>
        <v>1157925.857142857</v>
      </c>
      <c r="M16" s="33">
        <f t="shared" si="0"/>
        <v>11579.258571428571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f>518218240</f>
        <v>518218240</v>
      </c>
      <c r="H17" s="20" t="s">
        <v>74</v>
      </c>
      <c r="I17" s="21">
        <f>1353132-56255.04</f>
        <v>1296876.96</v>
      </c>
      <c r="K17" s="21">
        <f t="shared" si="2"/>
        <v>138951.10285714286</v>
      </c>
      <c r="L17" s="27">
        <f t="shared" si="3"/>
        <v>1157925.857142857</v>
      </c>
      <c r="M17" s="33">
        <f t="shared" si="0"/>
        <v>11579.258571428571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81</v>
      </c>
      <c r="D18" s="20" t="s">
        <v>68</v>
      </c>
      <c r="E18" s="20"/>
      <c r="F18" s="20" t="s">
        <v>70</v>
      </c>
      <c r="G18" s="20">
        <v>518217785</v>
      </c>
      <c r="H18" s="20" t="s">
        <v>74</v>
      </c>
      <c r="I18" s="21">
        <f>1353132-101139.54</f>
        <v>1251992.46</v>
      </c>
      <c r="K18" s="21">
        <f t="shared" si="2"/>
        <v>134142.04928571428</v>
      </c>
      <c r="L18" s="27">
        <f t="shared" si="3"/>
        <v>1117850.4107142857</v>
      </c>
      <c r="M18" s="33">
        <f t="shared" si="0"/>
        <v>11178.504107142857</v>
      </c>
    </row>
    <row r="19" spans="1:13" x14ac:dyDescent="0.25">
      <c r="A19">
        <f t="shared" si="1"/>
        <v>13</v>
      </c>
      <c r="B19" s="23">
        <f t="shared" si="1"/>
        <v>13</v>
      </c>
      <c r="C19" s="19" t="s">
        <v>82</v>
      </c>
      <c r="D19" s="20" t="s">
        <v>68</v>
      </c>
      <c r="E19" s="20"/>
      <c r="F19" s="20" t="s">
        <v>70</v>
      </c>
      <c r="G19" s="20">
        <v>518228713</v>
      </c>
      <c r="H19" s="20" t="s">
        <v>74</v>
      </c>
      <c r="I19" s="21">
        <f>1363925-55554.56</f>
        <v>1308370.44</v>
      </c>
      <c r="K19" s="21">
        <f t="shared" si="2"/>
        <v>140182.54714285713</v>
      </c>
      <c r="L19" s="27">
        <f t="shared" si="3"/>
        <v>1168187.8928571427</v>
      </c>
      <c r="M19" s="33">
        <f t="shared" si="0"/>
        <v>11681.878928571428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16802666.830000006</v>
      </c>
      <c r="K32" s="14">
        <f>SUM(K7:K31)</f>
        <v>1800285.7317857146</v>
      </c>
      <c r="L32" s="14">
        <f>SUM(L7:L31)</f>
        <v>15002381.098214284</v>
      </c>
      <c r="M32" s="36">
        <f>SUM(M7:M31)</f>
        <v>150023.81098214281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2025-12-22T08:17:56Z</dcterms:modified>
</cp:coreProperties>
</file>