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F29D5ED-8592-48DE-8115-C3218D7B8619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9" i="6" l="1"/>
  <c r="I28" i="6" l="1"/>
  <c r="I26" i="6" l="1"/>
  <c r="I27" i="6" l="1"/>
  <c r="A29" i="6"/>
  <c r="B29" i="6"/>
  <c r="M29" i="6"/>
  <c r="K29" i="6" s="1"/>
  <c r="L29" i="6" s="1"/>
  <c r="A30" i="6"/>
  <c r="B30" i="6"/>
  <c r="M30" i="6"/>
  <c r="K30" i="6" s="1"/>
  <c r="L30" i="6" s="1"/>
  <c r="A28" i="6"/>
  <c r="B28" i="6"/>
  <c r="M28" i="6"/>
  <c r="K28" i="6" s="1"/>
  <c r="L28" i="6" s="1"/>
  <c r="I25" i="6" l="1"/>
  <c r="I24" i="6"/>
  <c r="I23" i="6"/>
  <c r="I22" i="6" l="1"/>
  <c r="I21" i="6" l="1"/>
  <c r="I20" i="6" l="1"/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<sst xmlns="http://schemas.openxmlformats.org/spreadsheetml/2006/main" count="280" uniqueCount="93">
  <si>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</si>
  <si>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</si>
  <si>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</si>
  <si>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</si>
  <si>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</si>
  <si>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</si>
  <si>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</si>
  <si>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</si>
  <si>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</si>
  <si>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</si>
  <si>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</si>
  <si>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</si>
  <si>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</si>
  <si>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</si>
  <si>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</si>
  <si>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</si>
  <si>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</si>
  <si>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</si>
  <si>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</si>
  <si>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</si>
  <si>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</si>
  <si>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</si>
  <si>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</si>
  <si>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</si>
  <si>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</si>
  <si>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</si>
  <si>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</si>
  <si>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</si>
  <si>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</si>
  <si>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</si>
  <si>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</si>
  <si>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</si>
  <si>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</si>
  <si>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</si>
  <si>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</si>
  <si>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</si>
  <si>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</si>
  <si>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</si>
  <si>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</si>
  <si>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</si>
  <si>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</si>
  <si>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</si>
  <si>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</si>
  <si>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</si>
  <si>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</si>
  <si>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</si>
  <si>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</si>
  <si>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</si>
  <si>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</si>
  <si>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</si>
  <si>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</si>
  <si>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</si>
  <si>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</si>
  <si>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</si>
  <si>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</si>
  <si>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</si>
  <si>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</si>
  <si>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</si>
  <si>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</si>
  <si>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</si>
  <si>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</si>
  <si>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</si>
  <si>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</si>
  <si>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</si>
  <si>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</si>
  <si>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</si>
  <si>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</si>
  <si>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</si>
  <si>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</si>
  <si>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</si>
  <si>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</si>
  <si>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</si>
  <si>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</si>
  <si>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</si>
  <si>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</si>
  <si>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</si>
  <si>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</si>
  <si>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</si>
  <si>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</si>
  <si>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</si>
  <si>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</si>
  <si>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</si>
  <si>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</si>
  <si>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</si>
  <si>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</si>
  <si>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12/26/2025</t>
  </si>
  <si>
    <t>12/27/2025</t>
  </si>
  <si>
    <t>166-562-025-0001</t>
  </si>
  <si>
    <t>166-562-025-0002</t>
  </si>
  <si>
    <t>166-562-025-0003</t>
  </si>
  <si>
    <t>12/28/2025</t>
  </si>
  <si>
    <t>12/29/2025</t>
  </si>
  <si>
    <t>12/30/2025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</si>
</sst>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topLeftCell="A4" zoomScaleNormal="100" workbookViewId="0">
      <selection activeCell="D29" sqref="D2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8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v>518235184</v>
      </c>
      <c r="H20" s="20" t="s">
        <v>74</v>
      </c>
      <c r="I20" s="21">
        <f>1215326-51104.12</f>
        <v>1164221.8799999999</v>
      </c>
      <c r="K20" s="21">
        <f t="shared" si="2"/>
        <v>124738.05857142856</v>
      </c>
      <c r="L20" s="27">
        <f t="shared" si="3"/>
        <v>1039483.8214285714</v>
      </c>
      <c r="M20" s="33">
        <f t="shared" si="0"/>
        <v>10394.838214285714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84</v>
      </c>
      <c r="D21" s="20" t="s">
        <v>68</v>
      </c>
      <c r="E21" s="20"/>
      <c r="F21" s="20" t="s">
        <v>70</v>
      </c>
      <c r="G21" s="20">
        <v>518239244</v>
      </c>
      <c r="H21" s="20" t="s">
        <v>74</v>
      </c>
      <c r="I21" s="21">
        <f>1353132-56255.04</f>
        <v>1296876.96</v>
      </c>
      <c r="K21" s="21">
        <f t="shared" si="2"/>
        <v>138951.10285714286</v>
      </c>
      <c r="L21" s="27">
        <f t="shared" si="3"/>
        <v>1157925.857142857</v>
      </c>
      <c r="M21" s="33">
        <f t="shared" si="0"/>
        <v>11579.258571428571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84</v>
      </c>
      <c r="D22" s="20" t="s">
        <v>68</v>
      </c>
      <c r="E22" s="20"/>
      <c r="F22" s="20" t="s">
        <v>70</v>
      </c>
      <c r="G22" s="20">
        <v>518239897</v>
      </c>
      <c r="H22" s="20" t="s">
        <v>74</v>
      </c>
      <c r="I22" s="21">
        <f>1353132-56255.04</f>
        <v>1296876.96</v>
      </c>
      <c r="K22" s="21">
        <f t="shared" si="2"/>
        <v>138951.10285714286</v>
      </c>
      <c r="L22" s="27">
        <f t="shared" si="3"/>
        <v>1157925.857142857</v>
      </c>
      <c r="M22" s="33">
        <f t="shared" si="0"/>
        <v>11579.258571428571</v>
      </c>
    </row>
    <row r="23" spans="1:13" x14ac:dyDescent="0.25">
      <c r="A23">
        <f t="shared" si="1"/>
        <v>17</v>
      </c>
      <c r="B23" s="23">
        <f t="shared" si="1"/>
        <v>17</v>
      </c>
      <c r="C23" s="19" t="s">
        <v>85</v>
      </c>
      <c r="D23" s="20" t="s">
        <v>68</v>
      </c>
      <c r="E23" s="20"/>
      <c r="F23" s="20" t="s">
        <v>70</v>
      </c>
      <c r="G23" s="20">
        <v>518247600</v>
      </c>
      <c r="H23" s="20" t="s">
        <v>74</v>
      </c>
      <c r="I23" s="21">
        <f>1268878-54783.24</f>
        <v>1214094.76</v>
      </c>
      <c r="K23" s="21">
        <f t="shared" si="2"/>
        <v>130081.58142857143</v>
      </c>
      <c r="L23" s="27">
        <f t="shared" si="3"/>
        <v>1084013.1785714286</v>
      </c>
      <c r="M23" s="33">
        <f t="shared" si="0"/>
        <v>10840.131785714286</v>
      </c>
    </row>
    <row r="24" spans="1:13" x14ac:dyDescent="0.25">
      <c r="A24">
        <f t="shared" si="1"/>
        <v>18</v>
      </c>
      <c r="B24" s="23">
        <f t="shared" si="1"/>
        <v>18</v>
      </c>
      <c r="C24" s="19" t="s">
        <v>85</v>
      </c>
      <c r="D24" s="20" t="s">
        <v>68</v>
      </c>
      <c r="E24" s="20"/>
      <c r="F24" s="20" t="s">
        <v>70</v>
      </c>
      <c r="G24" s="20">
        <v>518247619</v>
      </c>
      <c r="H24" s="20" t="s">
        <v>74</v>
      </c>
      <c r="I24" s="21">
        <f>1270313-50936.09</f>
        <v>1219376.9099999999</v>
      </c>
      <c r="K24" s="21">
        <f t="shared" si="2"/>
        <v>130647.52607142857</v>
      </c>
      <c r="L24" s="27">
        <f t="shared" si="3"/>
        <v>1088729.3839285714</v>
      </c>
      <c r="M24" s="33">
        <f t="shared" si="0"/>
        <v>10887.293839285714</v>
      </c>
    </row>
    <row r="25" spans="1:13" x14ac:dyDescent="0.25">
      <c r="A25">
        <f t="shared" si="1"/>
        <v>19</v>
      </c>
      <c r="B25" s="23">
        <f t="shared" si="1"/>
        <v>19</v>
      </c>
      <c r="C25" s="19" t="s">
        <v>86</v>
      </c>
      <c r="D25" s="20" t="s">
        <v>68</v>
      </c>
      <c r="E25" s="20"/>
      <c r="F25" s="20" t="s">
        <v>70</v>
      </c>
      <c r="G25" s="20">
        <v>518248031</v>
      </c>
      <c r="H25" s="20" t="s">
        <v>74</v>
      </c>
      <c r="I25" s="21">
        <f>1135766-47710.13</f>
        <v>1088055.8700000001</v>
      </c>
      <c r="K25" s="21">
        <f t="shared" si="2"/>
        <v>116577.41464285715</v>
      </c>
      <c r="L25" s="27">
        <f t="shared" si="3"/>
        <v>971478.45535714296</v>
      </c>
      <c r="M25" s="33">
        <f t="shared" si="0"/>
        <v>9714.7845535714296</v>
      </c>
    </row>
    <row r="26" spans="1:13" x14ac:dyDescent="0.25">
      <c r="A26">
        <f t="shared" si="1"/>
        <v>20</v>
      </c>
      <c r="B26" s="23">
        <f t="shared" si="1"/>
        <v>20</v>
      </c>
      <c r="C26" s="19" t="s">
        <v>90</v>
      </c>
      <c r="D26" s="20" t="s">
        <v>68</v>
      </c>
      <c r="E26" s="20"/>
      <c r="F26" s="20" t="s">
        <v>70</v>
      </c>
      <c r="G26" s="20">
        <v>518250894</v>
      </c>
      <c r="H26" s="20" t="s">
        <v>74</v>
      </c>
      <c r="I26" s="21">
        <f>1239645-52959.88</f>
        <v>1186685.1200000001</v>
      </c>
      <c r="K26" s="21">
        <f t="shared" si="2"/>
        <v>127144.83428571431</v>
      </c>
      <c r="L26" s="27">
        <f t="shared" si="3"/>
        <v>1059540.2857142859</v>
      </c>
      <c r="M26" s="33">
        <f t="shared" si="0"/>
        <v>10595.402857142859</v>
      </c>
    </row>
    <row r="27" spans="1:13" x14ac:dyDescent="0.25">
      <c r="A27">
        <f t="shared" si="1"/>
        <v>21</v>
      </c>
      <c r="B27" s="23">
        <f>B26+1</f>
        <v>21</v>
      </c>
      <c r="C27" s="19" t="s">
        <v>91</v>
      </c>
      <c r="D27" s="20" t="s">
        <v>68</v>
      </c>
      <c r="E27" s="20"/>
      <c r="F27" s="20" t="s">
        <v>70</v>
      </c>
      <c r="G27" s="20">
        <v>518255529</v>
      </c>
      <c r="H27" s="20" t="s">
        <v>74</v>
      </c>
      <c r="I27" s="21">
        <f>1217047-47608.93</f>
        <v>1169438.07</v>
      </c>
      <c r="K27" s="21">
        <f t="shared" ref="K27" si="4">M27*12</f>
        <v>125296.93607142857</v>
      </c>
      <c r="L27" s="27">
        <f t="shared" ref="L27" si="5">I27-K27</f>
        <v>1044141.1339285715</v>
      </c>
      <c r="M27" s="33">
        <f t="shared" ref="M27" si="6">I27/112</f>
        <v>10441.411339285714</v>
      </c>
    </row>
    <row r="28" spans="1:13" x14ac:dyDescent="0.25">
      <c r="A28">
        <f t="shared" si="1"/>
        <v>22</v>
      </c>
      <c r="B28" s="23">
        <f>B27+1</f>
        <v>22</v>
      </c>
      <c r="C28" s="19" t="s">
        <v>92</v>
      </c>
      <c r="D28" s="20" t="s">
        <v>68</v>
      </c>
      <c r="E28" s="20"/>
      <c r="F28" s="20" t="s">
        <v>70</v>
      </c>
      <c r="G28" s="20">
        <v>518260891</v>
      </c>
      <c r="H28" s="20" t="s">
        <v>87</v>
      </c>
      <c r="I28" s="21">
        <f>1370757-56692.44</f>
        <v>1314064.56</v>
      </c>
      <c r="K28" s="21">
        <f t="shared" ref="K28:K29" si="7">M28*12</f>
        <v>140792.63142857142</v>
      </c>
      <c r="L28" s="27">
        <f t="shared" ref="L28:L29" si="8">I28-K28</f>
        <v>1173271.9285714286</v>
      </c>
      <c r="M28" s="33">
        <f t="shared" ref="M28:M29" si="9">I28/112</f>
        <v>11732.719285714285</v>
      </c>
    </row>
    <row r="29" spans="1:13" x14ac:dyDescent="0.25">
      <c r="A29">
        <f t="shared" ref="A29" si="10">A28+1</f>
        <v>23</v>
      </c>
      <c r="B29" s="23">
        <f>B28+1</f>
        <v>23</v>
      </c>
      <c r="C29" s="19" t="s">
        <v>92</v>
      </c>
      <c r="D29" s="20" t="s">
        <v>68</v>
      </c>
      <c r="E29" s="20"/>
      <c r="F29" s="20" t="s">
        <v>70</v>
      </c>
      <c r="G29" s="20">
        <v>518260694</v>
      </c>
      <c r="H29" s="20" t="s">
        <v>88</v>
      </c>
      <c r="I29" s="21">
        <f>1381586-56953.07</f>
        <v>1324632.93</v>
      </c>
      <c r="K29" s="21">
        <f t="shared" si="7"/>
        <v>141924.95678571428</v>
      </c>
      <c r="L29" s="27">
        <f t="shared" si="8"/>
        <v>1182707.9732142857</v>
      </c>
      <c r="M29" s="33">
        <f t="shared" si="9"/>
        <v>11827.079732142856</v>
      </c>
    </row>
    <row r="30" spans="1:13" x14ac:dyDescent="0.25">
      <c r="A30">
        <f t="shared" ref="A30" si="11">A29+1</f>
        <v>24</v>
      </c>
      <c r="B30" s="23">
        <f>B29+1</f>
        <v>24</v>
      </c>
      <c r="C30" s="19"/>
      <c r="D30" s="20" t="s">
        <v>68</v>
      </c>
      <c r="E30" s="20"/>
      <c r="F30" s="20" t="s">
        <v>70</v>
      </c>
      <c r="G30" s="20"/>
      <c r="H30" s="20" t="s">
        <v>89</v>
      </c>
      <c r="I30" s="21"/>
      <c r="K30" s="21">
        <f t="shared" ref="K30" si="12">M30*12</f>
        <v>0</v>
      </c>
      <c r="L30" s="27">
        <f t="shared" ref="L30" si="13">I30-K30</f>
        <v>0</v>
      </c>
      <c r="M30" s="33">
        <f t="shared" ref="M30" si="14">I30/112</f>
        <v>0</v>
      </c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29076990.850000009</v>
      </c>
      <c r="K32" s="14">
        <f>SUM(K7:K31)</f>
        <v>3115391.8767857146</v>
      </c>
      <c r="L32" s="14">
        <f>SUM(L7:L31)</f>
        <v>25961598.973214287</v>
      </c>
      <c r="M32" s="36">
        <f>SUM(M7:M31)</f>
        <v>259615.98973214277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15">M40*12</f>
        <v>0</v>
      </c>
      <c r="L40" s="27">
        <f>I40-K40</f>
        <v>0</v>
      </c>
      <c r="M40" s="33">
        <f t="shared" ref="M40:M59" si="16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15"/>
        <v>0</v>
      </c>
      <c r="L41" s="27">
        <f t="shared" ref="L41:L59" si="17">I41-K41</f>
        <v>0</v>
      </c>
      <c r="M41" s="33">
        <f t="shared" si="16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15"/>
        <v>0</v>
      </c>
      <c r="L42" s="27">
        <f t="shared" si="17"/>
        <v>0</v>
      </c>
      <c r="M42" s="33">
        <f t="shared" si="16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15"/>
        <v>0</v>
      </c>
      <c r="L43" s="27">
        <f t="shared" si="17"/>
        <v>0</v>
      </c>
      <c r="M43" s="33">
        <f t="shared" si="16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15"/>
        <v>0</v>
      </c>
      <c r="L44" s="27">
        <f t="shared" si="17"/>
        <v>0</v>
      </c>
      <c r="M44" s="33">
        <f t="shared" si="16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15"/>
        <v>0</v>
      </c>
      <c r="L45" s="27">
        <f t="shared" si="17"/>
        <v>0</v>
      </c>
      <c r="M45" s="33">
        <f t="shared" si="16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15"/>
        <v>0</v>
      </c>
      <c r="L46" s="27">
        <f t="shared" si="17"/>
        <v>0</v>
      </c>
      <c r="M46" s="33">
        <f t="shared" si="16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15"/>
        <v>0</v>
      </c>
      <c r="L47" s="27">
        <f t="shared" si="17"/>
        <v>0</v>
      </c>
      <c r="M47" s="33">
        <f t="shared" si="16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15"/>
        <v>0</v>
      </c>
      <c r="L48" s="27">
        <f t="shared" si="17"/>
        <v>0</v>
      </c>
      <c r="M48" s="33">
        <f t="shared" si="16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15"/>
        <v>0</v>
      </c>
      <c r="L49" s="27">
        <f t="shared" si="17"/>
        <v>0</v>
      </c>
      <c r="M49" s="33">
        <f t="shared" si="16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15"/>
        <v>0</v>
      </c>
      <c r="L50" s="27">
        <f t="shared" si="17"/>
        <v>0</v>
      </c>
      <c r="M50" s="33">
        <f t="shared" si="16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15"/>
        <v>0</v>
      </c>
      <c r="L51" s="27">
        <f t="shared" si="17"/>
        <v>0</v>
      </c>
      <c r="M51" s="33">
        <f t="shared" si="16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15"/>
        <v>0</v>
      </c>
      <c r="L52" s="27">
        <f t="shared" si="17"/>
        <v>0</v>
      </c>
      <c r="M52" s="33">
        <f t="shared" si="16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15"/>
        <v>0</v>
      </c>
      <c r="L53" s="27">
        <f t="shared" si="17"/>
        <v>0</v>
      </c>
      <c r="M53" s="33">
        <f t="shared" si="16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15"/>
        <v>0</v>
      </c>
      <c r="L54" s="27">
        <f t="shared" si="17"/>
        <v>0</v>
      </c>
      <c r="M54" s="33">
        <f t="shared" si="16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15"/>
        <v>0</v>
      </c>
      <c r="L55" s="27">
        <f t="shared" si="17"/>
        <v>0</v>
      </c>
      <c r="M55" s="33">
        <f t="shared" si="16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15"/>
        <v>0</v>
      </c>
      <c r="L56" s="27">
        <f t="shared" si="17"/>
        <v>0</v>
      </c>
      <c r="M56" s="33">
        <f t="shared" si="16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15"/>
        <v>0</v>
      </c>
      <c r="L57" s="27">
        <f t="shared" si="17"/>
        <v>0</v>
      </c>
      <c r="M57" s="33">
        <f t="shared" si="16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15"/>
        <v>0</v>
      </c>
      <c r="L58" s="27">
        <f t="shared" si="17"/>
        <v>0</v>
      </c>
      <c r="M58" s="33">
        <f t="shared" si="16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15"/>
        <v>0</v>
      </c>
      <c r="L59" s="27">
        <f t="shared" si="17"/>
        <v>0</v>
      </c>
      <c r="M59" s="33">
        <f t="shared" si="16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2025-12-31T04:02:41Z</dcterms:modified>
</cp:coreProperties>
</file>