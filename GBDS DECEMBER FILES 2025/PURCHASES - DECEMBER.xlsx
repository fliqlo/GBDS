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4115C4E9-41B5-4872-8ED6-C740638D49E8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DECEMBER" sheetId="6" r:id="rId2"/>
  </sheets>
  <definedNames>
    <definedName name="_xlnm.Print_Area" localSheetId="1">'PE, DECEMBER'!#REF!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<sst xmlns="http://schemas.openxmlformats.org/spreadsheetml/2006/main" count="254" uniqueCount="79">
  <si>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</si>
  <si>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</si>
  <si>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</si>
  <si>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</si>
  <si>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</si>
  <si>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</si>
  <si>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</si>
  <si>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</si>
  <si>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</si>
  <si>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</si>
  <si>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</si>
  <si>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</si>
  <si>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</si>
  <si>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</si>
  <si>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</si>
  <si>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</si>
  <si>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</si>
  <si>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</si>
  <si>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</si>
  <si>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</si>
  <si>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</si>
  <si>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</si>
  <si>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</si>
  <si>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</si>
  <si>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</si>
  <si>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</si>
  <si>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</si>
  <si>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</si>
  <si>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</si>
  <si>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</si>
  <si>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</si>
  <si>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</si>
  <si>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</si>
  <si>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</si>
  <si>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</si>
  <si>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</si>
  <si>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</si>
  <si>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</si>
  <si>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</si>
  <si>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</si>
  <si>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</si>
  <si>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</si>
  <si>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</si>
  <si>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</si>
  <si>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</si>
  <si>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</si>
  <si>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</si>
  <si>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</si>
  <si>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</si>
  <si>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</si>
  <si>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</si>
  <si>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</si>
  <si>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</si>
  <si>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</si>
  <si>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</si>
  <si>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</si>
  <si>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</si>
  <si>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</si>
  <si>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</si>
  <si>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</si>
  <si>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</si>
  <si>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</si>
  <si>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</si>
  <si>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</si>
  <si>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</si>
  <si>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</si>
  <si>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</si>
  <si>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</si>
  <si>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</si>
  <si>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</si>
  <si>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</si>
  <si>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</si>
  <si>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</si>
  <si>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</si>
  <si>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</si>
  <si>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DECEMBER 2025</t>
  </si>
  <si>
    <t>12/13/2025</t>
  </si>
  <si>
    <t>12/15/2025</t>
  </si>
  <si>
    <t>12/16/2025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</si>
</sst>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2" sqref="I12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45973</v>
      </c>
      <c r="D7" s="20" t="s">
        <v>68</v>
      </c>
      <c r="E7" s="12"/>
      <c r="F7" s="20" t="s">
        <v>70</v>
      </c>
      <c r="G7" s="20">
        <v>518184389</v>
      </c>
      <c r="H7" s="20" t="s">
        <v>74</v>
      </c>
      <c r="I7" s="21">
        <f>1353132-110674.04</f>
        <v>1242457.96</v>
      </c>
      <c r="K7" s="21">
        <f>M7*12</f>
        <v>133120.4957142857</v>
      </c>
      <c r="L7" s="27">
        <f>I7-K7</f>
        <v>1109337.4642857143</v>
      </c>
      <c r="M7" s="33">
        <f>I7/112</f>
        <v>11093.374642857143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46003</v>
      </c>
      <c r="D8" s="20" t="s">
        <v>68</v>
      </c>
      <c r="E8" s="20"/>
      <c r="F8" s="20" t="s">
        <v>70</v>
      </c>
      <c r="G8" s="20">
        <v>518189209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46003</v>
      </c>
      <c r="D9" s="20" t="s">
        <v>68</v>
      </c>
      <c r="E9" s="20"/>
      <c r="F9" s="20" t="s">
        <v>70</v>
      </c>
      <c r="G9" s="20">
        <v>518188807</v>
      </c>
      <c r="H9" s="20" t="s">
        <v>74</v>
      </c>
      <c r="I9" s="21">
        <f>1353132-56255.04</f>
        <v>1296876.96</v>
      </c>
      <c r="K9" s="21">
        <f t="shared" ref="K9:K26" si="2">M9*12</f>
        <v>138951.10285714286</v>
      </c>
      <c r="L9" s="27">
        <f t="shared" ref="L9:L26" si="3">I9-K9</f>
        <v>1157925.857142857</v>
      </c>
      <c r="M9" s="33">
        <f t="shared" si="0"/>
        <v>11579.258571428571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518193625</v>
      </c>
      <c r="H10" s="20" t="s">
        <v>74</v>
      </c>
      <c r="I10" s="21">
        <f>1353132-56255.04</f>
        <v>1296876.96</v>
      </c>
      <c r="K10" s="21">
        <f t="shared" si="2"/>
        <v>138951.10285714286</v>
      </c>
      <c r="L10" s="27">
        <f t="shared" si="3"/>
        <v>1157925.857142857</v>
      </c>
      <c r="M10" s="33">
        <f t="shared" si="0"/>
        <v>11579.258571428571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518197755</v>
      </c>
      <c r="H11" s="20" t="s">
        <v>74</v>
      </c>
      <c r="I11" s="21">
        <f>1418790-58412.88</f>
        <v>1360377.12</v>
      </c>
      <c r="K11" s="21">
        <f t="shared" si="2"/>
        <v>145754.69142857144</v>
      </c>
      <c r="L11" s="27">
        <f t="shared" si="3"/>
        <v>1214622.4285714286</v>
      </c>
      <c r="M11" s="33">
        <f t="shared" si="0"/>
        <v>12146.224285714286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78</v>
      </c>
      <c r="D12" s="20" t="s">
        <v>68</v>
      </c>
      <c r="E12" s="20"/>
      <c r="F12" s="20" t="s">
        <v>70</v>
      </c>
      <c r="G12" s="20">
        <v>518203057</v>
      </c>
      <c r="H12" s="20" t="s">
        <v>74</v>
      </c>
      <c r="I12" s="21">
        <f>1317381-52927.83</f>
        <v>1264453.17</v>
      </c>
      <c r="K12" s="21">
        <f t="shared" si="2"/>
        <v>135477.12535714285</v>
      </c>
      <c r="L12" s="27">
        <f t="shared" si="3"/>
        <v>1128976.044642857</v>
      </c>
      <c r="M12" s="33">
        <f t="shared" si="0"/>
        <v>11289.760446428571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7757919.1299999999</v>
      </c>
      <c r="K32" s="14">
        <f>SUM(K7:K31)</f>
        <v>831205.62107142864</v>
      </c>
      <c r="L32" s="14">
        <f>SUM(L7:L31)</f>
        <v>6926713.5089285718</v>
      </c>
      <c r="M32" s="36">
        <f>SUM(M7:M31)</f>
        <v>69267.135089285701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2025-12-17T02:59:29Z</dcterms:modified>
</cp:coreProperties>
</file>