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BEED910-45DB-4CE9-8868-2EA4C028700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5" i="6" l="1"/>
  <c r="I24" i="6"/>
  <c r="I23" i="6"/>
  <c r="I22" i="6" l="1"/>
  <c r="I21" i="6" l="1"/>
  <c r="I20" i="6" l="1"/>
  <c r="I19" i="6" l="1"/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<sst xmlns="http://schemas.openxmlformats.org/spreadsheetml/2006/main" count="267" uniqueCount="87">
  <si>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</si>
  <si>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</si>
  <si>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</si>
  <si>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</si>
  <si>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</si>
  <si>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</si>
  <si>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</si>
  <si>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</si>
  <si>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</si>
  <si>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</si>
  <si>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</si>
  <si>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</si>
  <si>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</si>
  <si>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</si>
  <si>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</si>
  <si>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</si>
  <si>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</si>
  <si>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</si>
  <si>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</si>
  <si>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</si>
  <si>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</si>
  <si>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</si>
  <si>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</si>
  <si>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</si>
  <si>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</si>
  <si>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</si>
  <si>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</si>
  <si>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</si>
  <si>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</si>
  <si>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</si>
  <si>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</si>
  <si>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</si>
  <si>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</si>
  <si>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</si>
  <si>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</si>
  <si>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</si>
  <si>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</si>
  <si>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</si>
  <si>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</si>
  <si>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</si>
  <si>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</si>
  <si>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</si>
  <si>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</si>
  <si>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</si>
  <si>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</si>
  <si>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</si>
  <si>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</si>
  <si>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</si>
  <si>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</si>
  <si>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</si>
  <si>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</si>
  <si>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</si>
  <si>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</si>
  <si>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</si>
  <si>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</si>
  <si>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</si>
  <si>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</si>
  <si>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</si>
  <si>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</si>
  <si>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</si>
  <si>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</si>
  <si>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</si>
  <si>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</si>
  <si>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</si>
  <si>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</si>
  <si>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</si>
  <si>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</si>
  <si>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</si>
  <si>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</si>
  <si>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</si>
  <si>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</si>
  <si>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</si>
  <si>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</si>
  <si>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</si>
  <si>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</si>
  <si>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</si>
  <si>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</si>
  <si>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</si>
  <si>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</si>
  <si>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</si>
  <si>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</si>
  <si>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</si>
  <si>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</si>
  <si>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</si>
  <si>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</si>
  <si>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12/26/2025</t>
  </si>
  <si>
    <t>12/27/2025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</si>
</sst>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26" sqref="C2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518228713</v>
      </c>
      <c r="H19" s="20" t="s">
        <v>74</v>
      </c>
      <c r="I19" s="21">
        <f>1363925-55554.56</f>
        <v>1308370.44</v>
      </c>
      <c r="K19" s="21">
        <f t="shared" si="2"/>
        <v>140182.54714285713</v>
      </c>
      <c r="L19" s="27">
        <f t="shared" si="3"/>
        <v>1168187.8928571427</v>
      </c>
      <c r="M19" s="33">
        <f t="shared" si="0"/>
        <v>11681.878928571428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83</v>
      </c>
      <c r="D20" s="20" t="s">
        <v>68</v>
      </c>
      <c r="E20" s="20"/>
      <c r="F20" s="20" t="s">
        <v>70</v>
      </c>
      <c r="G20" s="20">
        <v>518235184</v>
      </c>
      <c r="H20" s="20" t="s">
        <v>74</v>
      </c>
      <c r="I20" s="21">
        <f>1215326-51104.12</f>
        <v>1164221.8799999999</v>
      </c>
      <c r="K20" s="21">
        <f t="shared" si="2"/>
        <v>124738.05857142856</v>
      </c>
      <c r="L20" s="27">
        <f t="shared" si="3"/>
        <v>1039483.8214285714</v>
      </c>
      <c r="M20" s="33">
        <f t="shared" si="0"/>
        <v>10394.838214285714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84</v>
      </c>
      <c r="D21" s="20" t="s">
        <v>68</v>
      </c>
      <c r="E21" s="20"/>
      <c r="F21" s="20" t="s">
        <v>70</v>
      </c>
      <c r="G21" s="20">
        <v>518239244</v>
      </c>
      <c r="H21" s="20" t="s">
        <v>74</v>
      </c>
      <c r="I21" s="21">
        <f>1353132-56255.04</f>
        <v>1296876.96</v>
      </c>
      <c r="K21" s="21">
        <f t="shared" si="2"/>
        <v>138951.10285714286</v>
      </c>
      <c r="L21" s="27">
        <f t="shared" si="3"/>
        <v>1157925.857142857</v>
      </c>
      <c r="M21" s="33">
        <f t="shared" si="0"/>
        <v>11579.258571428571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84</v>
      </c>
      <c r="D22" s="20" t="s">
        <v>68</v>
      </c>
      <c r="E22" s="20"/>
      <c r="F22" s="20" t="s">
        <v>70</v>
      </c>
      <c r="G22" s="20">
        <v>518239897</v>
      </c>
      <c r="H22" s="20" t="s">
        <v>74</v>
      </c>
      <c r="I22" s="21">
        <f>1353132-56255.04</f>
        <v>1296876.96</v>
      </c>
      <c r="K22" s="21">
        <f t="shared" si="2"/>
        <v>138951.10285714286</v>
      </c>
      <c r="L22" s="27">
        <f t="shared" si="3"/>
        <v>1157925.857142857</v>
      </c>
      <c r="M22" s="33">
        <f t="shared" si="0"/>
        <v>11579.258571428571</v>
      </c>
    </row>
    <row r="23" spans="1:13" x14ac:dyDescent="0.25">
      <c r="A23">
        <f t="shared" si="1"/>
        <v>17</v>
      </c>
      <c r="B23" s="23">
        <f t="shared" si="1"/>
        <v>17</v>
      </c>
      <c r="C23" s="19" t="s">
        <v>85</v>
      </c>
      <c r="D23" s="20" t="s">
        <v>68</v>
      </c>
      <c r="E23" s="20"/>
      <c r="F23" s="20" t="s">
        <v>70</v>
      </c>
      <c r="G23" s="20">
        <v>518247600</v>
      </c>
      <c r="H23" s="20" t="s">
        <v>74</v>
      </c>
      <c r="I23" s="21">
        <f>1268878-54783.24</f>
        <v>1214094.76</v>
      </c>
      <c r="K23" s="21">
        <f t="shared" si="2"/>
        <v>130081.58142857143</v>
      </c>
      <c r="L23" s="27">
        <f t="shared" si="3"/>
        <v>1084013.1785714286</v>
      </c>
      <c r="M23" s="33">
        <f t="shared" si="0"/>
        <v>10840.131785714286</v>
      </c>
    </row>
    <row r="24" spans="1:13" x14ac:dyDescent="0.25">
      <c r="A24">
        <f t="shared" si="1"/>
        <v>18</v>
      </c>
      <c r="B24" s="23">
        <f t="shared" si="1"/>
        <v>18</v>
      </c>
      <c r="C24" s="19" t="s">
        <v>85</v>
      </c>
      <c r="D24" s="20" t="s">
        <v>68</v>
      </c>
      <c r="E24" s="20"/>
      <c r="F24" s="20" t="s">
        <v>70</v>
      </c>
      <c r="G24" s="20">
        <v>518247619</v>
      </c>
      <c r="H24" s="20" t="s">
        <v>74</v>
      </c>
      <c r="I24" s="21">
        <f>1270313-50936.09</f>
        <v>1219376.9099999999</v>
      </c>
      <c r="K24" s="21">
        <f t="shared" si="2"/>
        <v>130647.52607142857</v>
      </c>
      <c r="L24" s="27">
        <f t="shared" si="3"/>
        <v>1088729.3839285714</v>
      </c>
      <c r="M24" s="33">
        <f t="shared" si="0"/>
        <v>10887.293839285714</v>
      </c>
    </row>
    <row r="25" spans="1:13" x14ac:dyDescent="0.25">
      <c r="A25">
        <f t="shared" si="1"/>
        <v>19</v>
      </c>
      <c r="B25" s="23">
        <f t="shared" si="1"/>
        <v>19</v>
      </c>
      <c r="C25" s="19" t="s">
        <v>86</v>
      </c>
      <c r="D25" s="20" t="s">
        <v>68</v>
      </c>
      <c r="E25" s="20"/>
      <c r="F25" s="20" t="s">
        <v>70</v>
      </c>
      <c r="G25" s="20">
        <v>518248031</v>
      </c>
      <c r="H25" s="20" t="s">
        <v>74</v>
      </c>
      <c r="I25" s="21">
        <f>1135766-47710.13</f>
        <v>1088055.8700000001</v>
      </c>
      <c r="K25" s="21">
        <f t="shared" si="2"/>
        <v>116577.41464285715</v>
      </c>
      <c r="L25" s="27">
        <f t="shared" si="3"/>
        <v>971478.45535714296</v>
      </c>
      <c r="M25" s="33">
        <f t="shared" si="0"/>
        <v>9714.7845535714296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24082170.170000009</v>
      </c>
      <c r="K32" s="14">
        <f>SUM(K7:K31)</f>
        <v>2580232.5182142863</v>
      </c>
      <c r="L32" s="14">
        <f>SUM(L7:L31)</f>
        <v>21501937.651785713</v>
      </c>
      <c r="M32" s="36">
        <f>SUM(M7:M31)</f>
        <v>215019.37651785705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2025-12-29T04:30:19Z</dcterms:modified>
</cp:coreProperties>
</file>