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8E0E0685-AC7E-4A69-933E-B8D63DE634EE}" xr6:coauthVersionLast="45" xr6:coauthVersionMax="47" xr10:uidLastSave="{00000000-0000-0000-0000-000000000000}"/>
  <bookViews>
    <workbookView xWindow="-120" yWindow="-120" windowWidth="29040" windowHeight="15840" firstSheet="40" activeTab="52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D54" i="1588" s="1"/>
  <c r="H14" i="1588" s="1"/>
  <c r="R35" i="1588"/>
  <c r="L19" i="1588" s="1"/>
  <c r="D19" i="1588" s="1"/>
  <c r="H35" i="1588"/>
  <c r="G49" i="1588" s="1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H15" i="1587" s="1"/>
  <c r="H29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G49" i="1587" s="1"/>
  <c r="D36" i="1587"/>
  <c r="R35" i="1587"/>
  <c r="L19" i="1587" s="1"/>
  <c r="D19" i="1587" s="1"/>
  <c r="H35" i="1587"/>
  <c r="D35" i="1587"/>
  <c r="R34" i="1587"/>
  <c r="H34" i="1587"/>
  <c r="D34" i="1587"/>
  <c r="D54" i="1587" s="1"/>
  <c r="H14" i="1587" s="1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D54" i="1586" s="1"/>
  <c r="H14" i="1586" s="1"/>
  <c r="R35" i="1586"/>
  <c r="H35" i="1586"/>
  <c r="D35" i="1586"/>
  <c r="R34" i="1586"/>
  <c r="H34" i="1586"/>
  <c r="G49" i="1586" s="1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G49" i="1584" s="1"/>
  <c r="D35" i="1584"/>
  <c r="D54" i="1584" s="1"/>
  <c r="H14" i="1584" s="1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29" i="1583" s="1"/>
  <c r="H13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G49" i="1583" s="1"/>
  <c r="D34" i="1583"/>
  <c r="D54" i="1583" s="1"/>
  <c r="H14" i="1583" s="1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D54" i="1582" s="1"/>
  <c r="H14" i="1582" s="1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G49" i="1580" s="1"/>
  <c r="D34" i="1580"/>
  <c r="D54" i="1580" s="1"/>
  <c r="H14" i="1580" s="1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G49" i="1579" s="1"/>
  <c r="D38" i="1579"/>
  <c r="R37" i="1579"/>
  <c r="H37" i="1579"/>
  <c r="D37" i="1579"/>
  <c r="R36" i="1579"/>
  <c r="H36" i="1579"/>
  <c r="D36" i="1579"/>
  <c r="R35" i="1579"/>
  <c r="H35" i="1579"/>
  <c r="D35" i="1579"/>
  <c r="D54" i="1579" s="1"/>
  <c r="H14" i="1579" s="1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L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D54" i="1578" s="1"/>
  <c r="H14" i="1578" s="1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G49" i="1576" s="1"/>
  <c r="D36" i="1576"/>
  <c r="R35" i="1576"/>
  <c r="L19" i="1576" s="1"/>
  <c r="D19" i="1576" s="1"/>
  <c r="H35" i="1576"/>
  <c r="D35" i="1576"/>
  <c r="R34" i="1576"/>
  <c r="H34" i="1576"/>
  <c r="D34" i="1576"/>
  <c r="D54" i="1576" s="1"/>
  <c r="H14" i="1576" s="1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G49" i="1575" s="1"/>
  <c r="D34" i="1575"/>
  <c r="D54" i="1575" s="1"/>
  <c r="H14" i="1575" s="1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L25" i="1575"/>
  <c r="D25" i="1575" s="1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D54" i="1574" s="1"/>
  <c r="H14" i="1574" s="1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L26" i="1574"/>
  <c r="D26" i="1574"/>
  <c r="R25" i="1574"/>
  <c r="L25" i="1574"/>
  <c r="D25" i="1574" s="1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29" i="1572" s="1"/>
  <c r="H13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G49" i="1572" s="1"/>
  <c r="D34" i="1572"/>
  <c r="D54" i="1572" s="1"/>
  <c r="H14" i="1572" s="1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D54" i="1571" s="1"/>
  <c r="H14" i="1571" s="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D54" i="1568" s="1"/>
  <c r="H14" i="1568" s="1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D54" i="1567" s="1"/>
  <c r="H14" i="1567" s="1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G49" i="1566" s="1"/>
  <c r="D36" i="1566"/>
  <c r="D54" i="1566" s="1"/>
  <c r="H14" i="1566" s="1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D29" i="1588" l="1"/>
  <c r="H13" i="1588" s="1"/>
  <c r="H15" i="1588" s="1"/>
  <c r="H29" i="1588" s="1"/>
  <c r="G51" i="1588" s="1"/>
  <c r="G51" i="1587"/>
  <c r="D29" i="1586"/>
  <c r="H13" i="1586" s="1"/>
  <c r="H15" i="1586" s="1"/>
  <c r="H29" i="1586" s="1"/>
  <c r="G51" i="1586" s="1"/>
  <c r="D29" i="1585"/>
  <c r="H13" i="1585" s="1"/>
  <c r="H15" i="1585" s="1"/>
  <c r="H29" i="1585" s="1"/>
  <c r="G51" i="1585" s="1"/>
  <c r="D29" i="1584"/>
  <c r="H13" i="1584" s="1"/>
  <c r="H15" i="1584" s="1"/>
  <c r="H29" i="1584" s="1"/>
  <c r="G51" i="1584" s="1"/>
  <c r="H15" i="1583"/>
  <c r="H29" i="1583" s="1"/>
  <c r="G51" i="1583" s="1"/>
  <c r="D29" i="1582"/>
  <c r="H13" i="1582" s="1"/>
  <c r="H15" i="1582" s="1"/>
  <c r="H29" i="1582" s="1"/>
  <c r="G51" i="1582"/>
  <c r="D29" i="1581"/>
  <c r="H13" i="1581" s="1"/>
  <c r="H15" i="1581" s="1"/>
  <c r="H29" i="1581" s="1"/>
  <c r="G51" i="1581"/>
  <c r="D29" i="1580"/>
  <c r="H13" i="1580" s="1"/>
  <c r="H15" i="1580" s="1"/>
  <c r="H29" i="1580" s="1"/>
  <c r="G51" i="1580" s="1"/>
  <c r="D29" i="1579"/>
  <c r="H13" i="1579" s="1"/>
  <c r="H15" i="1579" s="1"/>
  <c r="H29" i="1579" s="1"/>
  <c r="G51" i="1579" s="1"/>
  <c r="D29" i="1578"/>
  <c r="H13" i="1578" s="1"/>
  <c r="H15" i="1578" s="1"/>
  <c r="H29" i="1578" s="1"/>
  <c r="G51" i="1578"/>
  <c r="D29" i="1577"/>
  <c r="H13" i="1577" s="1"/>
  <c r="H15" i="1577" s="1"/>
  <c r="H29" i="1577" s="1"/>
  <c r="G51" i="1577" s="1"/>
  <c r="D29" i="1576"/>
  <c r="H13" i="1576" s="1"/>
  <c r="H15" i="1576" s="1"/>
  <c r="H29" i="1576" s="1"/>
  <c r="G51" i="1576" s="1"/>
  <c r="D29" i="1575"/>
  <c r="H13" i="1575" s="1"/>
  <c r="H15" i="1575" s="1"/>
  <c r="H29" i="1575" s="1"/>
  <c r="G51" i="1575" s="1"/>
  <c r="G51" i="1574"/>
  <c r="D29" i="1574"/>
  <c r="H13" i="1574" s="1"/>
  <c r="H15" i="1574" s="1"/>
  <c r="H29" i="1574" s="1"/>
  <c r="H15" i="1573"/>
  <c r="H29" i="1573" s="1"/>
  <c r="G51" i="1573"/>
  <c r="H15" i="1572"/>
  <c r="H29" i="1572" s="1"/>
  <c r="G51" i="1572" s="1"/>
  <c r="D29" i="1571"/>
  <c r="H13" i="1571" s="1"/>
  <c r="H15" i="1571" s="1"/>
  <c r="H29" i="1571" s="1"/>
  <c r="G51" i="157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H15" i="1568" s="1"/>
  <c r="H29" i="1568" s="1"/>
  <c r="G51" i="1568" s="1"/>
  <c r="D29" i="1567"/>
  <c r="H13" i="1567" s="1"/>
  <c r="H15" i="1567" s="1"/>
  <c r="H29" i="1567" s="1"/>
  <c r="G51" i="1567" s="1"/>
  <c r="D29" i="1566"/>
  <c r="H13" i="1566" s="1"/>
  <c r="H15" i="1566" s="1"/>
  <c r="H29" i="1566" s="1"/>
  <c r="G51" i="1566" s="1"/>
  <c r="D29" i="1565"/>
  <c r="H13" i="1565" s="1"/>
  <c r="H15" i="1565" s="1"/>
  <c r="H29" i="1565" s="1"/>
  <c r="G51" i="1565" s="1"/>
  <c r="H16" i="1560"/>
  <c r="H16" i="1556" l="1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G49" i="1564" s="1"/>
  <c r="D34" i="1564"/>
  <c r="D54" i="1564" s="1"/>
  <c r="H14" i="1564" s="1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29" i="1563" s="1"/>
  <c r="H13" i="1563" s="1"/>
  <c r="H15" i="1563" s="1"/>
  <c r="H29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G49" i="1563" s="1"/>
  <c r="D34" i="1563"/>
  <c r="D54" i="1563" s="1"/>
  <c r="H14" i="1563" s="1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L25" i="1563"/>
  <c r="D25" i="1563" s="1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29" i="1562" s="1"/>
  <c r="H13" i="1562" s="1"/>
  <c r="H15" i="1562" s="1"/>
  <c r="H29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G49" i="1562" s="1"/>
  <c r="D34" i="1562"/>
  <c r="D54" i="1562" s="1"/>
  <c r="H14" i="1562" s="1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L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L24" i="1543"/>
  <c r="D24" i="1543" s="1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D54" i="1560" l="1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H15" i="1564" s="1"/>
  <c r="H29" i="1564" s="1"/>
  <c r="G51" i="1564" s="1"/>
  <c r="G51" i="1563"/>
  <c r="G51" i="1562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0" l="1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<sst xmlns="http://schemas.openxmlformats.org/spreadsheetml/2006/main" count="6848" uniqueCount="172">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</sst>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88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85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45992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>
        <v>262</v>
      </c>
      <c r="D6" s="13">
        <f t="shared" ref="D6:D28" si="1">C6*L6</f>
        <v>193094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>
        <v>16</v>
      </c>
      <c r="D7" s="13">
        <f t="shared" si="1"/>
        <v>11600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>
        <v>1</v>
      </c>
      <c r="D8" s="13">
        <f t="shared" si="1"/>
        <v>1033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>
        <v>20</v>
      </c>
      <c r="D9" s="13">
        <f t="shared" si="1"/>
        <v>14140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>
        <v>2</v>
      </c>
      <c r="D10" s="13">
        <f t="shared" si="1"/>
        <v>1944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>
        <v>1</v>
      </c>
      <c r="D11" s="13">
        <f t="shared" si="1"/>
        <v>1125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>
        <f>2</f>
        <v>2</v>
      </c>
      <c r="D12" s="48">
        <f t="shared" si="1"/>
        <v>1904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>
        <v>9</v>
      </c>
      <c r="D13" s="48">
        <f t="shared" si="1"/>
        <v>2763</v>
      </c>
      <c r="F13" s="143" t="s">
        <v>36</v>
      </c>
      <c r="G13" s="144"/>
      <c r="H13" s="145">
        <f>D29</f>
        <v>240783.5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>
        <v>3</v>
      </c>
      <c r="D14" s="31">
        <f t="shared" si="1"/>
        <v>33</v>
      </c>
      <c r="F14" s="148" t="s">
        <v>39</v>
      </c>
      <c r="G14" s="149"/>
      <c r="H14" s="150">
        <f>D54</f>
        <v>35187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205596.5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0">
        <v>79918</v>
      </c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82">
        <v>87410</v>
      </c>
      <c r="I26" s="182"/>
      <c r="J26" s="182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85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>
        <v>11</v>
      </c>
      <c r="D28" s="48">
        <f t="shared" si="1"/>
        <v>8635</v>
      </c>
      <c r="F28" s="88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240783.5</v>
      </c>
      <c r="F29" s="166" t="s">
        <v>55</v>
      </c>
      <c r="G29" s="167"/>
      <c r="H29" s="170">
        <f>H15-H16-H17-H18-H19-H20-H22-H23-H24+H26+H27+H28</f>
        <v>213088.5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98">
        <f t="shared" ref="H34:H39" si="2">F34*G34</f>
        <v>77000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98">
        <f t="shared" si="2"/>
        <v>19000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98">
        <f t="shared" si="2"/>
        <v>400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98">
        <f t="shared" si="2"/>
        <v>600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98">
        <f t="shared" si="2"/>
        <v>350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4</v>
      </c>
      <c r="D42" s="12">
        <f>C42*2.25</f>
        <v>9</v>
      </c>
      <c r="F42" s="39" t="s">
        <v>79</v>
      </c>
      <c r="G42" s="198">
        <v>25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85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82">
        <v>15213</v>
      </c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82">
        <v>13245</v>
      </c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82">
        <v>87410</v>
      </c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1</v>
      </c>
      <c r="D49" s="12">
        <f>C49*42</f>
        <v>42</v>
      </c>
      <c r="F49" s="223" t="s">
        <v>86</v>
      </c>
      <c r="G49" s="170">
        <f>H34+H35+H36+H37+H38+H39+H40+H41+G42+H44+H45+H46</f>
        <v>213263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12</v>
      </c>
      <c r="D50" s="12">
        <f>C50*1.5</f>
        <v>18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148</v>
      </c>
      <c r="G51" s="227">
        <f>G49-H29</f>
        <v>174.5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45992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168</v>
      </c>
      <c r="D6" s="13">
        <f t="shared" ref="D6:D28" si="1">C6*L6</f>
        <v>123816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2</v>
      </c>
      <c r="D7" s="13">
        <f t="shared" si="1"/>
        <v>1450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39</v>
      </c>
      <c r="D9" s="13">
        <f t="shared" si="1"/>
        <v>27573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4</v>
      </c>
      <c r="D13" s="48">
        <f t="shared" si="1"/>
        <v>1228</v>
      </c>
      <c r="F13" s="143" t="s">
        <v>36</v>
      </c>
      <c r="G13" s="144"/>
      <c r="H13" s="145">
        <f>D29</f>
        <v>154078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1</v>
      </c>
      <c r="D14" s="31">
        <f t="shared" si="1"/>
        <v>11</v>
      </c>
      <c r="F14" s="148" t="s">
        <v>39</v>
      </c>
      <c r="G14" s="149"/>
      <c r="H14" s="150">
        <f>D54</f>
        <v>24060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130018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v>1314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88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154078</v>
      </c>
      <c r="F29" s="166" t="s">
        <v>55</v>
      </c>
      <c r="G29" s="167"/>
      <c r="H29" s="170">
        <f>H15-H16-H17-H18-H19-H20-H22-H23-H24+H26+H27</f>
        <v>128654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98">
        <f>F34*G34</f>
        <v>101000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98">
        <f t="shared" ref="H35:H39" si="2">F35*G35</f>
        <v>26500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8</v>
      </c>
      <c r="D42" s="12">
        <f>C42*2.25</f>
        <v>18</v>
      </c>
      <c r="F42" s="39" t="s">
        <v>79</v>
      </c>
      <c r="G42" s="198">
        <v>35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85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>
        <v>1</v>
      </c>
      <c r="D46" s="12">
        <f>C46*1.5</f>
        <v>1.5</v>
      </c>
      <c r="F46" s="37"/>
      <c r="G46" s="86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1</v>
      </c>
      <c r="D49" s="12">
        <f>C49*42</f>
        <v>42</v>
      </c>
      <c r="F49" s="223" t="s">
        <v>86</v>
      </c>
      <c r="G49" s="170">
        <f>H34+H35+H36+H37+H38+H39+H40+H41+G42+H44+H45+H46</f>
        <v>127985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22</v>
      </c>
      <c r="D50" s="12">
        <f>C50*1.5</f>
        <v>33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132</v>
      </c>
      <c r="G51" s="238">
        <f>G49-H29</f>
        <v>-669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24060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45992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211</v>
      </c>
      <c r="D6" s="13">
        <f t="shared" ref="D6:D28" si="1">C6*L6</f>
        <v>155507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11</v>
      </c>
      <c r="D7" s="13">
        <f t="shared" si="1"/>
        <v>7975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>
        <v>1</v>
      </c>
      <c r="D8" s="13">
        <f t="shared" si="1"/>
        <v>1033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18</v>
      </c>
      <c r="D9" s="13">
        <f t="shared" si="1"/>
        <v>12726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>
        <v>2</v>
      </c>
      <c r="D10" s="13">
        <f t="shared" si="1"/>
        <v>1944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>
        <v>3</v>
      </c>
      <c r="D12" s="48">
        <f t="shared" si="1"/>
        <v>2856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5</v>
      </c>
      <c r="D13" s="48">
        <f t="shared" si="1"/>
        <v>1535</v>
      </c>
      <c r="F13" s="143" t="s">
        <v>36</v>
      </c>
      <c r="G13" s="144"/>
      <c r="H13" s="145">
        <f>D29</f>
        <v>197825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1</v>
      </c>
      <c r="D14" s="31">
        <f t="shared" si="1"/>
        <v>11</v>
      </c>
      <c r="F14" s="148" t="s">
        <v>39</v>
      </c>
      <c r="G14" s="149"/>
      <c r="H14" s="150">
        <f>D54</f>
        <v>31160.25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166664.75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300</f>
        <v>300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>
        <v>9</v>
      </c>
      <c r="D27" s="44">
        <f t="shared" si="1"/>
        <v>14238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88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197825</v>
      </c>
      <c r="F29" s="166" t="s">
        <v>55</v>
      </c>
      <c r="G29" s="167"/>
      <c r="H29" s="170">
        <f>H15-H16-H17-H18-H19-H20-H22-H23-H24+H26+H27</f>
        <v>166364.75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98">
        <f>F34*G34</f>
        <v>131000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98">
        <f>F35*G35</f>
        <v>21000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8">
        <v>86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85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82">
        <v>14238</v>
      </c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>
        <v>1</v>
      </c>
      <c r="D45" s="12">
        <f>C45*84</f>
        <v>84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>
        <v>11</v>
      </c>
      <c r="D46" s="12">
        <f>C46*1.5</f>
        <v>16.5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1</v>
      </c>
      <c r="D49" s="12">
        <f>C49*42</f>
        <v>42</v>
      </c>
      <c r="F49" s="223" t="s">
        <v>86</v>
      </c>
      <c r="G49" s="170">
        <f>H34+H35+H36+H37+H38+H39+H40+H41+G42+H44+H45+H46</f>
        <v>166324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6</v>
      </c>
      <c r="D50" s="12">
        <f>C50*1.5</f>
        <v>9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38">
        <f>G49-H29</f>
        <v>-40.75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31160.25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45993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>
        <v>261</v>
      </c>
      <c r="D6" s="13">
        <f t="shared" ref="D6:D28" si="1">C6*L6</f>
        <v>192357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>
        <v>3</v>
      </c>
      <c r="D7" s="13">
        <f t="shared" si="1"/>
        <v>2175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/>
      <c r="D8" s="13">
        <f t="shared" si="1"/>
        <v>0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>
        <v>20</v>
      </c>
      <c r="D9" s="13">
        <f t="shared" si="1"/>
        <v>14140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>
        <v>1</v>
      </c>
      <c r="D10" s="13">
        <f t="shared" si="1"/>
        <v>972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>
        <v>1</v>
      </c>
      <c r="D12" s="48">
        <f t="shared" si="1"/>
        <v>952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>
        <v>4</v>
      </c>
      <c r="D13" s="48">
        <f t="shared" si="1"/>
        <v>1228</v>
      </c>
      <c r="F13" s="143" t="s">
        <v>36</v>
      </c>
      <c r="G13" s="144"/>
      <c r="H13" s="145">
        <f>D29</f>
        <v>220448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>
        <v>22</v>
      </c>
      <c r="D14" s="31">
        <f t="shared" si="1"/>
        <v>242</v>
      </c>
      <c r="F14" s="148" t="s">
        <v>39</v>
      </c>
      <c r="G14" s="149"/>
      <c r="H14" s="150">
        <f>D54</f>
        <v>32962.5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187485.5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137</v>
      </c>
      <c r="C26" s="84"/>
      <c r="D26" s="48">
        <f t="shared" si="1"/>
        <v>0</v>
      </c>
      <c r="F26" s="75"/>
      <c r="G26" s="65"/>
      <c r="H26" s="182"/>
      <c r="I26" s="182"/>
      <c r="J26" s="18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>
        <v>6</v>
      </c>
      <c r="D28" s="48">
        <f t="shared" si="1"/>
        <v>4710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220448</v>
      </c>
      <c r="F29" s="166" t="s">
        <v>55</v>
      </c>
      <c r="G29" s="167"/>
      <c r="H29" s="170">
        <f>H15-H16-H17-H18-H19-H20-H22-H23-H24+H26+H27+H28</f>
        <v>187485.5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98">
        <f t="shared" ref="H34:H39" si="2">F34*G34</f>
        <v>124000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98">
        <f t="shared" si="2"/>
        <v>52000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98">
        <f t="shared" si="2"/>
        <v>400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98">
        <f t="shared" si="2"/>
        <v>2600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12</v>
      </c>
      <c r="D42" s="12">
        <f>C42*2.25</f>
        <v>27</v>
      </c>
      <c r="F42" s="39" t="s">
        <v>79</v>
      </c>
      <c r="G42" s="198">
        <v>69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82">
        <v>7978</v>
      </c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>
        <v>5</v>
      </c>
      <c r="D46" s="12">
        <f>C46*1.5</f>
        <v>7.5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1</v>
      </c>
      <c r="D49" s="12">
        <f>C49*42</f>
        <v>42</v>
      </c>
      <c r="F49" s="223" t="s">
        <v>86</v>
      </c>
      <c r="G49" s="170">
        <f>H34+H35+H36+H37+H38+H39+H40+H41+G42+H44+H45+H46</f>
        <v>187047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20</v>
      </c>
      <c r="D50" s="12">
        <f>C50*1.5</f>
        <v>30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38">
        <f>G49-H29</f>
        <v>-438.5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45993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230</v>
      </c>
      <c r="D6" s="13">
        <f t="shared" ref="D6:D28" si="1">C6*L6</f>
        <v>169510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7</v>
      </c>
      <c r="D7" s="13">
        <f t="shared" si="1"/>
        <v>5075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20</v>
      </c>
      <c r="D9" s="13">
        <f t="shared" si="1"/>
        <v>14140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>
        <v>2</v>
      </c>
      <c r="D12" s="48">
        <f t="shared" si="1"/>
        <v>1904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8</v>
      </c>
      <c r="D13" s="48">
        <f t="shared" si="1"/>
        <v>2456</v>
      </c>
      <c r="F13" s="143" t="s">
        <v>36</v>
      </c>
      <c r="G13" s="144"/>
      <c r="H13" s="145">
        <f>D29</f>
        <v>196676.66666666666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13</v>
      </c>
      <c r="D14" s="31">
        <f t="shared" si="1"/>
        <v>143</v>
      </c>
      <c r="F14" s="148" t="s">
        <v>39</v>
      </c>
      <c r="G14" s="149"/>
      <c r="H14" s="150">
        <f>D54</f>
        <v>36855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159821.66666666666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1899</f>
        <v>1899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>
        <v>2</v>
      </c>
      <c r="D24" s="48">
        <f t="shared" si="1"/>
        <v>198.66666666666666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196676.66666666666</v>
      </c>
      <c r="F29" s="166" t="s">
        <v>55</v>
      </c>
      <c r="G29" s="167"/>
      <c r="H29" s="170">
        <f>H15-H16-H17-H18-H19-H20-H22-H23-H24+H26+H27</f>
        <v>157922.66666666666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98">
        <f>F34*G34</f>
        <v>34000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98">
        <f t="shared" ref="H35:H39" si="2">F35*G35</f>
        <v>1000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2</v>
      </c>
      <c r="D42" s="12">
        <f>C42*2.25</f>
        <v>4.5</v>
      </c>
      <c r="F42" s="39" t="s">
        <v>79</v>
      </c>
      <c r="G42" s="198">
        <v>2460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82">
        <v>119875</v>
      </c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>
        <v>1</v>
      </c>
      <c r="D45" s="12">
        <f>C45*84</f>
        <v>84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>
        <v>5</v>
      </c>
      <c r="D46" s="12">
        <f>C46*1.5</f>
        <v>7.5</v>
      </c>
      <c r="F46" s="37"/>
      <c r="G46" s="91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1</v>
      </c>
      <c r="D49" s="12">
        <f>C49*42</f>
        <v>42</v>
      </c>
      <c r="F49" s="223" t="s">
        <v>86</v>
      </c>
      <c r="G49" s="170">
        <f>H34+H35+H36+H37+H38+H39+H40+H41+G42+H44+H45+H46</f>
        <v>157735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20</v>
      </c>
      <c r="D50" s="12">
        <f>C50*1.5</f>
        <v>30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132</v>
      </c>
      <c r="G51" s="238">
        <f>G49-H29</f>
        <v>-187.66666666665697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36855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45993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194</v>
      </c>
      <c r="D6" s="13">
        <f t="shared" ref="D6:D28" si="1">C6*L6</f>
        <v>142978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17</v>
      </c>
      <c r="D7" s="13">
        <f t="shared" si="1"/>
        <v>12325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13</v>
      </c>
      <c r="D9" s="13">
        <f t="shared" si="1"/>
        <v>9191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>
        <v>2</v>
      </c>
      <c r="D10" s="13">
        <f t="shared" si="1"/>
        <v>1944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>
        <v>2</v>
      </c>
      <c r="D11" s="13">
        <f t="shared" si="1"/>
        <v>2250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>
        <v>2</v>
      </c>
      <c r="D12" s="48">
        <f t="shared" si="1"/>
        <v>1904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5</v>
      </c>
      <c r="D13" s="48">
        <f t="shared" si="1"/>
        <v>1535</v>
      </c>
      <c r="F13" s="143" t="s">
        <v>36</v>
      </c>
      <c r="G13" s="144"/>
      <c r="H13" s="145">
        <f>D29</f>
        <v>173906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19</v>
      </c>
      <c r="D14" s="31">
        <f t="shared" si="1"/>
        <v>209</v>
      </c>
      <c r="F14" s="148" t="s">
        <v>39</v>
      </c>
      <c r="G14" s="149"/>
      <c r="H14" s="150">
        <f>D54</f>
        <v>39246.75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134659.25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336</f>
        <v>336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6">
        <v>85842</v>
      </c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>
        <v>2</v>
      </c>
      <c r="D28" s="48">
        <f t="shared" si="1"/>
        <v>1570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173906</v>
      </c>
      <c r="F29" s="166" t="s">
        <v>55</v>
      </c>
      <c r="G29" s="167"/>
      <c r="H29" s="170">
        <f>H15-H16-H17-H18-H19-H20-H22-H23-H24+H26+H27</f>
        <v>220165.25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98">
        <f>F34*G34</f>
        <v>133000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8">
        <f>F35*G35</f>
        <v>11000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1</v>
      </c>
      <c r="D42" s="12">
        <f>C42*2.25</f>
        <v>2.25</v>
      </c>
      <c r="F42" s="39" t="s">
        <v>79</v>
      </c>
      <c r="G42" s="198">
        <v>61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82">
        <v>85842</v>
      </c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>
        <v>3</v>
      </c>
      <c r="D46" s="12">
        <f>C46*1.5</f>
        <v>4.5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230303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5</v>
      </c>
      <c r="D50" s="12">
        <f>C50*1.5</f>
        <v>7.5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148</v>
      </c>
      <c r="G51" s="227">
        <f>G49-H29</f>
        <v>10137.75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39246.75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45994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>
        <v>150</v>
      </c>
      <c r="D6" s="13">
        <f t="shared" ref="D6:D28" si="1">C6*L6</f>
        <v>110550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>
        <v>5</v>
      </c>
      <c r="D7" s="13">
        <f t="shared" si="1"/>
        <v>3625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/>
      <c r="D8" s="13">
        <f t="shared" si="1"/>
        <v>0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>
        <v>10</v>
      </c>
      <c r="D9" s="13">
        <f t="shared" si="1"/>
        <v>7070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/>
      <c r="D10" s="13">
        <f t="shared" si="1"/>
        <v>0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>
        <v>4</v>
      </c>
      <c r="D13" s="48">
        <f t="shared" si="1"/>
        <v>1228</v>
      </c>
      <c r="F13" s="143" t="s">
        <v>36</v>
      </c>
      <c r="G13" s="144"/>
      <c r="H13" s="145">
        <f>D29</f>
        <v>124676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>
        <v>23</v>
      </c>
      <c r="D14" s="31">
        <f t="shared" si="1"/>
        <v>253</v>
      </c>
      <c r="F14" s="148" t="s">
        <v>39</v>
      </c>
      <c r="G14" s="149"/>
      <c r="H14" s="150">
        <f>D54</f>
        <v>17744.25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106931.75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137</v>
      </c>
      <c r="C26" s="84"/>
      <c r="D26" s="48">
        <f t="shared" si="1"/>
        <v>0</v>
      </c>
      <c r="F26" s="75"/>
      <c r="G26" s="65"/>
      <c r="H26" s="182"/>
      <c r="I26" s="182"/>
      <c r="J26" s="18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124676</v>
      </c>
      <c r="F29" s="166" t="s">
        <v>55</v>
      </c>
      <c r="G29" s="167"/>
      <c r="H29" s="170">
        <f>H15-H16-H17-H18-H19-H20-H22-H23-H24+H26+H27+H28</f>
        <v>106931.75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98">
        <f t="shared" ref="H34:H39" si="2">F34*G34</f>
        <v>89000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8">
        <f t="shared" si="2"/>
        <v>15500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8">
        <f t="shared" si="2"/>
        <v>200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98">
        <f t="shared" si="2"/>
        <v>2500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8">
        <v>395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1</v>
      </c>
      <c r="D49" s="12">
        <f>C49*42</f>
        <v>42</v>
      </c>
      <c r="F49" s="223" t="s">
        <v>86</v>
      </c>
      <c r="G49" s="170">
        <f>H34+H35+H36+H37+H38+H39+H40+H41+G42+H44+H45+H46</f>
        <v>107645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20</v>
      </c>
      <c r="D50" s="12">
        <f>C50*1.5</f>
        <v>30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148</v>
      </c>
      <c r="G51" s="227">
        <f>G49-H29</f>
        <v>713.25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45994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f>440-99</f>
        <v>341</v>
      </c>
      <c r="D6" s="13">
        <f t="shared" ref="D6:D28" si="1">C6*L6</f>
        <v>251317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2</v>
      </c>
      <c r="D7" s="13">
        <f t="shared" si="1"/>
        <v>1450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5</v>
      </c>
      <c r="D9" s="13">
        <f t="shared" si="1"/>
        <v>3535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14</v>
      </c>
      <c r="D13" s="48">
        <f t="shared" si="1"/>
        <v>4298</v>
      </c>
      <c r="F13" s="143" t="s">
        <v>36</v>
      </c>
      <c r="G13" s="144"/>
      <c r="H13" s="145">
        <f>D29</f>
        <v>261506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11</v>
      </c>
      <c r="D14" s="31">
        <f t="shared" si="1"/>
        <v>121</v>
      </c>
      <c r="F14" s="148" t="s">
        <v>39</v>
      </c>
      <c r="G14" s="149"/>
      <c r="H14" s="150">
        <f>D54</f>
        <v>40169.25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221336.75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337*9</f>
        <v>3033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>
        <v>1</v>
      </c>
      <c r="D28" s="48">
        <f t="shared" si="1"/>
        <v>785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261506</v>
      </c>
      <c r="F29" s="166" t="s">
        <v>55</v>
      </c>
      <c r="G29" s="167"/>
      <c r="H29" s="170">
        <f>H15-H16-H17-H18-H19-H20-H22-H23-H24+H26+H27</f>
        <v>218303.75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98">
        <f>F34*G34</f>
        <v>216000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98">
        <f t="shared" ref="H35:H39" si="2">F35*G35</f>
        <v>2000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8">
        <v>8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>
        <v>1</v>
      </c>
      <c r="D46" s="12">
        <f>C46*1.5</f>
        <v>1.5</v>
      </c>
      <c r="F46" s="37"/>
      <c r="G46" s="91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17</v>
      </c>
      <c r="D49" s="12">
        <f>C49*42</f>
        <v>714</v>
      </c>
      <c r="F49" s="223" t="s">
        <v>86</v>
      </c>
      <c r="G49" s="170">
        <f>H34+H35+H36+H37+H38+H39+H40+H41+G42+H44+H45+H46</f>
        <v>218358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21</v>
      </c>
      <c r="D50" s="12">
        <f>C50*1.5</f>
        <v>31.5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155</v>
      </c>
      <c r="G51" s="227">
        <f>G49-H29</f>
        <v>54.25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40169.25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45994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536</v>
      </c>
      <c r="D6" s="13">
        <f t="shared" ref="D6:D28" si="1">C6*L6</f>
        <v>395032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15</v>
      </c>
      <c r="D7" s="13">
        <f t="shared" si="1"/>
        <v>10875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129</v>
      </c>
      <c r="D9" s="13">
        <f t="shared" si="1"/>
        <v>91203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>
        <f>1+1</f>
        <v>2</v>
      </c>
      <c r="D12" s="48">
        <f t="shared" si="1"/>
        <v>1904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8</v>
      </c>
      <c r="D13" s="48">
        <f t="shared" si="1"/>
        <v>2456</v>
      </c>
      <c r="F13" s="143" t="s">
        <v>36</v>
      </c>
      <c r="G13" s="144"/>
      <c r="H13" s="145">
        <f>D29</f>
        <v>505571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16</v>
      </c>
      <c r="D14" s="31">
        <f t="shared" si="1"/>
        <v>176</v>
      </c>
      <c r="F14" s="148" t="s">
        <v>39</v>
      </c>
      <c r="G14" s="149"/>
      <c r="H14" s="150">
        <f>D54</f>
        <v>38012.25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467558.75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2610+330</f>
        <v>2940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98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>
        <v>5</v>
      </c>
      <c r="D28" s="48">
        <f t="shared" si="1"/>
        <v>3925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505571</v>
      </c>
      <c r="F29" s="166" t="s">
        <v>55</v>
      </c>
      <c r="G29" s="167"/>
      <c r="H29" s="170">
        <f>H15-H16-H17-H18-H19-H20-H22-H23-H24+H26+H27+H28</f>
        <v>464568.75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98">
        <f>F34*G34</f>
        <v>12000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8">
        <v>45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82">
        <v>283894</v>
      </c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82">
        <v>34498</v>
      </c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82">
        <v>19009</v>
      </c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37" t="s">
        <v>152</v>
      </c>
      <c r="G47" s="76" t="s">
        <v>160</v>
      </c>
      <c r="H47" s="182">
        <v>102341</v>
      </c>
      <c r="I47" s="182"/>
      <c r="J47" s="182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1</v>
      </c>
      <c r="D49" s="12">
        <f>C49*42</f>
        <v>42</v>
      </c>
      <c r="F49" s="223" t="s">
        <v>86</v>
      </c>
      <c r="G49" s="170">
        <f>H34+H35+H36+H37+H38+H39+H40+H41+G42+H44+H45+H46+H47</f>
        <v>452187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2</v>
      </c>
      <c r="D50" s="12">
        <f>C50*1.5</f>
        <v>3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38">
        <f>G49-H29</f>
        <v>-12381.75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38012.25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45995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/>
      <c r="D6" s="13">
        <f t="shared" ref="D6:D28" si="1">C6*L6</f>
        <v>0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/>
      <c r="D8" s="13">
        <f t="shared" si="1"/>
        <v>0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/>
      <c r="D10" s="13">
        <f t="shared" si="1"/>
        <v>0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124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137</v>
      </c>
      <c r="C26" s="84"/>
      <c r="D26" s="48">
        <f t="shared" si="1"/>
        <v>0</v>
      </c>
      <c r="F26" s="75"/>
      <c r="G26" s="65"/>
      <c r="H26" s="182"/>
      <c r="I26" s="182"/>
      <c r="J26" s="18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H15-H16-H17-H18-H19-H20-H22-H23-H24+H26+H27+H28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45995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207</v>
      </c>
      <c r="D6" s="13">
        <f t="shared" ref="D6:D28" si="1">C6*L6</f>
        <v>152559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4</v>
      </c>
      <c r="D7" s="13">
        <f t="shared" si="1"/>
        <v>2900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13</v>
      </c>
      <c r="D9" s="13">
        <f t="shared" si="1"/>
        <v>9191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4</v>
      </c>
      <c r="D13" s="48">
        <f t="shared" si="1"/>
        <v>1228</v>
      </c>
      <c r="F13" s="143" t="s">
        <v>36</v>
      </c>
      <c r="G13" s="144"/>
      <c r="H13" s="145">
        <f>D29</f>
        <v>187607.83333333334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15</v>
      </c>
      <c r="D14" s="31">
        <f t="shared" si="1"/>
        <v>165</v>
      </c>
      <c r="F14" s="148" t="s">
        <v>39</v>
      </c>
      <c r="G14" s="149"/>
      <c r="H14" s="150">
        <f>D54</f>
        <v>13236.75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174371.08333333334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1620</f>
        <v>1620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101</v>
      </c>
      <c r="C22" s="10">
        <v>3</v>
      </c>
      <c r="D22" s="48">
        <f t="shared" si="1"/>
        <v>5001</v>
      </c>
      <c r="F22" s="72"/>
      <c r="G22" s="73"/>
      <c r="H22" s="180"/>
      <c r="I22" s="180"/>
      <c r="J22" s="18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187607.83333333334</v>
      </c>
      <c r="F29" s="166" t="s">
        <v>55</v>
      </c>
      <c r="G29" s="167"/>
      <c r="H29" s="170">
        <f>H15-H16-H17-H18-H19-H20-H22-H23-H24+H26+H27</f>
        <v>172751.08333333334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98">
        <f>F34*G34</f>
        <v>21000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98">
        <f t="shared" ref="H35:H39" si="2">F35*G35</f>
        <v>6500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8">
        <f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8">
        <v>477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82">
        <v>144167</v>
      </c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>
        <v>2</v>
      </c>
      <c r="D45" s="12">
        <f>C45*84</f>
        <v>168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>
        <v>13</v>
      </c>
      <c r="D46" s="12">
        <f>C46*1.5</f>
        <v>19.5</v>
      </c>
      <c r="F46" s="37"/>
      <c r="G46" s="91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6</v>
      </c>
      <c r="D49" s="12">
        <f>C49*42</f>
        <v>252</v>
      </c>
      <c r="F49" s="223" t="s">
        <v>86</v>
      </c>
      <c r="G49" s="170">
        <f>H34+H35+H36+H37+H38+H39+H40+H41+G42+H44+H45+H46</f>
        <v>172244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22</v>
      </c>
      <c r="D50" s="12">
        <f>C50*1.5</f>
        <v>33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132</v>
      </c>
      <c r="G51" s="238">
        <f>G49-H29</f>
        <v>-507.08333333334303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13236.75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45995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429</v>
      </c>
      <c r="D6" s="13">
        <f t="shared" ref="D6:D28" si="1">C6*L6</f>
        <v>316173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70</v>
      </c>
      <c r="D9" s="13">
        <f t="shared" si="1"/>
        <v>49490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>
        <v>1</v>
      </c>
      <c r="D10" s="13">
        <f t="shared" si="1"/>
        <v>972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>
        <f>3+1</f>
        <v>4</v>
      </c>
      <c r="D12" s="48">
        <f t="shared" si="1"/>
        <v>3808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18</v>
      </c>
      <c r="D13" s="48">
        <f t="shared" si="1"/>
        <v>5526</v>
      </c>
      <c r="F13" s="143" t="s">
        <v>36</v>
      </c>
      <c r="G13" s="144"/>
      <c r="H13" s="145">
        <f>D29</f>
        <v>378246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50790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327456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912+1824+300</f>
        <v>3036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>
        <v>1</v>
      </c>
      <c r="D23" s="48">
        <f t="shared" si="1"/>
        <v>1175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378246</v>
      </c>
      <c r="F29" s="166" t="s">
        <v>55</v>
      </c>
      <c r="G29" s="167"/>
      <c r="H29" s="170">
        <f>H15-H16-H17-H18-H19-H20-H22-H23-H24+H26+H27</f>
        <v>324420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98">
        <f>F34*G34</f>
        <v>31000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>
        <v>2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82">
        <v>101868</v>
      </c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82">
        <v>191152</v>
      </c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11</v>
      </c>
      <c r="D49" s="12">
        <f>C49*42</f>
        <v>462</v>
      </c>
      <c r="F49" s="223" t="s">
        <v>86</v>
      </c>
      <c r="G49" s="170">
        <f>H34+H35+H36+H37+H38+H39+H40+H41+G42+H44+H45+H46</f>
        <v>324022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38">
        <f>G49-H29</f>
        <v>-398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50790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45996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>
        <v>522</v>
      </c>
      <c r="D6" s="13">
        <f t="shared" ref="D6:D28" si="1">C6*L6</f>
        <v>384714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>
        <v>3</v>
      </c>
      <c r="D7" s="13">
        <f t="shared" si="1"/>
        <v>2175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>
        <v>50</v>
      </c>
      <c r="D8" s="13">
        <f t="shared" si="1"/>
        <v>51650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>
        <v>51</v>
      </c>
      <c r="D9" s="13">
        <f t="shared" si="1"/>
        <v>36057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/>
      <c r="D10" s="13">
        <f t="shared" si="1"/>
        <v>0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>
        <v>22</v>
      </c>
      <c r="D13" s="48">
        <f t="shared" si="1"/>
        <v>6754</v>
      </c>
      <c r="F13" s="143" t="s">
        <v>36</v>
      </c>
      <c r="G13" s="144"/>
      <c r="H13" s="145">
        <f>D29</f>
        <v>481416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>
        <v>6</v>
      </c>
      <c r="D14" s="31">
        <f t="shared" si="1"/>
        <v>66</v>
      </c>
      <c r="F14" s="148" t="s">
        <v>39</v>
      </c>
      <c r="G14" s="149"/>
      <c r="H14" s="150">
        <f>D54</f>
        <v>102241.5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379174.5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>
        <f>3012</f>
        <v>3012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0">
        <v>45650</v>
      </c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137</v>
      </c>
      <c r="C26" s="84"/>
      <c r="D26" s="48">
        <f t="shared" si="1"/>
        <v>0</v>
      </c>
      <c r="F26" s="75"/>
      <c r="G26" s="65"/>
      <c r="H26" s="182"/>
      <c r="I26" s="182"/>
      <c r="J26" s="18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481416</v>
      </c>
      <c r="F29" s="166" t="s">
        <v>55</v>
      </c>
      <c r="G29" s="167"/>
      <c r="H29" s="170">
        <f>H15-H16-H17-H18-H19-H20-H22-H23-H24+H26+H27+H28</f>
        <v>330512.5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98">
        <f t="shared" ref="H34:H39" si="2">F34*G34</f>
        <v>278000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98">
        <f t="shared" si="2"/>
        <v>51000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8">
        <f t="shared" si="2"/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>
        <v>25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>
        <v>41</v>
      </c>
      <c r="D44" s="12">
        <f>C44*120</f>
        <v>4920</v>
      </c>
      <c r="F44" s="37"/>
      <c r="G44" s="62"/>
      <c r="H44" s="182"/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>
        <v>9</v>
      </c>
      <c r="D46" s="12">
        <f>C46*1.5</f>
        <v>13.5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48</v>
      </c>
      <c r="D49" s="12">
        <f>C49*42</f>
        <v>2016</v>
      </c>
      <c r="F49" s="223" t="s">
        <v>86</v>
      </c>
      <c r="G49" s="170">
        <f>H34+H35+H36+H37+H38+H39+H40+H41+G42+H44+H45+H46</f>
        <v>330075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14</v>
      </c>
      <c r="D50" s="12">
        <f>C50*1.5</f>
        <v>21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38">
        <f>G49-H29</f>
        <v>-437.5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45996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186</v>
      </c>
      <c r="D6" s="13">
        <f t="shared" ref="D6:D28" si="1">C6*L6</f>
        <v>137082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2</v>
      </c>
      <c r="D7" s="13">
        <f t="shared" si="1"/>
        <v>1450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8</v>
      </c>
      <c r="D9" s="13">
        <f t="shared" si="1"/>
        <v>5656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5</v>
      </c>
      <c r="D13" s="48">
        <f t="shared" si="1"/>
        <v>1535</v>
      </c>
      <c r="F13" s="143" t="s">
        <v>36</v>
      </c>
      <c r="G13" s="144"/>
      <c r="H13" s="145">
        <f>D29</f>
        <v>148838.16666666666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16</v>
      </c>
      <c r="D14" s="31">
        <f t="shared" si="1"/>
        <v>176</v>
      </c>
      <c r="F14" s="148" t="s">
        <v>39</v>
      </c>
      <c r="G14" s="149"/>
      <c r="H14" s="150">
        <f>D54</f>
        <v>23934.75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124903.41666666666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>
        <v>3</v>
      </c>
      <c r="D28" s="48">
        <f t="shared" si="1"/>
        <v>2355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148838.16666666666</v>
      </c>
      <c r="F29" s="166" t="s">
        <v>55</v>
      </c>
      <c r="G29" s="167"/>
      <c r="H29" s="170">
        <f>H15-H16-H17-H18-H19-H20-H22-H23-H24+H26+H27</f>
        <v>124903.41666666666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98">
        <f>F34*G34</f>
        <v>91000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98">
        <f t="shared" ref="H35:H39" si="2">F35*G35</f>
        <v>32500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8">
        <f>F36*G36</f>
        <v>200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98">
        <f t="shared" si="2"/>
        <v>1700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8">
        <v>11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91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2</v>
      </c>
      <c r="D49" s="12">
        <f>C49*42</f>
        <v>84</v>
      </c>
      <c r="F49" s="223" t="s">
        <v>86</v>
      </c>
      <c r="G49" s="170">
        <f>H34+H35+H36+H37+H38+H39+H40+H41+G42+H44+H45+H46</f>
        <v>125411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17</v>
      </c>
      <c r="D50" s="12">
        <f>C50*1.5</f>
        <v>25.5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155</v>
      </c>
      <c r="G51" s="227">
        <f>G49-H29</f>
        <v>507.58333333334303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23934.75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45996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175</v>
      </c>
      <c r="D6" s="13">
        <f t="shared" ref="D6:D28" si="1">C6*L6</f>
        <v>128975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20</v>
      </c>
      <c r="D7" s="13">
        <f t="shared" si="1"/>
        <v>14500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17</v>
      </c>
      <c r="D9" s="13">
        <f t="shared" si="1"/>
        <v>12019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>
        <v>3</v>
      </c>
      <c r="D10" s="13">
        <f t="shared" si="1"/>
        <v>2916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>
        <v>1</v>
      </c>
      <c r="D11" s="13">
        <f t="shared" si="1"/>
        <v>1125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>
        <f>1+1</f>
        <v>2</v>
      </c>
      <c r="D12" s="48">
        <f t="shared" si="1"/>
        <v>1904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6</v>
      </c>
      <c r="D13" s="48">
        <f t="shared" si="1"/>
        <v>1842</v>
      </c>
      <c r="F13" s="143" t="s">
        <v>36</v>
      </c>
      <c r="G13" s="144"/>
      <c r="H13" s="145">
        <f>D29</f>
        <v>166256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24198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142058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300</f>
        <v>300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>
        <v>3</v>
      </c>
      <c r="D28" s="48">
        <f t="shared" si="1"/>
        <v>2355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166256</v>
      </c>
      <c r="F29" s="166" t="s">
        <v>55</v>
      </c>
      <c r="G29" s="167"/>
      <c r="H29" s="170">
        <f>H15-H16-H17-H18-H19-H20-H22-H23-H24+H26+H27</f>
        <v>141708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98">
        <f>F34*G34</f>
        <v>113000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98">
        <f>F35*G35</f>
        <v>18500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98">
        <f t="shared" ref="H36:H39" si="2">F36*G36</f>
        <v>400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98">
        <f t="shared" si="2"/>
        <v>5100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98">
        <f t="shared" si="2"/>
        <v>750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8">
        <v>127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82">
        <v>3792</v>
      </c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>
        <v>6</v>
      </c>
      <c r="D46" s="12">
        <f>C46*1.5</f>
        <v>9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>
        <v>1</v>
      </c>
      <c r="D49" s="12">
        <f>C49*42</f>
        <v>42</v>
      </c>
      <c r="F49" s="223" t="s">
        <v>86</v>
      </c>
      <c r="G49" s="170">
        <f>H34+H35+H36+H37+H38+H39+H40+H41+G42+H44+H45+H46</f>
        <v>141689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12</v>
      </c>
      <c r="D50" s="12">
        <f>C50*1.5</f>
        <v>18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38">
        <f>G49-H29</f>
        <v>-19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24198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45997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>
        <v>407</v>
      </c>
      <c r="D6" s="13">
        <f t="shared" ref="D6:D28" si="1">C6*L6</f>
        <v>299959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/>
      <c r="D8" s="13">
        <f t="shared" si="1"/>
        <v>0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>
        <v>54</v>
      </c>
      <c r="D9" s="13">
        <f t="shared" si="1"/>
        <v>38178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/>
      <c r="D10" s="13">
        <f t="shared" si="1"/>
        <v>0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>
        <v>9</v>
      </c>
      <c r="D13" s="48">
        <f t="shared" si="1"/>
        <v>2763</v>
      </c>
      <c r="F13" s="143" t="s">
        <v>36</v>
      </c>
      <c r="G13" s="144"/>
      <c r="H13" s="145">
        <f>D29</f>
        <v>343299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>
        <v>4</v>
      </c>
      <c r="D14" s="31">
        <f t="shared" si="1"/>
        <v>44</v>
      </c>
      <c r="F14" s="148" t="s">
        <v>39</v>
      </c>
      <c r="G14" s="149"/>
      <c r="H14" s="150">
        <f>D54</f>
        <v>83292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260007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137</v>
      </c>
      <c r="C26" s="84"/>
      <c r="D26" s="48">
        <f t="shared" si="1"/>
        <v>0</v>
      </c>
      <c r="F26" s="75"/>
      <c r="G26" s="65"/>
      <c r="H26" s="182"/>
      <c r="I26" s="182"/>
      <c r="J26" s="18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>
        <v>3</v>
      </c>
      <c r="D28" s="48">
        <f t="shared" si="1"/>
        <v>2355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343299</v>
      </c>
      <c r="F29" s="166" t="s">
        <v>55</v>
      </c>
      <c r="G29" s="167"/>
      <c r="H29" s="170">
        <f>H15-H16-H17-H18-H19-H20-H22-H23-H24+H26+H27+H28</f>
        <v>260007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98">
        <f t="shared" ref="H34:H39" si="2">F34*G34</f>
        <v>53000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98">
        <f t="shared" si="2"/>
        <v>21000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98">
        <f t="shared" si="2"/>
        <v>800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>
        <v>122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82">
        <v>118353</v>
      </c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82">
        <v>66364</v>
      </c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259739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7</v>
      </c>
      <c r="D50" s="12">
        <f>C50*1.5</f>
        <v>10.5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38">
        <f>G49-H29</f>
        <v>-268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45997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203</v>
      </c>
      <c r="D6" s="13">
        <f t="shared" ref="D6:D28" si="1">C6*L6</f>
        <v>149611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9</v>
      </c>
      <c r="D7" s="13">
        <f t="shared" si="1"/>
        <v>6525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>
        <v>1</v>
      </c>
      <c r="D8" s="13">
        <f t="shared" si="1"/>
        <v>1033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34</v>
      </c>
      <c r="D9" s="13">
        <f t="shared" si="1"/>
        <v>24038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>
        <v>1</v>
      </c>
      <c r="D10" s="13">
        <f t="shared" si="1"/>
        <v>972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>
        <v>1</v>
      </c>
      <c r="D12" s="48">
        <f t="shared" si="1"/>
        <v>952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6</v>
      </c>
      <c r="D13" s="48">
        <f t="shared" si="1"/>
        <v>1842</v>
      </c>
      <c r="F13" s="143" t="s">
        <v>36</v>
      </c>
      <c r="G13" s="144"/>
      <c r="H13" s="145">
        <f>D29</f>
        <v>186013.33333333334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13</v>
      </c>
      <c r="D14" s="31">
        <f t="shared" si="1"/>
        <v>143</v>
      </c>
      <c r="F14" s="148" t="s">
        <v>39</v>
      </c>
      <c r="G14" s="149"/>
      <c r="H14" s="150">
        <f>D54</f>
        <v>28258.5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157754.83333333334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>
        <v>1</v>
      </c>
      <c r="D25" s="48">
        <f t="shared" si="1"/>
        <v>112.33333333333333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>
        <v>1</v>
      </c>
      <c r="D28" s="48">
        <f t="shared" si="1"/>
        <v>785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186013.33333333334</v>
      </c>
      <c r="F29" s="166" t="s">
        <v>55</v>
      </c>
      <c r="G29" s="167"/>
      <c r="H29" s="170">
        <f>H15-H16-H17-H18-H19-H20-H22-H23-H24+H26+H27</f>
        <v>157754.83333333334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98">
        <f>F34*G34</f>
        <v>132000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98">
        <f t="shared" ref="H35:H39" si="2">F35*G35</f>
        <v>24500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98">
        <f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98">
        <f t="shared" si="2"/>
        <v>1100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98">
        <f t="shared" si="2"/>
        <v>300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>
        <v>27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>
        <v>1</v>
      </c>
      <c r="D44" s="12">
        <f>C44*120</f>
        <v>120</v>
      </c>
      <c r="F44" s="37"/>
      <c r="G44" s="62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>
        <v>3</v>
      </c>
      <c r="D45" s="12">
        <f>C45*84</f>
        <v>252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>
        <v>18</v>
      </c>
      <c r="D46" s="12">
        <f>C46*1.5</f>
        <v>27</v>
      </c>
      <c r="F46" s="37"/>
      <c r="G46" s="91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157947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15</v>
      </c>
      <c r="D50" s="12">
        <f>C50*1.5</f>
        <v>22.5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155</v>
      </c>
      <c r="G51" s="227">
        <f>G49-H29</f>
        <v>192.16666666665697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28258.5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7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45997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>
        <v>365</v>
      </c>
      <c r="D6" s="13">
        <f t="shared" ref="D6:D28" si="1">C6*L6</f>
        <v>269005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>
        <v>3</v>
      </c>
      <c r="D7" s="13">
        <f t="shared" si="1"/>
        <v>2175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>
        <v>25</v>
      </c>
      <c r="D9" s="13">
        <f t="shared" si="1"/>
        <v>17675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>
        <v>2</v>
      </c>
      <c r="D10" s="13">
        <f t="shared" si="1"/>
        <v>1944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>
        <v>2</v>
      </c>
      <c r="D12" s="48">
        <f t="shared" si="1"/>
        <v>1904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>
        <v>10</v>
      </c>
      <c r="D13" s="48">
        <f t="shared" si="1"/>
        <v>3070</v>
      </c>
      <c r="F13" s="143" t="s">
        <v>36</v>
      </c>
      <c r="G13" s="144"/>
      <c r="H13" s="145">
        <f>D29</f>
        <v>297409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>
        <v>6</v>
      </c>
      <c r="D14" s="31">
        <f t="shared" si="1"/>
        <v>66</v>
      </c>
      <c r="F14" s="148" t="s">
        <v>39</v>
      </c>
      <c r="G14" s="149"/>
      <c r="H14" s="150">
        <f>D54</f>
        <v>44916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252493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612+702+750</f>
        <v>2064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>
        <v>2</v>
      </c>
      <c r="D28" s="48">
        <f t="shared" si="1"/>
        <v>1570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297409</v>
      </c>
      <c r="F29" s="166" t="s">
        <v>55</v>
      </c>
      <c r="G29" s="167"/>
      <c r="H29" s="170">
        <f>H15-H16-H17-H18-H19-H20-H22-H23-H24+H26+H27</f>
        <v>250429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98">
        <f>F34*G34</f>
        <v>103000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8">
        <f>F35*G35</f>
        <v>3500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>
        <v>4</v>
      </c>
      <c r="D42" s="12">
        <f>C42*2.25</f>
        <v>9</v>
      </c>
      <c r="F42" s="39" t="s">
        <v>79</v>
      </c>
      <c r="G42" s="198">
        <v>30</v>
      </c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82">
        <v>64639.5</v>
      </c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82">
        <v>78155</v>
      </c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>
        <v>22</v>
      </c>
      <c r="D46" s="12">
        <f>C46*1.5</f>
        <v>33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249774.5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>
        <v>11</v>
      </c>
      <c r="D50" s="12">
        <f>C50*1.5</f>
        <v>16.5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38">
        <f>G49-H29</f>
        <v>-654.5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44916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45999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/>
      <c r="D6" s="13">
        <f t="shared" ref="D6:D28" si="1">C6*L6</f>
        <v>0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/>
      <c r="D8" s="13">
        <f t="shared" si="1"/>
        <v>0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/>
      <c r="D10" s="13">
        <f t="shared" si="1"/>
        <v>0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137</v>
      </c>
      <c r="C26" s="84"/>
      <c r="D26" s="48">
        <f t="shared" si="1"/>
        <v>0</v>
      </c>
      <c r="F26" s="75"/>
      <c r="G26" s="65"/>
      <c r="H26" s="182"/>
      <c r="I26" s="182"/>
      <c r="J26" s="18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H15-H16-H17-H18-H19-H20-H22-H23-H24+H26+H27+H28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45999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ref="H35:H39" si="2"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91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45999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93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90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46000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/>
      <c r="D6" s="13">
        <f t="shared" ref="D6:D28" si="1">C6*L6</f>
        <v>0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/>
      <c r="D8" s="13">
        <f t="shared" si="1"/>
        <v>0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/>
      <c r="D10" s="13">
        <f t="shared" si="1"/>
        <v>0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137</v>
      </c>
      <c r="C26" s="84"/>
      <c r="D26" s="48">
        <f t="shared" si="1"/>
        <v>0</v>
      </c>
      <c r="F26" s="75"/>
      <c r="G26" s="65"/>
      <c r="H26" s="182"/>
      <c r="I26" s="182"/>
      <c r="J26" s="18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103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H15-H16-H17-H18-H19-H20-H22-H23-H24+H26+H27+H28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46000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ref="H35:H39" si="2"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10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46000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46001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/>
      <c r="D6" s="13">
        <f t="shared" ref="D6:D28" si="1">C6*L6</f>
        <v>0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/>
      <c r="D8" s="13">
        <f t="shared" si="1"/>
        <v>0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/>
      <c r="D10" s="13">
        <f t="shared" si="1"/>
        <v>0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137</v>
      </c>
      <c r="C26" s="84"/>
      <c r="D26" s="48">
        <f t="shared" si="1"/>
        <v>0</v>
      </c>
      <c r="F26" s="75"/>
      <c r="G26" s="65"/>
      <c r="H26" s="182"/>
      <c r="I26" s="182"/>
      <c r="J26" s="18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103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H15-H16-H17-H18-H19-H20-H22-H23-H24+H26+H27+H28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46001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ref="H35:H39" si="2"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10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46001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46002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/>
      <c r="D6" s="13">
        <f t="shared" ref="D6:D28" si="1">C6*L6</f>
        <v>0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/>
      <c r="D8" s="13">
        <f t="shared" si="1"/>
        <v>0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/>
      <c r="D10" s="13">
        <f t="shared" si="1"/>
        <v>0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137</v>
      </c>
      <c r="C26" s="84"/>
      <c r="D26" s="48">
        <f t="shared" si="1"/>
        <v>0</v>
      </c>
      <c r="F26" s="75"/>
      <c r="G26" s="65"/>
      <c r="H26" s="182"/>
      <c r="I26" s="182"/>
      <c r="J26" s="18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103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H15-H16-H17-H18-H19-H20-H22-H23-H24+H26+H27+H28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46002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ref="H35:H39" si="2"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10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46002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46003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/>
      <c r="D6" s="13">
        <f t="shared" ref="D6:D28" si="1">C6*L6</f>
        <v>0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/>
      <c r="D8" s="13">
        <f t="shared" si="1"/>
        <v>0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/>
      <c r="D10" s="13">
        <f t="shared" si="1"/>
        <v>0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137</v>
      </c>
      <c r="C26" s="84"/>
      <c r="D26" s="48">
        <f t="shared" si="1"/>
        <v>0</v>
      </c>
      <c r="F26" s="75"/>
      <c r="G26" s="65"/>
      <c r="H26" s="182"/>
      <c r="I26" s="182"/>
      <c r="J26" s="18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103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H15-H16-H17-H18-H19-H20-H22-H23-H24+H26+H27+H28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46003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ref="H35:H39" si="2"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10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46003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46004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/>
      <c r="D6" s="13">
        <f t="shared" ref="D6:D28" si="1">C6*L6</f>
        <v>0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/>
      <c r="D8" s="13">
        <f t="shared" si="1"/>
        <v>0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/>
      <c r="D10" s="13">
        <f t="shared" si="1"/>
        <v>0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137</v>
      </c>
      <c r="C26" s="84"/>
      <c r="D26" s="48">
        <f t="shared" si="1"/>
        <v>0</v>
      </c>
      <c r="F26" s="75"/>
      <c r="G26" s="65"/>
      <c r="H26" s="182"/>
      <c r="I26" s="182"/>
      <c r="J26" s="18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103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H15-H16-H17-H18-H19-H20-H22-H23-H24+H26+H27+H28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46004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ref="H35:H39" si="2"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10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46004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5" t="s">
        <v>7</v>
      </c>
      <c r="B4" s="106"/>
      <c r="C4" s="106"/>
      <c r="D4" s="107"/>
      <c r="F4" s="108" t="s">
        <v>8</v>
      </c>
      <c r="G4" s="110"/>
      <c r="H4" s="112" t="s">
        <v>9</v>
      </c>
      <c r="I4" s="114"/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9"/>
      <c r="B6" s="16"/>
      <c r="C6" s="10"/>
      <c r="D6" s="13">
        <f t="shared" ref="D6:D28" si="1">C6*L6</f>
        <v>0</v>
      </c>
      <c r="F6" s="121" t="s">
        <v>16</v>
      </c>
      <c r="G6" s="123"/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9"/>
      <c r="B7" s="16"/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9"/>
      <c r="B8" s="16"/>
      <c r="C8" s="10"/>
      <c r="D8" s="13">
        <f t="shared" si="1"/>
        <v>0</v>
      </c>
      <c r="F8" s="129" t="s">
        <v>21</v>
      </c>
      <c r="G8" s="131"/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9"/>
      <c r="B9" s="16"/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9"/>
      <c r="C10" s="10"/>
      <c r="D10" s="13">
        <f t="shared" si="1"/>
        <v>0</v>
      </c>
      <c r="F10" s="121" t="s">
        <v>26</v>
      </c>
      <c r="G10" s="137"/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9" ht="15.75" x14ac:dyDescent="0.25">
      <c r="A11" s="119"/>
      <c r="B11" s="17"/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9"/>
      <c r="B12" s="17"/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9"/>
      <c r="B13" s="17"/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9"/>
      <c r="B14" s="14"/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9"/>
      <c r="B15" s="14"/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/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/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/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/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/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/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/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1</v>
      </c>
      <c r="H4" s="112" t="s">
        <v>9</v>
      </c>
      <c r="I4" s="114">
        <v>46006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84"/>
      <c r="D6" s="13">
        <f t="shared" ref="D6:D28" si="1">C6*L6</f>
        <v>0</v>
      </c>
      <c r="F6" s="121" t="s">
        <v>16</v>
      </c>
      <c r="G6" s="123" t="s">
        <v>129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84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84"/>
      <c r="D8" s="13">
        <f t="shared" si="1"/>
        <v>0</v>
      </c>
      <c r="F8" s="129" t="s">
        <v>21</v>
      </c>
      <c r="G8" s="131" t="s">
        <v>112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84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84"/>
      <c r="D10" s="13">
        <f t="shared" si="1"/>
        <v>0</v>
      </c>
      <c r="F10" s="121" t="s">
        <v>26</v>
      </c>
      <c r="G10" s="137" t="s">
        <v>130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84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84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84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84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84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138</v>
      </c>
      <c r="C17" s="84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0"/>
      <c r="I19" s="130"/>
      <c r="J19" s="130"/>
      <c r="L19" s="6">
        <v>1102</v>
      </c>
      <c r="Q19" s="4"/>
      <c r="R19" s="5">
        <f t="shared" si="0"/>
        <v>0</v>
      </c>
    </row>
    <row r="20" spans="1:18" ht="15.75" x14ac:dyDescent="0.25">
      <c r="A20" s="11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137</v>
      </c>
      <c r="C26" s="84"/>
      <c r="D26" s="48">
        <f t="shared" si="1"/>
        <v>0</v>
      </c>
      <c r="F26" s="75"/>
      <c r="G26" s="65"/>
      <c r="H26" s="182"/>
      <c r="I26" s="182"/>
      <c r="J26" s="18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110</v>
      </c>
      <c r="C27" s="84"/>
      <c r="D27" s="44">
        <f t="shared" si="1"/>
        <v>0</v>
      </c>
      <c r="F27" s="71"/>
      <c r="G27" s="103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84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H15-H16-H17-H18-H19-H20-H22-H23-H24+H26+H27+H28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2</v>
      </c>
      <c r="H4" s="112" t="s">
        <v>9</v>
      </c>
      <c r="I4" s="114">
        <v>46006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141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114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115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93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0"/>
      <c r="I20" s="130"/>
      <c r="J20" s="13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25"/>
      <c r="G23" s="37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123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10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14"/>
      <c r="G27" s="14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 t="shared" ref="H35:H39" si="2"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10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4" t="s">
        <v>1</v>
      </c>
      <c r="O1" s="104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5" t="s">
        <v>7</v>
      </c>
      <c r="B4" s="106"/>
      <c r="C4" s="106"/>
      <c r="D4" s="107"/>
      <c r="F4" s="108" t="s">
        <v>8</v>
      </c>
      <c r="G4" s="110">
        <v>3</v>
      </c>
      <c r="H4" s="112" t="s">
        <v>9</v>
      </c>
      <c r="I4" s="114">
        <v>46006</v>
      </c>
      <c r="J4" s="1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8" t="s">
        <v>7</v>
      </c>
      <c r="B5" s="15" t="s">
        <v>11</v>
      </c>
      <c r="C5" s="9" t="s">
        <v>12</v>
      </c>
      <c r="D5" s="25" t="s">
        <v>13</v>
      </c>
      <c r="F5" s="109"/>
      <c r="G5" s="111"/>
      <c r="H5" s="113"/>
      <c r="I5" s="116"/>
      <c r="J5" s="1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9"/>
      <c r="B6" s="16" t="s">
        <v>15</v>
      </c>
      <c r="C6" s="10"/>
      <c r="D6" s="13">
        <f t="shared" ref="D6:D28" si="1">C6*L6</f>
        <v>0</v>
      </c>
      <c r="F6" s="121" t="s">
        <v>16</v>
      </c>
      <c r="G6" s="123" t="s">
        <v>111</v>
      </c>
      <c r="H6" s="124"/>
      <c r="I6" s="124"/>
      <c r="J6" s="1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9"/>
      <c r="B7" s="16" t="s">
        <v>18</v>
      </c>
      <c r="C7" s="10"/>
      <c r="D7" s="13">
        <f t="shared" si="1"/>
        <v>0</v>
      </c>
      <c r="F7" s="122"/>
      <c r="G7" s="126"/>
      <c r="H7" s="127"/>
      <c r="I7" s="127"/>
      <c r="J7" s="1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9"/>
      <c r="B8" s="16" t="s">
        <v>20</v>
      </c>
      <c r="C8" s="10"/>
      <c r="D8" s="13">
        <f t="shared" si="1"/>
        <v>0</v>
      </c>
      <c r="F8" s="129" t="s">
        <v>21</v>
      </c>
      <c r="G8" s="131" t="s">
        <v>119</v>
      </c>
      <c r="H8" s="132"/>
      <c r="I8" s="132"/>
      <c r="J8" s="13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9"/>
      <c r="B9" s="16" t="s">
        <v>23</v>
      </c>
      <c r="C9" s="10"/>
      <c r="D9" s="13">
        <f t="shared" si="1"/>
        <v>0</v>
      </c>
      <c r="F9" s="122"/>
      <c r="G9" s="134"/>
      <c r="H9" s="135"/>
      <c r="I9" s="135"/>
      <c r="J9" s="13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9"/>
      <c r="B10" t="s">
        <v>25</v>
      </c>
      <c r="C10" s="10"/>
      <c r="D10" s="13">
        <f t="shared" si="1"/>
        <v>0</v>
      </c>
      <c r="F10" s="121" t="s">
        <v>26</v>
      </c>
      <c r="G10" s="137" t="s">
        <v>135</v>
      </c>
      <c r="H10" s="138"/>
      <c r="I10" s="138"/>
      <c r="J10" s="139"/>
      <c r="K10" s="8"/>
      <c r="L10" s="6">
        <f>R36</f>
        <v>972</v>
      </c>
      <c r="P10" s="4"/>
      <c r="Q10" s="4"/>
      <c r="R10" s="5"/>
    </row>
    <row r="11" spans="1:18" ht="15.75" x14ac:dyDescent="0.25">
      <c r="A11" s="119"/>
      <c r="B11" s="17" t="s">
        <v>28</v>
      </c>
      <c r="C11" s="10"/>
      <c r="D11" s="13">
        <f t="shared" si="1"/>
        <v>0</v>
      </c>
      <c r="F11" s="122"/>
      <c r="G11" s="134"/>
      <c r="H11" s="135"/>
      <c r="I11" s="135"/>
      <c r="J11" s="1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9"/>
      <c r="B12" s="17" t="s">
        <v>30</v>
      </c>
      <c r="C12" s="10"/>
      <c r="D12" s="48">
        <f t="shared" si="1"/>
        <v>0</v>
      </c>
      <c r="F12" s="140" t="s">
        <v>33</v>
      </c>
      <c r="G12" s="141"/>
      <c r="H12" s="141"/>
      <c r="I12" s="141"/>
      <c r="J12" s="1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9"/>
      <c r="B13" s="17" t="s">
        <v>32</v>
      </c>
      <c r="C13" s="10"/>
      <c r="D13" s="48">
        <f t="shared" si="1"/>
        <v>0</v>
      </c>
      <c r="F13" s="143" t="s">
        <v>36</v>
      </c>
      <c r="G13" s="144"/>
      <c r="H13" s="145">
        <f>D29</f>
        <v>0</v>
      </c>
      <c r="I13" s="146"/>
      <c r="J13" s="14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9"/>
      <c r="B14" s="14" t="s">
        <v>35</v>
      </c>
      <c r="C14" s="10"/>
      <c r="D14" s="31">
        <f t="shared" si="1"/>
        <v>0</v>
      </c>
      <c r="F14" s="148" t="s">
        <v>39</v>
      </c>
      <c r="G14" s="149"/>
      <c r="H14" s="150">
        <f>D54</f>
        <v>0</v>
      </c>
      <c r="I14" s="151"/>
      <c r="J14" s="15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9"/>
      <c r="B15" s="14" t="s">
        <v>38</v>
      </c>
      <c r="C15" s="10"/>
      <c r="D15" s="31">
        <f t="shared" si="1"/>
        <v>0</v>
      </c>
      <c r="F15" s="153" t="s">
        <v>40</v>
      </c>
      <c r="G15" s="144"/>
      <c r="H15" s="154">
        <f>H13-H14</f>
        <v>0</v>
      </c>
      <c r="I15" s="155"/>
      <c r="J15" s="15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9"/>
      <c r="B17" t="s">
        <v>113</v>
      </c>
      <c r="C17" s="10"/>
      <c r="D17" s="48">
        <f t="shared" si="1"/>
        <v>0</v>
      </c>
      <c r="F17" s="56"/>
      <c r="G17" s="66" t="s">
        <v>45</v>
      </c>
      <c r="H17" s="130"/>
      <c r="I17" s="130"/>
      <c r="J17" s="13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0"/>
      <c r="I18" s="130"/>
      <c r="J18" s="13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9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9"/>
      <c r="B23" s="14" t="s">
        <v>107</v>
      </c>
      <c r="C23" s="10"/>
      <c r="D23" s="48">
        <f t="shared" si="1"/>
        <v>0</v>
      </c>
      <c r="F23" s="78"/>
      <c r="G23" s="79"/>
      <c r="H23" s="181"/>
      <c r="I23" s="182"/>
      <c r="J23" s="18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9"/>
      <c r="B24" s="14" t="s">
        <v>101</v>
      </c>
      <c r="C24" s="10"/>
      <c r="D24" s="48">
        <f t="shared" si="1"/>
        <v>0</v>
      </c>
      <c r="F24" s="38"/>
      <c r="G24" s="37"/>
      <c r="H24" s="181"/>
      <c r="I24" s="182"/>
      <c r="J24" s="18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3" t="s">
        <v>13</v>
      </c>
      <c r="I25" s="184"/>
      <c r="J25" s="18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9"/>
      <c r="B26" s="14" t="s">
        <v>105</v>
      </c>
      <c r="C26" s="10"/>
      <c r="D26" s="48">
        <f t="shared" si="1"/>
        <v>0</v>
      </c>
      <c r="F26" s="64"/>
      <c r="G26" s="59"/>
      <c r="H26" s="186"/>
      <c r="I26" s="187"/>
      <c r="J26" s="18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9"/>
      <c r="B27" s="14" t="s">
        <v>109</v>
      </c>
      <c r="C27" s="10"/>
      <c r="D27" s="44">
        <f t="shared" si="1"/>
        <v>0</v>
      </c>
      <c r="F27" s="25"/>
      <c r="G27" s="80"/>
      <c r="H27" s="189"/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0"/>
      <c r="B28" s="46" t="s">
        <v>97</v>
      </c>
      <c r="C28" s="10"/>
      <c r="D28" s="48">
        <f t="shared" si="1"/>
        <v>0</v>
      </c>
      <c r="F28" s="100"/>
      <c r="G28" s="61"/>
      <c r="H28" s="192"/>
      <c r="I28" s="193"/>
      <c r="J28" s="19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66" t="s">
        <v>55</v>
      </c>
      <c r="G29" s="167"/>
      <c r="H29" s="170">
        <f>H15-H16-H17-H18-H19-H20-H22-H23-H24+H26+H27</f>
        <v>0</v>
      </c>
      <c r="I29" s="171"/>
      <c r="J29" s="17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68"/>
      <c r="G30" s="169"/>
      <c r="H30" s="173"/>
      <c r="I30" s="174"/>
      <c r="J30" s="17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5" t="s">
        <v>58</v>
      </c>
      <c r="B32" s="106"/>
      <c r="C32" s="106"/>
      <c r="D32" s="107"/>
      <c r="F32" s="195" t="s">
        <v>59</v>
      </c>
      <c r="G32" s="196"/>
      <c r="H32" s="196"/>
      <c r="I32" s="196"/>
      <c r="J32" s="19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5" t="s">
        <v>13</v>
      </c>
      <c r="I33" s="196"/>
      <c r="J33" s="19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8">
        <f>F34*G34</f>
        <v>0</v>
      </c>
      <c r="I34" s="199"/>
      <c r="J34" s="20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9"/>
      <c r="B35" s="27" t="s">
        <v>68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0"/>
      <c r="B36" s="26" t="s">
        <v>70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9"/>
      <c r="B38" s="29" t="s">
        <v>68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0"/>
      <c r="B39" s="29" t="s">
        <v>70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9"/>
      <c r="B41" s="27" t="s">
        <v>68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0"/>
      <c r="B42" s="27" t="s">
        <v>70</v>
      </c>
      <c r="C42" s="11"/>
      <c r="D42" s="12">
        <f>C42*2.25</f>
        <v>0</v>
      </c>
      <c r="F42" s="39" t="s">
        <v>79</v>
      </c>
      <c r="G42" s="198"/>
      <c r="H42" s="199"/>
      <c r="I42" s="199"/>
      <c r="J42" s="20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1" t="s">
        <v>81</v>
      </c>
      <c r="C43" s="11"/>
      <c r="D43" s="12"/>
      <c r="F43" s="59" t="s">
        <v>82</v>
      </c>
      <c r="G43" s="103" t="s">
        <v>83</v>
      </c>
      <c r="H43" s="204" t="s">
        <v>13</v>
      </c>
      <c r="I43" s="205"/>
      <c r="J43" s="206"/>
      <c r="K43" s="21"/>
      <c r="P43" s="4"/>
      <c r="Q43" s="4"/>
      <c r="R43" s="5"/>
    </row>
    <row r="44" spans="1:18" ht="15.75" x14ac:dyDescent="0.25">
      <c r="A44" s="202"/>
      <c r="B44" s="27" t="s">
        <v>66</v>
      </c>
      <c r="C44" s="10"/>
      <c r="D44" s="12">
        <f>C44*120</f>
        <v>0</v>
      </c>
      <c r="F44" s="37"/>
      <c r="G44" s="76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202"/>
      <c r="B45" s="27" t="s">
        <v>68</v>
      </c>
      <c r="C45" s="33"/>
      <c r="D45" s="12">
        <f>C45*84</f>
        <v>0</v>
      </c>
      <c r="F45" s="37"/>
      <c r="G45" s="76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202"/>
      <c r="B46" s="49" t="s">
        <v>70</v>
      </c>
      <c r="C46" s="81"/>
      <c r="D46" s="12">
        <f>C46*1.5</f>
        <v>0</v>
      </c>
      <c r="F46" s="37"/>
      <c r="G46" s="62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03"/>
      <c r="B47" s="27"/>
      <c r="C47" s="11"/>
      <c r="D47" s="12"/>
      <c r="F47" s="59"/>
      <c r="G47" s="59"/>
      <c r="H47" s="208"/>
      <c r="I47" s="209"/>
      <c r="J47" s="210"/>
      <c r="K47" s="21"/>
      <c r="P47" s="4"/>
      <c r="Q47" s="4"/>
      <c r="R47" s="5"/>
    </row>
    <row r="48" spans="1:18" ht="15" customHeight="1" x14ac:dyDescent="0.25">
      <c r="A48" s="201" t="s">
        <v>32</v>
      </c>
      <c r="B48" s="27" t="s">
        <v>66</v>
      </c>
      <c r="C48" s="10"/>
      <c r="D48" s="12">
        <f>C48*78</f>
        <v>0</v>
      </c>
      <c r="F48" s="59"/>
      <c r="G48" s="59"/>
      <c r="H48" s="208"/>
      <c r="I48" s="209"/>
      <c r="J48" s="2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2"/>
      <c r="B49" s="29" t="s">
        <v>68</v>
      </c>
      <c r="C49" s="33"/>
      <c r="D49" s="12">
        <f>C49*42</f>
        <v>0</v>
      </c>
      <c r="F49" s="223" t="s">
        <v>86</v>
      </c>
      <c r="G49" s="170">
        <f>H34+H35+H36+H37+H38+H39+H40+H41+G42+H44+H45+H46</f>
        <v>0</v>
      </c>
      <c r="H49" s="171"/>
      <c r="I49" s="171"/>
      <c r="J49" s="17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2"/>
      <c r="B50" s="32" t="s">
        <v>70</v>
      </c>
      <c r="C50" s="11"/>
      <c r="D50" s="12">
        <f>C50*1.5</f>
        <v>0</v>
      </c>
      <c r="F50" s="224"/>
      <c r="G50" s="173"/>
      <c r="H50" s="174"/>
      <c r="I50" s="174"/>
      <c r="J50" s="175"/>
      <c r="P50" s="4"/>
      <c r="Q50" s="4"/>
      <c r="R50" s="5"/>
    </row>
    <row r="51" spans="1:18" ht="15" customHeight="1" x14ac:dyDescent="0.25">
      <c r="A51" s="202"/>
      <c r="B51" s="27"/>
      <c r="C51" s="10"/>
      <c r="D51" s="31"/>
      <c r="F51" s="225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2"/>
      <c r="B52" s="29"/>
      <c r="C52" s="33"/>
      <c r="D52" s="45"/>
      <c r="F52" s="226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6" t="s">
        <v>90</v>
      </c>
      <c r="B54" s="211"/>
      <c r="C54" s="212"/>
      <c r="D54" s="215">
        <f>SUM(D34:D53)</f>
        <v>0</v>
      </c>
      <c r="F54" s="21"/>
      <c r="J54" s="34"/>
    </row>
    <row r="55" spans="1:18" x14ac:dyDescent="0.25">
      <c r="A55" s="168"/>
      <c r="B55" s="213"/>
      <c r="C55" s="214"/>
      <c r="D55" s="2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7" t="s">
        <v>91</v>
      </c>
      <c r="B58" s="218"/>
      <c r="C58" s="218"/>
      <c r="D58" s="219"/>
      <c r="F58" s="217" t="s">
        <v>92</v>
      </c>
      <c r="G58" s="218"/>
      <c r="H58" s="218"/>
      <c r="I58" s="218"/>
      <c r="J58" s="219"/>
    </row>
    <row r="59" spans="1:18" x14ac:dyDescent="0.25">
      <c r="A59" s="220"/>
      <c r="B59" s="221"/>
      <c r="C59" s="221"/>
      <c r="D59" s="222"/>
      <c r="F59" s="220"/>
      <c r="G59" s="221"/>
      <c r="H59" s="221"/>
      <c r="I59" s="221"/>
      <c r="J59" s="2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2025-12-08T01:30:44Z</cp:lastPrinted>
  <dcterms:created xsi:type="dcterms:W3CDTF">2024-09-01T23:36:50Z</dcterms:created>
  <dcterms:modified xsi:type="dcterms:W3CDTF">2025-12-08T05:40:20Z</dcterms:modified>
</cp:coreProperties>
</file>