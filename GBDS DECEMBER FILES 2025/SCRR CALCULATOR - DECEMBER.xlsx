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27C98705-8E9B-489C-A243-191C5851A05F}" xr6:coauthVersionLast="45" xr6:coauthVersionMax="47" xr10:uidLastSave="{00000000-0000-0000-0000-000000000000}"/>
  <bookViews>
    <workbookView xWindow="-120" yWindow="-120" windowWidth="29040" windowHeight="15840" activeTab="10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G49" i="1564" s="1"/>
  <c r="D34" i="1564"/>
  <c r="D54" i="1564" s="1"/>
  <c r="H14" i="1564" s="1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29" i="1563" s="1"/>
  <c r="H13" i="1563" s="1"/>
  <c r="H15" i="1563" s="1"/>
  <c r="H29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G49" i="1563" s="1"/>
  <c r="D34" i="1563"/>
  <c r="D54" i="1563" s="1"/>
  <c r="H14" i="1563" s="1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L25" i="1563"/>
  <c r="D25" i="1563" s="1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29" i="1562" s="1"/>
  <c r="H13" i="1562" s="1"/>
  <c r="H15" i="1562" s="1"/>
  <c r="H29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G49" i="1562" s="1"/>
  <c r="D34" i="1562"/>
  <c r="D54" i="1562" s="1"/>
  <c r="H14" i="1562" s="1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29" i="1560" s="1"/>
  <c r="H13" i="1560" s="1"/>
  <c r="H15" i="1560" s="1"/>
  <c r="H29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G49" i="1560" s="1"/>
  <c r="G51" i="1560" s="1"/>
  <c r="D36" i="1560"/>
  <c r="R35" i="1560"/>
  <c r="L19" i="1560" s="1"/>
  <c r="D19" i="1560" s="1"/>
  <c r="H35" i="1560"/>
  <c r="D35" i="1560"/>
  <c r="R34" i="1560"/>
  <c r="H34" i="1560"/>
  <c r="D34" i="1560"/>
  <c r="D54" i="1560" s="1"/>
  <c r="H14" i="1560" s="1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G49" i="1559" s="1"/>
  <c r="D34" i="1559"/>
  <c r="D54" i="1559" s="1"/>
  <c r="H14" i="1559" s="1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L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D29" i="1559" s="1"/>
  <c r="H13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D54" i="1558" s="1"/>
  <c r="H14" i="1558" s="1"/>
  <c r="R35" i="1558"/>
  <c r="H35" i="1558"/>
  <c r="D35" i="1558"/>
  <c r="R34" i="1558"/>
  <c r="H34" i="1558"/>
  <c r="G49" i="1558" s="1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G49" i="1556" s="1"/>
  <c r="D34" i="1556"/>
  <c r="D54" i="1556" s="1"/>
  <c r="H14" i="1556" s="1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D54" i="1555" s="1"/>
  <c r="H14" i="1555" s="1"/>
  <c r="R34" i="1555"/>
  <c r="L12" i="1555" s="1"/>
  <c r="D12" i="1555" s="1"/>
  <c r="H34" i="1555"/>
  <c r="G49" i="1555" s="1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L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D54" i="1554" s="1"/>
  <c r="H14" i="1554" s="1"/>
  <c r="R35" i="1554"/>
  <c r="H35" i="1554"/>
  <c r="D35" i="1554"/>
  <c r="R34" i="1554"/>
  <c r="H34" i="1554"/>
  <c r="G49" i="1554" s="1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D54" i="1552"/>
  <c r="H14" i="1552" s="1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D54" i="1551" s="1"/>
  <c r="H14" i="1551" s="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L25" i="1551"/>
  <c r="D25" i="1551" s="1"/>
  <c r="R24" i="1551"/>
  <c r="L24" i="1551"/>
  <c r="D24" i="1551"/>
  <c r="R23" i="1551"/>
  <c r="L23" i="1551"/>
  <c r="D23" i="1551"/>
  <c r="R22" i="1551"/>
  <c r="L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D54" i="1550" s="1"/>
  <c r="H14" i="1550" s="1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L24" i="1550"/>
  <c r="D24" i="1550" s="1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48" l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H15" i="1564" s="1"/>
  <c r="H29" i="1564" s="1"/>
  <c r="G51" i="1564" s="1"/>
  <c r="G51" i="1563"/>
  <c r="G51" i="1562"/>
  <c r="D29" i="1561"/>
  <c r="H13" i="1561" s="1"/>
  <c r="H15" i="1561" s="1"/>
  <c r="H29" i="1561" s="1"/>
  <c r="G51" i="1561" s="1"/>
  <c r="H15" i="1559"/>
  <c r="H29" i="1559" s="1"/>
  <c r="G51" i="1559"/>
  <c r="D29" i="1558"/>
  <c r="H13" i="1558" s="1"/>
  <c r="H15" i="1558" s="1"/>
  <c r="H29" i="1558" s="1"/>
  <c r="G51" i="1558" s="1"/>
  <c r="D29" i="1557"/>
  <c r="H13" i="1557" s="1"/>
  <c r="H15" i="1557" s="1"/>
  <c r="H29" i="1557" s="1"/>
  <c r="G51" i="1557" s="1"/>
  <c r="D29" i="1556"/>
  <c r="H13" i="1556" s="1"/>
  <c r="H15" i="1556" s="1"/>
  <c r="H29" i="1556" s="1"/>
  <c r="G51" i="1556" s="1"/>
  <c r="D29" i="1555"/>
  <c r="H13" i="1555" s="1"/>
  <c r="H15" i="1555" s="1"/>
  <c r="H29" i="1555" s="1"/>
  <c r="G51" i="1555" s="1"/>
  <c r="D29" i="1554"/>
  <c r="H13" i="1554" s="1"/>
  <c r="H15" i="1554" s="1"/>
  <c r="H29" i="1554" s="1"/>
  <c r="G51" i="1554" s="1"/>
  <c r="D29" i="1553"/>
  <c r="H13" i="1553" s="1"/>
  <c r="H15" i="1553" s="1"/>
  <c r="H29" i="1553" s="1"/>
  <c r="G51" i="1553" s="1"/>
  <c r="D29" i="1552"/>
  <c r="H13" i="1552" s="1"/>
  <c r="H15" i="1552" s="1"/>
  <c r="H29" i="1552" s="1"/>
  <c r="G51" i="1552" s="1"/>
  <c r="D29" i="1551"/>
  <c r="H13" i="1551" s="1"/>
  <c r="H15" i="1551" s="1"/>
  <c r="H29" i="1551" s="1"/>
  <c r="G51" i="1551" s="1"/>
  <c r="D29" i="1550"/>
  <c r="H13" i="1550" s="1"/>
  <c r="H15" i="1550" s="1"/>
  <c r="H29" i="1550" s="1"/>
  <c r="G51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48" l="1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<sst xmlns="http://schemas.openxmlformats.org/spreadsheetml/2006/main" count="3687" uniqueCount="160">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</sst>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0" fontId="14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8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45992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>
        <v>262</v>
      </c>
      <c r="D6" s="13">
        <f t="shared" ref="D6:D28" si="1">C6*L6</f>
        <v>193094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>
        <v>16</v>
      </c>
      <c r="D7" s="13">
        <f t="shared" si="1"/>
        <v>11600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>
        <v>1</v>
      </c>
      <c r="D8" s="13">
        <f t="shared" si="1"/>
        <v>1033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>
        <v>20</v>
      </c>
      <c r="D9" s="13">
        <f t="shared" si="1"/>
        <v>14140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>
        <v>2</v>
      </c>
      <c r="D10" s="13">
        <f t="shared" si="1"/>
        <v>1944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84">
        <v>1</v>
      </c>
      <c r="D11" s="13">
        <f t="shared" si="1"/>
        <v>1125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>
        <f>2</f>
        <v>2</v>
      </c>
      <c r="D12" s="48">
        <f t="shared" si="1"/>
        <v>1904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>
        <v>9</v>
      </c>
      <c r="D13" s="48">
        <f t="shared" si="1"/>
        <v>2763</v>
      </c>
      <c r="F13" s="226" t="s">
        <v>36</v>
      </c>
      <c r="G13" s="190"/>
      <c r="H13" s="181">
        <f>D29</f>
        <v>240783.5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>
        <v>3</v>
      </c>
      <c r="D14" s="31">
        <f t="shared" si="1"/>
        <v>33</v>
      </c>
      <c r="F14" s="184" t="s">
        <v>39</v>
      </c>
      <c r="G14" s="185"/>
      <c r="H14" s="186">
        <f>D54</f>
        <v>35187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205596.5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138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67">
        <v>79918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37">
        <v>87410</v>
      </c>
      <c r="I26" s="137"/>
      <c r="J26" s="13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85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>
        <v>11</v>
      </c>
      <c r="D28" s="48">
        <f t="shared" si="1"/>
        <v>8635</v>
      </c>
      <c r="F28" s="88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240783.5</v>
      </c>
      <c r="F29" s="98" t="s">
        <v>55</v>
      </c>
      <c r="G29" s="160"/>
      <c r="H29" s="120">
        <f>H15-H16-H17-H18-H19-H20-H22-H23-H24+H26+H27+H28</f>
        <v>213088.5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42">
        <f t="shared" ref="H34:H39" si="2">F34*G34</f>
        <v>77000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42">
        <f t="shared" si="2"/>
        <v>19000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2">
        <f t="shared" si="2"/>
        <v>400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42">
        <f t="shared" si="2"/>
        <v>600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42">
        <f t="shared" si="2"/>
        <v>350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>
        <v>4</v>
      </c>
      <c r="D42" s="12">
        <f>C42*2.25</f>
        <v>9</v>
      </c>
      <c r="F42" s="39" t="s">
        <v>79</v>
      </c>
      <c r="G42" s="142">
        <v>25</v>
      </c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37">
        <v>15213</v>
      </c>
      <c r="I44" s="137"/>
      <c r="J44" s="13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3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37">
        <v>13245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37">
        <v>87410</v>
      </c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213263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12</v>
      </c>
      <c r="D50" s="12">
        <f>C50*1.5</f>
        <v>18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148</v>
      </c>
      <c r="G51" s="128">
        <f>G49-H29</f>
        <v>174.5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45992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168</v>
      </c>
      <c r="D6" s="13">
        <f t="shared" ref="D6:D28" si="1">C6*L6</f>
        <v>123816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</v>
      </c>
      <c r="D7" s="13">
        <f t="shared" si="1"/>
        <v>1450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39</v>
      </c>
      <c r="D9" s="13">
        <f t="shared" si="1"/>
        <v>27573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4</v>
      </c>
      <c r="D13" s="48">
        <f t="shared" si="1"/>
        <v>1228</v>
      </c>
      <c r="F13" s="226" t="s">
        <v>36</v>
      </c>
      <c r="G13" s="190"/>
      <c r="H13" s="181">
        <f>D29</f>
        <v>154078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</v>
      </c>
      <c r="D14" s="31">
        <f t="shared" si="1"/>
        <v>11</v>
      </c>
      <c r="F14" s="184" t="s">
        <v>39</v>
      </c>
      <c r="G14" s="185"/>
      <c r="H14" s="186">
        <f>D54</f>
        <v>24060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130018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1314</v>
      </c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8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154078</v>
      </c>
      <c r="F29" s="98" t="s">
        <v>55</v>
      </c>
      <c r="G29" s="160"/>
      <c r="H29" s="120">
        <f>H15-H16-H17-H18-H19-H20-H22-H23-H24+H26+H27</f>
        <v>128654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42">
        <f>F34*G34</f>
        <v>101000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42">
        <f t="shared" ref="H35:H39" si="2">F35*G35</f>
        <v>26500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>
        <v>8</v>
      </c>
      <c r="D42" s="12">
        <f>C42*2.25</f>
        <v>18</v>
      </c>
      <c r="F42" s="39" t="s">
        <v>79</v>
      </c>
      <c r="G42" s="142">
        <v>35</v>
      </c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</v>
      </c>
      <c r="D46" s="12">
        <f>C46*1.5</f>
        <v>1.5</v>
      </c>
      <c r="F46" s="37"/>
      <c r="G46" s="86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127985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22</v>
      </c>
      <c r="D50" s="12">
        <f>C50*1.5</f>
        <v>33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132</v>
      </c>
      <c r="G51" s="231">
        <f>G49-H29</f>
        <v>-669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24060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45992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211</v>
      </c>
      <c r="D6" s="13">
        <f t="shared" ref="D6:D28" si="1">C6*L6</f>
        <v>155507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11</v>
      </c>
      <c r="D7" s="13">
        <f t="shared" si="1"/>
        <v>7975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1033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18</v>
      </c>
      <c r="D9" s="13">
        <f t="shared" si="1"/>
        <v>12726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1944</v>
      </c>
      <c r="F10" s="205" t="s">
        <v>26</v>
      </c>
      <c r="G10" s="220" t="s">
        <v>135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2856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5</v>
      </c>
      <c r="D13" s="48">
        <f t="shared" si="1"/>
        <v>1535</v>
      </c>
      <c r="F13" s="226" t="s">
        <v>36</v>
      </c>
      <c r="G13" s="190"/>
      <c r="H13" s="181">
        <f>D29</f>
        <v>197825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</v>
      </c>
      <c r="D14" s="31">
        <f t="shared" si="1"/>
        <v>11</v>
      </c>
      <c r="F14" s="184" t="s">
        <v>39</v>
      </c>
      <c r="G14" s="185"/>
      <c r="H14" s="186">
        <f>D54</f>
        <v>31160.25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166664.75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</f>
        <v>300</v>
      </c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>
        <v>9</v>
      </c>
      <c r="D27" s="44">
        <f t="shared" si="1"/>
        <v>14238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8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197825</v>
      </c>
      <c r="F29" s="98" t="s">
        <v>55</v>
      </c>
      <c r="G29" s="160"/>
      <c r="H29" s="120">
        <f>H15-H16-H17-H18-H19-H20-H22-H23-H24+H26+H27</f>
        <v>166364.75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42">
        <f>F34*G34</f>
        <v>131000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2">
        <f>F35*G35</f>
        <v>21000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2">
        <v>86</v>
      </c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37">
        <v>14238</v>
      </c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11</v>
      </c>
      <c r="D46" s="12">
        <f>C46*1.5</f>
        <v>16.5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166324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6</v>
      </c>
      <c r="D50" s="12">
        <f>C50*1.5</f>
        <v>9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140</v>
      </c>
      <c r="G51" s="231">
        <f>G49-H29</f>
        <v>-40.75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31160.25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45993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>
        <v>261</v>
      </c>
      <c r="D6" s="13">
        <f t="shared" ref="D6:D28" si="1">C6*L6</f>
        <v>192357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>
        <v>3</v>
      </c>
      <c r="D7" s="13">
        <f t="shared" si="1"/>
        <v>2175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>
        <v>20</v>
      </c>
      <c r="D9" s="13">
        <f t="shared" si="1"/>
        <v>14140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>
        <v>1</v>
      </c>
      <c r="D10" s="13">
        <f t="shared" si="1"/>
        <v>972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>
        <v>1</v>
      </c>
      <c r="D12" s="48">
        <f t="shared" si="1"/>
        <v>952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>
        <v>4</v>
      </c>
      <c r="D13" s="48">
        <f t="shared" si="1"/>
        <v>1228</v>
      </c>
      <c r="F13" s="226" t="s">
        <v>36</v>
      </c>
      <c r="G13" s="190"/>
      <c r="H13" s="181">
        <f>D29</f>
        <v>220448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>
        <v>22</v>
      </c>
      <c r="D14" s="31">
        <f t="shared" si="1"/>
        <v>242</v>
      </c>
      <c r="F14" s="184" t="s">
        <v>39</v>
      </c>
      <c r="G14" s="185"/>
      <c r="H14" s="186">
        <f>D54</f>
        <v>32962.5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187485.5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138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137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>
        <v>6</v>
      </c>
      <c r="D28" s="48">
        <f t="shared" si="1"/>
        <v>4710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220448</v>
      </c>
      <c r="F29" s="98" t="s">
        <v>55</v>
      </c>
      <c r="G29" s="160"/>
      <c r="H29" s="120">
        <f>H15-H16-H17-H18-H19-H20-H22-H23-H24+H26+H27+H28</f>
        <v>187485.5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42">
        <f t="shared" ref="H34:H39" si="2">F34*G34</f>
        <v>124000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42">
        <f t="shared" si="2"/>
        <v>52000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2">
        <f t="shared" si="2"/>
        <v>400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42">
        <f t="shared" si="2"/>
        <v>2600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>
        <v>12</v>
      </c>
      <c r="D42" s="12">
        <f>C42*2.25</f>
        <v>27</v>
      </c>
      <c r="F42" s="39" t="s">
        <v>79</v>
      </c>
      <c r="G42" s="142">
        <v>69</v>
      </c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37">
        <v>7978</v>
      </c>
      <c r="I44" s="137"/>
      <c r="J44" s="13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5</v>
      </c>
      <c r="D46" s="12">
        <f>C46*1.5</f>
        <v>7.5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187047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20</v>
      </c>
      <c r="D50" s="12">
        <f>C50*1.5</f>
        <v>30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31">
        <f>G49-H29</f>
        <v>-438.5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45993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230</v>
      </c>
      <c r="D6" s="13">
        <f t="shared" ref="D6:D28" si="1">C6*L6</f>
        <v>169510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7</v>
      </c>
      <c r="D7" s="13">
        <f t="shared" si="1"/>
        <v>5075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20</v>
      </c>
      <c r="D9" s="13">
        <f t="shared" si="1"/>
        <v>14140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1904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8</v>
      </c>
      <c r="D13" s="48">
        <f t="shared" si="1"/>
        <v>2456</v>
      </c>
      <c r="F13" s="226" t="s">
        <v>36</v>
      </c>
      <c r="G13" s="190"/>
      <c r="H13" s="181">
        <f>D29</f>
        <v>196676.66666666666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36855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159821.66666666666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1899</f>
        <v>1899</v>
      </c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>
        <v>2</v>
      </c>
      <c r="D24" s="48">
        <f t="shared" si="1"/>
        <v>198.66666666666666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196676.66666666666</v>
      </c>
      <c r="F29" s="98" t="s">
        <v>55</v>
      </c>
      <c r="G29" s="160"/>
      <c r="H29" s="120">
        <f>H15-H16-H17-H18-H19-H20-H22-H23-H24+H26+H27</f>
        <v>157922.66666666666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42">
        <f>F34*G34</f>
        <v>34000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42">
        <f t="shared" ref="H35:H39" si="2">F35*G35</f>
        <v>1000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2460</v>
      </c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37">
        <v>119875</v>
      </c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5</v>
      </c>
      <c r="D46" s="12">
        <f>C46*1.5</f>
        <v>7.5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157735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20</v>
      </c>
      <c r="D50" s="12">
        <f>C50*1.5</f>
        <v>30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132</v>
      </c>
      <c r="G51" s="231">
        <f>G49-H29</f>
        <v>-187.66666666665697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36855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45993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194</v>
      </c>
      <c r="D6" s="13">
        <f t="shared" ref="D6:D28" si="1">C6*L6</f>
        <v>142978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17</v>
      </c>
      <c r="D7" s="13">
        <f t="shared" si="1"/>
        <v>12325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13</v>
      </c>
      <c r="D9" s="13">
        <f t="shared" si="1"/>
        <v>9191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1944</v>
      </c>
      <c r="F10" s="205" t="s">
        <v>26</v>
      </c>
      <c r="G10" s="220" t="s">
        <v>135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2</v>
      </c>
      <c r="D11" s="13">
        <f t="shared" si="1"/>
        <v>2250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1904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5</v>
      </c>
      <c r="D13" s="48">
        <f t="shared" si="1"/>
        <v>1535</v>
      </c>
      <c r="F13" s="226" t="s">
        <v>36</v>
      </c>
      <c r="G13" s="190"/>
      <c r="H13" s="181">
        <f>D29</f>
        <v>173906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19</v>
      </c>
      <c r="D14" s="31">
        <f t="shared" si="1"/>
        <v>209</v>
      </c>
      <c r="F14" s="184" t="s">
        <v>39</v>
      </c>
      <c r="G14" s="185"/>
      <c r="H14" s="186">
        <f>D54</f>
        <v>39246.75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134659.25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336</f>
        <v>336</v>
      </c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72">
        <v>85842</v>
      </c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2</v>
      </c>
      <c r="D28" s="48">
        <f t="shared" si="1"/>
        <v>1570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173906</v>
      </c>
      <c r="F29" s="98" t="s">
        <v>55</v>
      </c>
      <c r="G29" s="160"/>
      <c r="H29" s="120">
        <f>H15-H16-H17-H18-H19-H20-H22-H23-H24+H26+H27</f>
        <v>220165.25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42">
        <f>F34*G34</f>
        <v>133000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2">
        <f>F35*G35</f>
        <v>11000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42">
        <f t="shared" si="2"/>
        <v>300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>
        <v>1</v>
      </c>
      <c r="D42" s="12">
        <f>C42*2.25</f>
        <v>2.25</v>
      </c>
      <c r="F42" s="39" t="s">
        <v>79</v>
      </c>
      <c r="G42" s="142">
        <v>61</v>
      </c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37">
        <v>85842</v>
      </c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</v>
      </c>
      <c r="D46" s="12">
        <f>C46*1.5</f>
        <v>4.5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230303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5</v>
      </c>
      <c r="D50" s="12">
        <f>C50*1.5</f>
        <v>7.5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148</v>
      </c>
      <c r="G51" s="128">
        <f>G49-H29</f>
        <v>10137.75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39246.75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45994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>
        <v>150</v>
      </c>
      <c r="D6" s="13">
        <f t="shared" ref="D6:D28" si="1">C6*L6</f>
        <v>110550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>
        <v>5</v>
      </c>
      <c r="D7" s="13">
        <f t="shared" si="1"/>
        <v>3625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>
        <v>10</v>
      </c>
      <c r="D9" s="13">
        <f t="shared" si="1"/>
        <v>7070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>
        <v>4</v>
      </c>
      <c r="D13" s="48">
        <f t="shared" si="1"/>
        <v>1228</v>
      </c>
      <c r="F13" s="226" t="s">
        <v>36</v>
      </c>
      <c r="G13" s="190"/>
      <c r="H13" s="181">
        <f>D29</f>
        <v>124676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>
        <v>23</v>
      </c>
      <c r="D14" s="31">
        <f t="shared" si="1"/>
        <v>253</v>
      </c>
      <c r="F14" s="184" t="s">
        <v>39</v>
      </c>
      <c r="G14" s="185"/>
      <c r="H14" s="186">
        <f>D54</f>
        <v>17744.25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106931.75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138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137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124676</v>
      </c>
      <c r="F29" s="98" t="s">
        <v>55</v>
      </c>
      <c r="G29" s="160"/>
      <c r="H29" s="120">
        <f>H15-H16-H17-H18-H19-H20-H22-H23-H24+H26+H27+H28</f>
        <v>106931.75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42">
        <f t="shared" ref="H34:H39" si="2">F34*G34</f>
        <v>89000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2">
        <f t="shared" si="2"/>
        <v>15500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2">
        <f t="shared" si="2"/>
        <v>200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42">
        <f t="shared" si="2"/>
        <v>2500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2">
        <v>395</v>
      </c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107645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20</v>
      </c>
      <c r="D50" s="12">
        <f>C50*1.5</f>
        <v>30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148</v>
      </c>
      <c r="G51" s="128">
        <f>G49-H29</f>
        <v>713.25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45994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f>440-99</f>
        <v>341</v>
      </c>
      <c r="D6" s="13">
        <f t="shared" ref="D6:D28" si="1">C6*L6</f>
        <v>251317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</v>
      </c>
      <c r="D7" s="13">
        <f t="shared" si="1"/>
        <v>1450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</v>
      </c>
      <c r="D9" s="13">
        <f t="shared" si="1"/>
        <v>3535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14</v>
      </c>
      <c r="D13" s="48">
        <f t="shared" si="1"/>
        <v>4298</v>
      </c>
      <c r="F13" s="226" t="s">
        <v>36</v>
      </c>
      <c r="G13" s="190"/>
      <c r="H13" s="181">
        <f>D29</f>
        <v>261506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11</v>
      </c>
      <c r="D14" s="31">
        <f t="shared" si="1"/>
        <v>121</v>
      </c>
      <c r="F14" s="184" t="s">
        <v>39</v>
      </c>
      <c r="G14" s="185"/>
      <c r="H14" s="186">
        <f>D54</f>
        <v>40169.25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221336.75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337*9</f>
        <v>3033</v>
      </c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1</v>
      </c>
      <c r="D28" s="48">
        <f t="shared" si="1"/>
        <v>785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261506</v>
      </c>
      <c r="F29" s="98" t="s">
        <v>55</v>
      </c>
      <c r="G29" s="160"/>
      <c r="H29" s="120">
        <f>H15-H16-H17-H18-H19-H20-H22-H23-H24+H26+H27</f>
        <v>218303.75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42">
        <f>F34*G34</f>
        <v>216000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42">
        <f t="shared" ref="H35:H39" si="2">F35*G35</f>
        <v>2000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42">
        <f t="shared" si="2"/>
        <v>200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2">
        <f t="shared" si="2"/>
        <v>150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2">
        <v>8</v>
      </c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</v>
      </c>
      <c r="D46" s="12">
        <f>C46*1.5</f>
        <v>1.5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17</v>
      </c>
      <c r="D49" s="12">
        <f>C49*42</f>
        <v>714</v>
      </c>
      <c r="F49" s="118" t="s">
        <v>86</v>
      </c>
      <c r="G49" s="120">
        <f>H34+H35+H36+H37+H38+H39+H40+H41+G42+H44+H45+H46</f>
        <v>218358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21</v>
      </c>
      <c r="D50" s="12">
        <f>C50*1.5</f>
        <v>31.5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155</v>
      </c>
      <c r="G51" s="128">
        <f>G49-H29</f>
        <v>54.25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40169.25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45994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536</v>
      </c>
      <c r="D6" s="13">
        <f t="shared" ref="D6:D28" si="1">C6*L6</f>
        <v>395032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15</v>
      </c>
      <c r="D7" s="13">
        <f t="shared" si="1"/>
        <v>10875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129</v>
      </c>
      <c r="D9" s="13">
        <f t="shared" si="1"/>
        <v>91203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f>1+1</f>
        <v>2</v>
      </c>
      <c r="D12" s="48">
        <f t="shared" si="1"/>
        <v>1904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8</v>
      </c>
      <c r="D13" s="48">
        <f t="shared" si="1"/>
        <v>2456</v>
      </c>
      <c r="F13" s="226" t="s">
        <v>36</v>
      </c>
      <c r="G13" s="190"/>
      <c r="H13" s="181">
        <f>D29</f>
        <v>505571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16</v>
      </c>
      <c r="D14" s="31">
        <f t="shared" si="1"/>
        <v>176</v>
      </c>
      <c r="F14" s="184" t="s">
        <v>39</v>
      </c>
      <c r="G14" s="185"/>
      <c r="H14" s="186">
        <f>D54</f>
        <v>38012.25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467558.75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2610+330</f>
        <v>2940</v>
      </c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239" t="s">
        <v>154</v>
      </c>
      <c r="G22" s="73">
        <v>7468</v>
      </c>
      <c r="H22" s="167">
        <v>102341</v>
      </c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5</v>
      </c>
      <c r="D28" s="48">
        <f t="shared" si="1"/>
        <v>3925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505571</v>
      </c>
      <c r="F29" s="98" t="s">
        <v>55</v>
      </c>
      <c r="G29" s="160"/>
      <c r="H29" s="120">
        <f>H15-H16-H17-H18-H19-H20-H22-H23-H24+H26+H27+H28</f>
        <v>362227.75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42">
        <f>F34*G34</f>
        <v>12000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>
        <v>45</v>
      </c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37">
        <v>283894</v>
      </c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37">
        <v>34498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37">
        <v>19009</v>
      </c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349846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</v>
      </c>
      <c r="D50" s="12">
        <f>C50*1.5</f>
        <v>3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140</v>
      </c>
      <c r="G51" s="231">
        <f>G49-H29</f>
        <v>-12381.75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38012.25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45995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138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137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45995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132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45995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140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45996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138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137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45996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132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45996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140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45997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138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137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45997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132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45997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140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45999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129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112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130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138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127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137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45999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114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123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1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132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45999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119</v>
      </c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135</v>
      </c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3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140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2025-12-04T00:50:12Z</cp:lastPrinted>
  <dcterms:created xsi:type="dcterms:W3CDTF">2024-09-01T23:36:50Z</dcterms:created>
  <dcterms:modified xsi:type="dcterms:W3CDTF">2025-12-04T00:50:34Z</dcterms:modified>
</cp:coreProperties>
</file>