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AE399724-2A9E-486F-AF0C-86F0F4485D7B}" xr6:coauthVersionLast="45" xr6:coauthVersionMax="47" xr10:uidLastSave="{00000000-0000-0000-0000-000000000000}"/>
  <bookViews>
    <workbookView xWindow="-120" yWindow="-120" windowWidth="29040" windowHeight="15840" firstSheet="19" activeTab="32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D54" i="1588" s="1"/>
  <c r="H14" i="1588" s="1"/>
  <c r="R35" i="1588"/>
  <c r="L19" i="1588" s="1"/>
  <c r="D19" i="1588" s="1"/>
  <c r="H35" i="1588"/>
  <c r="G49" i="1588" s="1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H15" i="1587" s="1"/>
  <c r="H29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G49" i="1587" s="1"/>
  <c r="D36" i="1587"/>
  <c r="R35" i="1587"/>
  <c r="L19" i="1587" s="1"/>
  <c r="D19" i="1587" s="1"/>
  <c r="H35" i="1587"/>
  <c r="D35" i="1587"/>
  <c r="R34" i="1587"/>
  <c r="H34" i="1587"/>
  <c r="D34" i="1587"/>
  <c r="D54" i="1587" s="1"/>
  <c r="H14" i="1587" s="1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D54" i="1586" s="1"/>
  <c r="H14" i="1586" s="1"/>
  <c r="R35" i="1586"/>
  <c r="H35" i="1586"/>
  <c r="D35" i="1586"/>
  <c r="R34" i="1586"/>
  <c r="H34" i="1586"/>
  <c r="G49" i="1586" s="1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G49" i="1584" s="1"/>
  <c r="D35" i="1584"/>
  <c r="D54" i="1584" s="1"/>
  <c r="H14" i="1584" s="1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29" i="1583" s="1"/>
  <c r="H13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G49" i="1583" s="1"/>
  <c r="D34" i="1583"/>
  <c r="D54" i="1583" s="1"/>
  <c r="H14" i="1583" s="1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D54" i="1582" s="1"/>
  <c r="H14" i="1582" s="1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G49" i="1580" s="1"/>
  <c r="D34" i="1580"/>
  <c r="D54" i="1580" s="1"/>
  <c r="H14" i="1580" s="1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G49" i="1579" s="1"/>
  <c r="D38" i="1579"/>
  <c r="R37" i="1579"/>
  <c r="H37" i="1579"/>
  <c r="D37" i="1579"/>
  <c r="R36" i="1579"/>
  <c r="H36" i="1579"/>
  <c r="D36" i="1579"/>
  <c r="R35" i="1579"/>
  <c r="H35" i="1579"/>
  <c r="D35" i="1579"/>
  <c r="D54" i="1579" s="1"/>
  <c r="H14" i="1579" s="1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L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D54" i="1578" s="1"/>
  <c r="H14" i="1578" s="1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G49" i="1576" s="1"/>
  <c r="D36" i="1576"/>
  <c r="R35" i="1576"/>
  <c r="L19" i="1576" s="1"/>
  <c r="D19" i="1576" s="1"/>
  <c r="H35" i="1576"/>
  <c r="D35" i="1576"/>
  <c r="R34" i="1576"/>
  <c r="H34" i="1576"/>
  <c r="D34" i="1576"/>
  <c r="D54" i="1576" s="1"/>
  <c r="H14" i="1576" s="1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G49" i="1575" s="1"/>
  <c r="D34" i="1575"/>
  <c r="D54" i="1575" s="1"/>
  <c r="H14" i="1575" s="1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L25" i="1575"/>
  <c r="D25" i="1575" s="1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D54" i="1574" s="1"/>
  <c r="H14" i="1574" s="1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L26" i="1574"/>
  <c r="D26" i="1574"/>
  <c r="R25" i="1574"/>
  <c r="L25" i="1574"/>
  <c r="D25" i="1574" s="1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29" i="1572" s="1"/>
  <c r="H13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G49" i="1572" s="1"/>
  <c r="D34" i="1572"/>
  <c r="D54" i="1572" s="1"/>
  <c r="H14" i="1572" s="1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D54" i="1571" s="1"/>
  <c r="H14" i="1571" s="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D54" i="1568" l="1"/>
  <c r="H14" i="1568" s="1"/>
  <c r="D54" i="1567"/>
  <c r="H14" i="1567" s="1"/>
  <c r="D54" i="1566"/>
  <c r="H14" i="1566" s="1"/>
  <c r="G49" i="1566"/>
  <c r="D29" i="1588"/>
  <c r="H13" i="1588" s="1"/>
  <c r="H15" i="1588" s="1"/>
  <c r="H29" i="1588" s="1"/>
  <c r="G51" i="1588" s="1"/>
  <c r="G51" i="1587"/>
  <c r="D29" i="1586"/>
  <c r="H13" i="1586" s="1"/>
  <c r="H15" i="1586" s="1"/>
  <c r="H29" i="1586" s="1"/>
  <c r="G51" i="1586" s="1"/>
  <c r="D29" i="1585"/>
  <c r="H13" i="1585" s="1"/>
  <c r="H15" i="1585" s="1"/>
  <c r="H29" i="1585" s="1"/>
  <c r="G51" i="1585" s="1"/>
  <c r="D29" i="1584"/>
  <c r="H13" i="1584" s="1"/>
  <c r="H15" i="1584" s="1"/>
  <c r="H29" i="1584" s="1"/>
  <c r="G51" i="1584" s="1"/>
  <c r="H15" i="1583"/>
  <c r="H29" i="1583" s="1"/>
  <c r="G51" i="1583" s="1"/>
  <c r="D29" i="1582"/>
  <c r="H13" i="1582" s="1"/>
  <c r="H15" i="1582" s="1"/>
  <c r="H29" i="1582" s="1"/>
  <c r="G51" i="1582"/>
  <c r="D29" i="1581"/>
  <c r="H13" i="1581" s="1"/>
  <c r="H15" i="1581" s="1"/>
  <c r="H29" i="1581" s="1"/>
  <c r="G51" i="1581"/>
  <c r="D29" i="1580"/>
  <c r="H13" i="1580" s="1"/>
  <c r="H15" i="1580" s="1"/>
  <c r="H29" i="1580" s="1"/>
  <c r="G51" i="1580" s="1"/>
  <c r="D29" i="1579"/>
  <c r="H13" i="1579" s="1"/>
  <c r="H15" i="1579" s="1"/>
  <c r="H29" i="1579" s="1"/>
  <c r="G51" i="1579" s="1"/>
  <c r="D29" i="1578"/>
  <c r="H13" i="1578" s="1"/>
  <c r="H15" i="1578" s="1"/>
  <c r="H29" i="1578" s="1"/>
  <c r="G51" i="1578"/>
  <c r="D29" i="1577"/>
  <c r="H13" i="1577" s="1"/>
  <c r="H15" i="1577" s="1"/>
  <c r="H29" i="1577" s="1"/>
  <c r="G51" i="1577" s="1"/>
  <c r="D29" i="1576"/>
  <c r="H13" i="1576" s="1"/>
  <c r="H15" i="1576" s="1"/>
  <c r="H29" i="1576" s="1"/>
  <c r="G51" i="1576" s="1"/>
  <c r="D29" i="1575"/>
  <c r="H13" i="1575" s="1"/>
  <c r="H15" i="1575" s="1"/>
  <c r="H29" i="1575" s="1"/>
  <c r="G51" i="1575" s="1"/>
  <c r="G51" i="1574"/>
  <c r="D29" i="1574"/>
  <c r="H13" i="1574" s="1"/>
  <c r="H15" i="1574" s="1"/>
  <c r="H29" i="1574" s="1"/>
  <c r="H15" i="1573"/>
  <c r="H29" i="1573" s="1"/>
  <c r="G51" i="1573"/>
  <c r="H15" i="1572"/>
  <c r="H29" i="1572" s="1"/>
  <c r="G51" i="1572" s="1"/>
  <c r="D29" i="1571"/>
  <c r="H13" i="1571" s="1"/>
  <c r="H15" i="1571" s="1"/>
  <c r="H29" i="1571" s="1"/>
  <c r="G51" i="157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H15" i="1568" l="1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L24" i="1543"/>
  <c r="D24" i="1543" s="1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<sst xmlns="http://schemas.openxmlformats.org/spreadsheetml/2006/main" count="6857" uniqueCount="176">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</sst>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88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5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45992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>
        <v>262</v>
      </c>
      <c r="D6" s="13">
        <f t="shared" ref="D6:D28" si="1">C6*L6</f>
        <v>193094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>
        <v>16</v>
      </c>
      <c r="D7" s="13">
        <f t="shared" si="1"/>
        <v>11600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>
        <v>1</v>
      </c>
      <c r="D8" s="13">
        <f t="shared" si="1"/>
        <v>1033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>
        <v>20</v>
      </c>
      <c r="D9" s="13">
        <f t="shared" si="1"/>
        <v>14140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>
        <v>2</v>
      </c>
      <c r="D10" s="13">
        <f t="shared" si="1"/>
        <v>1944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>
        <v>1</v>
      </c>
      <c r="D11" s="13">
        <f t="shared" si="1"/>
        <v>1125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>
        <f>2</f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>
        <v>9</v>
      </c>
      <c r="D13" s="48">
        <f t="shared" si="1"/>
        <v>2763</v>
      </c>
      <c r="F13" s="144" t="s">
        <v>36</v>
      </c>
      <c r="G13" s="145"/>
      <c r="H13" s="146">
        <f>D29</f>
        <v>240783.5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>
        <v>3</v>
      </c>
      <c r="D14" s="31">
        <f t="shared" si="1"/>
        <v>33</v>
      </c>
      <c r="F14" s="149" t="s">
        <v>39</v>
      </c>
      <c r="G14" s="150"/>
      <c r="H14" s="151">
        <f>D54</f>
        <v>35187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205596.5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1">
        <v>79918</v>
      </c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83">
        <v>87410</v>
      </c>
      <c r="I26" s="183"/>
      <c r="J26" s="183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85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>
        <v>11</v>
      </c>
      <c r="D28" s="48">
        <f t="shared" si="1"/>
        <v>8635</v>
      </c>
      <c r="F28" s="88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240783.5</v>
      </c>
      <c r="F29" s="167" t="s">
        <v>55</v>
      </c>
      <c r="G29" s="168"/>
      <c r="H29" s="171">
        <f>H15-H16-H17-H18-H19-H20-H22-H23-H24+H26+H27+H28</f>
        <v>213088.5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99">
        <f t="shared" ref="H34:H39" si="2">F34*G34</f>
        <v>77000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99">
        <f t="shared" si="2"/>
        <v>19000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99">
        <f t="shared" si="2"/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99">
        <f t="shared" si="2"/>
        <v>600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99">
        <f t="shared" si="2"/>
        <v>350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4</v>
      </c>
      <c r="D42" s="12">
        <f>C42*2.25</f>
        <v>9</v>
      </c>
      <c r="F42" s="39" t="s">
        <v>79</v>
      </c>
      <c r="G42" s="199">
        <v>25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5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83">
        <v>15213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83">
        <v>13245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83">
        <v>87410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213263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12</v>
      </c>
      <c r="D50" s="12">
        <f>C50*1.5</f>
        <v>18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148</v>
      </c>
      <c r="G51" s="228">
        <f>G49-H29</f>
        <v>174.5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45992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168</v>
      </c>
      <c r="D6" s="13">
        <f t="shared" ref="D6:D28" si="1">C6*L6</f>
        <v>123816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1450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39</v>
      </c>
      <c r="D9" s="13">
        <f t="shared" si="1"/>
        <v>27573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4</v>
      </c>
      <c r="D13" s="48">
        <f t="shared" si="1"/>
        <v>1228</v>
      </c>
      <c r="F13" s="144" t="s">
        <v>36</v>
      </c>
      <c r="G13" s="145"/>
      <c r="H13" s="146">
        <f>D29</f>
        <v>154078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</v>
      </c>
      <c r="D14" s="31">
        <f t="shared" si="1"/>
        <v>11</v>
      </c>
      <c r="F14" s="149" t="s">
        <v>39</v>
      </c>
      <c r="G14" s="150"/>
      <c r="H14" s="151">
        <f>D54</f>
        <v>24060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130018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1314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88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154078</v>
      </c>
      <c r="F29" s="167" t="s">
        <v>55</v>
      </c>
      <c r="G29" s="168"/>
      <c r="H29" s="171">
        <f>H15-H16-H17-H18-H19-H20-H22-H23-H24+H26+H27</f>
        <v>128654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99">
        <f>F34*G34</f>
        <v>101000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99">
        <f t="shared" ref="H35:H39" si="2">F35*G35</f>
        <v>26500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8</v>
      </c>
      <c r="D42" s="12">
        <f>C42*2.25</f>
        <v>18</v>
      </c>
      <c r="F42" s="39" t="s">
        <v>79</v>
      </c>
      <c r="G42" s="199">
        <v>35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5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</v>
      </c>
      <c r="D46" s="12">
        <f>C46*1.5</f>
        <v>1.5</v>
      </c>
      <c r="F46" s="37"/>
      <c r="G46" s="86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127985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-669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24060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45992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211</v>
      </c>
      <c r="D6" s="13">
        <f t="shared" ref="D6:D28" si="1">C6*L6</f>
        <v>155507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7975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1033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18</v>
      </c>
      <c r="D9" s="13">
        <f t="shared" si="1"/>
        <v>12726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1944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2856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197825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</v>
      </c>
      <c r="D14" s="31">
        <f t="shared" si="1"/>
        <v>11</v>
      </c>
      <c r="F14" s="149" t="s">
        <v>39</v>
      </c>
      <c r="G14" s="150"/>
      <c r="H14" s="151">
        <f>D54</f>
        <v>31160.25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166664.75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300</f>
        <v>300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88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197825</v>
      </c>
      <c r="F29" s="167" t="s">
        <v>55</v>
      </c>
      <c r="G29" s="168"/>
      <c r="H29" s="171">
        <f>H15-H16-H17-H18-H19-H20-H22-H23-H24+H26+H27</f>
        <v>166364.75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99">
        <f>F34*G34</f>
        <v>131000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99">
        <f>F35*G35</f>
        <v>21000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9">
        <v>86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5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83">
        <v>14238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1</v>
      </c>
      <c r="D45" s="12">
        <f>C45*84</f>
        <v>84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11</v>
      </c>
      <c r="D46" s="12">
        <f>C46*1.5</f>
        <v>16.5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166324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-40.75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31160.25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45993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>
        <v>261</v>
      </c>
      <c r="D6" s="13">
        <f t="shared" ref="D6:D28" si="1">C6*L6</f>
        <v>192357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>
        <v>3</v>
      </c>
      <c r="D7" s="13">
        <f t="shared" si="1"/>
        <v>2175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>
        <v>20</v>
      </c>
      <c r="D9" s="13">
        <f t="shared" si="1"/>
        <v>14140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>
        <v>1</v>
      </c>
      <c r="D10" s="13">
        <f t="shared" si="1"/>
        <v>972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>
        <v>1</v>
      </c>
      <c r="D12" s="48">
        <f t="shared" si="1"/>
        <v>952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>
        <v>4</v>
      </c>
      <c r="D13" s="48">
        <f t="shared" si="1"/>
        <v>1228</v>
      </c>
      <c r="F13" s="144" t="s">
        <v>36</v>
      </c>
      <c r="G13" s="145"/>
      <c r="H13" s="146">
        <f>D29</f>
        <v>220448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>
        <v>22</v>
      </c>
      <c r="D14" s="31">
        <f t="shared" si="1"/>
        <v>242</v>
      </c>
      <c r="F14" s="149" t="s">
        <v>39</v>
      </c>
      <c r="G14" s="150"/>
      <c r="H14" s="151">
        <f>D54</f>
        <v>32962.5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187485.5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>
        <v>6</v>
      </c>
      <c r="D28" s="48">
        <f t="shared" si="1"/>
        <v>4710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220448</v>
      </c>
      <c r="F29" s="167" t="s">
        <v>55</v>
      </c>
      <c r="G29" s="168"/>
      <c r="H29" s="171">
        <f>H15-H16-H17-H18-H19-H20-H22-H23-H24+H26+H27+H28</f>
        <v>187485.5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99">
        <f t="shared" ref="H34:H39" si="2">F34*G34</f>
        <v>124000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99">
        <f t="shared" si="2"/>
        <v>52000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99">
        <f t="shared" si="2"/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99">
        <f t="shared" si="2"/>
        <v>2600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12</v>
      </c>
      <c r="D42" s="12">
        <f>C42*2.25</f>
        <v>27</v>
      </c>
      <c r="F42" s="39" t="s">
        <v>79</v>
      </c>
      <c r="G42" s="199">
        <v>69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83">
        <v>7978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5</v>
      </c>
      <c r="D46" s="12">
        <f>C46*1.5</f>
        <v>7.5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187047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20</v>
      </c>
      <c r="D50" s="12">
        <f>C50*1.5</f>
        <v>30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-438.5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45993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230</v>
      </c>
      <c r="D6" s="13">
        <f t="shared" ref="D6:D28" si="1">C6*L6</f>
        <v>169510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5075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20</v>
      </c>
      <c r="D9" s="13">
        <f t="shared" si="1"/>
        <v>14140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8</v>
      </c>
      <c r="D13" s="48">
        <f t="shared" si="1"/>
        <v>2456</v>
      </c>
      <c r="F13" s="144" t="s">
        <v>36</v>
      </c>
      <c r="G13" s="145"/>
      <c r="H13" s="146">
        <f>D29</f>
        <v>196676.66666666666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13</v>
      </c>
      <c r="D14" s="31">
        <f t="shared" si="1"/>
        <v>143</v>
      </c>
      <c r="F14" s="149" t="s">
        <v>39</v>
      </c>
      <c r="G14" s="150"/>
      <c r="H14" s="151">
        <f>D54</f>
        <v>36855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159821.66666666666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1899</f>
        <v>1899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>
        <v>2</v>
      </c>
      <c r="D24" s="48">
        <f t="shared" si="1"/>
        <v>198.66666666666666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196676.66666666666</v>
      </c>
      <c r="F29" s="167" t="s">
        <v>55</v>
      </c>
      <c r="G29" s="168"/>
      <c r="H29" s="171">
        <f>H15-H16-H17-H18-H19-H20-H22-H23-H24+H26+H27</f>
        <v>157922.66666666666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99">
        <f>F34*G34</f>
        <v>34000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99">
        <f t="shared" ref="H35:H39" si="2">F35*G35</f>
        <v>1000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2</v>
      </c>
      <c r="D42" s="12">
        <f>C42*2.25</f>
        <v>4.5</v>
      </c>
      <c r="F42" s="39" t="s">
        <v>79</v>
      </c>
      <c r="G42" s="199">
        <v>2460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83">
        <v>119875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5</v>
      </c>
      <c r="D46" s="12">
        <f>C46*1.5</f>
        <v>7.5</v>
      </c>
      <c r="F46" s="37"/>
      <c r="G46" s="9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157735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20</v>
      </c>
      <c r="D50" s="12">
        <f>C50*1.5</f>
        <v>30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-187.66666666665697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36855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45993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194</v>
      </c>
      <c r="D6" s="13">
        <f t="shared" ref="D6:D28" si="1">C6*L6</f>
        <v>142978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17</v>
      </c>
      <c r="D7" s="13">
        <f t="shared" si="1"/>
        <v>12325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</v>
      </c>
      <c r="D9" s="13">
        <f t="shared" si="1"/>
        <v>9191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1944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2</v>
      </c>
      <c r="D11" s="13">
        <f t="shared" si="1"/>
        <v>2250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173906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19</v>
      </c>
      <c r="D14" s="31">
        <f t="shared" si="1"/>
        <v>209</v>
      </c>
      <c r="F14" s="149" t="s">
        <v>39</v>
      </c>
      <c r="G14" s="150"/>
      <c r="H14" s="151">
        <f>D54</f>
        <v>39246.75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134659.25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336</f>
        <v>336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87">
        <v>85842</v>
      </c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2</v>
      </c>
      <c r="D28" s="48">
        <f t="shared" si="1"/>
        <v>1570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173906</v>
      </c>
      <c r="F29" s="167" t="s">
        <v>55</v>
      </c>
      <c r="G29" s="168"/>
      <c r="H29" s="171">
        <f>H15-H16-H17-H18-H19-H20-H22-H23-H24+H26+H27</f>
        <v>220165.25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99">
        <f>F34*G34</f>
        <v>133000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99">
        <f>F35*G35</f>
        <v>11000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</v>
      </c>
      <c r="D42" s="12">
        <f>C42*2.25</f>
        <v>2.25</v>
      </c>
      <c r="F42" s="39" t="s">
        <v>79</v>
      </c>
      <c r="G42" s="199">
        <v>61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83">
        <v>85842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3</v>
      </c>
      <c r="D46" s="12">
        <f>C46*1.5</f>
        <v>4.5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230303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5</v>
      </c>
      <c r="D50" s="12">
        <f>C50*1.5</f>
        <v>7.5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148</v>
      </c>
      <c r="G51" s="228">
        <f>G49-H29</f>
        <v>10137.75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39246.75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45994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>
        <v>150</v>
      </c>
      <c r="D6" s="13">
        <f t="shared" ref="D6:D28" si="1">C6*L6</f>
        <v>110550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>
        <v>5</v>
      </c>
      <c r="D7" s="13">
        <f t="shared" si="1"/>
        <v>3625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>
        <v>10</v>
      </c>
      <c r="D9" s="13">
        <f t="shared" si="1"/>
        <v>7070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>
        <v>4</v>
      </c>
      <c r="D13" s="48">
        <f t="shared" si="1"/>
        <v>1228</v>
      </c>
      <c r="F13" s="144" t="s">
        <v>36</v>
      </c>
      <c r="G13" s="145"/>
      <c r="H13" s="146">
        <f>D29</f>
        <v>124676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>
        <v>23</v>
      </c>
      <c r="D14" s="31">
        <f t="shared" si="1"/>
        <v>253</v>
      </c>
      <c r="F14" s="149" t="s">
        <v>39</v>
      </c>
      <c r="G14" s="150"/>
      <c r="H14" s="151">
        <f>D54</f>
        <v>17744.25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106931.75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124676</v>
      </c>
      <c r="F29" s="167" t="s">
        <v>55</v>
      </c>
      <c r="G29" s="168"/>
      <c r="H29" s="171">
        <f>H15-H16-H17-H18-H19-H20-H22-H23-H24+H26+H27+H28</f>
        <v>106931.75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99">
        <f t="shared" ref="H34:H39" si="2">F34*G34</f>
        <v>89000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9">
        <f t="shared" si="2"/>
        <v>15500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9">
        <f t="shared" si="2"/>
        <v>200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99">
        <f t="shared" si="2"/>
        <v>2500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9">
        <v>395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107645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20</v>
      </c>
      <c r="D50" s="12">
        <f>C50*1.5</f>
        <v>30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148</v>
      </c>
      <c r="G51" s="228">
        <f>G49-H29</f>
        <v>713.25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45994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f>440-99</f>
        <v>341</v>
      </c>
      <c r="D6" s="13">
        <f t="shared" ref="D6:D28" si="1">C6*L6</f>
        <v>251317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1450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</v>
      </c>
      <c r="D9" s="13">
        <f t="shared" si="1"/>
        <v>3535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261506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39</v>
      </c>
      <c r="G14" s="150"/>
      <c r="H14" s="151">
        <f>D54</f>
        <v>40169.25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221336.75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337*9</f>
        <v>3033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1</v>
      </c>
      <c r="D28" s="48">
        <f t="shared" si="1"/>
        <v>785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261506</v>
      </c>
      <c r="F29" s="167" t="s">
        <v>55</v>
      </c>
      <c r="G29" s="168"/>
      <c r="H29" s="171">
        <f>H15-H16-H17-H18-H19-H20-H22-H23-H24+H26+H27</f>
        <v>218303.75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99">
        <f>F34*G34</f>
        <v>216000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99">
        <f t="shared" ref="H35:H39" si="2">F35*G35</f>
        <v>2000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9">
        <v>8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</v>
      </c>
      <c r="D46" s="12">
        <f>C46*1.5</f>
        <v>1.5</v>
      </c>
      <c r="F46" s="37"/>
      <c r="G46" s="9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17</v>
      </c>
      <c r="D49" s="12">
        <f>C49*42</f>
        <v>714</v>
      </c>
      <c r="F49" s="224" t="s">
        <v>86</v>
      </c>
      <c r="G49" s="171">
        <f>H34+H35+H36+H37+H38+H39+H40+H41+G42+H44+H45+H46</f>
        <v>218358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21</v>
      </c>
      <c r="D50" s="12">
        <f>C50*1.5</f>
        <v>31.5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155</v>
      </c>
      <c r="G51" s="228">
        <f>G49-H29</f>
        <v>54.25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40169.25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45994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536</v>
      </c>
      <c r="D6" s="13">
        <f t="shared" ref="D6:D28" si="1">C6*L6</f>
        <v>395032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10875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129</v>
      </c>
      <c r="D9" s="13">
        <f t="shared" si="1"/>
        <v>91203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1+1</f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8</v>
      </c>
      <c r="D13" s="48">
        <f t="shared" si="1"/>
        <v>2456</v>
      </c>
      <c r="F13" s="144" t="s">
        <v>36</v>
      </c>
      <c r="G13" s="145"/>
      <c r="H13" s="146">
        <f>D29</f>
        <v>505571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16</v>
      </c>
      <c r="D14" s="31">
        <f t="shared" si="1"/>
        <v>176</v>
      </c>
      <c r="F14" s="149" t="s">
        <v>39</v>
      </c>
      <c r="G14" s="150"/>
      <c r="H14" s="151">
        <f>D54</f>
        <v>38012.25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467558.75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2610+330</f>
        <v>2940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98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5</v>
      </c>
      <c r="D28" s="48">
        <f t="shared" si="1"/>
        <v>3925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505571</v>
      </c>
      <c r="F29" s="167" t="s">
        <v>55</v>
      </c>
      <c r="G29" s="168"/>
      <c r="H29" s="171">
        <f>H15-H16-H17-H18-H19-H20-H22-H23-H24+H26+H27+H28</f>
        <v>464568.75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99">
        <f>F34*G34</f>
        <v>12000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9">
        <v>45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83">
        <v>283894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83">
        <v>34498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83">
        <v>19009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37" t="s">
        <v>152</v>
      </c>
      <c r="G47" s="76" t="s">
        <v>160</v>
      </c>
      <c r="H47" s="183">
        <v>102341</v>
      </c>
      <c r="I47" s="183"/>
      <c r="J47" s="183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H34+H35+H36+H37+H38+H39+H40+H41+G42+H44+H45+H46+H47</f>
        <v>452187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</v>
      </c>
      <c r="D50" s="12">
        <f>C50*1.5</f>
        <v>3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-12381.75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38012.25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45995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124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45995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207</v>
      </c>
      <c r="D6" s="13">
        <f t="shared" ref="D6:D28" si="1">C6*L6</f>
        <v>152559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</v>
      </c>
      <c r="D7" s="13">
        <f t="shared" si="1"/>
        <v>2900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</v>
      </c>
      <c r="D9" s="13">
        <f t="shared" si="1"/>
        <v>9191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4</v>
      </c>
      <c r="D13" s="48">
        <f t="shared" si="1"/>
        <v>1228</v>
      </c>
      <c r="F13" s="144" t="s">
        <v>36</v>
      </c>
      <c r="G13" s="145"/>
      <c r="H13" s="146">
        <f>D29</f>
        <v>187607.83333333334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15</v>
      </c>
      <c r="D14" s="31">
        <f t="shared" si="1"/>
        <v>165</v>
      </c>
      <c r="F14" s="149" t="s">
        <v>39</v>
      </c>
      <c r="G14" s="150"/>
      <c r="H14" s="151">
        <f>D54</f>
        <v>13236.75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174371.08333333334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1620</f>
        <v>1620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101</v>
      </c>
      <c r="C22" s="10">
        <v>3</v>
      </c>
      <c r="D22" s="48">
        <f t="shared" si="1"/>
        <v>5001</v>
      </c>
      <c r="F22" s="72"/>
      <c r="G22" s="73"/>
      <c r="H22" s="181"/>
      <c r="I22" s="181"/>
      <c r="J22" s="181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187607.83333333334</v>
      </c>
      <c r="F29" s="167" t="s">
        <v>55</v>
      </c>
      <c r="G29" s="168"/>
      <c r="H29" s="171">
        <f>H15-H16-H17-H18-H19-H20-H22-H23-H24+H26+H27</f>
        <v>172751.08333333334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99">
        <f>F34*G34</f>
        <v>21000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99">
        <f t="shared" ref="H35:H39" si="2">F35*G35</f>
        <v>6500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9">
        <v>477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83">
        <v>144167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2</v>
      </c>
      <c r="D45" s="12">
        <f>C45*84</f>
        <v>168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13</v>
      </c>
      <c r="D46" s="12">
        <f>C46*1.5</f>
        <v>19.5</v>
      </c>
      <c r="F46" s="37"/>
      <c r="G46" s="9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6</v>
      </c>
      <c r="D49" s="12">
        <f>C49*42</f>
        <v>252</v>
      </c>
      <c r="F49" s="224" t="s">
        <v>86</v>
      </c>
      <c r="G49" s="171">
        <f>H34+H35+H36+H37+H38+H39+H40+H41+G42+H44+H45+H46</f>
        <v>172244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-507.08333333334303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13236.75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45995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429</v>
      </c>
      <c r="D6" s="13">
        <f t="shared" ref="D6:D28" si="1">C6*L6</f>
        <v>316173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70</v>
      </c>
      <c r="D9" s="13">
        <f t="shared" si="1"/>
        <v>49490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972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3+1</f>
        <v>4</v>
      </c>
      <c r="D12" s="48">
        <f t="shared" si="1"/>
        <v>3808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18</v>
      </c>
      <c r="D13" s="48">
        <f t="shared" si="1"/>
        <v>5526</v>
      </c>
      <c r="F13" s="144" t="s">
        <v>36</v>
      </c>
      <c r="G13" s="145"/>
      <c r="H13" s="146">
        <f>D29</f>
        <v>378246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50790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327456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912+1824+300</f>
        <v>3036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>
        <v>1</v>
      </c>
      <c r="D23" s="48">
        <f t="shared" si="1"/>
        <v>1175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378246</v>
      </c>
      <c r="F29" s="167" t="s">
        <v>55</v>
      </c>
      <c r="G29" s="168"/>
      <c r="H29" s="171">
        <f>H15-H16-H17-H18-H19-H20-H22-H23-H24+H26+H27</f>
        <v>324420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99">
        <f>F34*G34</f>
        <v>31000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2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83">
        <v>101868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83">
        <v>191152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11</v>
      </c>
      <c r="D49" s="12">
        <f>C49*42</f>
        <v>462</v>
      </c>
      <c r="F49" s="224" t="s">
        <v>86</v>
      </c>
      <c r="G49" s="171">
        <f>H34+H35+H36+H37+H38+H39+H40+H41+G42+H44+H45+H46</f>
        <v>324022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-398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50790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45996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>
        <v>522</v>
      </c>
      <c r="D6" s="13">
        <f t="shared" ref="D6:D28" si="1">C6*L6</f>
        <v>384714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>
        <v>3</v>
      </c>
      <c r="D7" s="13">
        <f t="shared" si="1"/>
        <v>2175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>
        <v>50</v>
      </c>
      <c r="D8" s="13">
        <f t="shared" si="1"/>
        <v>51650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>
        <v>51</v>
      </c>
      <c r="D9" s="13">
        <f t="shared" si="1"/>
        <v>36057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>
        <v>22</v>
      </c>
      <c r="D13" s="48">
        <f t="shared" si="1"/>
        <v>6754</v>
      </c>
      <c r="F13" s="144" t="s">
        <v>36</v>
      </c>
      <c r="G13" s="145"/>
      <c r="H13" s="146">
        <f>D29</f>
        <v>481416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>
        <v>6</v>
      </c>
      <c r="D14" s="31">
        <f t="shared" si="1"/>
        <v>66</v>
      </c>
      <c r="F14" s="149" t="s">
        <v>39</v>
      </c>
      <c r="G14" s="150"/>
      <c r="H14" s="151">
        <f>D54</f>
        <v>102241.5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379174.5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>
        <f>3012</f>
        <v>3012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1">
        <v>45650</v>
      </c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481416</v>
      </c>
      <c r="F29" s="167" t="s">
        <v>55</v>
      </c>
      <c r="G29" s="168"/>
      <c r="H29" s="171">
        <f>H15-H16-H17-H18-H19-H20-H22-H23-H24+H26+H27+H28</f>
        <v>330512.5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99">
        <f t="shared" ref="H34:H39" si="2">F34*G34</f>
        <v>278000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99">
        <f t="shared" si="2"/>
        <v>51000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99">
        <f t="shared" si="2"/>
        <v>900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25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>
        <v>41</v>
      </c>
      <c r="D44" s="12">
        <f>C44*120</f>
        <v>4920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9</v>
      </c>
      <c r="D46" s="12">
        <f>C46*1.5</f>
        <v>13.5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48</v>
      </c>
      <c r="D49" s="12">
        <f>C49*42</f>
        <v>2016</v>
      </c>
      <c r="F49" s="224" t="s">
        <v>86</v>
      </c>
      <c r="G49" s="171">
        <f>H34+H35+H36+H37+H38+H39+H40+H41+G42+H44+H45+H46</f>
        <v>330075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14</v>
      </c>
      <c r="D50" s="12">
        <f>C50*1.5</f>
        <v>21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-437.5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45996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186</v>
      </c>
      <c r="D6" s="13">
        <f t="shared" ref="D6:D28" si="1">C6*L6</f>
        <v>137082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1450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8</v>
      </c>
      <c r="D9" s="13">
        <f t="shared" si="1"/>
        <v>5656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148838.16666666666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16</v>
      </c>
      <c r="D14" s="31">
        <f t="shared" si="1"/>
        <v>176</v>
      </c>
      <c r="F14" s="149" t="s">
        <v>39</v>
      </c>
      <c r="G14" s="150"/>
      <c r="H14" s="151">
        <f>D54</f>
        <v>23934.75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124903.41666666666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3</v>
      </c>
      <c r="D28" s="48">
        <f t="shared" si="1"/>
        <v>2355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148838.16666666666</v>
      </c>
      <c r="F29" s="167" t="s">
        <v>55</v>
      </c>
      <c r="G29" s="168"/>
      <c r="H29" s="171">
        <f>H15-H16-H17-H18-H19-H20-H22-H23-H24+H26+H27</f>
        <v>124903.41666666666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99">
        <f>F34*G34</f>
        <v>91000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99">
        <f t="shared" ref="H35:H39" si="2">F35*G35</f>
        <v>32500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99">
        <f t="shared" si="2"/>
        <v>1700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9">
        <v>11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9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2</v>
      </c>
      <c r="D49" s="12">
        <f>C49*42</f>
        <v>84</v>
      </c>
      <c r="F49" s="224" t="s">
        <v>86</v>
      </c>
      <c r="G49" s="171">
        <f>H34+H35+H36+H37+H38+H39+H40+H41+G42+H44+H45+H46</f>
        <v>125411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17</v>
      </c>
      <c r="D50" s="12">
        <f>C50*1.5</f>
        <v>25.5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155</v>
      </c>
      <c r="G51" s="228">
        <f>G49-H29</f>
        <v>507.58333333334303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23934.75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45996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175</v>
      </c>
      <c r="D6" s="13">
        <f t="shared" ref="D6:D28" si="1">C6*L6</f>
        <v>128975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14500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17</v>
      </c>
      <c r="D9" s="13">
        <f t="shared" si="1"/>
        <v>12019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3</v>
      </c>
      <c r="D10" s="13">
        <f t="shared" si="1"/>
        <v>2916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1125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1+1</f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6</v>
      </c>
      <c r="D13" s="48">
        <f t="shared" si="1"/>
        <v>1842</v>
      </c>
      <c r="F13" s="144" t="s">
        <v>36</v>
      </c>
      <c r="G13" s="145"/>
      <c r="H13" s="146">
        <f>D29</f>
        <v>166256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24198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142058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300</f>
        <v>300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3</v>
      </c>
      <c r="D28" s="48">
        <f t="shared" si="1"/>
        <v>2355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166256</v>
      </c>
      <c r="F29" s="167" t="s">
        <v>55</v>
      </c>
      <c r="G29" s="168"/>
      <c r="H29" s="171">
        <f>H15-H16-H17-H18-H19-H20-H22-H23-H24+H26+H27</f>
        <v>141708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99">
        <f>F34*G34</f>
        <v>113000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99">
        <f>F35*G35</f>
        <v>18500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99">
        <f t="shared" ref="H36:H39" si="2">F36*G36</f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99">
        <f t="shared" si="2"/>
        <v>5100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99">
        <f t="shared" si="2"/>
        <v>750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9">
        <v>127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83">
        <v>3792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6</v>
      </c>
      <c r="D46" s="12">
        <f>C46*1.5</f>
        <v>9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141689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12</v>
      </c>
      <c r="D50" s="12">
        <f>C50*1.5</f>
        <v>18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-19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24198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45997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>
        <v>407</v>
      </c>
      <c r="D6" s="13">
        <f t="shared" ref="D6:D28" si="1">C6*L6</f>
        <v>299959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>
        <v>54</v>
      </c>
      <c r="D9" s="13">
        <f t="shared" si="1"/>
        <v>38178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>
        <v>9</v>
      </c>
      <c r="D13" s="48">
        <f t="shared" si="1"/>
        <v>2763</v>
      </c>
      <c r="F13" s="144" t="s">
        <v>36</v>
      </c>
      <c r="G13" s="145"/>
      <c r="H13" s="146">
        <f>D29</f>
        <v>343299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>
        <v>4</v>
      </c>
      <c r="D14" s="31">
        <f t="shared" si="1"/>
        <v>44</v>
      </c>
      <c r="F14" s="149" t="s">
        <v>39</v>
      </c>
      <c r="G14" s="150"/>
      <c r="H14" s="151">
        <f>D54</f>
        <v>83292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260007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>
        <v>3</v>
      </c>
      <c r="D28" s="48">
        <f t="shared" si="1"/>
        <v>2355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343299</v>
      </c>
      <c r="F29" s="167" t="s">
        <v>55</v>
      </c>
      <c r="G29" s="168"/>
      <c r="H29" s="171">
        <f>H15-H16-H17-H18-H19-H20-H22-H23-H24+H26+H27+H28</f>
        <v>260007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99">
        <f t="shared" ref="H34:H39" si="2">F34*G34</f>
        <v>53000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99">
        <f t="shared" si="2"/>
        <v>21000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99">
        <f t="shared" si="2"/>
        <v>800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122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83">
        <v>118353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83">
        <v>66364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259739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-268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45997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203</v>
      </c>
      <c r="D6" s="13">
        <f t="shared" ref="D6:D28" si="1">C6*L6</f>
        <v>149611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6525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1033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34</v>
      </c>
      <c r="D9" s="13">
        <f t="shared" si="1"/>
        <v>24038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972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952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6</v>
      </c>
      <c r="D13" s="48">
        <f t="shared" si="1"/>
        <v>1842</v>
      </c>
      <c r="F13" s="144" t="s">
        <v>36</v>
      </c>
      <c r="G13" s="145"/>
      <c r="H13" s="146">
        <f>D29</f>
        <v>186017.83333333334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13</v>
      </c>
      <c r="D14" s="31">
        <f t="shared" si="1"/>
        <v>143</v>
      </c>
      <c r="F14" s="149" t="s">
        <v>39</v>
      </c>
      <c r="G14" s="150"/>
      <c r="H14" s="151">
        <f>D54</f>
        <v>28258.5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157759.33333333334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1</v>
      </c>
      <c r="D28" s="48">
        <f t="shared" si="1"/>
        <v>785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186017.83333333334</v>
      </c>
      <c r="F29" s="167" t="s">
        <v>55</v>
      </c>
      <c r="G29" s="168"/>
      <c r="H29" s="171">
        <f>H15-H16-H17-H18-H19-H20-H22-H23-H24+H26+H27</f>
        <v>157759.33333333334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99">
        <f>F34*G34</f>
        <v>132000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99">
        <f t="shared" ref="H35:H39" si="2">F35*G35</f>
        <v>24500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99">
        <f t="shared" si="2"/>
        <v>1100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99">
        <f t="shared" si="2"/>
        <v>300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27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3</v>
      </c>
      <c r="D45" s="12">
        <f>C45*84</f>
        <v>252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18</v>
      </c>
      <c r="D46" s="12">
        <f>C46*1.5</f>
        <v>27</v>
      </c>
      <c r="F46" s="37"/>
      <c r="G46" s="9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157947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155</v>
      </c>
      <c r="G51" s="228">
        <f>G49-H29</f>
        <v>187.66666666665697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28258.5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45997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365</v>
      </c>
      <c r="D6" s="13">
        <f t="shared" ref="D6:D28" si="1">C6*L6</f>
        <v>269005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</v>
      </c>
      <c r="D7" s="13">
        <f t="shared" si="1"/>
        <v>2175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25</v>
      </c>
      <c r="D9" s="13">
        <f t="shared" si="1"/>
        <v>17675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1944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297409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6</v>
      </c>
      <c r="D14" s="31">
        <f t="shared" si="1"/>
        <v>66</v>
      </c>
      <c r="F14" s="149" t="s">
        <v>39</v>
      </c>
      <c r="G14" s="150"/>
      <c r="H14" s="151">
        <f>D54</f>
        <v>44916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252493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612+702+750</f>
        <v>2064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2</v>
      </c>
      <c r="D28" s="48">
        <f t="shared" si="1"/>
        <v>1570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297409</v>
      </c>
      <c r="F29" s="167" t="s">
        <v>55</v>
      </c>
      <c r="G29" s="168"/>
      <c r="H29" s="171">
        <f>H15-H16-H17-H18-H19-H20-H22-H23-H24+H26+H27</f>
        <v>250429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99">
        <f>F34*G34</f>
        <v>103000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99">
        <f>F35*G35</f>
        <v>3500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4</v>
      </c>
      <c r="D42" s="12">
        <f>C42*2.25</f>
        <v>9</v>
      </c>
      <c r="F42" s="39" t="s">
        <v>79</v>
      </c>
      <c r="G42" s="199">
        <v>30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83">
        <v>64639.5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83">
        <v>78155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22</v>
      </c>
      <c r="D46" s="12">
        <f>C46*1.5</f>
        <v>33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249774.5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11</v>
      </c>
      <c r="D50" s="12">
        <f>C50*1.5</f>
        <v>16.5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-654.5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44916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45999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>
        <v>135</v>
      </c>
      <c r="D6" s="13">
        <f t="shared" ref="D6:D28" si="1">C6*L6</f>
        <v>99495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>
        <v>10</v>
      </c>
      <c r="D7" s="13">
        <f t="shared" si="1"/>
        <v>7250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>
        <v>27</v>
      </c>
      <c r="D9" s="13">
        <f t="shared" si="1"/>
        <v>19089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>
        <v>4</v>
      </c>
      <c r="D13" s="48">
        <f t="shared" si="1"/>
        <v>1228</v>
      </c>
      <c r="F13" s="144" t="s">
        <v>36</v>
      </c>
      <c r="G13" s="145"/>
      <c r="H13" s="146">
        <f>D29</f>
        <v>128632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19241.25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109390.75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83">
        <v>45650</v>
      </c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>
        <v>2</v>
      </c>
      <c r="D28" s="48">
        <f t="shared" si="1"/>
        <v>1570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128632</v>
      </c>
      <c r="F29" s="167" t="s">
        <v>55</v>
      </c>
      <c r="G29" s="168"/>
      <c r="H29" s="171">
        <f>H15-H16-H17-H18-H19-H20-H22-H23-H24+H26+H27+H28</f>
        <v>155040.75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99">
        <f t="shared" ref="H34:H39" si="2">F34*G34</f>
        <v>144000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99">
        <f t="shared" si="2"/>
        <v>5500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9">
        <v>255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 t="s">
        <v>145</v>
      </c>
      <c r="G44" s="62"/>
      <c r="H44" s="183">
        <v>4994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5</v>
      </c>
      <c r="D46" s="12">
        <f>C46*1.5</f>
        <v>7.5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154999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11</v>
      </c>
      <c r="D50" s="12">
        <f>C50*1.5</f>
        <v>16.5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-41.75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45999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233</v>
      </c>
      <c r="D6" s="13">
        <f t="shared" ref="D6:D28" si="1">C6*L6</f>
        <v>171721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12</v>
      </c>
      <c r="D7" s="13">
        <f t="shared" si="1"/>
        <v>8700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24</v>
      </c>
      <c r="D9" s="13">
        <f t="shared" si="1"/>
        <v>16968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972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2+1</f>
        <v>3</v>
      </c>
      <c r="D12" s="48">
        <f t="shared" si="1"/>
        <v>2856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204048.33333333334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4</v>
      </c>
      <c r="D14" s="31">
        <f t="shared" si="1"/>
        <v>44</v>
      </c>
      <c r="F14" s="149" t="s">
        <v>39</v>
      </c>
      <c r="G14" s="150"/>
      <c r="H14" s="151">
        <f>D54</f>
        <v>31084.5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172963.83333333334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600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1</v>
      </c>
      <c r="D28" s="48">
        <f t="shared" si="1"/>
        <v>785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204048.33333333334</v>
      </c>
      <c r="F29" s="167" t="s">
        <v>55</v>
      </c>
      <c r="G29" s="168"/>
      <c r="H29" s="171">
        <f>H15-H16-H17-H18-H19-H20-H22-H23-H24+H26+H27</f>
        <v>172363.83333333334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99">
        <f>F34*G34</f>
        <v>157000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99">
        <f t="shared" ref="H35:H39" si="2">F35*G35</f>
        <v>15500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8</v>
      </c>
      <c r="D42" s="12">
        <f>C42*2.25</f>
        <v>18</v>
      </c>
      <c r="F42" s="39" t="s">
        <v>79</v>
      </c>
      <c r="G42" s="199">
        <v>2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2</v>
      </c>
      <c r="D45" s="12">
        <f>C45*84</f>
        <v>168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3</v>
      </c>
      <c r="D46" s="12">
        <f>C46*1.5</f>
        <v>4.5</v>
      </c>
      <c r="F46" s="37"/>
      <c r="G46" s="9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173202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32</v>
      </c>
      <c r="D50" s="12">
        <f>C50*1.5</f>
        <v>48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155</v>
      </c>
      <c r="G51" s="228">
        <f>G49-H29</f>
        <v>838.16666666665697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31084.5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45999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386</v>
      </c>
      <c r="D6" s="13">
        <f t="shared" ref="D6:D28" si="1">C6*L6</f>
        <v>284482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7250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113</v>
      </c>
      <c r="D9" s="13">
        <f t="shared" si="1"/>
        <v>79891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4860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5</v>
      </c>
      <c r="D12" s="48">
        <f t="shared" si="1"/>
        <v>4760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392314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39</v>
      </c>
      <c r="G14" s="150"/>
      <c r="H14" s="151">
        <f>D54</f>
        <v>44706.75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>
        <v>4</v>
      </c>
      <c r="D15" s="31">
        <f t="shared" si="1"/>
        <v>2480</v>
      </c>
      <c r="F15" s="154" t="s">
        <v>40</v>
      </c>
      <c r="G15" s="145"/>
      <c r="H15" s="155">
        <f>H13-H14</f>
        <v>347607.25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2712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10</v>
      </c>
      <c r="D28" s="48">
        <f t="shared" si="1"/>
        <v>7850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392314</v>
      </c>
      <c r="F29" s="167" t="s">
        <v>55</v>
      </c>
      <c r="G29" s="168"/>
      <c r="H29" s="171">
        <f>H15-H16-H17-H18-H19-H20-H22-H23-H24+H26+H27</f>
        <v>344895.25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99">
        <f>F34*G34</f>
        <v>36000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99">
        <f>F35*G35</f>
        <v>5000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99">
        <f t="shared" si="2"/>
        <v>800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</v>
      </c>
      <c r="D42" s="12">
        <f>C42*2.25</f>
        <v>2.25</v>
      </c>
      <c r="F42" s="39" t="s">
        <v>79</v>
      </c>
      <c r="G42" s="199">
        <v>45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83">
        <v>303690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10</v>
      </c>
      <c r="D46" s="12">
        <f>C46*1.5</f>
        <v>15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345605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148</v>
      </c>
      <c r="G51" s="228">
        <f>G49-H29</f>
        <v>709.75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44706.75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46000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>
        <v>270</v>
      </c>
      <c r="D6" s="13">
        <f t="shared" ref="D6:D28" si="1">C6*L6</f>
        <v>198990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>
        <v>7</v>
      </c>
      <c r="D7" s="13">
        <f t="shared" si="1"/>
        <v>5075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>
        <v>22</v>
      </c>
      <c r="D9" s="13">
        <f t="shared" si="1"/>
        <v>15554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>
        <f>1+1</f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>
        <v>4</v>
      </c>
      <c r="D13" s="48">
        <f t="shared" si="1"/>
        <v>1228</v>
      </c>
      <c r="F13" s="144" t="s">
        <v>36</v>
      </c>
      <c r="G13" s="145"/>
      <c r="H13" s="146">
        <f>D29</f>
        <v>224255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>
        <v>9</v>
      </c>
      <c r="D14" s="31">
        <f t="shared" si="1"/>
        <v>99</v>
      </c>
      <c r="F14" s="149" t="s">
        <v>39</v>
      </c>
      <c r="G14" s="150"/>
      <c r="H14" s="151">
        <f>D54</f>
        <v>33251.25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191003.75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>
        <v>1</v>
      </c>
      <c r="D28" s="48">
        <f t="shared" si="1"/>
        <v>785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224255</v>
      </c>
      <c r="F29" s="167" t="s">
        <v>55</v>
      </c>
      <c r="G29" s="168"/>
      <c r="H29" s="171">
        <f>H15-H16-H17-H18-H19-H20-H22-H23-H24+H26+H27+H28</f>
        <v>191003.75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99">
        <f t="shared" ref="H34:H39" si="2">F34*G34</f>
        <v>120000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99">
        <f t="shared" si="2"/>
        <v>46000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99">
        <f t="shared" si="2"/>
        <v>3300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3</v>
      </c>
      <c r="D42" s="12">
        <f>C42*2.25</f>
        <v>6.75</v>
      </c>
      <c r="F42" s="39" t="s">
        <v>79</v>
      </c>
      <c r="G42" s="199">
        <v>33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83">
        <v>21364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8</v>
      </c>
      <c r="D46" s="12">
        <f>C46*1.5</f>
        <v>12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190747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25</v>
      </c>
      <c r="D50" s="12">
        <f>C50*1.5</f>
        <v>37.5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-256.75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46000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332</v>
      </c>
      <c r="D6" s="13">
        <f t="shared" ref="D6:D28" si="1">C6*L6</f>
        <v>244684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</v>
      </c>
      <c r="D9" s="13">
        <f t="shared" si="1"/>
        <v>2121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4860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2</v>
      </c>
      <c r="D11" s="13">
        <f t="shared" si="1"/>
        <v>2250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13</v>
      </c>
      <c r="D13" s="48">
        <f t="shared" si="1"/>
        <v>3991</v>
      </c>
      <c r="F13" s="144" t="s">
        <v>36</v>
      </c>
      <c r="G13" s="145"/>
      <c r="H13" s="146">
        <f>D29</f>
        <v>261815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5</v>
      </c>
      <c r="D14" s="31">
        <f t="shared" si="1"/>
        <v>55</v>
      </c>
      <c r="F14" s="149" t="s">
        <v>39</v>
      </c>
      <c r="G14" s="150"/>
      <c r="H14" s="151">
        <f>D54</f>
        <v>38712.75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223102.25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1854</f>
        <v>1854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261815</v>
      </c>
      <c r="F29" s="167" t="s">
        <v>55</v>
      </c>
      <c r="G29" s="168"/>
      <c r="H29" s="171">
        <f>H15-H16-H17-H18-H19-H20-H22-H23-H24+H26+H27</f>
        <v>221248.25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99">
        <f>F34*G34</f>
        <v>21000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</v>
      </c>
      <c r="D42" s="12">
        <f>C42*2.25</f>
        <v>2.25</v>
      </c>
      <c r="F42" s="39" t="s">
        <v>79</v>
      </c>
      <c r="G42" s="199">
        <v>48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83">
        <v>199178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3</v>
      </c>
      <c r="D46" s="12">
        <f>C46*1.5</f>
        <v>4.5</v>
      </c>
      <c r="F46" s="37"/>
      <c r="G46" s="10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13</v>
      </c>
      <c r="D49" s="12">
        <f>C49*42</f>
        <v>546</v>
      </c>
      <c r="F49" s="224" t="s">
        <v>86</v>
      </c>
      <c r="G49" s="171">
        <f>H34+H35+H36+H37+H38+H39+H40+H41+G42+H44+H45+H46</f>
        <v>220226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25</v>
      </c>
      <c r="D50" s="12">
        <f>C50*1.5</f>
        <v>37.5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-1022.25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38712.75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46000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377</v>
      </c>
      <c r="D6" s="13">
        <f t="shared" ref="D6:D28" si="1">C6*L6</f>
        <v>277849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25</v>
      </c>
      <c r="D7" s="13">
        <f t="shared" si="1"/>
        <v>18125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118</v>
      </c>
      <c r="D9" s="13">
        <f t="shared" si="1"/>
        <v>83426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2856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16</v>
      </c>
      <c r="D13" s="48">
        <f t="shared" si="1"/>
        <v>4912</v>
      </c>
      <c r="F13" s="144" t="s">
        <v>36</v>
      </c>
      <c r="G13" s="145"/>
      <c r="H13" s="146">
        <f>D29</f>
        <v>388760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</v>
      </c>
      <c r="D14" s="31">
        <f t="shared" si="1"/>
        <v>22</v>
      </c>
      <c r="F14" s="149" t="s">
        <v>39</v>
      </c>
      <c r="G14" s="150"/>
      <c r="H14" s="151">
        <f>D54</f>
        <v>49567.5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339192.5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342+363*6</f>
        <v>2520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2</v>
      </c>
      <c r="D28" s="48">
        <f t="shared" si="1"/>
        <v>1570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388760</v>
      </c>
      <c r="F29" s="167" t="s">
        <v>55</v>
      </c>
      <c r="G29" s="168"/>
      <c r="H29" s="171">
        <f>H15-H16-H17-H18-H19-H20-H22-H23-H24+H26+H27</f>
        <v>336672.5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99">
        <f>F34*G34</f>
        <v>72000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99">
        <f>F35*G35</f>
        <v>46000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99">
        <f t="shared" si="2"/>
        <v>250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109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83">
        <v>217387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13</v>
      </c>
      <c r="D49" s="12">
        <f>C49*42</f>
        <v>546</v>
      </c>
      <c r="F49" s="224" t="s">
        <v>86</v>
      </c>
      <c r="G49" s="171">
        <f>H34+H35+H36+H37+H38+H39+H40+H41+G42+H44+H45+H46</f>
        <v>336246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</v>
      </c>
      <c r="D50" s="12">
        <f>C50*1.5</f>
        <v>3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-426.5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49567.5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46001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46001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46001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46002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46002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46002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46003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46003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46003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46004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46004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46004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46006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46006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46006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2025-12-10T00:17:08Z</cp:lastPrinted>
  <dcterms:created xsi:type="dcterms:W3CDTF">2024-09-01T23:36:50Z</dcterms:created>
  <dcterms:modified xsi:type="dcterms:W3CDTF">2025-12-10T00:17:53Z</dcterms:modified>
</cp:coreProperties>
</file>