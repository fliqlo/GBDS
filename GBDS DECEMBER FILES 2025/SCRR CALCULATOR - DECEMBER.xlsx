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DECEMBER FILES 2025\"/>
    </mc:Choice>
  </mc:AlternateContent>
  <xr:revisionPtr revIDLastSave="0" documentId="13_ncr:1_{18FECD32-6D1C-4A82-BCE3-29CF9DCAC624}" xr6:coauthVersionLast="45" xr6:coauthVersionMax="47" xr10:uidLastSave="{00000000-0000-0000-0000-000000000000}"/>
  <bookViews>
    <workbookView xWindow="-120" yWindow="-120" windowWidth="29040" windowHeight="15840" firstSheet="8" activeTab="20" xr2:uid="{00000000-000D-0000-FFFF-FFFF00000000}"/>
  </bookViews>
  <sheets>
    <sheet name="(December 2025)" sheetId="814" r:id="rId1"/>
    <sheet name="(01)" sheetId="1536" r:id="rId2"/>
    <sheet name="01,12 R1" sheetId="1537" r:id="rId3"/>
    <sheet name="01,12 R2" sheetId="1538" r:id="rId4"/>
    <sheet name="01,12 R3" sheetId="1539" r:id="rId5"/>
    <sheet name="(2)" sheetId="1541" r:id="rId6"/>
    <sheet name="02,12 R1" sheetId="1542" r:id="rId7"/>
    <sheet name="02,12 R2" sheetId="1543" r:id="rId8"/>
    <sheet name="02,12 R3" sheetId="1544" r:id="rId9"/>
    <sheet name="(3)" sheetId="1545" r:id="rId10"/>
    <sheet name="03,12 R1" sheetId="1546" r:id="rId11"/>
    <sheet name="03,12 R2" sheetId="1547" r:id="rId12"/>
    <sheet name="03,12 R3" sheetId="1548" r:id="rId13"/>
    <sheet name="(4)" sheetId="1549" r:id="rId14"/>
    <sheet name="04,12 R1" sheetId="1550" r:id="rId15"/>
    <sheet name="04,12 R2" sheetId="1551" r:id="rId16"/>
    <sheet name="04,12 R3" sheetId="1552" r:id="rId17"/>
    <sheet name="(5)" sheetId="1553" r:id="rId18"/>
    <sheet name="05,12 R1" sheetId="1554" r:id="rId19"/>
    <sheet name="05,12 R2" sheetId="1555" r:id="rId20"/>
    <sheet name="05,12 R3" sheetId="1556" r:id="rId21"/>
    <sheet name="(6)" sheetId="1557" r:id="rId22"/>
    <sheet name="06,12 R1" sheetId="1558" r:id="rId23"/>
    <sheet name="06,12 R2" sheetId="1559" r:id="rId24"/>
    <sheet name="06,12 R3" sheetId="1560" r:id="rId25"/>
    <sheet name="(8)" sheetId="1561" r:id="rId26"/>
    <sheet name="08,12 R1" sheetId="1562" r:id="rId27"/>
    <sheet name="08,12 R2" sheetId="1563" r:id="rId28"/>
    <sheet name="08,12 R3" sheetId="1564" r:id="rId29"/>
  </sheets>
  <definedNames>
    <definedName name="_xlnm.Print_Area" localSheetId="1">'(01)'!$A$1:$J$60</definedName>
    <definedName name="_xlnm.Print_Area" localSheetId="5">'(2)'!$A$1:$J$60</definedName>
    <definedName name="_xlnm.Print_Area" localSheetId="9">'(3)'!$A$1:$J$60</definedName>
    <definedName name="_xlnm.Print_Area" localSheetId="13">'(4)'!$A$1:$J$60</definedName>
    <definedName name="_xlnm.Print_Area" localSheetId="17">'(5)'!$A$1:$J$60</definedName>
    <definedName name="_xlnm.Print_Area" localSheetId="21">'(6)'!$A$1:$J$60</definedName>
    <definedName name="_xlnm.Print_Area" localSheetId="25">'(8)'!$A$1:$J$60</definedName>
    <definedName name="_xlnm.Print_Area" localSheetId="2">'01,12 R1'!$A$1:$J$60</definedName>
    <definedName name="_xlnm.Print_Area" localSheetId="3">'01,12 R2'!$A$1:$J$60</definedName>
    <definedName name="_xlnm.Print_Area" localSheetId="4">'01,12 R3'!$A$1:$J$60</definedName>
    <definedName name="_xlnm.Print_Area" localSheetId="6">'02,12 R1'!$A$1:$J$60</definedName>
    <definedName name="_xlnm.Print_Area" localSheetId="7">'02,12 R2'!$A$1:$J$60</definedName>
    <definedName name="_xlnm.Print_Area" localSheetId="8">'02,12 R3'!$A$1:$J$60</definedName>
    <definedName name="_xlnm.Print_Area" localSheetId="10">'03,12 R1'!$A$1:$J$60</definedName>
    <definedName name="_xlnm.Print_Area" localSheetId="11">'03,12 R2'!$A$1:$J$60</definedName>
    <definedName name="_xlnm.Print_Area" localSheetId="12">'03,12 R3'!$A$1:$J$60</definedName>
    <definedName name="_xlnm.Print_Area" localSheetId="14">'04,12 R1'!$A$1:$J$60</definedName>
    <definedName name="_xlnm.Print_Area" localSheetId="15">'04,12 R2'!$A$1:$J$60</definedName>
    <definedName name="_xlnm.Print_Area" localSheetId="16">'04,12 R3'!$A$1:$J$60</definedName>
    <definedName name="_xlnm.Print_Area" localSheetId="18">'05,12 R1'!$A$1:$J$60</definedName>
    <definedName name="_xlnm.Print_Area" localSheetId="19">'05,12 R2'!$A$1:$J$60</definedName>
    <definedName name="_xlnm.Print_Area" localSheetId="20">'05,12 R3'!$A$1:$J$60</definedName>
    <definedName name="_xlnm.Print_Area" localSheetId="22">'06,12 R1'!$A$1:$J$60</definedName>
    <definedName name="_xlnm.Print_Area" localSheetId="23">'06,12 R2'!$A$1:$J$60</definedName>
    <definedName name="_xlnm.Print_Area" localSheetId="24">'06,12 R3'!$A$1:$J$60</definedName>
    <definedName name="_xlnm.Print_Area" localSheetId="26">'08,12 R1'!$A$1:$J$60</definedName>
    <definedName name="_xlnm.Print_Area" localSheetId="27">'08,12 R2'!$A$1:$J$60</definedName>
    <definedName name="_xlnm.Print_Area" localSheetId="28">'08,12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16" i="1556" l="1"/>
  <c r="H16" i="1554"/>
  <c r="C12" i="1556"/>
  <c r="L25" i="1555"/>
  <c r="H16" i="1552" l="1"/>
  <c r="H16" i="1551"/>
  <c r="C12" i="1552" l="1"/>
  <c r="L25" i="1551"/>
  <c r="C20" i="1551"/>
  <c r="C21" i="1551"/>
  <c r="L24" i="1550"/>
  <c r="G49" i="1548" l="1"/>
  <c r="H16" i="1548" l="1"/>
  <c r="H29" i="1548"/>
  <c r="H16" i="1547"/>
  <c r="C12" i="1548" l="1"/>
  <c r="C6" i="1547"/>
  <c r="C21" i="1546"/>
  <c r="C21" i="1543" l="1"/>
  <c r="C19" i="1542"/>
  <c r="C21" i="1542"/>
  <c r="H16" i="1544"/>
  <c r="H16" i="1543"/>
  <c r="H16" i="1539" l="1"/>
  <c r="L26" i="1537"/>
  <c r="L25" i="1537"/>
  <c r="C12" i="1537"/>
  <c r="C21" i="1537"/>
  <c r="R52" i="1564" l="1"/>
  <c r="R51" i="1564"/>
  <c r="D50" i="1564"/>
  <c r="R49" i="1564"/>
  <c r="D49" i="1564"/>
  <c r="R48" i="1564"/>
  <c r="D48" i="1564"/>
  <c r="D46" i="1564"/>
  <c r="D45" i="1564"/>
  <c r="D44" i="1564"/>
  <c r="R42" i="1564"/>
  <c r="D42" i="1564"/>
  <c r="R41" i="1564"/>
  <c r="L7" i="1564" s="1"/>
  <c r="D7" i="1564" s="1"/>
  <c r="D41" i="1564"/>
  <c r="R40" i="1564"/>
  <c r="L8" i="1564" s="1"/>
  <c r="D8" i="1564" s="1"/>
  <c r="D40" i="1564"/>
  <c r="R39" i="1564"/>
  <c r="H39" i="1564"/>
  <c r="D39" i="1564"/>
  <c r="R38" i="1564"/>
  <c r="H38" i="1564"/>
  <c r="D38" i="1564"/>
  <c r="R37" i="1564"/>
  <c r="H37" i="1564"/>
  <c r="D37" i="1564"/>
  <c r="R36" i="1564"/>
  <c r="L10" i="1564" s="1"/>
  <c r="D10" i="1564" s="1"/>
  <c r="H36" i="1564"/>
  <c r="D36" i="1564"/>
  <c r="R35" i="1564"/>
  <c r="L19" i="1564" s="1"/>
  <c r="D19" i="1564" s="1"/>
  <c r="H35" i="1564"/>
  <c r="D35" i="1564"/>
  <c r="R34" i="1564"/>
  <c r="H34" i="1564"/>
  <c r="G49" i="1564" s="1"/>
  <c r="D34" i="1564"/>
  <c r="D54" i="1564" s="1"/>
  <c r="H14" i="1564" s="1"/>
  <c r="R33" i="1564"/>
  <c r="L23" i="1564" s="1"/>
  <c r="D23" i="1564" s="1"/>
  <c r="R32" i="1564"/>
  <c r="R31" i="1564"/>
  <c r="R30" i="1564"/>
  <c r="R29" i="1564"/>
  <c r="R28" i="1564"/>
  <c r="L16" i="1564" s="1"/>
  <c r="D16" i="1564" s="1"/>
  <c r="D28" i="1564"/>
  <c r="R27" i="1564"/>
  <c r="D27" i="1564"/>
  <c r="R26" i="1564"/>
  <c r="L26" i="1564"/>
  <c r="D26" i="1564" s="1"/>
  <c r="R25" i="1564"/>
  <c r="L25" i="1564"/>
  <c r="D25" i="1564"/>
  <c r="R24" i="1564"/>
  <c r="D24" i="1564"/>
  <c r="R23" i="1564"/>
  <c r="R22" i="1564"/>
  <c r="L22" i="1564"/>
  <c r="D22" i="1564" s="1"/>
  <c r="R21" i="1564"/>
  <c r="D21" i="1564"/>
  <c r="R20" i="1564"/>
  <c r="L20" i="1564"/>
  <c r="D20" i="1564" s="1"/>
  <c r="R19" i="1564"/>
  <c r="R18" i="1564"/>
  <c r="D18" i="1564"/>
  <c r="R17" i="1564"/>
  <c r="D17" i="1564"/>
  <c r="R16" i="1564"/>
  <c r="R15" i="1564"/>
  <c r="D15" i="1564"/>
  <c r="R14" i="1564"/>
  <c r="D14" i="1564"/>
  <c r="R13" i="1564"/>
  <c r="D13" i="1564"/>
  <c r="R12" i="1564"/>
  <c r="L12" i="1564"/>
  <c r="D12" i="1564"/>
  <c r="R11" i="1564"/>
  <c r="L11" i="1564"/>
  <c r="D11" i="1564"/>
  <c r="L9" i="1564"/>
  <c r="D9" i="1564"/>
  <c r="R6" i="1564"/>
  <c r="L6" i="1564"/>
  <c r="D6" i="1564" s="1"/>
  <c r="R5" i="1564"/>
  <c r="R4" i="1564"/>
  <c r="R52" i="1563"/>
  <c r="R51" i="1563"/>
  <c r="D50" i="1563"/>
  <c r="R49" i="1563"/>
  <c r="D49" i="1563"/>
  <c r="R48" i="1563"/>
  <c r="D48" i="1563"/>
  <c r="D46" i="1563"/>
  <c r="D45" i="1563"/>
  <c r="D44" i="1563"/>
  <c r="R42" i="1563"/>
  <c r="L6" i="1563" s="1"/>
  <c r="D6" i="1563" s="1"/>
  <c r="D29" i="1563" s="1"/>
  <c r="H13" i="1563" s="1"/>
  <c r="H15" i="1563" s="1"/>
  <c r="H29" i="1563" s="1"/>
  <c r="D42" i="1563"/>
  <c r="R41" i="1563"/>
  <c r="L7" i="1563" s="1"/>
  <c r="D7" i="1563" s="1"/>
  <c r="D41" i="1563"/>
  <c r="R40" i="1563"/>
  <c r="D40" i="1563"/>
  <c r="R39" i="1563"/>
  <c r="L20" i="1563" s="1"/>
  <c r="D20" i="1563" s="1"/>
  <c r="H39" i="1563"/>
  <c r="D39" i="1563"/>
  <c r="R38" i="1563"/>
  <c r="H38" i="1563"/>
  <c r="D38" i="1563"/>
  <c r="R37" i="1563"/>
  <c r="H37" i="1563"/>
  <c r="D37" i="1563"/>
  <c r="R36" i="1563"/>
  <c r="H36" i="1563"/>
  <c r="D36" i="1563"/>
  <c r="R35" i="1563"/>
  <c r="L19" i="1563" s="1"/>
  <c r="D19" i="1563" s="1"/>
  <c r="H35" i="1563"/>
  <c r="D35" i="1563"/>
  <c r="R34" i="1563"/>
  <c r="L12" i="1563" s="1"/>
  <c r="D12" i="1563" s="1"/>
  <c r="H34" i="1563"/>
  <c r="G49" i="1563" s="1"/>
  <c r="D34" i="1563"/>
  <c r="D54" i="1563" s="1"/>
  <c r="H14" i="1563" s="1"/>
  <c r="R33" i="1563"/>
  <c r="R32" i="1563"/>
  <c r="R31" i="1563"/>
  <c r="R30" i="1563"/>
  <c r="R29" i="1563"/>
  <c r="R28" i="1563"/>
  <c r="D28" i="1563"/>
  <c r="R27" i="1563"/>
  <c r="D27" i="1563"/>
  <c r="R26" i="1563"/>
  <c r="L26" i="1563"/>
  <c r="D26" i="1563" s="1"/>
  <c r="R25" i="1563"/>
  <c r="L25" i="1563"/>
  <c r="D25" i="1563" s="1"/>
  <c r="R24" i="1563"/>
  <c r="L24" i="1563"/>
  <c r="D24" i="1563"/>
  <c r="R23" i="1563"/>
  <c r="L23" i="1563"/>
  <c r="D23" i="1563"/>
  <c r="R22" i="1563"/>
  <c r="L22" i="1563"/>
  <c r="D22" i="1563"/>
  <c r="R21" i="1563"/>
  <c r="L17" i="1563" s="1"/>
  <c r="D17" i="1563" s="1"/>
  <c r="D21" i="1563"/>
  <c r="R20" i="1563"/>
  <c r="R19" i="1563"/>
  <c r="R18" i="1563"/>
  <c r="D18" i="1563"/>
  <c r="R17" i="1563"/>
  <c r="R16" i="1563"/>
  <c r="L16" i="1563"/>
  <c r="D16" i="1563"/>
  <c r="R15" i="1563"/>
  <c r="D15" i="1563"/>
  <c r="R14" i="1563"/>
  <c r="D14" i="1563"/>
  <c r="R13" i="1563"/>
  <c r="D13" i="1563"/>
  <c r="R12" i="1563"/>
  <c r="R11" i="1563"/>
  <c r="L11" i="1563"/>
  <c r="D11" i="1563"/>
  <c r="L10" i="1563"/>
  <c r="D10" i="1563"/>
  <c r="L9" i="1563"/>
  <c r="D9" i="1563" s="1"/>
  <c r="L8" i="1563"/>
  <c r="D8" i="1563"/>
  <c r="R6" i="1563"/>
  <c r="R5" i="1563"/>
  <c r="R4" i="1563"/>
  <c r="R52" i="1562"/>
  <c r="R51" i="1562"/>
  <c r="D50" i="1562"/>
  <c r="R49" i="1562"/>
  <c r="D49" i="1562"/>
  <c r="R48" i="1562"/>
  <c r="D48" i="1562"/>
  <c r="D46" i="1562"/>
  <c r="D45" i="1562"/>
  <c r="P44" i="1562"/>
  <c r="R44" i="1562" s="1"/>
  <c r="D44" i="1562"/>
  <c r="R42" i="1562"/>
  <c r="L6" i="1562" s="1"/>
  <c r="D6" i="1562" s="1"/>
  <c r="D29" i="1562" s="1"/>
  <c r="H13" i="1562" s="1"/>
  <c r="H15" i="1562" s="1"/>
  <c r="H29" i="1562" s="1"/>
  <c r="D42" i="1562"/>
  <c r="R41" i="1562"/>
  <c r="D41" i="1562"/>
  <c r="R40" i="1562"/>
  <c r="L8" i="1562" s="1"/>
  <c r="D8" i="1562" s="1"/>
  <c r="D40" i="1562"/>
  <c r="R39" i="1562"/>
  <c r="H39" i="1562"/>
  <c r="D39" i="1562"/>
  <c r="R38" i="1562"/>
  <c r="H38" i="1562"/>
  <c r="D38" i="1562"/>
  <c r="R37" i="1562"/>
  <c r="H37" i="1562"/>
  <c r="D37" i="1562"/>
  <c r="R36" i="1562"/>
  <c r="H36" i="1562"/>
  <c r="D36" i="1562"/>
  <c r="R35" i="1562"/>
  <c r="H35" i="1562"/>
  <c r="D35" i="1562"/>
  <c r="R34" i="1562"/>
  <c r="H34" i="1562"/>
  <c r="G49" i="1562" s="1"/>
  <c r="D34" i="1562"/>
  <c r="D54" i="1562" s="1"/>
  <c r="H14" i="1562" s="1"/>
  <c r="R33" i="1562"/>
  <c r="R32" i="1562"/>
  <c r="R31" i="1562"/>
  <c r="R30" i="1562"/>
  <c r="R29" i="1562"/>
  <c r="R28" i="1562"/>
  <c r="D28" i="1562"/>
  <c r="R27" i="1562"/>
  <c r="D27" i="1562"/>
  <c r="R26" i="1562"/>
  <c r="L26" i="1562"/>
  <c r="D26" i="1562" s="1"/>
  <c r="R25" i="1562"/>
  <c r="L25" i="1562"/>
  <c r="D25" i="1562" s="1"/>
  <c r="R24" i="1562"/>
  <c r="L24" i="1562"/>
  <c r="D24" i="1562"/>
  <c r="R23" i="1562"/>
  <c r="D23" i="1562"/>
  <c r="R22" i="1562"/>
  <c r="D22" i="1562"/>
  <c r="R21" i="1562"/>
  <c r="D21" i="1562"/>
  <c r="R20" i="1562"/>
  <c r="L20" i="1562"/>
  <c r="D20" i="1562" s="1"/>
  <c r="R19" i="1562"/>
  <c r="D19" i="1562"/>
  <c r="R18" i="1562"/>
  <c r="D18" i="1562"/>
  <c r="R17" i="1562"/>
  <c r="L17" i="1562"/>
  <c r="D17" i="1562"/>
  <c r="R16" i="1562"/>
  <c r="L16" i="1562"/>
  <c r="D16" i="1562"/>
  <c r="R15" i="1562"/>
  <c r="D15" i="1562"/>
  <c r="R14" i="1562"/>
  <c r="D14" i="1562"/>
  <c r="R13" i="1562"/>
  <c r="D13" i="1562"/>
  <c r="R12" i="1562"/>
  <c r="L12" i="1562"/>
  <c r="D12" i="1562" s="1"/>
  <c r="R11" i="1562"/>
  <c r="L11" i="1562"/>
  <c r="D11" i="1562" s="1"/>
  <c r="L10" i="1562"/>
  <c r="D10" i="1562" s="1"/>
  <c r="L9" i="1562"/>
  <c r="D9" i="1562" s="1"/>
  <c r="L7" i="1562"/>
  <c r="D7" i="1562" s="1"/>
  <c r="R6" i="1562"/>
  <c r="R5" i="1562"/>
  <c r="R4" i="1562"/>
  <c r="R52" i="1561"/>
  <c r="R51" i="1561"/>
  <c r="D50" i="1561"/>
  <c r="R49" i="1561"/>
  <c r="G49" i="1561"/>
  <c r="D49" i="1561"/>
  <c r="R48" i="1561"/>
  <c r="D48" i="1561"/>
  <c r="D46" i="1561"/>
  <c r="D45" i="1561"/>
  <c r="D44" i="1561"/>
  <c r="R42" i="1561"/>
  <c r="L6" i="1561" s="1"/>
  <c r="D6" i="1561" s="1"/>
  <c r="D42" i="1561"/>
  <c r="R41" i="1561"/>
  <c r="L7" i="1561" s="1"/>
  <c r="D7" i="1561" s="1"/>
  <c r="D41" i="1561"/>
  <c r="R40" i="1561"/>
  <c r="D40" i="1561"/>
  <c r="R39" i="1561"/>
  <c r="D39" i="1561"/>
  <c r="R38" i="1561"/>
  <c r="D38" i="1561"/>
  <c r="R37" i="1561"/>
  <c r="D37" i="1561"/>
  <c r="R36" i="1561"/>
  <c r="L10" i="1561" s="1"/>
  <c r="D10" i="1561" s="1"/>
  <c r="D36" i="1561"/>
  <c r="R35" i="1561"/>
  <c r="D35" i="1561"/>
  <c r="R34" i="1561"/>
  <c r="L12" i="1561" s="1"/>
  <c r="D12" i="1561" s="1"/>
  <c r="D34" i="1561"/>
  <c r="D54" i="1561" s="1"/>
  <c r="H14" i="1561" s="1"/>
  <c r="R33" i="1561"/>
  <c r="L23" i="1561" s="1"/>
  <c r="D23" i="1561" s="1"/>
  <c r="R32" i="1561"/>
  <c r="R31" i="1561"/>
  <c r="R30" i="1561"/>
  <c r="R29" i="1561"/>
  <c r="R28" i="1561"/>
  <c r="L16" i="1561" s="1"/>
  <c r="D16" i="1561" s="1"/>
  <c r="D28" i="1561"/>
  <c r="R27" i="1561"/>
  <c r="D27" i="1561"/>
  <c r="R26" i="1561"/>
  <c r="L26" i="1561"/>
  <c r="D26" i="1561"/>
  <c r="R25" i="1561"/>
  <c r="L25" i="1561"/>
  <c r="D25" i="1561"/>
  <c r="R24" i="1561"/>
  <c r="D24" i="1561"/>
  <c r="R23" i="1561"/>
  <c r="R22" i="1561"/>
  <c r="L22" i="1561"/>
  <c r="D22" i="1561"/>
  <c r="R21" i="1561"/>
  <c r="D21" i="1561"/>
  <c r="R20" i="1561"/>
  <c r="L20" i="1561"/>
  <c r="D20" i="1561"/>
  <c r="R19" i="1561"/>
  <c r="L19" i="1561"/>
  <c r="D19" i="1561"/>
  <c r="R18" i="1561"/>
  <c r="D18" i="1561"/>
  <c r="R17" i="1561"/>
  <c r="D17" i="1561"/>
  <c r="R16" i="1561"/>
  <c r="S15" i="1561"/>
  <c r="R15" i="1561"/>
  <c r="D15" i="1561"/>
  <c r="S14" i="1561"/>
  <c r="R14" i="1561"/>
  <c r="D14" i="1561"/>
  <c r="R13" i="1561"/>
  <c r="D13" i="1561"/>
  <c r="R12" i="1561"/>
  <c r="R11" i="1561"/>
  <c r="L11" i="1561"/>
  <c r="D11" i="1561"/>
  <c r="L9" i="1561"/>
  <c r="D9" i="1561"/>
  <c r="L8" i="1561"/>
  <c r="D8" i="1561"/>
  <c r="R6" i="1561"/>
  <c r="R5" i="1561"/>
  <c r="R4" i="1561"/>
  <c r="R52" i="1560"/>
  <c r="R51" i="1560"/>
  <c r="D50" i="1560"/>
  <c r="R49" i="1560"/>
  <c r="D49" i="1560"/>
  <c r="R48" i="1560"/>
  <c r="D48" i="1560"/>
  <c r="D46" i="1560"/>
  <c r="D45" i="1560"/>
  <c r="D44" i="1560"/>
  <c r="R42" i="1560"/>
  <c r="L6" i="1560" s="1"/>
  <c r="D6" i="1560" s="1"/>
  <c r="D29" i="1560" s="1"/>
  <c r="H13" i="1560" s="1"/>
  <c r="H15" i="1560" s="1"/>
  <c r="H29" i="1560" s="1"/>
  <c r="D42" i="1560"/>
  <c r="R41" i="1560"/>
  <c r="L7" i="1560" s="1"/>
  <c r="D7" i="1560" s="1"/>
  <c r="D41" i="1560"/>
  <c r="R40" i="1560"/>
  <c r="D40" i="1560"/>
  <c r="R39" i="1560"/>
  <c r="H39" i="1560"/>
  <c r="D39" i="1560"/>
  <c r="R38" i="1560"/>
  <c r="H38" i="1560"/>
  <c r="D38" i="1560"/>
  <c r="R37" i="1560"/>
  <c r="H37" i="1560"/>
  <c r="D37" i="1560"/>
  <c r="R36" i="1560"/>
  <c r="H36" i="1560"/>
  <c r="G49" i="1560" s="1"/>
  <c r="G51" i="1560" s="1"/>
  <c r="D36" i="1560"/>
  <c r="R35" i="1560"/>
  <c r="L19" i="1560" s="1"/>
  <c r="D19" i="1560" s="1"/>
  <c r="H35" i="1560"/>
  <c r="D35" i="1560"/>
  <c r="R34" i="1560"/>
  <c r="H34" i="1560"/>
  <c r="D34" i="1560"/>
  <c r="D54" i="1560" s="1"/>
  <c r="H14" i="1560" s="1"/>
  <c r="R33" i="1560"/>
  <c r="L23" i="1560" s="1"/>
  <c r="D23" i="1560" s="1"/>
  <c r="R32" i="1560"/>
  <c r="R31" i="1560"/>
  <c r="R30" i="1560"/>
  <c r="R29" i="1560"/>
  <c r="R28" i="1560"/>
  <c r="D28" i="1560"/>
  <c r="R27" i="1560"/>
  <c r="D27" i="1560"/>
  <c r="R26" i="1560"/>
  <c r="L26" i="1560"/>
  <c r="D26" i="1560"/>
  <c r="R25" i="1560"/>
  <c r="L25" i="1560"/>
  <c r="D25" i="1560"/>
  <c r="R24" i="1560"/>
  <c r="D24" i="1560"/>
  <c r="R23" i="1560"/>
  <c r="R22" i="1560"/>
  <c r="L22" i="1560"/>
  <c r="D22" i="1560"/>
  <c r="R21" i="1560"/>
  <c r="D21" i="1560"/>
  <c r="R20" i="1560"/>
  <c r="L20" i="1560"/>
  <c r="D20" i="1560"/>
  <c r="R19" i="1560"/>
  <c r="R18" i="1560"/>
  <c r="D18" i="1560"/>
  <c r="R17" i="1560"/>
  <c r="D17" i="1560"/>
  <c r="R16" i="1560"/>
  <c r="L16" i="1560"/>
  <c r="D16" i="1560" s="1"/>
  <c r="R15" i="1560"/>
  <c r="D15" i="1560"/>
  <c r="R14" i="1560"/>
  <c r="D14" i="1560"/>
  <c r="R13" i="1560"/>
  <c r="D13" i="1560"/>
  <c r="R12" i="1560"/>
  <c r="L12" i="1560"/>
  <c r="D12" i="1560"/>
  <c r="R11" i="1560"/>
  <c r="L11" i="1560"/>
  <c r="D11" i="1560"/>
  <c r="L10" i="1560"/>
  <c r="D10" i="1560"/>
  <c r="L9" i="1560"/>
  <c r="D9" i="1560"/>
  <c r="L8" i="1560"/>
  <c r="D8" i="1560"/>
  <c r="R6" i="1560"/>
  <c r="R5" i="1560"/>
  <c r="R4" i="1560"/>
  <c r="R52" i="1559"/>
  <c r="R51" i="1559"/>
  <c r="D50" i="1559"/>
  <c r="R49" i="1559"/>
  <c r="D49" i="1559"/>
  <c r="R48" i="1559"/>
  <c r="D48" i="1559"/>
  <c r="D46" i="1559"/>
  <c r="D45" i="1559"/>
  <c r="D44" i="1559"/>
  <c r="R42" i="1559"/>
  <c r="D42" i="1559"/>
  <c r="R41" i="1559"/>
  <c r="L7" i="1559" s="1"/>
  <c r="D7" i="1559" s="1"/>
  <c r="D41" i="1559"/>
  <c r="R40" i="1559"/>
  <c r="D40" i="1559"/>
  <c r="R39" i="1559"/>
  <c r="H39" i="1559"/>
  <c r="D39" i="1559"/>
  <c r="R38" i="1559"/>
  <c r="H38" i="1559"/>
  <c r="D38" i="1559"/>
  <c r="R37" i="1559"/>
  <c r="H37" i="1559"/>
  <c r="D37" i="1559"/>
  <c r="R36" i="1559"/>
  <c r="L10" i="1559" s="1"/>
  <c r="D10" i="1559" s="1"/>
  <c r="H36" i="1559"/>
  <c r="D36" i="1559"/>
  <c r="R35" i="1559"/>
  <c r="L19" i="1559" s="1"/>
  <c r="D19" i="1559" s="1"/>
  <c r="H35" i="1559"/>
  <c r="D35" i="1559"/>
  <c r="R34" i="1559"/>
  <c r="H34" i="1559"/>
  <c r="G49" i="1559" s="1"/>
  <c r="D34" i="1559"/>
  <c r="D54" i="1559" s="1"/>
  <c r="H14" i="1559" s="1"/>
  <c r="R33" i="1559"/>
  <c r="L23" i="1559" s="1"/>
  <c r="D23" i="1559" s="1"/>
  <c r="R32" i="1559"/>
  <c r="R31" i="1559"/>
  <c r="R30" i="1559"/>
  <c r="R29" i="1559"/>
  <c r="R28" i="1559"/>
  <c r="L16" i="1559" s="1"/>
  <c r="D16" i="1559" s="1"/>
  <c r="D28" i="1559"/>
  <c r="R27" i="1559"/>
  <c r="D27" i="1559"/>
  <c r="R26" i="1559"/>
  <c r="L26" i="1559"/>
  <c r="D26" i="1559" s="1"/>
  <c r="R25" i="1559"/>
  <c r="L25" i="1559"/>
  <c r="D25" i="1559"/>
  <c r="R24" i="1559"/>
  <c r="L24" i="1559"/>
  <c r="D24" i="1559"/>
  <c r="R23" i="1559"/>
  <c r="R22" i="1559"/>
  <c r="L22" i="1559"/>
  <c r="D22" i="1559"/>
  <c r="R21" i="1559"/>
  <c r="L17" i="1559" s="1"/>
  <c r="D17" i="1559" s="1"/>
  <c r="D21" i="1559"/>
  <c r="R20" i="1559"/>
  <c r="L20" i="1559"/>
  <c r="D20" i="1559"/>
  <c r="R19" i="1559"/>
  <c r="R18" i="1559"/>
  <c r="D18" i="1559"/>
  <c r="R17" i="1559"/>
  <c r="R16" i="1559"/>
  <c r="R15" i="1559"/>
  <c r="D15" i="1559"/>
  <c r="R14" i="1559"/>
  <c r="D14" i="1559"/>
  <c r="R13" i="1559"/>
  <c r="D13" i="1559"/>
  <c r="R12" i="1559"/>
  <c r="L12" i="1559"/>
  <c r="D12" i="1559" s="1"/>
  <c r="R11" i="1559"/>
  <c r="L11" i="1559"/>
  <c r="D11" i="1559" s="1"/>
  <c r="L9" i="1559"/>
  <c r="D9" i="1559"/>
  <c r="L8" i="1559"/>
  <c r="D8" i="1559"/>
  <c r="R6" i="1559"/>
  <c r="L6" i="1559"/>
  <c r="D6" i="1559" s="1"/>
  <c r="D29" i="1559" s="1"/>
  <c r="H13" i="1559" s="1"/>
  <c r="R5" i="1559"/>
  <c r="R4" i="1559"/>
  <c r="R52" i="1558"/>
  <c r="R51" i="1558"/>
  <c r="D50" i="1558"/>
  <c r="R49" i="1558"/>
  <c r="D49" i="1558"/>
  <c r="R48" i="1558"/>
  <c r="D48" i="1558"/>
  <c r="D46" i="1558"/>
  <c r="D45" i="1558"/>
  <c r="P44" i="1558"/>
  <c r="R44" i="1558" s="1"/>
  <c r="D44" i="1558"/>
  <c r="R42" i="1558"/>
  <c r="L6" i="1558" s="1"/>
  <c r="D6" i="1558" s="1"/>
  <c r="D42" i="1558"/>
  <c r="R41" i="1558"/>
  <c r="L7" i="1558" s="1"/>
  <c r="D7" i="1558" s="1"/>
  <c r="D41" i="1558"/>
  <c r="R40" i="1558"/>
  <c r="D40" i="1558"/>
  <c r="R39" i="1558"/>
  <c r="L20" i="1558" s="1"/>
  <c r="D20" i="1558" s="1"/>
  <c r="H39" i="1558"/>
  <c r="D39" i="1558"/>
  <c r="R38" i="1558"/>
  <c r="H38" i="1558"/>
  <c r="D38" i="1558"/>
  <c r="R37" i="1558"/>
  <c r="H37" i="1558"/>
  <c r="D37" i="1558"/>
  <c r="R36" i="1558"/>
  <c r="L10" i="1558" s="1"/>
  <c r="D10" i="1558" s="1"/>
  <c r="H36" i="1558"/>
  <c r="D36" i="1558"/>
  <c r="D54" i="1558" s="1"/>
  <c r="H14" i="1558" s="1"/>
  <c r="R35" i="1558"/>
  <c r="H35" i="1558"/>
  <c r="D35" i="1558"/>
  <c r="R34" i="1558"/>
  <c r="H34" i="1558"/>
  <c r="G49" i="1558" s="1"/>
  <c r="D34" i="1558"/>
  <c r="R33" i="1558"/>
  <c r="R32" i="1558"/>
  <c r="L11" i="1558" s="1"/>
  <c r="D11" i="1558" s="1"/>
  <c r="R31" i="1558"/>
  <c r="R30" i="1558"/>
  <c r="R29" i="1558"/>
  <c r="R28" i="1558"/>
  <c r="L16" i="1558" s="1"/>
  <c r="D16" i="1558" s="1"/>
  <c r="D28" i="1558"/>
  <c r="R27" i="1558"/>
  <c r="D27" i="1558"/>
  <c r="R26" i="1558"/>
  <c r="L26" i="1558"/>
  <c r="D26" i="1558"/>
  <c r="R25" i="1558"/>
  <c r="L25" i="1558"/>
  <c r="D25" i="1558"/>
  <c r="R24" i="1558"/>
  <c r="L24" i="1558"/>
  <c r="D24" i="1558"/>
  <c r="R23" i="1558"/>
  <c r="D23" i="1558"/>
  <c r="R22" i="1558"/>
  <c r="D22" i="1558"/>
  <c r="R21" i="1558"/>
  <c r="D21" i="1558"/>
  <c r="R20" i="1558"/>
  <c r="R19" i="1558"/>
  <c r="D19" i="1558"/>
  <c r="R18" i="1558"/>
  <c r="D18" i="1558"/>
  <c r="R17" i="1558"/>
  <c r="L17" i="1558"/>
  <c r="D17" i="1558"/>
  <c r="R16" i="1558"/>
  <c r="R15" i="1558"/>
  <c r="D15" i="1558"/>
  <c r="R14" i="1558"/>
  <c r="D14" i="1558"/>
  <c r="R13" i="1558"/>
  <c r="D13" i="1558"/>
  <c r="R12" i="1558"/>
  <c r="L12" i="1558"/>
  <c r="D12" i="1558" s="1"/>
  <c r="R11" i="1558"/>
  <c r="L9" i="1558"/>
  <c r="D9" i="1558"/>
  <c r="L8" i="1558"/>
  <c r="D8" i="1558" s="1"/>
  <c r="R6" i="1558"/>
  <c r="R5" i="1558"/>
  <c r="R4" i="1558"/>
  <c r="R52" i="1557"/>
  <c r="R51" i="1557"/>
  <c r="D50" i="1557"/>
  <c r="R49" i="1557"/>
  <c r="G49" i="1557"/>
  <c r="D49" i="1557"/>
  <c r="R48" i="1557"/>
  <c r="D48" i="1557"/>
  <c r="D46" i="1557"/>
  <c r="D45" i="1557"/>
  <c r="D44" i="1557"/>
  <c r="R42" i="1557"/>
  <c r="D42" i="1557"/>
  <c r="R41" i="1557"/>
  <c r="L7" i="1557" s="1"/>
  <c r="D7" i="1557" s="1"/>
  <c r="D41" i="1557"/>
  <c r="R40" i="1557"/>
  <c r="L8" i="1557" s="1"/>
  <c r="D8" i="1557" s="1"/>
  <c r="D40" i="1557"/>
  <c r="R39" i="1557"/>
  <c r="D39" i="1557"/>
  <c r="R38" i="1557"/>
  <c r="L9" i="1557" s="1"/>
  <c r="D9" i="1557" s="1"/>
  <c r="D38" i="1557"/>
  <c r="R37" i="1557"/>
  <c r="D37" i="1557"/>
  <c r="R36" i="1557"/>
  <c r="D36" i="1557"/>
  <c r="R35" i="1557"/>
  <c r="D35" i="1557"/>
  <c r="R34" i="1557"/>
  <c r="D34" i="1557"/>
  <c r="D54" i="1557" s="1"/>
  <c r="H14" i="1557" s="1"/>
  <c r="R33" i="1557"/>
  <c r="L23" i="1557" s="1"/>
  <c r="D23" i="1557" s="1"/>
  <c r="R32" i="1557"/>
  <c r="R31" i="1557"/>
  <c r="R30" i="1557"/>
  <c r="R29" i="1557"/>
  <c r="R28" i="1557"/>
  <c r="D28" i="1557"/>
  <c r="R27" i="1557"/>
  <c r="D27" i="1557"/>
  <c r="R26" i="1557"/>
  <c r="L26" i="1557"/>
  <c r="D26" i="1557" s="1"/>
  <c r="R25" i="1557"/>
  <c r="L25" i="1557"/>
  <c r="D25" i="1557"/>
  <c r="R24" i="1557"/>
  <c r="D24" i="1557"/>
  <c r="R23" i="1557"/>
  <c r="R22" i="1557"/>
  <c r="L22" i="1557"/>
  <c r="D22" i="1557"/>
  <c r="R21" i="1557"/>
  <c r="D21" i="1557"/>
  <c r="R20" i="1557"/>
  <c r="L20" i="1557"/>
  <c r="D20" i="1557"/>
  <c r="R19" i="1557"/>
  <c r="L19" i="1557"/>
  <c r="D19" i="1557"/>
  <c r="R18" i="1557"/>
  <c r="D18" i="1557"/>
  <c r="R17" i="1557"/>
  <c r="D17" i="1557"/>
  <c r="R16" i="1557"/>
  <c r="L16" i="1557"/>
  <c r="D16" i="1557" s="1"/>
  <c r="S15" i="1557"/>
  <c r="R15" i="1557"/>
  <c r="D15" i="1557"/>
  <c r="S14" i="1557"/>
  <c r="R14" i="1557"/>
  <c r="D14" i="1557"/>
  <c r="R13" i="1557"/>
  <c r="D13" i="1557"/>
  <c r="R12" i="1557"/>
  <c r="L12" i="1557"/>
  <c r="D12" i="1557" s="1"/>
  <c r="R11" i="1557"/>
  <c r="L11" i="1557"/>
  <c r="D11" i="1557"/>
  <c r="L10" i="1557"/>
  <c r="D10" i="1557" s="1"/>
  <c r="R6" i="1557"/>
  <c r="L6" i="1557"/>
  <c r="D6" i="1557"/>
  <c r="R5" i="1557"/>
  <c r="R4" i="1557"/>
  <c r="R52" i="1556"/>
  <c r="R51" i="1556"/>
  <c r="D50" i="1556"/>
  <c r="R49" i="1556"/>
  <c r="D49" i="1556"/>
  <c r="R48" i="1556"/>
  <c r="D48" i="1556"/>
  <c r="D46" i="1556"/>
  <c r="D45" i="1556"/>
  <c r="D44" i="1556"/>
  <c r="R42" i="1556"/>
  <c r="D42" i="1556"/>
  <c r="R41" i="1556"/>
  <c r="D41" i="1556"/>
  <c r="R40" i="1556"/>
  <c r="L8" i="1556" s="1"/>
  <c r="D8" i="1556" s="1"/>
  <c r="D40" i="1556"/>
  <c r="R39" i="1556"/>
  <c r="H39" i="1556"/>
  <c r="D39" i="1556"/>
  <c r="R38" i="1556"/>
  <c r="H38" i="1556"/>
  <c r="D38" i="1556"/>
  <c r="R37" i="1556"/>
  <c r="H37" i="1556"/>
  <c r="D37" i="1556"/>
  <c r="R36" i="1556"/>
  <c r="H36" i="1556"/>
  <c r="D36" i="1556"/>
  <c r="R35" i="1556"/>
  <c r="L19" i="1556" s="1"/>
  <c r="D19" i="1556" s="1"/>
  <c r="H35" i="1556"/>
  <c r="D35" i="1556"/>
  <c r="R34" i="1556"/>
  <c r="L12" i="1556" s="1"/>
  <c r="D12" i="1556" s="1"/>
  <c r="H34" i="1556"/>
  <c r="D34" i="1556"/>
  <c r="R33" i="1556"/>
  <c r="L23" i="1556" s="1"/>
  <c r="D23" i="1556" s="1"/>
  <c r="R32" i="1556"/>
  <c r="R31" i="1556"/>
  <c r="R30" i="1556"/>
  <c r="R29" i="1556"/>
  <c r="R28" i="1556"/>
  <c r="L16" i="1556" s="1"/>
  <c r="D16" i="1556" s="1"/>
  <c r="D28" i="1556"/>
  <c r="R27" i="1556"/>
  <c r="D27" i="1556"/>
  <c r="R26" i="1556"/>
  <c r="L26" i="1556"/>
  <c r="D26" i="1556"/>
  <c r="R25" i="1556"/>
  <c r="L25" i="1556"/>
  <c r="D25" i="1556"/>
  <c r="R24" i="1556"/>
  <c r="D24" i="1556"/>
  <c r="R23" i="1556"/>
  <c r="R22" i="1556"/>
  <c r="L22" i="1556"/>
  <c r="D22" i="1556"/>
  <c r="R21" i="1556"/>
  <c r="D21" i="1556"/>
  <c r="R20" i="1556"/>
  <c r="L20" i="1556"/>
  <c r="D20" i="1556"/>
  <c r="R19" i="1556"/>
  <c r="R18" i="1556"/>
  <c r="D18" i="1556"/>
  <c r="R17" i="1556"/>
  <c r="D17" i="1556"/>
  <c r="R16" i="1556"/>
  <c r="R15" i="1556"/>
  <c r="D15" i="1556"/>
  <c r="R14" i="1556"/>
  <c r="D14" i="1556"/>
  <c r="R13" i="1556"/>
  <c r="D13" i="1556"/>
  <c r="R12" i="1556"/>
  <c r="R11" i="1556"/>
  <c r="L11" i="1556"/>
  <c r="D11" i="1556" s="1"/>
  <c r="L10" i="1556"/>
  <c r="D10" i="1556"/>
  <c r="L9" i="1556"/>
  <c r="D9" i="1556"/>
  <c r="L7" i="1556"/>
  <c r="D7" i="1556" s="1"/>
  <c r="R6" i="1556"/>
  <c r="L6" i="1556"/>
  <c r="D6" i="1556" s="1"/>
  <c r="R5" i="1556"/>
  <c r="R4" i="1556"/>
  <c r="R52" i="1555"/>
  <c r="R51" i="1555"/>
  <c r="D50" i="1555"/>
  <c r="R49" i="1555"/>
  <c r="D49" i="1555"/>
  <c r="R48" i="1555"/>
  <c r="D48" i="1555"/>
  <c r="D46" i="1555"/>
  <c r="D45" i="1555"/>
  <c r="D44" i="1555"/>
  <c r="R42" i="1555"/>
  <c r="L6" i="1555" s="1"/>
  <c r="D6" i="1555" s="1"/>
  <c r="D42" i="1555"/>
  <c r="R41" i="1555"/>
  <c r="D41" i="1555"/>
  <c r="R40" i="1555"/>
  <c r="D40" i="1555"/>
  <c r="R39" i="1555"/>
  <c r="H39" i="1555"/>
  <c r="D39" i="1555"/>
  <c r="R38" i="1555"/>
  <c r="H38" i="1555"/>
  <c r="D38" i="1555"/>
  <c r="R37" i="1555"/>
  <c r="H37" i="1555"/>
  <c r="D37" i="1555"/>
  <c r="R36" i="1555"/>
  <c r="L10" i="1555" s="1"/>
  <c r="D10" i="1555" s="1"/>
  <c r="H36" i="1555"/>
  <c r="D36" i="1555"/>
  <c r="R35" i="1555"/>
  <c r="H35" i="1555"/>
  <c r="D35" i="1555"/>
  <c r="R34" i="1555"/>
  <c r="L12" i="1555" s="1"/>
  <c r="D12" i="1555" s="1"/>
  <c r="H34" i="1555"/>
  <c r="D34" i="1555"/>
  <c r="R33" i="1555"/>
  <c r="R32" i="1555"/>
  <c r="R31" i="1555"/>
  <c r="R30" i="1555"/>
  <c r="R29" i="1555"/>
  <c r="R28" i="1555"/>
  <c r="D28" i="1555"/>
  <c r="R27" i="1555"/>
  <c r="D27" i="1555"/>
  <c r="R26" i="1555"/>
  <c r="L26" i="1555"/>
  <c r="D26" i="1555"/>
  <c r="R25" i="1555"/>
  <c r="D25" i="1555"/>
  <c r="R24" i="1555"/>
  <c r="L24" i="1555"/>
  <c r="D24" i="1555"/>
  <c r="R23" i="1555"/>
  <c r="L23" i="1555"/>
  <c r="D23" i="1555" s="1"/>
  <c r="R22" i="1555"/>
  <c r="L22" i="1555"/>
  <c r="D22" i="1555" s="1"/>
  <c r="R21" i="1555"/>
  <c r="D21" i="1555"/>
  <c r="R20" i="1555"/>
  <c r="L20" i="1555"/>
  <c r="D20" i="1555" s="1"/>
  <c r="R19" i="1555"/>
  <c r="L19" i="1555"/>
  <c r="D19" i="1555" s="1"/>
  <c r="R18" i="1555"/>
  <c r="D18" i="1555"/>
  <c r="R17" i="1555"/>
  <c r="L17" i="1555"/>
  <c r="D17" i="1555" s="1"/>
  <c r="R16" i="1555"/>
  <c r="L16" i="1555"/>
  <c r="D16" i="1555" s="1"/>
  <c r="R15" i="1555"/>
  <c r="D15" i="1555"/>
  <c r="R14" i="1555"/>
  <c r="D14" i="1555"/>
  <c r="R13" i="1555"/>
  <c r="D13" i="1555"/>
  <c r="R12" i="1555"/>
  <c r="R11" i="1555"/>
  <c r="L11" i="1555"/>
  <c r="D11" i="1555"/>
  <c r="L9" i="1555"/>
  <c r="D9" i="1555"/>
  <c r="L8" i="1555"/>
  <c r="D8" i="1555" s="1"/>
  <c r="L7" i="1555"/>
  <c r="D7" i="1555"/>
  <c r="R6" i="1555"/>
  <c r="R5" i="1555"/>
  <c r="R4" i="1555"/>
  <c r="R52" i="1554"/>
  <c r="R51" i="1554"/>
  <c r="D50" i="1554"/>
  <c r="R49" i="1554"/>
  <c r="D49" i="1554"/>
  <c r="R48" i="1554"/>
  <c r="D48" i="1554"/>
  <c r="D46" i="1554"/>
  <c r="D45" i="1554"/>
  <c r="P44" i="1554"/>
  <c r="R44" i="1554" s="1"/>
  <c r="D44" i="1554"/>
  <c r="R42" i="1554"/>
  <c r="L6" i="1554" s="1"/>
  <c r="D6" i="1554" s="1"/>
  <c r="D42" i="1554"/>
  <c r="R41" i="1554"/>
  <c r="D41" i="1554"/>
  <c r="R40" i="1554"/>
  <c r="D40" i="1554"/>
  <c r="R39" i="1554"/>
  <c r="L20" i="1554" s="1"/>
  <c r="D20" i="1554" s="1"/>
  <c r="H39" i="1554"/>
  <c r="D39" i="1554"/>
  <c r="R38" i="1554"/>
  <c r="L9" i="1554" s="1"/>
  <c r="D9" i="1554" s="1"/>
  <c r="H38" i="1554"/>
  <c r="D38" i="1554"/>
  <c r="R37" i="1554"/>
  <c r="H37" i="1554"/>
  <c r="D37" i="1554"/>
  <c r="R36" i="1554"/>
  <c r="H36" i="1554"/>
  <c r="D36" i="1554"/>
  <c r="R35" i="1554"/>
  <c r="H35" i="1554"/>
  <c r="D35" i="1554"/>
  <c r="R34" i="1554"/>
  <c r="H34" i="1554"/>
  <c r="D34" i="1554"/>
  <c r="R33" i="1554"/>
  <c r="R32" i="1554"/>
  <c r="L11" i="1554" s="1"/>
  <c r="D11" i="1554" s="1"/>
  <c r="R31" i="1554"/>
  <c r="R30" i="1554"/>
  <c r="R29" i="1554"/>
  <c r="R28" i="1554"/>
  <c r="D28" i="1554"/>
  <c r="R27" i="1554"/>
  <c r="D27" i="1554"/>
  <c r="R26" i="1554"/>
  <c r="L26" i="1554"/>
  <c r="D26" i="1554"/>
  <c r="R25" i="1554"/>
  <c r="L25" i="1554"/>
  <c r="D25" i="1554"/>
  <c r="R24" i="1554"/>
  <c r="L24" i="1554"/>
  <c r="D24" i="1554"/>
  <c r="R23" i="1554"/>
  <c r="D23" i="1554"/>
  <c r="R22" i="1554"/>
  <c r="D22" i="1554"/>
  <c r="R21" i="1554"/>
  <c r="D21" i="1554"/>
  <c r="R20" i="1554"/>
  <c r="R19" i="1554"/>
  <c r="D19" i="1554"/>
  <c r="R18" i="1554"/>
  <c r="D18" i="1554"/>
  <c r="R17" i="1554"/>
  <c r="L17" i="1554"/>
  <c r="D17" i="1554"/>
  <c r="R16" i="1554"/>
  <c r="L16" i="1554"/>
  <c r="D16" i="1554"/>
  <c r="R15" i="1554"/>
  <c r="D15" i="1554"/>
  <c r="R14" i="1554"/>
  <c r="D14" i="1554"/>
  <c r="R13" i="1554"/>
  <c r="D13" i="1554"/>
  <c r="R12" i="1554"/>
  <c r="L12" i="1554"/>
  <c r="D12" i="1554" s="1"/>
  <c r="R11" i="1554"/>
  <c r="L10" i="1554"/>
  <c r="D10" i="1554" s="1"/>
  <c r="L8" i="1554"/>
  <c r="D8" i="1554"/>
  <c r="L7" i="1554"/>
  <c r="D7" i="1554"/>
  <c r="R6" i="1554"/>
  <c r="R5" i="1554"/>
  <c r="R4" i="1554"/>
  <c r="R52" i="1553"/>
  <c r="R51" i="1553"/>
  <c r="D50" i="1553"/>
  <c r="R49" i="1553"/>
  <c r="G49" i="1553"/>
  <c r="D49" i="1553"/>
  <c r="R48" i="1553"/>
  <c r="D48" i="1553"/>
  <c r="D46" i="1553"/>
  <c r="D45" i="1553"/>
  <c r="D44" i="1553"/>
  <c r="R42" i="1553"/>
  <c r="D42" i="1553"/>
  <c r="R41" i="1553"/>
  <c r="L7" i="1553" s="1"/>
  <c r="D7" i="1553" s="1"/>
  <c r="D41" i="1553"/>
  <c r="R40" i="1553"/>
  <c r="D40" i="1553"/>
  <c r="R39" i="1553"/>
  <c r="D39" i="1553"/>
  <c r="R38" i="1553"/>
  <c r="D38" i="1553"/>
  <c r="R37" i="1553"/>
  <c r="D37" i="1553"/>
  <c r="R36" i="1553"/>
  <c r="D36" i="1553"/>
  <c r="D54" i="1553" s="1"/>
  <c r="H14" i="1553" s="1"/>
  <c r="R35" i="1553"/>
  <c r="L19" i="1553" s="1"/>
  <c r="D19" i="1553" s="1"/>
  <c r="D35" i="1553"/>
  <c r="R34" i="1553"/>
  <c r="D34" i="1553"/>
  <c r="R33" i="1553"/>
  <c r="L23" i="1553" s="1"/>
  <c r="D23" i="1553" s="1"/>
  <c r="R32" i="1553"/>
  <c r="L11" i="1553" s="1"/>
  <c r="D11" i="1553" s="1"/>
  <c r="R31" i="1553"/>
  <c r="R30" i="1553"/>
  <c r="R29" i="1553"/>
  <c r="R28" i="1553"/>
  <c r="D28" i="1553"/>
  <c r="R27" i="1553"/>
  <c r="D27" i="1553"/>
  <c r="R26" i="1553"/>
  <c r="L26" i="1553"/>
  <c r="D26" i="1553" s="1"/>
  <c r="R25" i="1553"/>
  <c r="L25" i="1553"/>
  <c r="D25" i="1553"/>
  <c r="R24" i="1553"/>
  <c r="D24" i="1553"/>
  <c r="R23" i="1553"/>
  <c r="R22" i="1553"/>
  <c r="L22" i="1553"/>
  <c r="D22" i="1553" s="1"/>
  <c r="R21" i="1553"/>
  <c r="D21" i="1553"/>
  <c r="R20" i="1553"/>
  <c r="L20" i="1553"/>
  <c r="D20" i="1553" s="1"/>
  <c r="R19" i="1553"/>
  <c r="R18" i="1553"/>
  <c r="D18" i="1553"/>
  <c r="R17" i="1553"/>
  <c r="D17" i="1553"/>
  <c r="R16" i="1553"/>
  <c r="L16" i="1553"/>
  <c r="D16" i="1553" s="1"/>
  <c r="S15" i="1553"/>
  <c r="R15" i="1553"/>
  <c r="D15" i="1553"/>
  <c r="S14" i="1553"/>
  <c r="R14" i="1553"/>
  <c r="D14" i="1553"/>
  <c r="R13" i="1553"/>
  <c r="D13" i="1553"/>
  <c r="R12" i="1553"/>
  <c r="L12" i="1553"/>
  <c r="D12" i="1553" s="1"/>
  <c r="R11" i="1553"/>
  <c r="L10" i="1553"/>
  <c r="D10" i="1553"/>
  <c r="L9" i="1553"/>
  <c r="D9" i="1553" s="1"/>
  <c r="L8" i="1553"/>
  <c r="D8" i="1553" s="1"/>
  <c r="R6" i="1553"/>
  <c r="L6" i="1553"/>
  <c r="D6" i="1553"/>
  <c r="R5" i="1553"/>
  <c r="R4" i="1553"/>
  <c r="R52" i="1552"/>
  <c r="R51" i="1552"/>
  <c r="D50" i="1552"/>
  <c r="R49" i="1552"/>
  <c r="D49" i="1552"/>
  <c r="R48" i="1552"/>
  <c r="D48" i="1552"/>
  <c r="D46" i="1552"/>
  <c r="D45" i="1552"/>
  <c r="D44" i="1552"/>
  <c r="R42" i="1552"/>
  <c r="L6" i="1552" s="1"/>
  <c r="D6" i="1552" s="1"/>
  <c r="D42" i="1552"/>
  <c r="R41" i="1552"/>
  <c r="L7" i="1552" s="1"/>
  <c r="D7" i="1552" s="1"/>
  <c r="D41" i="1552"/>
  <c r="R40" i="1552"/>
  <c r="D40" i="1552"/>
  <c r="R39" i="1552"/>
  <c r="H39" i="1552"/>
  <c r="D39" i="1552"/>
  <c r="R38" i="1552"/>
  <c r="H38" i="1552"/>
  <c r="D38" i="1552"/>
  <c r="R37" i="1552"/>
  <c r="H37" i="1552"/>
  <c r="D37" i="1552"/>
  <c r="R36" i="1552"/>
  <c r="H36" i="1552"/>
  <c r="D36" i="1552"/>
  <c r="R35" i="1552"/>
  <c r="L19" i="1552" s="1"/>
  <c r="D19" i="1552" s="1"/>
  <c r="H35" i="1552"/>
  <c r="D35" i="1552"/>
  <c r="R34" i="1552"/>
  <c r="H34" i="1552"/>
  <c r="G49" i="1552" s="1"/>
  <c r="D34" i="1552"/>
  <c r="R33" i="1552"/>
  <c r="R32" i="1552"/>
  <c r="R31" i="1552"/>
  <c r="R30" i="1552"/>
  <c r="R29" i="1552"/>
  <c r="R28" i="1552"/>
  <c r="D28" i="1552"/>
  <c r="R27" i="1552"/>
  <c r="D27" i="1552"/>
  <c r="R26" i="1552"/>
  <c r="L26" i="1552"/>
  <c r="D26" i="1552" s="1"/>
  <c r="R25" i="1552"/>
  <c r="L25" i="1552"/>
  <c r="D25" i="1552"/>
  <c r="R24" i="1552"/>
  <c r="D24" i="1552"/>
  <c r="R23" i="1552"/>
  <c r="L23" i="1552"/>
  <c r="D23" i="1552" s="1"/>
  <c r="R22" i="1552"/>
  <c r="L22" i="1552"/>
  <c r="D22" i="1552"/>
  <c r="R21" i="1552"/>
  <c r="D21" i="1552"/>
  <c r="R20" i="1552"/>
  <c r="L20" i="1552"/>
  <c r="D20" i="1552" s="1"/>
  <c r="R19" i="1552"/>
  <c r="R18" i="1552"/>
  <c r="D18" i="1552"/>
  <c r="R17" i="1552"/>
  <c r="D17" i="1552"/>
  <c r="R16" i="1552"/>
  <c r="L16" i="1552"/>
  <c r="D16" i="1552" s="1"/>
  <c r="R15" i="1552"/>
  <c r="D15" i="1552"/>
  <c r="R14" i="1552"/>
  <c r="D14" i="1552"/>
  <c r="R13" i="1552"/>
  <c r="D13" i="1552"/>
  <c r="R12" i="1552"/>
  <c r="L12" i="1552"/>
  <c r="D12" i="1552"/>
  <c r="R11" i="1552"/>
  <c r="L11" i="1552"/>
  <c r="D11" i="1552"/>
  <c r="L10" i="1552"/>
  <c r="D10" i="1552"/>
  <c r="L9" i="1552"/>
  <c r="D9" i="1552"/>
  <c r="L8" i="1552"/>
  <c r="D8" i="1552" s="1"/>
  <c r="R6" i="1552"/>
  <c r="R5" i="1552"/>
  <c r="R4" i="1552"/>
  <c r="R52" i="1551"/>
  <c r="R51" i="1551"/>
  <c r="D50" i="1551"/>
  <c r="R49" i="1551"/>
  <c r="D49" i="1551"/>
  <c r="R48" i="1551"/>
  <c r="D48" i="1551"/>
  <c r="D46" i="1551"/>
  <c r="D45" i="1551"/>
  <c r="D44" i="1551"/>
  <c r="R42" i="1551"/>
  <c r="L6" i="1551" s="1"/>
  <c r="D6" i="1551" s="1"/>
  <c r="D42" i="1551"/>
  <c r="R41" i="1551"/>
  <c r="D41" i="1551"/>
  <c r="R40" i="1551"/>
  <c r="L8" i="1551" s="1"/>
  <c r="D8" i="1551" s="1"/>
  <c r="D40" i="1551"/>
  <c r="R39" i="1551"/>
  <c r="L20" i="1551" s="1"/>
  <c r="D20" i="1551" s="1"/>
  <c r="H39" i="1551"/>
  <c r="D39" i="1551"/>
  <c r="R38" i="1551"/>
  <c r="H38" i="1551"/>
  <c r="D38" i="1551"/>
  <c r="R37" i="1551"/>
  <c r="H37" i="1551"/>
  <c r="D37" i="1551"/>
  <c r="R36" i="1551"/>
  <c r="H36" i="1551"/>
  <c r="D36" i="1551"/>
  <c r="R35" i="1551"/>
  <c r="L19" i="1551" s="1"/>
  <c r="D19" i="1551" s="1"/>
  <c r="H35" i="1551"/>
  <c r="D35" i="1551"/>
  <c r="R34" i="1551"/>
  <c r="H34" i="1551"/>
  <c r="G49" i="1551" s="1"/>
  <c r="D34" i="1551"/>
  <c r="R33" i="1551"/>
  <c r="R32" i="1551"/>
  <c r="L11" i="1551" s="1"/>
  <c r="D11" i="1551" s="1"/>
  <c r="R31" i="1551"/>
  <c r="R30" i="1551"/>
  <c r="R29" i="1551"/>
  <c r="R28" i="1551"/>
  <c r="D28" i="1551"/>
  <c r="R27" i="1551"/>
  <c r="D27" i="1551"/>
  <c r="R26" i="1551"/>
  <c r="L26" i="1551"/>
  <c r="D26" i="1551" s="1"/>
  <c r="R25" i="1551"/>
  <c r="D25" i="1551"/>
  <c r="R24" i="1551"/>
  <c r="L24" i="1551"/>
  <c r="D24" i="1551"/>
  <c r="R23" i="1551"/>
  <c r="L23" i="1551"/>
  <c r="D23" i="1551"/>
  <c r="R22" i="1551"/>
  <c r="D22" i="1551"/>
  <c r="R21" i="1551"/>
  <c r="L17" i="1551" s="1"/>
  <c r="D17" i="1551" s="1"/>
  <c r="D21" i="1551"/>
  <c r="R20" i="1551"/>
  <c r="R19" i="1551"/>
  <c r="R18" i="1551"/>
  <c r="D18" i="1551"/>
  <c r="R17" i="1551"/>
  <c r="R16" i="1551"/>
  <c r="L16" i="1551"/>
  <c r="D16" i="1551"/>
  <c r="R15" i="1551"/>
  <c r="D15" i="1551"/>
  <c r="R14" i="1551"/>
  <c r="D14" i="1551"/>
  <c r="R13" i="1551"/>
  <c r="D13" i="1551"/>
  <c r="R12" i="1551"/>
  <c r="L12" i="1551"/>
  <c r="D12" i="1551"/>
  <c r="R11" i="1551"/>
  <c r="L10" i="1551"/>
  <c r="D10" i="1551"/>
  <c r="L9" i="1551"/>
  <c r="D9" i="1551"/>
  <c r="L7" i="1551"/>
  <c r="D7" i="1551" s="1"/>
  <c r="R6" i="1551"/>
  <c r="R5" i="1551"/>
  <c r="R4" i="1551"/>
  <c r="R52" i="1550"/>
  <c r="R51" i="1550"/>
  <c r="D50" i="1550"/>
  <c r="R49" i="1550"/>
  <c r="D49" i="1550"/>
  <c r="R48" i="1550"/>
  <c r="D48" i="1550"/>
  <c r="D46" i="1550"/>
  <c r="D45" i="1550"/>
  <c r="P44" i="1550"/>
  <c r="R44" i="1550" s="1"/>
  <c r="D44" i="1550"/>
  <c r="R42" i="1550"/>
  <c r="D42" i="1550"/>
  <c r="R41" i="1550"/>
  <c r="D41" i="1550"/>
  <c r="R40" i="1550"/>
  <c r="L8" i="1550" s="1"/>
  <c r="D8" i="1550" s="1"/>
  <c r="D40" i="1550"/>
  <c r="R39" i="1550"/>
  <c r="L20" i="1550" s="1"/>
  <c r="D20" i="1550" s="1"/>
  <c r="H39" i="1550"/>
  <c r="D39" i="1550"/>
  <c r="R38" i="1550"/>
  <c r="L9" i="1550" s="1"/>
  <c r="D9" i="1550" s="1"/>
  <c r="H38" i="1550"/>
  <c r="D38" i="1550"/>
  <c r="R37" i="1550"/>
  <c r="H37" i="1550"/>
  <c r="D37" i="1550"/>
  <c r="R36" i="1550"/>
  <c r="H36" i="1550"/>
  <c r="D36" i="1550"/>
  <c r="R35" i="1550"/>
  <c r="H35" i="1550"/>
  <c r="D35" i="1550"/>
  <c r="R34" i="1550"/>
  <c r="H34" i="1550"/>
  <c r="G49" i="1550" s="1"/>
  <c r="D34" i="1550"/>
  <c r="R33" i="1550"/>
  <c r="R32" i="1550"/>
  <c r="L11" i="1550" s="1"/>
  <c r="D11" i="1550" s="1"/>
  <c r="R31" i="1550"/>
  <c r="R30" i="1550"/>
  <c r="R29" i="1550"/>
  <c r="R28" i="1550"/>
  <c r="D28" i="1550"/>
  <c r="R27" i="1550"/>
  <c r="D27" i="1550"/>
  <c r="R26" i="1550"/>
  <c r="L26" i="1550"/>
  <c r="D26" i="1550" s="1"/>
  <c r="R25" i="1550"/>
  <c r="L25" i="1550"/>
  <c r="D25" i="1550"/>
  <c r="R24" i="1550"/>
  <c r="D24" i="1550"/>
  <c r="R23" i="1550"/>
  <c r="D23" i="1550"/>
  <c r="R22" i="1550"/>
  <c r="D22" i="1550"/>
  <c r="R21" i="1550"/>
  <c r="D21" i="1550"/>
  <c r="R20" i="1550"/>
  <c r="R19" i="1550"/>
  <c r="D19" i="1550"/>
  <c r="R18" i="1550"/>
  <c r="D18" i="1550"/>
  <c r="R17" i="1550"/>
  <c r="L17" i="1550"/>
  <c r="D17" i="1550" s="1"/>
  <c r="R16" i="1550"/>
  <c r="L16" i="1550"/>
  <c r="D16" i="1550"/>
  <c r="R15" i="1550"/>
  <c r="D15" i="1550"/>
  <c r="R14" i="1550"/>
  <c r="D14" i="1550"/>
  <c r="R13" i="1550"/>
  <c r="D13" i="1550"/>
  <c r="R12" i="1550"/>
  <c r="L12" i="1550"/>
  <c r="D12" i="1550"/>
  <c r="R11" i="1550"/>
  <c r="L10" i="1550"/>
  <c r="D10" i="1550" s="1"/>
  <c r="L7" i="1550"/>
  <c r="D7" i="1550" s="1"/>
  <c r="R6" i="1550"/>
  <c r="L6" i="1550"/>
  <c r="D6" i="1550" s="1"/>
  <c r="R5" i="1550"/>
  <c r="R4" i="1550"/>
  <c r="D54" i="1549"/>
  <c r="H14" i="1549" s="1"/>
  <c r="R52" i="1549"/>
  <c r="R51" i="1549"/>
  <c r="D50" i="1549"/>
  <c r="R49" i="1549"/>
  <c r="G49" i="1549"/>
  <c r="D49" i="1549"/>
  <c r="R48" i="1549"/>
  <c r="D48" i="1549"/>
  <c r="D46" i="1549"/>
  <c r="D45" i="1549"/>
  <c r="D44" i="1549"/>
  <c r="R42" i="1549"/>
  <c r="D42" i="1549"/>
  <c r="R41" i="1549"/>
  <c r="L7" i="1549" s="1"/>
  <c r="D7" i="1549" s="1"/>
  <c r="D41" i="1549"/>
  <c r="R40" i="1549"/>
  <c r="L8" i="1549" s="1"/>
  <c r="D8" i="1549" s="1"/>
  <c r="D40" i="1549"/>
  <c r="R39" i="1549"/>
  <c r="D39" i="1549"/>
  <c r="R38" i="1549"/>
  <c r="L9" i="1549" s="1"/>
  <c r="D9" i="1549" s="1"/>
  <c r="D38" i="1549"/>
  <c r="R37" i="1549"/>
  <c r="D37" i="1549"/>
  <c r="R36" i="1549"/>
  <c r="L10" i="1549" s="1"/>
  <c r="D10" i="1549" s="1"/>
  <c r="D36" i="1549"/>
  <c r="R35" i="1549"/>
  <c r="D35" i="1549"/>
  <c r="R34" i="1549"/>
  <c r="D34" i="1549"/>
  <c r="R33" i="1549"/>
  <c r="L23" i="1549" s="1"/>
  <c r="D23" i="1549" s="1"/>
  <c r="R32" i="1549"/>
  <c r="L11" i="1549" s="1"/>
  <c r="D11" i="1549" s="1"/>
  <c r="R31" i="1549"/>
  <c r="R30" i="1549"/>
  <c r="R29" i="1549"/>
  <c r="R28" i="1549"/>
  <c r="L16" i="1549" s="1"/>
  <c r="D16" i="1549" s="1"/>
  <c r="D28" i="1549"/>
  <c r="R27" i="1549"/>
  <c r="D27" i="1549"/>
  <c r="R26" i="1549"/>
  <c r="L26" i="1549"/>
  <c r="D26" i="1549"/>
  <c r="R25" i="1549"/>
  <c r="L25" i="1549"/>
  <c r="D25" i="1549"/>
  <c r="R24" i="1549"/>
  <c r="D24" i="1549"/>
  <c r="R23" i="1549"/>
  <c r="R22" i="1549"/>
  <c r="L22" i="1549"/>
  <c r="D22" i="1549" s="1"/>
  <c r="R21" i="1549"/>
  <c r="D21" i="1549"/>
  <c r="R20" i="1549"/>
  <c r="L20" i="1549"/>
  <c r="D20" i="1549"/>
  <c r="R19" i="1549"/>
  <c r="L19" i="1549"/>
  <c r="D19" i="1549"/>
  <c r="R18" i="1549"/>
  <c r="D18" i="1549"/>
  <c r="R17" i="1549"/>
  <c r="D17" i="1549"/>
  <c r="R16" i="1549"/>
  <c r="S15" i="1549"/>
  <c r="R15" i="1549"/>
  <c r="D15" i="1549"/>
  <c r="S14" i="1549"/>
  <c r="R14" i="1549"/>
  <c r="D14" i="1549"/>
  <c r="R13" i="1549"/>
  <c r="D13" i="1549"/>
  <c r="R12" i="1549"/>
  <c r="L12" i="1549"/>
  <c r="D12" i="1549" s="1"/>
  <c r="R11" i="1549"/>
  <c r="R6" i="1549"/>
  <c r="L6" i="1549"/>
  <c r="D6" i="1549" s="1"/>
  <c r="R5" i="1549"/>
  <c r="R4" i="1549"/>
  <c r="R52" i="1548"/>
  <c r="R51" i="1548"/>
  <c r="D50" i="1548"/>
  <c r="R49" i="1548"/>
  <c r="D49" i="1548"/>
  <c r="R48" i="1548"/>
  <c r="D48" i="1548"/>
  <c r="D46" i="1548"/>
  <c r="D45" i="1548"/>
  <c r="D44" i="1548"/>
  <c r="R42" i="1548"/>
  <c r="D42" i="1548"/>
  <c r="R41" i="1548"/>
  <c r="D41" i="1548"/>
  <c r="R40" i="1548"/>
  <c r="L8" i="1548" s="1"/>
  <c r="D8" i="1548" s="1"/>
  <c r="D40" i="1548"/>
  <c r="R39" i="1548"/>
  <c r="H39" i="1548"/>
  <c r="D39" i="1548"/>
  <c r="R38" i="1548"/>
  <c r="L9" i="1548" s="1"/>
  <c r="D9" i="1548" s="1"/>
  <c r="H38" i="1548"/>
  <c r="D38" i="1548"/>
  <c r="R37" i="1548"/>
  <c r="H37" i="1548"/>
  <c r="D37" i="1548"/>
  <c r="R36" i="1548"/>
  <c r="H36" i="1548"/>
  <c r="D36" i="1548"/>
  <c r="R35" i="1548"/>
  <c r="H35" i="1548"/>
  <c r="D35" i="1548"/>
  <c r="R34" i="1548"/>
  <c r="H34" i="1548"/>
  <c r="D34" i="1548"/>
  <c r="R33" i="1548"/>
  <c r="L23" i="1548" s="1"/>
  <c r="D23" i="1548" s="1"/>
  <c r="R32" i="1548"/>
  <c r="R31" i="1548"/>
  <c r="R30" i="1548"/>
  <c r="R29" i="1548"/>
  <c r="R28" i="1548"/>
  <c r="L16" i="1548" s="1"/>
  <c r="D16" i="1548" s="1"/>
  <c r="D28" i="1548"/>
  <c r="R27" i="1548"/>
  <c r="D27" i="1548"/>
  <c r="R26" i="1548"/>
  <c r="L26" i="1548"/>
  <c r="D26" i="1548"/>
  <c r="R25" i="1548"/>
  <c r="L25" i="1548"/>
  <c r="D25" i="1548"/>
  <c r="R24" i="1548"/>
  <c r="D24" i="1548"/>
  <c r="R23" i="1548"/>
  <c r="R22" i="1548"/>
  <c r="L22" i="1548"/>
  <c r="D22" i="1548"/>
  <c r="R21" i="1548"/>
  <c r="D21" i="1548"/>
  <c r="R20" i="1548"/>
  <c r="L20" i="1548"/>
  <c r="D20" i="1548"/>
  <c r="R19" i="1548"/>
  <c r="L19" i="1548"/>
  <c r="D19" i="1548" s="1"/>
  <c r="R18" i="1548"/>
  <c r="D18" i="1548"/>
  <c r="R17" i="1548"/>
  <c r="D17" i="1548"/>
  <c r="R16" i="1548"/>
  <c r="R15" i="1548"/>
  <c r="D15" i="1548"/>
  <c r="R14" i="1548"/>
  <c r="D14" i="1548"/>
  <c r="R13" i="1548"/>
  <c r="D13" i="1548"/>
  <c r="R12" i="1548"/>
  <c r="L12" i="1548"/>
  <c r="D12" i="1548" s="1"/>
  <c r="R11" i="1548"/>
  <c r="L11" i="1548"/>
  <c r="D11" i="1548" s="1"/>
  <c r="L10" i="1548"/>
  <c r="D10" i="1548"/>
  <c r="L7" i="1548"/>
  <c r="D7" i="1548"/>
  <c r="R6" i="1548"/>
  <c r="L6" i="1548"/>
  <c r="D6" i="1548" s="1"/>
  <c r="R5" i="1548"/>
  <c r="R4" i="1548"/>
  <c r="R52" i="1547"/>
  <c r="R51" i="1547"/>
  <c r="D50" i="1547"/>
  <c r="R49" i="1547"/>
  <c r="D49" i="1547"/>
  <c r="R48" i="1547"/>
  <c r="D48" i="1547"/>
  <c r="D46" i="1547"/>
  <c r="D45" i="1547"/>
  <c r="D44" i="1547"/>
  <c r="R42" i="1547"/>
  <c r="D42" i="1547"/>
  <c r="R41" i="1547"/>
  <c r="L7" i="1547" s="1"/>
  <c r="D7" i="1547" s="1"/>
  <c r="D41" i="1547"/>
  <c r="R40" i="1547"/>
  <c r="L8" i="1547" s="1"/>
  <c r="D8" i="1547" s="1"/>
  <c r="D40" i="1547"/>
  <c r="R39" i="1547"/>
  <c r="L20" i="1547" s="1"/>
  <c r="D20" i="1547" s="1"/>
  <c r="H39" i="1547"/>
  <c r="D39" i="1547"/>
  <c r="R38" i="1547"/>
  <c r="H38" i="1547"/>
  <c r="D38" i="1547"/>
  <c r="R37" i="1547"/>
  <c r="H37" i="1547"/>
  <c r="D37" i="1547"/>
  <c r="R36" i="1547"/>
  <c r="L10" i="1547" s="1"/>
  <c r="D10" i="1547" s="1"/>
  <c r="H36" i="1547"/>
  <c r="D36" i="1547"/>
  <c r="R35" i="1547"/>
  <c r="H35" i="1547"/>
  <c r="D35" i="1547"/>
  <c r="R34" i="1547"/>
  <c r="H34" i="1547"/>
  <c r="D34" i="1547"/>
  <c r="R33" i="1547"/>
  <c r="L23" i="1547" s="1"/>
  <c r="D23" i="1547" s="1"/>
  <c r="R32" i="1547"/>
  <c r="L11" i="1547" s="1"/>
  <c r="D11" i="1547" s="1"/>
  <c r="R31" i="1547"/>
  <c r="R30" i="1547"/>
  <c r="R29" i="1547"/>
  <c r="R28" i="1547"/>
  <c r="D28" i="1547"/>
  <c r="R27" i="1547"/>
  <c r="D27" i="1547"/>
  <c r="R26" i="1547"/>
  <c r="L26" i="1547"/>
  <c r="D26" i="1547" s="1"/>
  <c r="R25" i="1547"/>
  <c r="L25" i="1547"/>
  <c r="D25" i="1547"/>
  <c r="R24" i="1547"/>
  <c r="L24" i="1547"/>
  <c r="D24" i="1547"/>
  <c r="R23" i="1547"/>
  <c r="R22" i="1547"/>
  <c r="L22" i="1547"/>
  <c r="D22" i="1547" s="1"/>
  <c r="R21" i="1547"/>
  <c r="L17" i="1547" s="1"/>
  <c r="D17" i="1547" s="1"/>
  <c r="D21" i="1547"/>
  <c r="R20" i="1547"/>
  <c r="R19" i="1547"/>
  <c r="L19" i="1547"/>
  <c r="D19" i="1547"/>
  <c r="R18" i="1547"/>
  <c r="D18" i="1547"/>
  <c r="R17" i="1547"/>
  <c r="R16" i="1547"/>
  <c r="L16" i="1547"/>
  <c r="D16" i="1547" s="1"/>
  <c r="R15" i="1547"/>
  <c r="D15" i="1547"/>
  <c r="R14" i="1547"/>
  <c r="D14" i="1547"/>
  <c r="R13" i="1547"/>
  <c r="D13" i="1547"/>
  <c r="R12" i="1547"/>
  <c r="L12" i="1547"/>
  <c r="D12" i="1547" s="1"/>
  <c r="R11" i="1547"/>
  <c r="L9" i="1547"/>
  <c r="D9" i="1547"/>
  <c r="R6" i="1547"/>
  <c r="L6" i="1547"/>
  <c r="D6" i="1547"/>
  <c r="R5" i="1547"/>
  <c r="R4" i="1547"/>
  <c r="R52" i="1546"/>
  <c r="R51" i="1546"/>
  <c r="D50" i="1546"/>
  <c r="R49" i="1546"/>
  <c r="D49" i="1546"/>
  <c r="R48" i="1546"/>
  <c r="D48" i="1546"/>
  <c r="D46" i="1546"/>
  <c r="D45" i="1546"/>
  <c r="P44" i="1546"/>
  <c r="R44" i="1546" s="1"/>
  <c r="D44" i="1546"/>
  <c r="R42" i="1546"/>
  <c r="D42" i="1546"/>
  <c r="R41" i="1546"/>
  <c r="D41" i="1546"/>
  <c r="R40" i="1546"/>
  <c r="L8" i="1546" s="1"/>
  <c r="D8" i="1546" s="1"/>
  <c r="D40" i="1546"/>
  <c r="R39" i="1546"/>
  <c r="L20" i="1546" s="1"/>
  <c r="D20" i="1546" s="1"/>
  <c r="H39" i="1546"/>
  <c r="D39" i="1546"/>
  <c r="R38" i="1546"/>
  <c r="L9" i="1546" s="1"/>
  <c r="D9" i="1546" s="1"/>
  <c r="H38" i="1546"/>
  <c r="D38" i="1546"/>
  <c r="R37" i="1546"/>
  <c r="H37" i="1546"/>
  <c r="D37" i="1546"/>
  <c r="R36" i="1546"/>
  <c r="H36" i="1546"/>
  <c r="D36" i="1546"/>
  <c r="R35" i="1546"/>
  <c r="H35" i="1546"/>
  <c r="D35" i="1546"/>
  <c r="R34" i="1546"/>
  <c r="L12" i="1546" s="1"/>
  <c r="D12" i="1546" s="1"/>
  <c r="H34" i="1546"/>
  <c r="D34" i="1546"/>
  <c r="R33" i="1546"/>
  <c r="R32" i="1546"/>
  <c r="R31" i="1546"/>
  <c r="R30" i="1546"/>
  <c r="R29" i="1546"/>
  <c r="R28" i="1546"/>
  <c r="D28" i="1546"/>
  <c r="R27" i="1546"/>
  <c r="D27" i="1546"/>
  <c r="R26" i="1546"/>
  <c r="L26" i="1546"/>
  <c r="D26" i="1546"/>
  <c r="R25" i="1546"/>
  <c r="L25" i="1546"/>
  <c r="D25" i="1546" s="1"/>
  <c r="R24" i="1546"/>
  <c r="L24" i="1546"/>
  <c r="D24" i="1546"/>
  <c r="R23" i="1546"/>
  <c r="D23" i="1546"/>
  <c r="R22" i="1546"/>
  <c r="D22" i="1546"/>
  <c r="R21" i="1546"/>
  <c r="D21" i="1546"/>
  <c r="R20" i="1546"/>
  <c r="R19" i="1546"/>
  <c r="D19" i="1546"/>
  <c r="R18" i="1546"/>
  <c r="D18" i="1546"/>
  <c r="R17" i="1546"/>
  <c r="L17" i="1546"/>
  <c r="D17" i="1546"/>
  <c r="R16" i="1546"/>
  <c r="L16" i="1546"/>
  <c r="D16" i="1546"/>
  <c r="R15" i="1546"/>
  <c r="D15" i="1546"/>
  <c r="R14" i="1546"/>
  <c r="D14" i="1546"/>
  <c r="R13" i="1546"/>
  <c r="D13" i="1546"/>
  <c r="R12" i="1546"/>
  <c r="R11" i="1546"/>
  <c r="L11" i="1546"/>
  <c r="D11" i="1546" s="1"/>
  <c r="L10" i="1546"/>
  <c r="D10" i="1546" s="1"/>
  <c r="L7" i="1546"/>
  <c r="D7" i="1546"/>
  <c r="R6" i="1546"/>
  <c r="L6" i="1546"/>
  <c r="D6" i="1546" s="1"/>
  <c r="R5" i="1546"/>
  <c r="R4" i="1546"/>
  <c r="R52" i="1545"/>
  <c r="R51" i="1545"/>
  <c r="D50" i="1545"/>
  <c r="R49" i="1545"/>
  <c r="G49" i="1545"/>
  <c r="D49" i="1545"/>
  <c r="R48" i="1545"/>
  <c r="D48" i="1545"/>
  <c r="D46" i="1545"/>
  <c r="D45" i="1545"/>
  <c r="D44" i="1545"/>
  <c r="R42" i="1545"/>
  <c r="L6" i="1545" s="1"/>
  <c r="D6" i="1545" s="1"/>
  <c r="D42" i="1545"/>
  <c r="R41" i="1545"/>
  <c r="L7" i="1545" s="1"/>
  <c r="D7" i="1545" s="1"/>
  <c r="D41" i="1545"/>
  <c r="R40" i="1545"/>
  <c r="L8" i="1545" s="1"/>
  <c r="D8" i="1545" s="1"/>
  <c r="D40" i="1545"/>
  <c r="R39" i="1545"/>
  <c r="D39" i="1545"/>
  <c r="R38" i="1545"/>
  <c r="D38" i="1545"/>
  <c r="R37" i="1545"/>
  <c r="D37" i="1545"/>
  <c r="R36" i="1545"/>
  <c r="L10" i="1545" s="1"/>
  <c r="D10" i="1545" s="1"/>
  <c r="D36" i="1545"/>
  <c r="R35" i="1545"/>
  <c r="D35" i="1545"/>
  <c r="R34" i="1545"/>
  <c r="L12" i="1545" s="1"/>
  <c r="D12" i="1545" s="1"/>
  <c r="D34" i="1545"/>
  <c r="D54" i="1545" s="1"/>
  <c r="H14" i="1545" s="1"/>
  <c r="R33" i="1545"/>
  <c r="L23" i="1545" s="1"/>
  <c r="D23" i="1545" s="1"/>
  <c r="R32" i="1545"/>
  <c r="R31" i="1545"/>
  <c r="R30" i="1545"/>
  <c r="R29" i="1545"/>
  <c r="R28" i="1545"/>
  <c r="D28" i="1545"/>
  <c r="R27" i="1545"/>
  <c r="D27" i="1545"/>
  <c r="R26" i="1545"/>
  <c r="L26" i="1545"/>
  <c r="D26" i="1545"/>
  <c r="R25" i="1545"/>
  <c r="L25" i="1545"/>
  <c r="D25" i="1545"/>
  <c r="R24" i="1545"/>
  <c r="D24" i="1545"/>
  <c r="R23" i="1545"/>
  <c r="R22" i="1545"/>
  <c r="L22" i="1545"/>
  <c r="D22" i="1545"/>
  <c r="R21" i="1545"/>
  <c r="D21" i="1545"/>
  <c r="R20" i="1545"/>
  <c r="L20" i="1545"/>
  <c r="D20" i="1545"/>
  <c r="R19" i="1545"/>
  <c r="L19" i="1545"/>
  <c r="D19" i="1545"/>
  <c r="R18" i="1545"/>
  <c r="D18" i="1545"/>
  <c r="R17" i="1545"/>
  <c r="D17" i="1545"/>
  <c r="R16" i="1545"/>
  <c r="L16" i="1545"/>
  <c r="D16" i="1545" s="1"/>
  <c r="S15" i="1545"/>
  <c r="R15" i="1545"/>
  <c r="D15" i="1545"/>
  <c r="S14" i="1545"/>
  <c r="R14" i="1545"/>
  <c r="D14" i="1545"/>
  <c r="R13" i="1545"/>
  <c r="D13" i="1545"/>
  <c r="R12" i="1545"/>
  <c r="R11" i="1545"/>
  <c r="L11" i="1545"/>
  <c r="D11" i="1545"/>
  <c r="L9" i="1545"/>
  <c r="D9" i="1545"/>
  <c r="R6" i="1545"/>
  <c r="R5" i="1545"/>
  <c r="R4" i="1545"/>
  <c r="R52" i="1544"/>
  <c r="R51" i="1544"/>
  <c r="D50" i="1544"/>
  <c r="R49" i="1544"/>
  <c r="D49" i="1544"/>
  <c r="R48" i="1544"/>
  <c r="D48" i="1544"/>
  <c r="D46" i="1544"/>
  <c r="D45" i="1544"/>
  <c r="D44" i="1544"/>
  <c r="R42" i="1544"/>
  <c r="D42" i="1544"/>
  <c r="R41" i="1544"/>
  <c r="L7" i="1544" s="1"/>
  <c r="D7" i="1544" s="1"/>
  <c r="D41" i="1544"/>
  <c r="R40" i="1544"/>
  <c r="L8" i="1544" s="1"/>
  <c r="D8" i="1544" s="1"/>
  <c r="D40" i="1544"/>
  <c r="R39" i="1544"/>
  <c r="H39" i="1544"/>
  <c r="D39" i="1544"/>
  <c r="R38" i="1544"/>
  <c r="H38" i="1544"/>
  <c r="D38" i="1544"/>
  <c r="R37" i="1544"/>
  <c r="H37" i="1544"/>
  <c r="D37" i="1544"/>
  <c r="R36" i="1544"/>
  <c r="L10" i="1544" s="1"/>
  <c r="D10" i="1544" s="1"/>
  <c r="H36" i="1544"/>
  <c r="D36" i="1544"/>
  <c r="R35" i="1544"/>
  <c r="L19" i="1544" s="1"/>
  <c r="D19" i="1544" s="1"/>
  <c r="H35" i="1544"/>
  <c r="D35" i="1544"/>
  <c r="R34" i="1544"/>
  <c r="H34" i="1544"/>
  <c r="G49" i="1544" s="1"/>
  <c r="D34" i="1544"/>
  <c r="R33" i="1544"/>
  <c r="L23" i="1544" s="1"/>
  <c r="D23" i="1544" s="1"/>
  <c r="R32" i="1544"/>
  <c r="L11" i="1544" s="1"/>
  <c r="D11" i="1544" s="1"/>
  <c r="R31" i="1544"/>
  <c r="R30" i="1544"/>
  <c r="R29" i="1544"/>
  <c r="R28" i="1544"/>
  <c r="L16" i="1544" s="1"/>
  <c r="D16" i="1544" s="1"/>
  <c r="D28" i="1544"/>
  <c r="R27" i="1544"/>
  <c r="D27" i="1544"/>
  <c r="R26" i="1544"/>
  <c r="L26" i="1544"/>
  <c r="D26" i="1544"/>
  <c r="R25" i="1544"/>
  <c r="L25" i="1544"/>
  <c r="D25" i="1544" s="1"/>
  <c r="R24" i="1544"/>
  <c r="D24" i="1544"/>
  <c r="R23" i="1544"/>
  <c r="R22" i="1544"/>
  <c r="L22" i="1544"/>
  <c r="D22" i="1544" s="1"/>
  <c r="R21" i="1544"/>
  <c r="D21" i="1544"/>
  <c r="R20" i="1544"/>
  <c r="L20" i="1544"/>
  <c r="D20" i="1544"/>
  <c r="R19" i="1544"/>
  <c r="R18" i="1544"/>
  <c r="D18" i="1544"/>
  <c r="R17" i="1544"/>
  <c r="D17" i="1544"/>
  <c r="R16" i="1544"/>
  <c r="R15" i="1544"/>
  <c r="D15" i="1544"/>
  <c r="R14" i="1544"/>
  <c r="D14" i="1544"/>
  <c r="R13" i="1544"/>
  <c r="D13" i="1544"/>
  <c r="R12" i="1544"/>
  <c r="L12" i="1544"/>
  <c r="D12" i="1544" s="1"/>
  <c r="R11" i="1544"/>
  <c r="L9" i="1544"/>
  <c r="D9" i="1544"/>
  <c r="R6" i="1544"/>
  <c r="L6" i="1544"/>
  <c r="D6" i="1544" s="1"/>
  <c r="R5" i="1544"/>
  <c r="R4" i="1544"/>
  <c r="R52" i="1543"/>
  <c r="R51" i="1543"/>
  <c r="D50" i="1543"/>
  <c r="R49" i="1543"/>
  <c r="D49" i="1543"/>
  <c r="R48" i="1543"/>
  <c r="D48" i="1543"/>
  <c r="D46" i="1543"/>
  <c r="D45" i="1543"/>
  <c r="D44" i="1543"/>
  <c r="R42" i="1543"/>
  <c r="D42" i="1543"/>
  <c r="R41" i="1543"/>
  <c r="L7" i="1543" s="1"/>
  <c r="D7" i="1543" s="1"/>
  <c r="D41" i="1543"/>
  <c r="R40" i="1543"/>
  <c r="L8" i="1543" s="1"/>
  <c r="D8" i="1543" s="1"/>
  <c r="D40" i="1543"/>
  <c r="R39" i="1543"/>
  <c r="L20" i="1543" s="1"/>
  <c r="D20" i="1543" s="1"/>
  <c r="H39" i="1543"/>
  <c r="D39" i="1543"/>
  <c r="R38" i="1543"/>
  <c r="L9" i="1543" s="1"/>
  <c r="D9" i="1543" s="1"/>
  <c r="H38" i="1543"/>
  <c r="D38" i="1543"/>
  <c r="R37" i="1543"/>
  <c r="H37" i="1543"/>
  <c r="D37" i="1543"/>
  <c r="R36" i="1543"/>
  <c r="L10" i="1543" s="1"/>
  <c r="D10" i="1543" s="1"/>
  <c r="H36" i="1543"/>
  <c r="D36" i="1543"/>
  <c r="R35" i="1543"/>
  <c r="L19" i="1543" s="1"/>
  <c r="D19" i="1543" s="1"/>
  <c r="H35" i="1543"/>
  <c r="D35" i="1543"/>
  <c r="R34" i="1543"/>
  <c r="H34" i="1543"/>
  <c r="D34" i="1543"/>
  <c r="R33" i="1543"/>
  <c r="L23" i="1543" s="1"/>
  <c r="D23" i="1543" s="1"/>
  <c r="R32" i="1543"/>
  <c r="L11" i="1543" s="1"/>
  <c r="D11" i="1543" s="1"/>
  <c r="R31" i="1543"/>
  <c r="R30" i="1543"/>
  <c r="R29" i="1543"/>
  <c r="R28" i="1543"/>
  <c r="D28" i="1543"/>
  <c r="R27" i="1543"/>
  <c r="D27" i="1543"/>
  <c r="R26" i="1543"/>
  <c r="L26" i="1543"/>
  <c r="D26" i="1543" s="1"/>
  <c r="R25" i="1543"/>
  <c r="L25" i="1543"/>
  <c r="D25" i="1543"/>
  <c r="R24" i="1543"/>
  <c r="L24" i="1543"/>
  <c r="D24" i="1543" s="1"/>
  <c r="R23" i="1543"/>
  <c r="R22" i="1543"/>
  <c r="L22" i="1543"/>
  <c r="D22" i="1543" s="1"/>
  <c r="R21" i="1543"/>
  <c r="L17" i="1543" s="1"/>
  <c r="D17" i="1543" s="1"/>
  <c r="D21" i="1543"/>
  <c r="R20" i="1543"/>
  <c r="R19" i="1543"/>
  <c r="R18" i="1543"/>
  <c r="D18" i="1543"/>
  <c r="R17" i="1543"/>
  <c r="R16" i="1543"/>
  <c r="L16" i="1543"/>
  <c r="D16" i="1543" s="1"/>
  <c r="R15" i="1543"/>
  <c r="D15" i="1543"/>
  <c r="R14" i="1543"/>
  <c r="D14" i="1543"/>
  <c r="R13" i="1543"/>
  <c r="D13" i="1543"/>
  <c r="R12" i="1543"/>
  <c r="L12" i="1543"/>
  <c r="D12" i="1543"/>
  <c r="R11" i="1543"/>
  <c r="R6" i="1543"/>
  <c r="L6" i="1543"/>
  <c r="D6" i="1543" s="1"/>
  <c r="R5" i="1543"/>
  <c r="R4" i="1543"/>
  <c r="R52" i="1542"/>
  <c r="R51" i="1542"/>
  <c r="D50" i="1542"/>
  <c r="R49" i="1542"/>
  <c r="D49" i="1542"/>
  <c r="R48" i="1542"/>
  <c r="D48" i="1542"/>
  <c r="D46" i="1542"/>
  <c r="D45" i="1542"/>
  <c r="P44" i="1542"/>
  <c r="R44" i="1542" s="1"/>
  <c r="D44" i="1542"/>
  <c r="R42" i="1542"/>
  <c r="L6" i="1542" s="1"/>
  <c r="D6" i="1542" s="1"/>
  <c r="D42" i="1542"/>
  <c r="R41" i="1542"/>
  <c r="L7" i="1542" s="1"/>
  <c r="D7" i="1542" s="1"/>
  <c r="D41" i="1542"/>
  <c r="R40" i="1542"/>
  <c r="D40" i="1542"/>
  <c r="R39" i="1542"/>
  <c r="L20" i="1542" s="1"/>
  <c r="D20" i="1542" s="1"/>
  <c r="H39" i="1542"/>
  <c r="D39" i="1542"/>
  <c r="R38" i="1542"/>
  <c r="H38" i="1542"/>
  <c r="D38" i="1542"/>
  <c r="R37" i="1542"/>
  <c r="H37" i="1542"/>
  <c r="D37" i="1542"/>
  <c r="R36" i="1542"/>
  <c r="H36" i="1542"/>
  <c r="D36" i="1542"/>
  <c r="R35" i="1542"/>
  <c r="H35" i="1542"/>
  <c r="D35" i="1542"/>
  <c r="R34" i="1542"/>
  <c r="H34" i="1542"/>
  <c r="D34" i="1542"/>
  <c r="R33" i="1542"/>
  <c r="R32" i="1542"/>
  <c r="R31" i="1542"/>
  <c r="R30" i="1542"/>
  <c r="R29" i="1542"/>
  <c r="R28" i="1542"/>
  <c r="D28" i="1542"/>
  <c r="R27" i="1542"/>
  <c r="D27" i="1542"/>
  <c r="R26" i="1542"/>
  <c r="L26" i="1542"/>
  <c r="D26" i="1542"/>
  <c r="R25" i="1542"/>
  <c r="L25" i="1542"/>
  <c r="D25" i="1542"/>
  <c r="R24" i="1542"/>
  <c r="L24" i="1542"/>
  <c r="D24" i="1542"/>
  <c r="R23" i="1542"/>
  <c r="D23" i="1542"/>
  <c r="R22" i="1542"/>
  <c r="D22" i="1542"/>
  <c r="R21" i="1542"/>
  <c r="D21" i="1542"/>
  <c r="R20" i="1542"/>
  <c r="R19" i="1542"/>
  <c r="D19" i="1542"/>
  <c r="R18" i="1542"/>
  <c r="D18" i="1542"/>
  <c r="R17" i="1542"/>
  <c r="L17" i="1542"/>
  <c r="D17" i="1542"/>
  <c r="R16" i="1542"/>
  <c r="L16" i="1542"/>
  <c r="D16" i="1542"/>
  <c r="R15" i="1542"/>
  <c r="D15" i="1542"/>
  <c r="R14" i="1542"/>
  <c r="D14" i="1542"/>
  <c r="R13" i="1542"/>
  <c r="D13" i="1542"/>
  <c r="R12" i="1542"/>
  <c r="L12" i="1542"/>
  <c r="D12" i="1542"/>
  <c r="R11" i="1542"/>
  <c r="L11" i="1542"/>
  <c r="D11" i="1542"/>
  <c r="L10" i="1542"/>
  <c r="D10" i="1542" s="1"/>
  <c r="L9" i="1542"/>
  <c r="D9" i="1542" s="1"/>
  <c r="L8" i="1542"/>
  <c r="D8" i="1542"/>
  <c r="R6" i="1542"/>
  <c r="R5" i="1542"/>
  <c r="R4" i="1542"/>
  <c r="D54" i="1541"/>
  <c r="H14" i="1541" s="1"/>
  <c r="R52" i="1541"/>
  <c r="R51" i="1541"/>
  <c r="D50" i="1541"/>
  <c r="R49" i="1541"/>
  <c r="G49" i="1541"/>
  <c r="D49" i="1541"/>
  <c r="R48" i="1541"/>
  <c r="D48" i="1541"/>
  <c r="D46" i="1541"/>
  <c r="D45" i="1541"/>
  <c r="D44" i="1541"/>
  <c r="R42" i="1541"/>
  <c r="D42" i="1541"/>
  <c r="R41" i="1541"/>
  <c r="L7" i="1541" s="1"/>
  <c r="D7" i="1541" s="1"/>
  <c r="D41" i="1541"/>
  <c r="R40" i="1541"/>
  <c r="L8" i="1541" s="1"/>
  <c r="D8" i="1541" s="1"/>
  <c r="D40" i="1541"/>
  <c r="R39" i="1541"/>
  <c r="D39" i="1541"/>
  <c r="R38" i="1541"/>
  <c r="D38" i="1541"/>
  <c r="R37" i="1541"/>
  <c r="D37" i="1541"/>
  <c r="R36" i="1541"/>
  <c r="D36" i="1541"/>
  <c r="R35" i="1541"/>
  <c r="D35" i="1541"/>
  <c r="R34" i="1541"/>
  <c r="L12" i="1541" s="1"/>
  <c r="D12" i="1541" s="1"/>
  <c r="D34" i="1541"/>
  <c r="R33" i="1541"/>
  <c r="L23" i="1541" s="1"/>
  <c r="D23" i="1541" s="1"/>
  <c r="R32" i="1541"/>
  <c r="L11" i="1541" s="1"/>
  <c r="D11" i="1541" s="1"/>
  <c r="R31" i="1541"/>
  <c r="R30" i="1541"/>
  <c r="R29" i="1541"/>
  <c r="R28" i="1541"/>
  <c r="L16" i="1541" s="1"/>
  <c r="D16" i="1541" s="1"/>
  <c r="D28" i="1541"/>
  <c r="R27" i="1541"/>
  <c r="D27" i="1541"/>
  <c r="R26" i="1541"/>
  <c r="L26" i="1541"/>
  <c r="D26" i="1541"/>
  <c r="R25" i="1541"/>
  <c r="L25" i="1541"/>
  <c r="D25" i="1541"/>
  <c r="R24" i="1541"/>
  <c r="D24" i="1541"/>
  <c r="R23" i="1541"/>
  <c r="R22" i="1541"/>
  <c r="L22" i="1541"/>
  <c r="D22" i="1541"/>
  <c r="R21" i="1541"/>
  <c r="D21" i="1541"/>
  <c r="R20" i="1541"/>
  <c r="L20" i="1541"/>
  <c r="D20" i="1541"/>
  <c r="R19" i="1541"/>
  <c r="L19" i="1541"/>
  <c r="D19" i="1541"/>
  <c r="R18" i="1541"/>
  <c r="D18" i="1541"/>
  <c r="R17" i="1541"/>
  <c r="D17" i="1541"/>
  <c r="R16" i="1541"/>
  <c r="S15" i="1541"/>
  <c r="R15" i="1541"/>
  <c r="D15" i="1541"/>
  <c r="S14" i="1541"/>
  <c r="R14" i="1541"/>
  <c r="D14" i="1541"/>
  <c r="R13" i="1541"/>
  <c r="D13" i="1541"/>
  <c r="R12" i="1541"/>
  <c r="R11" i="1541"/>
  <c r="L10" i="1541"/>
  <c r="D10" i="1541"/>
  <c r="L9" i="1541"/>
  <c r="D9" i="1541"/>
  <c r="R6" i="1541"/>
  <c r="L6" i="1541"/>
  <c r="D6" i="1541" s="1"/>
  <c r="R5" i="1541"/>
  <c r="R4" i="1541"/>
  <c r="G49" i="1556" l="1"/>
  <c r="G49" i="1555"/>
  <c r="G49" i="1554"/>
  <c r="D54" i="1556"/>
  <c r="H14" i="1556" s="1"/>
  <c r="D54" i="1555"/>
  <c r="H14" i="1555" s="1"/>
  <c r="D54" i="1554"/>
  <c r="H14" i="1554" s="1"/>
  <c r="D54" i="1552"/>
  <c r="H14" i="1552" s="1"/>
  <c r="D54" i="1551"/>
  <c r="H14" i="1551" s="1"/>
  <c r="D54" i="1550"/>
  <c r="H14" i="1550" s="1"/>
  <c r="G49" i="1547"/>
  <c r="G49" i="1546"/>
  <c r="D54" i="1548"/>
  <c r="H14" i="1548" s="1"/>
  <c r="D54" i="1547"/>
  <c r="H14" i="1547" s="1"/>
  <c r="D54" i="1546"/>
  <c r="H14" i="1546" s="1"/>
  <c r="D54" i="1544"/>
  <c r="H14" i="1544" s="1"/>
  <c r="D54" i="1543"/>
  <c r="H14" i="1543" s="1"/>
  <c r="D54" i="1542"/>
  <c r="H14" i="1542" s="1"/>
  <c r="G49" i="1543"/>
  <c r="G49" i="1542"/>
  <c r="D29" i="1564"/>
  <c r="H13" i="1564" s="1"/>
  <c r="H15" i="1564" s="1"/>
  <c r="H29" i="1564" s="1"/>
  <c r="G51" i="1564" s="1"/>
  <c r="G51" i="1563"/>
  <c r="G51" i="1562"/>
  <c r="D29" i="1561"/>
  <c r="H13" i="1561" s="1"/>
  <c r="H15" i="1561" s="1"/>
  <c r="H29" i="1561" s="1"/>
  <c r="G51" i="1561" s="1"/>
  <c r="H15" i="1559"/>
  <c r="H29" i="1559" s="1"/>
  <c r="G51" i="1559"/>
  <c r="D29" i="1558"/>
  <c r="H13" i="1558" s="1"/>
  <c r="H15" i="1558" s="1"/>
  <c r="H29" i="1558" s="1"/>
  <c r="G51" i="1558" s="1"/>
  <c r="D29" i="1557"/>
  <c r="H13" i="1557" s="1"/>
  <c r="H15" i="1557" s="1"/>
  <c r="H29" i="1557" s="1"/>
  <c r="G51" i="1557" s="1"/>
  <c r="D29" i="1556"/>
  <c r="H13" i="1556" s="1"/>
  <c r="D29" i="1555"/>
  <c r="H13" i="1555" s="1"/>
  <c r="D29" i="1554"/>
  <c r="H13" i="1554" s="1"/>
  <c r="H15" i="1554" s="1"/>
  <c r="H29" i="1554" s="1"/>
  <c r="D29" i="1553"/>
  <c r="H13" i="1553" s="1"/>
  <c r="H15" i="1553" s="1"/>
  <c r="H29" i="1553" s="1"/>
  <c r="G51" i="1553" s="1"/>
  <c r="D29" i="1552"/>
  <c r="H13" i="1552" s="1"/>
  <c r="D29" i="1551"/>
  <c r="H13" i="1551" s="1"/>
  <c r="H15" i="1551" s="1"/>
  <c r="H29" i="1551" s="1"/>
  <c r="G51" i="1551" s="1"/>
  <c r="D29" i="1550"/>
  <c r="H13" i="1550" s="1"/>
  <c r="D29" i="1549"/>
  <c r="H13" i="1549" s="1"/>
  <c r="H15" i="1549" s="1"/>
  <c r="H29" i="1549" s="1"/>
  <c r="G51" i="1549" s="1"/>
  <c r="D29" i="1548"/>
  <c r="H13" i="1548" s="1"/>
  <c r="D29" i="1547"/>
  <c r="H13" i="1547" s="1"/>
  <c r="D29" i="1546"/>
  <c r="H13" i="1546" s="1"/>
  <c r="H15" i="1546" s="1"/>
  <c r="H29" i="1546" s="1"/>
  <c r="G51" i="1546" s="1"/>
  <c r="D29" i="1545"/>
  <c r="H13" i="1545" s="1"/>
  <c r="H15" i="1545" s="1"/>
  <c r="H29" i="1545" s="1"/>
  <c r="G51" i="1545" s="1"/>
  <c r="D29" i="1544"/>
  <c r="H13" i="1544" s="1"/>
  <c r="D29" i="1543"/>
  <c r="H13" i="1543" s="1"/>
  <c r="D29" i="1542"/>
  <c r="H13" i="1542" s="1"/>
  <c r="D29" i="1541"/>
  <c r="H13" i="1541" s="1"/>
  <c r="H15" i="1541" s="1"/>
  <c r="H29" i="1541" s="1"/>
  <c r="G51" i="1541" s="1"/>
  <c r="R52" i="1539"/>
  <c r="R51" i="1539"/>
  <c r="D50" i="1539"/>
  <c r="R49" i="1539"/>
  <c r="D49" i="1539"/>
  <c r="R48" i="1539"/>
  <c r="D48" i="1539"/>
  <c r="D46" i="1539"/>
  <c r="D45" i="1539"/>
  <c r="D44" i="1539"/>
  <c r="R42" i="1539"/>
  <c r="L6" i="1539" s="1"/>
  <c r="D6" i="1539" s="1"/>
  <c r="D42" i="1539"/>
  <c r="R41" i="1539"/>
  <c r="L7" i="1539" s="1"/>
  <c r="D7" i="1539" s="1"/>
  <c r="D41" i="1539"/>
  <c r="R40" i="1539"/>
  <c r="L8" i="1539" s="1"/>
  <c r="D8" i="1539" s="1"/>
  <c r="D40" i="1539"/>
  <c r="R39" i="1539"/>
  <c r="H39" i="1539"/>
  <c r="D39" i="1539"/>
  <c r="R38" i="1539"/>
  <c r="H38" i="1539"/>
  <c r="D38" i="1539"/>
  <c r="R37" i="1539"/>
  <c r="H37" i="1539"/>
  <c r="D37" i="1539"/>
  <c r="R36" i="1539"/>
  <c r="H36" i="1539"/>
  <c r="D36" i="1539"/>
  <c r="R35" i="1539"/>
  <c r="H35" i="1539"/>
  <c r="D35" i="1539"/>
  <c r="R34" i="1539"/>
  <c r="H34" i="1539"/>
  <c r="D34" i="1539"/>
  <c r="R33" i="1539"/>
  <c r="L23" i="1539" s="1"/>
  <c r="D23" i="1539" s="1"/>
  <c r="R32" i="1539"/>
  <c r="R31" i="1539"/>
  <c r="R30" i="1539"/>
  <c r="R29" i="1539"/>
  <c r="R28" i="1539"/>
  <c r="D28" i="1539"/>
  <c r="R27" i="1539"/>
  <c r="D27" i="1539"/>
  <c r="R26" i="1539"/>
  <c r="L26" i="1539"/>
  <c r="D26" i="1539" s="1"/>
  <c r="R25" i="1539"/>
  <c r="L25" i="1539"/>
  <c r="D25" i="1539" s="1"/>
  <c r="R24" i="1539"/>
  <c r="D24" i="1539"/>
  <c r="R23" i="1539"/>
  <c r="R22" i="1539"/>
  <c r="L22" i="1539"/>
  <c r="D22" i="1539"/>
  <c r="R21" i="1539"/>
  <c r="D21" i="1539"/>
  <c r="R20" i="1539"/>
  <c r="L20" i="1539"/>
  <c r="D20" i="1539" s="1"/>
  <c r="R19" i="1539"/>
  <c r="L19" i="1539"/>
  <c r="D19" i="1539" s="1"/>
  <c r="R18" i="1539"/>
  <c r="D18" i="1539"/>
  <c r="R17" i="1539"/>
  <c r="D17" i="1539"/>
  <c r="R16" i="1539"/>
  <c r="L16" i="1539"/>
  <c r="D16" i="1539" s="1"/>
  <c r="R15" i="1539"/>
  <c r="D15" i="1539"/>
  <c r="R14" i="1539"/>
  <c r="D14" i="1539"/>
  <c r="R13" i="1539"/>
  <c r="D13" i="1539"/>
  <c r="R12" i="1539"/>
  <c r="L12" i="1539"/>
  <c r="D12" i="1539" s="1"/>
  <c r="R11" i="1539"/>
  <c r="L11" i="1539"/>
  <c r="D11" i="1539"/>
  <c r="L10" i="1539"/>
  <c r="D10" i="1539"/>
  <c r="L9" i="1539"/>
  <c r="D9" i="1539"/>
  <c r="R6" i="1539"/>
  <c r="R5" i="1539"/>
  <c r="R4" i="1539"/>
  <c r="R52" i="1538"/>
  <c r="R51" i="1538"/>
  <c r="D50" i="1538"/>
  <c r="R49" i="1538"/>
  <c r="D49" i="1538"/>
  <c r="R48" i="1538"/>
  <c r="D48" i="1538"/>
  <c r="D46" i="1538"/>
  <c r="D45" i="1538"/>
  <c r="D44" i="1538"/>
  <c r="R42" i="1538"/>
  <c r="D42" i="1538"/>
  <c r="R41" i="1538"/>
  <c r="D41" i="1538"/>
  <c r="R40" i="1538"/>
  <c r="D40" i="1538"/>
  <c r="R39" i="1538"/>
  <c r="H39" i="1538"/>
  <c r="D39" i="1538"/>
  <c r="R38" i="1538"/>
  <c r="H38" i="1538"/>
  <c r="D38" i="1538"/>
  <c r="R37" i="1538"/>
  <c r="H37" i="1538"/>
  <c r="D37" i="1538"/>
  <c r="R36" i="1538"/>
  <c r="L10" i="1538" s="1"/>
  <c r="D10" i="1538" s="1"/>
  <c r="H36" i="1538"/>
  <c r="D36" i="1538"/>
  <c r="R35" i="1538"/>
  <c r="H35" i="1538"/>
  <c r="D35" i="1538"/>
  <c r="R34" i="1538"/>
  <c r="L12" i="1538" s="1"/>
  <c r="D12" i="1538" s="1"/>
  <c r="H34" i="1538"/>
  <c r="D34" i="1538"/>
  <c r="R33" i="1538"/>
  <c r="R32" i="1538"/>
  <c r="L11" i="1538" s="1"/>
  <c r="D11" i="1538" s="1"/>
  <c r="R31" i="1538"/>
  <c r="R30" i="1538"/>
  <c r="R29" i="1538"/>
  <c r="R28" i="1538"/>
  <c r="D28" i="1538"/>
  <c r="R27" i="1538"/>
  <c r="D27" i="1538"/>
  <c r="R26" i="1538"/>
  <c r="L26" i="1538"/>
  <c r="D26" i="1538"/>
  <c r="R25" i="1538"/>
  <c r="L25" i="1538"/>
  <c r="D25" i="1538"/>
  <c r="R24" i="1538"/>
  <c r="L24" i="1538"/>
  <c r="D24" i="1538" s="1"/>
  <c r="R23" i="1538"/>
  <c r="L23" i="1538"/>
  <c r="D23" i="1538" s="1"/>
  <c r="R22" i="1538"/>
  <c r="L22" i="1538"/>
  <c r="D22" i="1538" s="1"/>
  <c r="R21" i="1538"/>
  <c r="D21" i="1538"/>
  <c r="R20" i="1538"/>
  <c r="L20" i="1538"/>
  <c r="D20" i="1538" s="1"/>
  <c r="R19" i="1538"/>
  <c r="L19" i="1538"/>
  <c r="D19" i="1538"/>
  <c r="R18" i="1538"/>
  <c r="D18" i="1538"/>
  <c r="R17" i="1538"/>
  <c r="L17" i="1538"/>
  <c r="D17" i="1538" s="1"/>
  <c r="R16" i="1538"/>
  <c r="L16" i="1538"/>
  <c r="D16" i="1538" s="1"/>
  <c r="R15" i="1538"/>
  <c r="D15" i="1538"/>
  <c r="R14" i="1538"/>
  <c r="D14" i="1538"/>
  <c r="R13" i="1538"/>
  <c r="D13" i="1538"/>
  <c r="R12" i="1538"/>
  <c r="R11" i="1538"/>
  <c r="L9" i="1538"/>
  <c r="D9" i="1538"/>
  <c r="L8" i="1538"/>
  <c r="D8" i="1538" s="1"/>
  <c r="L7" i="1538"/>
  <c r="D7" i="1538"/>
  <c r="R6" i="1538"/>
  <c r="L6" i="1538"/>
  <c r="D6" i="1538" s="1"/>
  <c r="R5" i="1538"/>
  <c r="R4" i="1538"/>
  <c r="R52" i="1537"/>
  <c r="R51" i="1537"/>
  <c r="D50" i="1537"/>
  <c r="R49" i="1537"/>
  <c r="D49" i="1537"/>
  <c r="R48" i="1537"/>
  <c r="D48" i="1537"/>
  <c r="D46" i="1537"/>
  <c r="D45" i="1537"/>
  <c r="P44" i="1537"/>
  <c r="R44" i="1537" s="1"/>
  <c r="D44" i="1537"/>
  <c r="R42" i="1537"/>
  <c r="L6" i="1537" s="1"/>
  <c r="D6" i="1537" s="1"/>
  <c r="D42" i="1537"/>
  <c r="R41" i="1537"/>
  <c r="L7" i="1537" s="1"/>
  <c r="D7" i="1537" s="1"/>
  <c r="D41" i="1537"/>
  <c r="R40" i="1537"/>
  <c r="D40" i="1537"/>
  <c r="R39" i="1537"/>
  <c r="L20" i="1537" s="1"/>
  <c r="D20" i="1537" s="1"/>
  <c r="H39" i="1537"/>
  <c r="D39" i="1537"/>
  <c r="R38" i="1537"/>
  <c r="H38" i="1537"/>
  <c r="D38" i="1537"/>
  <c r="R37" i="1537"/>
  <c r="H37" i="1537"/>
  <c r="D37" i="1537"/>
  <c r="R36" i="1537"/>
  <c r="H36" i="1537"/>
  <c r="D36" i="1537"/>
  <c r="R35" i="1537"/>
  <c r="H35" i="1537"/>
  <c r="D35" i="1537"/>
  <c r="R34" i="1537"/>
  <c r="L12" i="1537" s="1"/>
  <c r="D12" i="1537" s="1"/>
  <c r="H34" i="1537"/>
  <c r="D34" i="1537"/>
  <c r="R33" i="1537"/>
  <c r="R32" i="1537"/>
  <c r="R31" i="1537"/>
  <c r="R30" i="1537"/>
  <c r="R29" i="1537"/>
  <c r="R28" i="1537"/>
  <c r="D28" i="1537"/>
  <c r="R27" i="1537"/>
  <c r="D27" i="1537"/>
  <c r="R26" i="1537"/>
  <c r="D26" i="1537"/>
  <c r="R25" i="1537"/>
  <c r="D25" i="1537"/>
  <c r="R24" i="1537"/>
  <c r="L24" i="1537"/>
  <c r="D24" i="1537"/>
  <c r="R23" i="1537"/>
  <c r="D23" i="1537"/>
  <c r="R22" i="1537"/>
  <c r="D22" i="1537"/>
  <c r="R21" i="1537"/>
  <c r="D21" i="1537"/>
  <c r="R20" i="1537"/>
  <c r="R19" i="1537"/>
  <c r="D19" i="1537"/>
  <c r="R18" i="1537"/>
  <c r="D18" i="1537"/>
  <c r="R17" i="1537"/>
  <c r="L17" i="1537"/>
  <c r="D17" i="1537"/>
  <c r="R16" i="1537"/>
  <c r="L16" i="1537"/>
  <c r="D16" i="1537"/>
  <c r="R15" i="1537"/>
  <c r="D15" i="1537"/>
  <c r="R14" i="1537"/>
  <c r="D14" i="1537"/>
  <c r="R13" i="1537"/>
  <c r="D13" i="1537"/>
  <c r="R12" i="1537"/>
  <c r="R11" i="1537"/>
  <c r="L11" i="1537"/>
  <c r="D11" i="1537"/>
  <c r="L10" i="1537"/>
  <c r="D10" i="1537" s="1"/>
  <c r="L9" i="1537"/>
  <c r="D9" i="1537" s="1"/>
  <c r="L8" i="1537"/>
  <c r="D8" i="1537"/>
  <c r="R6" i="1537"/>
  <c r="R5" i="1537"/>
  <c r="R4" i="1537"/>
  <c r="R52" i="1536"/>
  <c r="R51" i="1536"/>
  <c r="D50" i="1536"/>
  <c r="R49" i="1536"/>
  <c r="G49" i="1536"/>
  <c r="D49" i="1536"/>
  <c r="R48" i="1536"/>
  <c r="D48" i="1536"/>
  <c r="D46" i="1536"/>
  <c r="D45" i="1536"/>
  <c r="D44" i="1536"/>
  <c r="R42" i="1536"/>
  <c r="D42" i="1536"/>
  <c r="R41" i="1536"/>
  <c r="L7" i="1536" s="1"/>
  <c r="D7" i="1536" s="1"/>
  <c r="D41" i="1536"/>
  <c r="R40" i="1536"/>
  <c r="L8" i="1536" s="1"/>
  <c r="D8" i="1536" s="1"/>
  <c r="D40" i="1536"/>
  <c r="R39" i="1536"/>
  <c r="D39" i="1536"/>
  <c r="R38" i="1536"/>
  <c r="D38" i="1536"/>
  <c r="R37" i="1536"/>
  <c r="D37" i="1536"/>
  <c r="R36" i="1536"/>
  <c r="L10" i="1536" s="1"/>
  <c r="D10" i="1536" s="1"/>
  <c r="D36" i="1536"/>
  <c r="D54" i="1536" s="1"/>
  <c r="H14" i="1536" s="1"/>
  <c r="R35" i="1536"/>
  <c r="D35" i="1536"/>
  <c r="R34" i="1536"/>
  <c r="L12" i="1536" s="1"/>
  <c r="D12" i="1536" s="1"/>
  <c r="D34" i="1536"/>
  <c r="R33" i="1536"/>
  <c r="L23" i="1536" s="1"/>
  <c r="D23" i="1536" s="1"/>
  <c r="R32" i="1536"/>
  <c r="R31" i="1536"/>
  <c r="R30" i="1536"/>
  <c r="R29" i="1536"/>
  <c r="R28" i="1536"/>
  <c r="D28" i="1536"/>
  <c r="R27" i="1536"/>
  <c r="D27" i="1536"/>
  <c r="R26" i="1536"/>
  <c r="L26" i="1536"/>
  <c r="D26" i="1536"/>
  <c r="R25" i="1536"/>
  <c r="L25" i="1536"/>
  <c r="D25" i="1536"/>
  <c r="R24" i="1536"/>
  <c r="D24" i="1536"/>
  <c r="R23" i="1536"/>
  <c r="R22" i="1536"/>
  <c r="L22" i="1536"/>
  <c r="D22" i="1536" s="1"/>
  <c r="R21" i="1536"/>
  <c r="D21" i="1536"/>
  <c r="R20" i="1536"/>
  <c r="L20" i="1536"/>
  <c r="D20" i="1536"/>
  <c r="R19" i="1536"/>
  <c r="L19" i="1536"/>
  <c r="D19" i="1536"/>
  <c r="R18" i="1536"/>
  <c r="D18" i="1536"/>
  <c r="R17" i="1536"/>
  <c r="D17" i="1536"/>
  <c r="R16" i="1536"/>
  <c r="L16" i="1536"/>
  <c r="D16" i="1536" s="1"/>
  <c r="S15" i="1536"/>
  <c r="R15" i="1536"/>
  <c r="D15" i="1536"/>
  <c r="S14" i="1536"/>
  <c r="R14" i="1536"/>
  <c r="D14" i="1536"/>
  <c r="R13" i="1536"/>
  <c r="D13" i="1536"/>
  <c r="R12" i="1536"/>
  <c r="R11" i="1536"/>
  <c r="L11" i="1536"/>
  <c r="D11" i="1536" s="1"/>
  <c r="L9" i="1536"/>
  <c r="D9" i="1536" s="1"/>
  <c r="R6" i="1536"/>
  <c r="L6" i="1536"/>
  <c r="D6" i="1536" s="1"/>
  <c r="R5" i="1536"/>
  <c r="R4" i="1536"/>
  <c r="G51" i="1554" l="1"/>
  <c r="H15" i="1556"/>
  <c r="H29" i="1556" s="1"/>
  <c r="G51" i="1556" s="1"/>
  <c r="H15" i="1555"/>
  <c r="H29" i="1555" s="1"/>
  <c r="G51" i="1555" s="1"/>
  <c r="H15" i="1552"/>
  <c r="H29" i="1552" s="1"/>
  <c r="G51" i="1552" s="1"/>
  <c r="H15" i="1550"/>
  <c r="H29" i="1550" s="1"/>
  <c r="G51" i="1550" s="1"/>
  <c r="H15" i="1548"/>
  <c r="G51" i="1548" s="1"/>
  <c r="H15" i="1547"/>
  <c r="H29" i="1547" s="1"/>
  <c r="G51" i="1547" s="1"/>
  <c r="H15" i="1544"/>
  <c r="H29" i="1544" s="1"/>
  <c r="G51" i="1544" s="1"/>
  <c r="H15" i="1543"/>
  <c r="H29" i="1543" s="1"/>
  <c r="G51" i="1543" s="1"/>
  <c r="H15" i="1542"/>
  <c r="H29" i="1542" s="1"/>
  <c r="G51" i="1542"/>
  <c r="G49" i="1539"/>
  <c r="G49" i="1538"/>
  <c r="G49" i="1537"/>
  <c r="D54" i="1539"/>
  <c r="H14" i="1539" s="1"/>
  <c r="D54" i="1538"/>
  <c r="H14" i="1538" s="1"/>
  <c r="D54" i="1537"/>
  <c r="H14" i="1537" s="1"/>
  <c r="D29" i="1537"/>
  <c r="H13" i="1537" s="1"/>
  <c r="D29" i="1539"/>
  <c r="H13" i="1539" s="1"/>
  <c r="D29" i="1538"/>
  <c r="H13" i="1538" s="1"/>
  <c r="D29" i="1536"/>
  <c r="H13" i="1536" s="1"/>
  <c r="H15" i="1536" s="1"/>
  <c r="H29" i="1536" s="1"/>
  <c r="G51" i="1536" s="1"/>
  <c r="H15" i="1539" l="1"/>
  <c r="H29" i="1539" s="1"/>
  <c r="G51" i="1539" s="1"/>
  <c r="H15" i="1538"/>
  <c r="H29" i="1538" s="1"/>
  <c r="G51" i="1538" s="1"/>
  <c r="H15" i="1537"/>
  <c r="H29" i="1537" s="1"/>
  <c r="G51" i="1537" s="1"/>
</calcChain>
</file>

<file path=xl/sharedStrings.xml><?xml version="1.0" encoding="utf-8"?>
<sst xmlns="http://schemas.openxmlformats.org/spreadsheetml/2006/main" count="3696" uniqueCount="167">
  <si>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</si>
  <si>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</si>
  <si>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</si>
  <si>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</si>
  <si>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</si>
  <si>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</si>
  <si>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</si>
  <si>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</si>
  <si>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</si>
  <si>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</si>
  <si>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</si>
  <si>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</si>
  <si>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</si>
  <si>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</si>
  <si>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</si>
  <si>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</si>
  <si>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</si>
  <si>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</si>
  <si>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</si>
  <si>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</si>
  <si>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</si>
  <si>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</si>
  <si>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</si>
  <si>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</si>
  <si>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</si>
  <si>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</si>
  <si>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</si>
  <si>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</si>
  <si>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</si>
  <si>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</si>
  <si>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</si>
  <si>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</si>
  <si>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</si>
  <si>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</si>
  <si>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</si>
  <si>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</si>
  <si>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</si>
  <si>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</si>
  <si>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</si>
  <si>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</si>
  <si>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</si>
  <si>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</si>
  <si>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</si>
  <si>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</si>
  <si>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</si>
  <si>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</si>
  <si>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</si>
  <si>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</si>
  <si>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</si>
  <si>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</si>
  <si>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</si>
  <si>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</si>
  <si>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</si>
  <si>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</si>
  <si>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</si>
  <si>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</si>
  <si>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</si>
  <si>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</si>
  <si>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</si>
  <si>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</si>
  <si>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</si>
  <si>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</si>
  <si>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</si>
  <si>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</si>
  <si>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</si>
  <si>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</si>
  <si>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</si>
  <si>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</si>
  <si>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</si>
  <si>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</si>
  <si>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</si>
  <si>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</si>
  <si>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</si>
  <si>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</si>
  <si>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</si>
  <si>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</si>
  <si>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</si>
  <si>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</si>
  <si>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</si>
  <si>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</si>
  <si>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</si>
  <si>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</si>
  <si>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</si>
  <si>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</si>
  <si>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</si>
  <si>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</si>
  <si>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</si>
  <si>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</si>
  <si>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</si>
  <si>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</si>
  <si>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</si>
  <si>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</si>
  <si>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</si>
  <si>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</si>
  <si>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</si>
  <si>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</si>
  <si>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</si>
  <si>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</si>
  <si>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</si>
  <si>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</si>
  <si>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</si>
  <si>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</si>
  <si>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</si>
  <si>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</si>
  <si>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</si>
  <si>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</si>
  <si>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</si>
  <si>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</si>
  <si>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</si>
  <si>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</si>
  <si>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</si>
  <si>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</si>
  <si>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SALIG, JULIVEN</t>
  </si>
  <si>
    <t>PAMC</t>
  </si>
  <si>
    <t>ENCLONAR, JEROME</t>
  </si>
  <si>
    <t>SALIG, JOVANI</t>
  </si>
  <si>
    <t>SDC</t>
  </si>
  <si>
    <t>FBAC</t>
  </si>
  <si>
    <t xml:space="preserve">                            RONNEL DANDAYO</t>
  </si>
  <si>
    <t>ARANCES, MARIO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</si>
  <si>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</si>
  <si>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</si>
  <si>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</si>
  <si>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</si>
  <si>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</si>
  <si>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</si>
  <si>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</si>
  <si>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</si>
  <si>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</si>
  <si>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</si>
  <si>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</si>
  <si>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</si>
  <si>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</si>
  <si>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 xml:space="preserve">                           ESTEMARK PORMENTO</t>
  </si>
  <si>
    <t>FBAC/FBLC</t>
  </si>
  <si>
    <t>GOMORA, JURLAN</t>
  </si>
  <si>
    <t>CC/CIC/C10C</t>
  </si>
  <si>
    <t>CBB</t>
  </si>
  <si>
    <t>CLC/SDC</t>
  </si>
  <si>
    <t>SMZB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</si>
  <si>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</si>
  <si>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t>GICA, GRACE B.</t>
  </si>
  <si>
    <t xml:space="preserve">                             GRACE B. GICA</t>
  </si>
  <si>
    <t>FB BOTT.</t>
  </si>
  <si>
    <t>PP BOTT.</t>
  </si>
  <si>
    <t>G-CASH</t>
  </si>
  <si>
    <t>PNB BANK TRANSFER</t>
  </si>
  <si>
    <t>BALWARTE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</si>
  <si>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</si>
  <si>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G-CASH(NEILVIN)</t>
  </si>
  <si>
    <t>BDO</t>
  </si>
  <si>
    <t>140843</t>
  </si>
  <si>
    <t>1VB</t>
  </si>
  <si>
    <t>4820778</t>
  </si>
  <si>
    <t>ELIZABETH HENSON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</si>
  <si>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</si>
  <si>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42909</t>
  </si>
  <si>
    <t>47839</t>
  </si>
  <si>
    <t>BANK TRANSFER</t>
  </si>
  <si>
    <t>MERCADO</t>
  </si>
  <si>
    <t>4820762</t>
  </si>
  <si>
    <t>FBAC/FBLYC</t>
  </si>
  <si>
    <t>140854</t>
  </si>
  <si>
    <t>PNB</t>
  </si>
  <si>
    <t>200005619</t>
  </si>
  <si>
    <t>200002634</t>
  </si>
  <si>
    <t>SOUND CHECK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</si>
</sst>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sz val="8"/>
      <color theme="1"/>
      <name val="Calibri"/>
      <family val="2"/>
      <scheme val="minor"/>
    </font>
    <font>
      <u/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40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0" fontId="4" fillId="0" borderId="16" xfId="0" applyFont="1" applyFill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9" fillId="0" borderId="16" xfId="0" applyFont="1" applyBorder="1" applyAlignment="1">
      <alignment horizontal="right"/>
    </xf>
    <xf numFmtId="0" fontId="22" fillId="0" borderId="16" xfId="0" applyFont="1" applyBorder="1" applyAlignment="1">
      <alignment horizontal="right"/>
    </xf>
    <xf numFmtId="0" fontId="22" fillId="0" borderId="10" xfId="0" applyFont="1" applyBorder="1" applyAlignment="1">
      <alignment horizontal="center"/>
    </xf>
    <xf numFmtId="0" fontId="14" fillId="0" borderId="10" xfId="0" applyFont="1" applyBorder="1" applyAlignment="1">
      <alignment horizontal="center"/>
    </xf>
    <xf numFmtId="0" fontId="0" fillId="0" borderId="6" xfId="0" applyBorder="1" applyAlignment="1">
      <alignment horizontal="right" vertical="center" wrapText="1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9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0" fontId="0" fillId="3" borderId="16" xfId="0" applyFill="1" applyBorder="1" applyAlignment="1">
      <alignment horizont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3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4" fontId="12" fillId="3" borderId="16" xfId="0" applyNumberFormat="1" applyFont="1" applyFill="1" applyBorder="1" applyAlignment="1">
      <alignment horizontal="right"/>
    </xf>
    <xf numFmtId="44" fontId="0" fillId="3" borderId="16" xfId="0" applyNumberFormat="1" applyFill="1" applyBorder="1" applyAlignment="1">
      <alignment horizontal="righ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8" Type="http://schemas.openxmlformats.org/officeDocument/2006/relationships/worksheet" Target="worksheets/sheet8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A80107-E02E-42A2-A7AC-093B578060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81B0AE-09AA-46F1-BC89-679C876B3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70E8CEA-80E7-4FF4-8CA0-6347B523DD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D5650FE-A2BD-4377-B59C-20522EC23D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A7D46D-48CB-4139-9F1F-02C6547DD6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7417E26-9084-41A0-91BC-AA8D92F691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802C35E-176A-479B-A8CF-BFC6F8D277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D9B136-301A-4C78-95CF-2E0F95DFE9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E817738-C258-468E-AE04-CF0F499820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3988391-ECA5-47FD-939E-D7C4897E03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7EA27E-3579-44C0-8FF2-62B83650F8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1020075-1623-48A4-B754-60DFCBC005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A79E672-B797-44F5-8651-FC7F840D13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B1807CD-5C9F-47CB-9079-0562A96B27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116A13F-929F-4D08-BB32-A2DC845346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51C6A06-A3FF-43A2-BACC-1C5557D361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015DA5-5D68-4DC3-8DD8-C33BAF61C6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CAE6300-D4F3-4A55-8237-2BCD6B22F2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86D341B-1216-4509-BD3F-2705A7706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810255-88D2-489E-9764-2AFEDB76BC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939A98-8F84-4880-86B6-4D02A120E6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14B207E-07A4-4C86-AAD8-C5391B97D7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996E79-3028-4E68-BAD1-CD5AAE31CA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C4D8823-62A4-47A3-86C1-A331E3C7A2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8CFE86-5B27-4A2B-8CC0-0BC230FDB4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CE4C996-1F89-440F-AC6B-099019A06A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AB3620F-2720-4B53-BD41-C0023C56B6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0A3C0FD-8CB2-4E0C-8A57-E2B6CCBAC4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E6A235-3A24-4309-914D-FEF64CDEF2D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5" t="s">
        <v>1</v>
      </c>
      <c r="O1" s="195"/>
      <c r="P1" s="87" t="s">
        <v>2</v>
      </c>
      <c r="Q1" s="8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6" t="s">
        <v>7</v>
      </c>
      <c r="B4" s="147"/>
      <c r="C4" s="147"/>
      <c r="D4" s="148"/>
      <c r="F4" s="196" t="s">
        <v>8</v>
      </c>
      <c r="G4" s="198"/>
      <c r="H4" s="200" t="s">
        <v>9</v>
      </c>
      <c r="I4" s="202"/>
      <c r="J4" s="20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97"/>
      <c r="G5" s="199"/>
      <c r="H5" s="201"/>
      <c r="I5" s="204"/>
      <c r="J5" s="20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1"/>
      <c r="B6" s="16"/>
      <c r="C6" s="10"/>
      <c r="D6" s="13">
        <f t="shared" ref="D6:D28" si="1">C6*L6</f>
        <v>0</v>
      </c>
      <c r="F6" s="206" t="s">
        <v>16</v>
      </c>
      <c r="G6" s="208"/>
      <c r="H6" s="209"/>
      <c r="I6" s="209"/>
      <c r="J6" s="21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1"/>
      <c r="B7" s="16"/>
      <c r="C7" s="10"/>
      <c r="D7" s="13">
        <f t="shared" si="1"/>
        <v>0</v>
      </c>
      <c r="F7" s="207"/>
      <c r="G7" s="211"/>
      <c r="H7" s="212"/>
      <c r="I7" s="212"/>
      <c r="J7" s="21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1"/>
      <c r="B8" s="16"/>
      <c r="C8" s="10"/>
      <c r="D8" s="13">
        <f t="shared" si="1"/>
        <v>0</v>
      </c>
      <c r="F8" s="214" t="s">
        <v>21</v>
      </c>
      <c r="G8" s="215"/>
      <c r="H8" s="216"/>
      <c r="I8" s="216"/>
      <c r="J8" s="21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1"/>
      <c r="B9" s="16"/>
      <c r="C9" s="10"/>
      <c r="D9" s="13">
        <f t="shared" si="1"/>
        <v>0</v>
      </c>
      <c r="F9" s="207"/>
      <c r="G9" s="218"/>
      <c r="H9" s="219"/>
      <c r="I9" s="219"/>
      <c r="J9" s="22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1"/>
      <c r="C10" s="10"/>
      <c r="D10" s="13">
        <f t="shared" si="1"/>
        <v>0</v>
      </c>
      <c r="F10" s="206" t="s">
        <v>26</v>
      </c>
      <c r="G10" s="221"/>
      <c r="H10" s="222"/>
      <c r="I10" s="222"/>
      <c r="J10" s="223"/>
      <c r="K10" s="8"/>
      <c r="L10" s="6">
        <f>R36</f>
        <v>972</v>
      </c>
      <c r="P10" s="4"/>
      <c r="Q10" s="4"/>
      <c r="R10" s="5"/>
    </row>
    <row r="11" spans="1:19" ht="15.75" x14ac:dyDescent="0.25">
      <c r="A11" s="141"/>
      <c r="B11" s="17"/>
      <c r="C11" s="10"/>
      <c r="D11" s="13">
        <f t="shared" si="1"/>
        <v>0</v>
      </c>
      <c r="F11" s="207"/>
      <c r="G11" s="218"/>
      <c r="H11" s="219"/>
      <c r="I11" s="219"/>
      <c r="J11" s="22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1"/>
      <c r="B12" s="17"/>
      <c r="C12" s="10"/>
      <c r="D12" s="48">
        <f t="shared" si="1"/>
        <v>0</v>
      </c>
      <c r="F12" s="224" t="s">
        <v>33</v>
      </c>
      <c r="G12" s="225"/>
      <c r="H12" s="225"/>
      <c r="I12" s="225"/>
      <c r="J12" s="22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1"/>
      <c r="B13" s="17"/>
      <c r="C13" s="10"/>
      <c r="D13" s="48">
        <f t="shared" si="1"/>
        <v>0</v>
      </c>
      <c r="F13" s="227" t="s">
        <v>36</v>
      </c>
      <c r="G13" s="191"/>
      <c r="H13" s="182">
        <f>D29</f>
        <v>0</v>
      </c>
      <c r="I13" s="183"/>
      <c r="J13" s="18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1"/>
      <c r="B14" s="14"/>
      <c r="C14" s="10"/>
      <c r="D14" s="31">
        <f t="shared" si="1"/>
        <v>0</v>
      </c>
      <c r="F14" s="185" t="s">
        <v>39</v>
      </c>
      <c r="G14" s="186"/>
      <c r="H14" s="187">
        <f>D54</f>
        <v>0</v>
      </c>
      <c r="I14" s="188"/>
      <c r="J14" s="18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1"/>
      <c r="B15" s="14"/>
      <c r="C15" s="10"/>
      <c r="D15" s="31">
        <f t="shared" si="1"/>
        <v>0</v>
      </c>
      <c r="F15" s="190" t="s">
        <v>40</v>
      </c>
      <c r="G15" s="191"/>
      <c r="H15" s="192">
        <f>H13-H14</f>
        <v>0</v>
      </c>
      <c r="I15" s="193"/>
      <c r="J15" s="19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2"/>
      <c r="I16" s="152"/>
      <c r="J16" s="15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C17" s="10"/>
      <c r="D17" s="48">
        <f t="shared" si="1"/>
        <v>0</v>
      </c>
      <c r="F17" s="56"/>
      <c r="G17" s="66" t="s">
        <v>45</v>
      </c>
      <c r="H17" s="163"/>
      <c r="I17" s="163"/>
      <c r="J17" s="16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19"/>
      <c r="C18" s="10"/>
      <c r="D18" s="48">
        <f t="shared" si="1"/>
        <v>0</v>
      </c>
      <c r="F18" s="56"/>
      <c r="G18" s="66" t="s">
        <v>47</v>
      </c>
      <c r="H18" s="163"/>
      <c r="I18" s="163"/>
      <c r="J18" s="16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14"/>
      <c r="C19" s="10"/>
      <c r="D19" s="48">
        <f t="shared" si="1"/>
        <v>0</v>
      </c>
      <c r="F19" s="56"/>
      <c r="G19" s="68" t="s">
        <v>50</v>
      </c>
      <c r="H19" s="164"/>
      <c r="I19" s="164"/>
      <c r="J19" s="1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1"/>
      <c r="B20" s="46"/>
      <c r="C20" s="10"/>
      <c r="D20" s="13">
        <f t="shared" si="1"/>
        <v>0</v>
      </c>
      <c r="F20" s="57"/>
      <c r="G20" s="70" t="s">
        <v>120</v>
      </c>
      <c r="H20" s="152"/>
      <c r="I20" s="152"/>
      <c r="J20" s="15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5" t="s">
        <v>13</v>
      </c>
      <c r="I21" s="166"/>
      <c r="J21" s="16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1"/>
      <c r="B22" s="46"/>
      <c r="C22" s="10"/>
      <c r="D22" s="48">
        <f t="shared" si="1"/>
        <v>0</v>
      </c>
      <c r="F22" s="77"/>
      <c r="G22" s="73"/>
      <c r="H22" s="168"/>
      <c r="I22" s="168"/>
      <c r="J22" s="16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/>
      <c r="C23" s="10"/>
      <c r="D23" s="48">
        <f t="shared" si="1"/>
        <v>0</v>
      </c>
      <c r="F23" s="78"/>
      <c r="G23" s="79"/>
      <c r="H23" s="169"/>
      <c r="I23" s="138"/>
      <c r="J23" s="13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/>
      <c r="C24" s="10"/>
      <c r="D24" s="48">
        <f t="shared" si="1"/>
        <v>0</v>
      </c>
      <c r="F24" s="38"/>
      <c r="G24" s="37"/>
      <c r="H24" s="169"/>
      <c r="I24" s="138"/>
      <c r="J24" s="13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/>
      <c r="C26" s="10"/>
      <c r="D26" s="48">
        <f t="shared" si="1"/>
        <v>0</v>
      </c>
      <c r="F26" s="64"/>
      <c r="G26" s="59"/>
      <c r="H26" s="173"/>
      <c r="I26" s="174"/>
      <c r="J26" s="17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1"/>
      <c r="B27" s="14"/>
      <c r="C27" s="10"/>
      <c r="D27" s="44">
        <f t="shared" si="1"/>
        <v>0</v>
      </c>
      <c r="F27" s="25"/>
      <c r="G27" s="80"/>
      <c r="H27" s="176"/>
      <c r="I27" s="177"/>
      <c r="J27" s="17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/>
      <c r="C28" s="10"/>
      <c r="D28" s="48">
        <f t="shared" si="1"/>
        <v>0</v>
      </c>
      <c r="F28" s="88"/>
      <c r="G28" s="61"/>
      <c r="H28" s="179"/>
      <c r="I28" s="180"/>
      <c r="J28" s="18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3" t="s">
        <v>36</v>
      </c>
      <c r="B29" s="154"/>
      <c r="C29" s="155"/>
      <c r="D29" s="159">
        <f>SUM(D6:D28)</f>
        <v>0</v>
      </c>
      <c r="F29" s="99" t="s">
        <v>55</v>
      </c>
      <c r="G29" s="161"/>
      <c r="H29" s="121">
        <f>H15-H16-H17-H18-H19-H20-H22-H23-H24+H26+H27</f>
        <v>0</v>
      </c>
      <c r="I29" s="122"/>
      <c r="J29" s="12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6"/>
      <c r="B30" s="157"/>
      <c r="C30" s="158"/>
      <c r="D30" s="160"/>
      <c r="F30" s="102"/>
      <c r="G30" s="162"/>
      <c r="H30" s="124"/>
      <c r="I30" s="125"/>
      <c r="J30" s="12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6" t="s">
        <v>58</v>
      </c>
      <c r="B32" s="147"/>
      <c r="C32" s="147"/>
      <c r="D32" s="148"/>
      <c r="F32" s="149" t="s">
        <v>59</v>
      </c>
      <c r="G32" s="150"/>
      <c r="H32" s="150"/>
      <c r="I32" s="150"/>
      <c r="J32" s="15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49" t="s">
        <v>13</v>
      </c>
      <c r="I33" s="150"/>
      <c r="J33" s="15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3"/>
      <c r="I34" s="144"/>
      <c r="J34" s="14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1"/>
      <c r="B35" s="27" t="s">
        <v>68</v>
      </c>
      <c r="C35" s="52"/>
      <c r="D35" s="30">
        <f>C35*84</f>
        <v>0</v>
      </c>
      <c r="F35" s="58">
        <v>500</v>
      </c>
      <c r="G35" s="41"/>
      <c r="H35" s="143"/>
      <c r="I35" s="144"/>
      <c r="J35" s="14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70</v>
      </c>
      <c r="C36" s="10"/>
      <c r="D36" s="12">
        <f>C36*1.5</f>
        <v>0</v>
      </c>
      <c r="F36" s="12">
        <v>200</v>
      </c>
      <c r="G36" s="37"/>
      <c r="H36" s="143"/>
      <c r="I36" s="144"/>
      <c r="J36" s="14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3"/>
      <c r="I37" s="144"/>
      <c r="J37" s="14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1"/>
      <c r="B38" s="29" t="s">
        <v>68</v>
      </c>
      <c r="C38" s="54"/>
      <c r="D38" s="12">
        <f>C38*84</f>
        <v>0</v>
      </c>
      <c r="F38" s="30">
        <v>50</v>
      </c>
      <c r="G38" s="39"/>
      <c r="H38" s="143"/>
      <c r="I38" s="144"/>
      <c r="J38" s="14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2"/>
      <c r="B39" s="29" t="s">
        <v>70</v>
      </c>
      <c r="C39" s="52"/>
      <c r="D39" s="31">
        <f>C39*4.5</f>
        <v>0</v>
      </c>
      <c r="F39" s="12">
        <v>20</v>
      </c>
      <c r="G39" s="37"/>
      <c r="H39" s="143"/>
      <c r="I39" s="144"/>
      <c r="J39" s="14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3"/>
      <c r="I40" s="144"/>
      <c r="J40" s="14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1"/>
      <c r="B41" s="27" t="s">
        <v>68</v>
      </c>
      <c r="C41" s="10"/>
      <c r="D41" s="12">
        <f>C41*84</f>
        <v>0</v>
      </c>
      <c r="F41" s="12">
        <v>5</v>
      </c>
      <c r="G41" s="42"/>
      <c r="H41" s="143"/>
      <c r="I41" s="144"/>
      <c r="J41" s="14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2"/>
      <c r="B42" s="27" t="s">
        <v>70</v>
      </c>
      <c r="C42" s="11"/>
      <c r="D42" s="12">
        <f>C42*2.25</f>
        <v>0</v>
      </c>
      <c r="F42" s="39" t="s">
        <v>79</v>
      </c>
      <c r="G42" s="143"/>
      <c r="H42" s="144"/>
      <c r="I42" s="144"/>
      <c r="J42" s="14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3" t="s">
        <v>81</v>
      </c>
      <c r="C43" s="11"/>
      <c r="D43" s="12"/>
      <c r="F43" s="59" t="s">
        <v>82</v>
      </c>
      <c r="G43" s="85" t="s">
        <v>83</v>
      </c>
      <c r="H43" s="135" t="s">
        <v>13</v>
      </c>
      <c r="I43" s="136"/>
      <c r="J43" s="137"/>
      <c r="K43" s="21"/>
      <c r="P43" s="4"/>
      <c r="Q43" s="4"/>
      <c r="R43" s="5"/>
    </row>
    <row r="44" spans="1:18" ht="15.75" x14ac:dyDescent="0.25">
      <c r="A44" s="114"/>
      <c r="B44" s="27" t="s">
        <v>66</v>
      </c>
      <c r="C44" s="10"/>
      <c r="D44" s="12">
        <f>C44*120</f>
        <v>0</v>
      </c>
      <c r="F44" s="37"/>
      <c r="G44" s="76"/>
      <c r="H44" s="138"/>
      <c r="I44" s="138"/>
      <c r="J44" s="138"/>
      <c r="K44" s="21"/>
      <c r="P44" s="4"/>
      <c r="Q44" s="4"/>
      <c r="R44" s="5"/>
    </row>
    <row r="45" spans="1:18" ht="15.75" x14ac:dyDescent="0.25">
      <c r="A45" s="114"/>
      <c r="B45" s="27" t="s">
        <v>68</v>
      </c>
      <c r="C45" s="33"/>
      <c r="D45" s="12">
        <f>C45*84</f>
        <v>0</v>
      </c>
      <c r="F45" s="37"/>
      <c r="G45" s="76"/>
      <c r="H45" s="138"/>
      <c r="I45" s="138"/>
      <c r="J45" s="138"/>
      <c r="K45" s="21"/>
      <c r="P45" s="4"/>
      <c r="Q45" s="4"/>
      <c r="R45" s="5"/>
    </row>
    <row r="46" spans="1:18" ht="15.75" x14ac:dyDescent="0.25">
      <c r="A46" s="114"/>
      <c r="B46" s="49" t="s">
        <v>70</v>
      </c>
      <c r="C46" s="81"/>
      <c r="D46" s="12">
        <f>C46*1.5</f>
        <v>0</v>
      </c>
      <c r="F46" s="37"/>
      <c r="G46" s="62"/>
      <c r="H46" s="139"/>
      <c r="I46" s="139"/>
      <c r="J46" s="139"/>
      <c r="K46" s="21"/>
      <c r="P46" s="4"/>
      <c r="Q46" s="4"/>
      <c r="R46" s="5"/>
    </row>
    <row r="47" spans="1:18" ht="15.75" x14ac:dyDescent="0.25">
      <c r="A47" s="115"/>
      <c r="B47" s="27"/>
      <c r="C47" s="11"/>
      <c r="D47" s="12"/>
      <c r="F47" s="59"/>
      <c r="G47" s="59"/>
      <c r="H47" s="116"/>
      <c r="I47" s="117"/>
      <c r="J47" s="118"/>
      <c r="K47" s="21"/>
      <c r="P47" s="4"/>
      <c r="Q47" s="4"/>
      <c r="R47" s="5"/>
    </row>
    <row r="48" spans="1:18" ht="15" customHeight="1" x14ac:dyDescent="0.25">
      <c r="A48" s="113" t="s">
        <v>32</v>
      </c>
      <c r="B48" s="27" t="s">
        <v>66</v>
      </c>
      <c r="C48" s="10"/>
      <c r="D48" s="12">
        <f>C48*78</f>
        <v>0</v>
      </c>
      <c r="F48" s="59"/>
      <c r="G48" s="59"/>
      <c r="H48" s="116"/>
      <c r="I48" s="117"/>
      <c r="J48" s="1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4"/>
      <c r="B49" s="29" t="s">
        <v>68</v>
      </c>
      <c r="C49" s="33"/>
      <c r="D49" s="12">
        <f>C49*42</f>
        <v>0</v>
      </c>
      <c r="F49" s="119" t="s">
        <v>86</v>
      </c>
      <c r="G49" s="121">
        <f>H34+H35+H36+H37+H38+H39+H40+H41+G42+H44+H45+H46</f>
        <v>0</v>
      </c>
      <c r="H49" s="122"/>
      <c r="I49" s="122"/>
      <c r="J49" s="12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4"/>
      <c r="B50" s="32" t="s">
        <v>70</v>
      </c>
      <c r="C50" s="11"/>
      <c r="D50" s="12">
        <f>C50*1.5</f>
        <v>0</v>
      </c>
      <c r="F50" s="120"/>
      <c r="G50" s="124"/>
      <c r="H50" s="125"/>
      <c r="I50" s="125"/>
      <c r="J50" s="126"/>
      <c r="P50" s="4"/>
      <c r="Q50" s="4"/>
      <c r="R50" s="5"/>
    </row>
    <row r="51" spans="1:18" ht="15" customHeight="1" x14ac:dyDescent="0.25">
      <c r="A51" s="114"/>
      <c r="B51" s="27"/>
      <c r="C51" s="10"/>
      <c r="D51" s="31"/>
      <c r="F51" s="127" t="s">
        <v>128</v>
      </c>
      <c r="G51" s="129">
        <f>G49-H29</f>
        <v>0</v>
      </c>
      <c r="H51" s="130"/>
      <c r="I51" s="130"/>
      <c r="J51" s="13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4"/>
      <c r="B52" s="29"/>
      <c r="C52" s="33"/>
      <c r="D52" s="45"/>
      <c r="F52" s="128"/>
      <c r="G52" s="132"/>
      <c r="H52" s="133"/>
      <c r="I52" s="133"/>
      <c r="J52" s="1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9" t="s">
        <v>90</v>
      </c>
      <c r="B54" s="100"/>
      <c r="C54" s="101"/>
      <c r="D54" s="105">
        <f>SUM(D34:D53)</f>
        <v>0</v>
      </c>
      <c r="F54" s="21"/>
      <c r="J54" s="34"/>
    </row>
    <row r="55" spans="1:18" x14ac:dyDescent="0.25">
      <c r="A55" s="102"/>
      <c r="B55" s="103"/>
      <c r="C55" s="104"/>
      <c r="D55" s="10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7" t="s">
        <v>91</v>
      </c>
      <c r="B58" s="108"/>
      <c r="C58" s="108"/>
      <c r="D58" s="109"/>
      <c r="F58" s="107" t="s">
        <v>92</v>
      </c>
      <c r="G58" s="108"/>
      <c r="H58" s="108"/>
      <c r="I58" s="108"/>
      <c r="J58" s="109"/>
    </row>
    <row r="59" spans="1:18" x14ac:dyDescent="0.25">
      <c r="A59" s="110"/>
      <c r="B59" s="111"/>
      <c r="C59" s="111"/>
      <c r="D59" s="112"/>
      <c r="F59" s="110"/>
      <c r="G59" s="111"/>
      <c r="H59" s="111"/>
      <c r="I59" s="111"/>
      <c r="J59" s="11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115EC-4457-4686-AE6F-FCF1A5A6B2F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5" t="s">
        <v>1</v>
      </c>
      <c r="O1" s="195"/>
      <c r="P1" s="87" t="s">
        <v>2</v>
      </c>
      <c r="Q1" s="8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6" t="s">
        <v>7</v>
      </c>
      <c r="B4" s="147"/>
      <c r="C4" s="147"/>
      <c r="D4" s="148"/>
      <c r="F4" s="196" t="s">
        <v>8</v>
      </c>
      <c r="G4" s="198">
        <v>1</v>
      </c>
      <c r="H4" s="200" t="s">
        <v>9</v>
      </c>
      <c r="I4" s="202">
        <v>45992</v>
      </c>
      <c r="J4" s="20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97"/>
      <c r="G5" s="199"/>
      <c r="H5" s="201"/>
      <c r="I5" s="204"/>
      <c r="J5" s="20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84">
        <v>262</v>
      </c>
      <c r="D6" s="13">
        <f t="shared" ref="D6:D28" si="1">C6*L6</f>
        <v>193094</v>
      </c>
      <c r="F6" s="206" t="s">
        <v>16</v>
      </c>
      <c r="G6" s="208" t="s">
        <v>129</v>
      </c>
      <c r="H6" s="209"/>
      <c r="I6" s="209"/>
      <c r="J6" s="21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84">
        <v>16</v>
      </c>
      <c r="D7" s="13">
        <f t="shared" si="1"/>
        <v>11600</v>
      </c>
      <c r="F7" s="207"/>
      <c r="G7" s="211"/>
      <c r="H7" s="212"/>
      <c r="I7" s="212"/>
      <c r="J7" s="21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84">
        <v>1</v>
      </c>
      <c r="D8" s="13">
        <f t="shared" si="1"/>
        <v>1033</v>
      </c>
      <c r="F8" s="214" t="s">
        <v>21</v>
      </c>
      <c r="G8" s="215" t="s">
        <v>112</v>
      </c>
      <c r="H8" s="216"/>
      <c r="I8" s="216"/>
      <c r="J8" s="21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84">
        <v>20</v>
      </c>
      <c r="D9" s="13">
        <f t="shared" si="1"/>
        <v>14140</v>
      </c>
      <c r="F9" s="207"/>
      <c r="G9" s="218"/>
      <c r="H9" s="219"/>
      <c r="I9" s="219"/>
      <c r="J9" s="22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84">
        <v>2</v>
      </c>
      <c r="D10" s="13">
        <f t="shared" si="1"/>
        <v>1944</v>
      </c>
      <c r="F10" s="206" t="s">
        <v>26</v>
      </c>
      <c r="G10" s="221" t="s">
        <v>130</v>
      </c>
      <c r="H10" s="222"/>
      <c r="I10" s="222"/>
      <c r="J10" s="223"/>
      <c r="K10" s="8"/>
      <c r="L10" s="6">
        <f>R36</f>
        <v>972</v>
      </c>
      <c r="P10" s="4"/>
      <c r="Q10" s="4"/>
      <c r="R10" s="5"/>
    </row>
    <row r="11" spans="1:18" ht="15.75" x14ac:dyDescent="0.25">
      <c r="A11" s="141"/>
      <c r="B11" s="17" t="s">
        <v>28</v>
      </c>
      <c r="C11" s="84">
        <v>1</v>
      </c>
      <c r="D11" s="13">
        <f t="shared" si="1"/>
        <v>1125</v>
      </c>
      <c r="F11" s="207"/>
      <c r="G11" s="218"/>
      <c r="H11" s="219"/>
      <c r="I11" s="219"/>
      <c r="J11" s="22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84">
        <f>2</f>
        <v>2</v>
      </c>
      <c r="D12" s="48">
        <f t="shared" si="1"/>
        <v>1904</v>
      </c>
      <c r="F12" s="224" t="s">
        <v>33</v>
      </c>
      <c r="G12" s="225"/>
      <c r="H12" s="225"/>
      <c r="I12" s="225"/>
      <c r="J12" s="22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84">
        <v>9</v>
      </c>
      <c r="D13" s="48">
        <f t="shared" si="1"/>
        <v>2763</v>
      </c>
      <c r="F13" s="227" t="s">
        <v>36</v>
      </c>
      <c r="G13" s="191"/>
      <c r="H13" s="182">
        <f>D29</f>
        <v>240783.5</v>
      </c>
      <c r="I13" s="183"/>
      <c r="J13" s="18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84">
        <v>3</v>
      </c>
      <c r="D14" s="31">
        <f t="shared" si="1"/>
        <v>33</v>
      </c>
      <c r="F14" s="185" t="s">
        <v>39</v>
      </c>
      <c r="G14" s="186"/>
      <c r="H14" s="187">
        <f>D54</f>
        <v>35187</v>
      </c>
      <c r="I14" s="188"/>
      <c r="J14" s="18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38</v>
      </c>
      <c r="C15" s="84"/>
      <c r="D15" s="31">
        <f t="shared" si="1"/>
        <v>0</v>
      </c>
      <c r="F15" s="190" t="s">
        <v>40</v>
      </c>
      <c r="G15" s="191"/>
      <c r="H15" s="192">
        <f>H13-H14</f>
        <v>205596.5</v>
      </c>
      <c r="I15" s="193"/>
      <c r="J15" s="19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2"/>
      <c r="I16" s="152"/>
      <c r="J16" s="15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t="s">
        <v>138</v>
      </c>
      <c r="C17" s="84"/>
      <c r="D17" s="48">
        <f t="shared" si="1"/>
        <v>0</v>
      </c>
      <c r="F17" s="56"/>
      <c r="G17" s="66" t="s">
        <v>45</v>
      </c>
      <c r="H17" s="163"/>
      <c r="I17" s="163"/>
      <c r="J17" s="16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19" t="s">
        <v>95</v>
      </c>
      <c r="C18" s="84">
        <v>3</v>
      </c>
      <c r="D18" s="48">
        <f t="shared" si="1"/>
        <v>1860</v>
      </c>
      <c r="F18" s="56"/>
      <c r="G18" s="66" t="s">
        <v>47</v>
      </c>
      <c r="H18" s="163"/>
      <c r="I18" s="163"/>
      <c r="J18" s="16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63"/>
      <c r="I19" s="163"/>
      <c r="J19" s="163"/>
      <c r="L19" s="6">
        <v>1102</v>
      </c>
      <c r="Q19" s="4"/>
      <c r="R19" s="5">
        <f t="shared" si="0"/>
        <v>0</v>
      </c>
    </row>
    <row r="20" spans="1:18" ht="15.75" x14ac:dyDescent="0.25">
      <c r="A20" s="14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2"/>
      <c r="I20" s="152"/>
      <c r="J20" s="15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1"/>
      <c r="B21" s="14" t="s">
        <v>136</v>
      </c>
      <c r="C21" s="84">
        <f>1+1</f>
        <v>2</v>
      </c>
      <c r="D21" s="48">
        <f t="shared" si="1"/>
        <v>1300</v>
      </c>
      <c r="F21" s="69" t="s">
        <v>99</v>
      </c>
      <c r="G21" s="82" t="s">
        <v>98</v>
      </c>
      <c r="H21" s="165" t="s">
        <v>13</v>
      </c>
      <c r="I21" s="166"/>
      <c r="J21" s="16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1"/>
      <c r="B22" s="46" t="s">
        <v>127</v>
      </c>
      <c r="C22" s="84"/>
      <c r="D22" s="48">
        <f t="shared" si="1"/>
        <v>0</v>
      </c>
      <c r="F22" s="77" t="s">
        <v>147</v>
      </c>
      <c r="G22" s="73">
        <v>7541</v>
      </c>
      <c r="H22" s="168">
        <v>79918</v>
      </c>
      <c r="I22" s="168"/>
      <c r="J22" s="16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101</v>
      </c>
      <c r="C23" s="84"/>
      <c r="D23" s="48">
        <f t="shared" si="1"/>
        <v>0</v>
      </c>
      <c r="F23" s="77"/>
      <c r="G23" s="79"/>
      <c r="H23" s="228"/>
      <c r="I23" s="229"/>
      <c r="J23" s="22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121</v>
      </c>
      <c r="C24" s="84">
        <v>12</v>
      </c>
      <c r="D24" s="48">
        <f t="shared" si="1"/>
        <v>474.5</v>
      </c>
      <c r="F24" s="77"/>
      <c r="G24" s="79"/>
      <c r="H24" s="228"/>
      <c r="I24" s="229"/>
      <c r="J24" s="22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143</v>
      </c>
      <c r="C25" s="84">
        <v>12</v>
      </c>
      <c r="D25" s="48">
        <f t="shared" si="1"/>
        <v>434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832/24+1.5</f>
        <v>36.166666666666664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144</v>
      </c>
      <c r="C26" s="84">
        <v>12</v>
      </c>
      <c r="D26" s="48">
        <f t="shared" si="1"/>
        <v>444</v>
      </c>
      <c r="F26" s="75" t="s">
        <v>147</v>
      </c>
      <c r="G26" s="65">
        <v>7383</v>
      </c>
      <c r="H26" s="138">
        <v>87410</v>
      </c>
      <c r="I26" s="138"/>
      <c r="J26" s="138"/>
      <c r="L26" s="7">
        <f>852/24+1.5</f>
        <v>37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1"/>
      <c r="B27" s="14" t="s">
        <v>110</v>
      </c>
      <c r="C27" s="84"/>
      <c r="D27" s="44">
        <f t="shared" si="1"/>
        <v>0</v>
      </c>
      <c r="F27" s="71"/>
      <c r="G27" s="85"/>
      <c r="H27" s="230"/>
      <c r="I27" s="231"/>
      <c r="J27" s="23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97</v>
      </c>
      <c r="C28" s="84">
        <v>11</v>
      </c>
      <c r="D28" s="48">
        <f t="shared" si="1"/>
        <v>8635</v>
      </c>
      <c r="F28" s="88"/>
      <c r="G28" s="61"/>
      <c r="H28" s="179"/>
      <c r="I28" s="180"/>
      <c r="J28" s="18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3" t="s">
        <v>36</v>
      </c>
      <c r="B29" s="154"/>
      <c r="C29" s="155"/>
      <c r="D29" s="159">
        <f>SUM(D6:D28)</f>
        <v>240783.5</v>
      </c>
      <c r="F29" s="99" t="s">
        <v>55</v>
      </c>
      <c r="G29" s="161"/>
      <c r="H29" s="121">
        <f>H15-H16-H17-H18-H19-H20-H22-H23-H24+H26+H27+H28</f>
        <v>213088.5</v>
      </c>
      <c r="I29" s="122"/>
      <c r="J29" s="12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6"/>
      <c r="B30" s="157"/>
      <c r="C30" s="158"/>
      <c r="D30" s="160"/>
      <c r="F30" s="102"/>
      <c r="G30" s="162"/>
      <c r="H30" s="124"/>
      <c r="I30" s="125"/>
      <c r="J30" s="12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6" t="s">
        <v>58</v>
      </c>
      <c r="B32" s="147"/>
      <c r="C32" s="147"/>
      <c r="D32" s="148"/>
      <c r="F32" s="149" t="s">
        <v>59</v>
      </c>
      <c r="G32" s="150"/>
      <c r="H32" s="150"/>
      <c r="I32" s="150"/>
      <c r="J32" s="15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49" t="s">
        <v>13</v>
      </c>
      <c r="I33" s="150"/>
      <c r="J33" s="15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77</v>
      </c>
      <c r="H34" s="143">
        <f t="shared" ref="H34:H39" si="2">F34*G34</f>
        <v>77000</v>
      </c>
      <c r="I34" s="144"/>
      <c r="J34" s="14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1"/>
      <c r="B35" s="27" t="s">
        <v>68</v>
      </c>
      <c r="C35" s="52">
        <v>2</v>
      </c>
      <c r="D35" s="30">
        <f>C35*84</f>
        <v>168</v>
      </c>
      <c r="F35" s="58">
        <v>500</v>
      </c>
      <c r="G35" s="41">
        <v>38</v>
      </c>
      <c r="H35" s="143">
        <f t="shared" si="2"/>
        <v>19000</v>
      </c>
      <c r="I35" s="144"/>
      <c r="J35" s="14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2</v>
      </c>
      <c r="H36" s="143">
        <f t="shared" si="2"/>
        <v>400</v>
      </c>
      <c r="I36" s="144"/>
      <c r="J36" s="14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0" t="s">
        <v>72</v>
      </c>
      <c r="B37" s="28" t="s">
        <v>66</v>
      </c>
      <c r="C37" s="53">
        <v>258</v>
      </c>
      <c r="D37" s="12">
        <f>C37*111</f>
        <v>28638</v>
      </c>
      <c r="F37" s="12">
        <v>100</v>
      </c>
      <c r="G37" s="39">
        <v>6</v>
      </c>
      <c r="H37" s="143">
        <f t="shared" si="2"/>
        <v>600</v>
      </c>
      <c r="I37" s="144"/>
      <c r="J37" s="14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1"/>
      <c r="B38" s="29" t="s">
        <v>68</v>
      </c>
      <c r="C38" s="54">
        <v>43</v>
      </c>
      <c r="D38" s="12">
        <f>C38*84</f>
        <v>3612</v>
      </c>
      <c r="F38" s="30">
        <v>50</v>
      </c>
      <c r="G38" s="39">
        <v>7</v>
      </c>
      <c r="H38" s="143">
        <f t="shared" si="2"/>
        <v>350</v>
      </c>
      <c r="I38" s="144"/>
      <c r="J38" s="14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2"/>
      <c r="B39" s="29" t="s">
        <v>70</v>
      </c>
      <c r="C39" s="52">
        <v>8</v>
      </c>
      <c r="D39" s="31">
        <f>C39*4.5</f>
        <v>36</v>
      </c>
      <c r="F39" s="12">
        <v>20</v>
      </c>
      <c r="G39" s="37">
        <v>1</v>
      </c>
      <c r="H39" s="143">
        <f t="shared" si="2"/>
        <v>20</v>
      </c>
      <c r="I39" s="144"/>
      <c r="J39" s="14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143"/>
      <c r="I40" s="144"/>
      <c r="J40" s="14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43"/>
      <c r="I41" s="144"/>
      <c r="J41" s="14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2"/>
      <c r="B42" s="27" t="s">
        <v>70</v>
      </c>
      <c r="C42" s="11">
        <v>4</v>
      </c>
      <c r="D42" s="12">
        <f>C42*2.25</f>
        <v>9</v>
      </c>
      <c r="F42" s="39" t="s">
        <v>79</v>
      </c>
      <c r="G42" s="143">
        <v>25</v>
      </c>
      <c r="H42" s="144"/>
      <c r="I42" s="144"/>
      <c r="J42" s="14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3" t="s">
        <v>81</v>
      </c>
      <c r="C43" s="11"/>
      <c r="D43" s="12"/>
      <c r="F43" s="59" t="s">
        <v>82</v>
      </c>
      <c r="G43" s="85" t="s">
        <v>83</v>
      </c>
      <c r="H43" s="135" t="s">
        <v>13</v>
      </c>
      <c r="I43" s="136"/>
      <c r="J43" s="13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4"/>
      <c r="B44" s="27" t="s">
        <v>66</v>
      </c>
      <c r="C44" s="10">
        <v>5</v>
      </c>
      <c r="D44" s="12">
        <f>C44*120</f>
        <v>600</v>
      </c>
      <c r="F44" s="37" t="s">
        <v>145</v>
      </c>
      <c r="G44" s="62"/>
      <c r="H44" s="138">
        <v>15213</v>
      </c>
      <c r="I44" s="138"/>
      <c r="J44" s="13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14"/>
      <c r="B45" s="27" t="s">
        <v>68</v>
      </c>
      <c r="C45" s="33">
        <v>2</v>
      </c>
      <c r="D45" s="12">
        <f>C45*84</f>
        <v>168</v>
      </c>
      <c r="F45" s="37" t="s">
        <v>145</v>
      </c>
      <c r="G45" s="62"/>
      <c r="H45" s="138">
        <v>13245</v>
      </c>
      <c r="I45" s="138"/>
      <c r="J45" s="138"/>
      <c r="K45" s="21"/>
      <c r="P45" s="4"/>
      <c r="Q45" s="4"/>
      <c r="R45" s="5"/>
    </row>
    <row r="46" spans="1:18" ht="15.75" x14ac:dyDescent="0.25">
      <c r="A46" s="114"/>
      <c r="B46" s="49" t="s">
        <v>70</v>
      </c>
      <c r="C46" s="81">
        <v>9</v>
      </c>
      <c r="D46" s="12">
        <f>C46*1.5</f>
        <v>13.5</v>
      </c>
      <c r="F46" s="96" t="s">
        <v>146</v>
      </c>
      <c r="G46" s="62"/>
      <c r="H46" s="138">
        <v>87410</v>
      </c>
      <c r="I46" s="138"/>
      <c r="J46" s="138"/>
      <c r="K46" s="21"/>
      <c r="P46" s="4"/>
      <c r="Q46" s="4"/>
      <c r="R46" s="5"/>
    </row>
    <row r="47" spans="1:18" ht="15.75" x14ac:dyDescent="0.25">
      <c r="A47" s="115"/>
      <c r="B47" s="27"/>
      <c r="C47" s="11"/>
      <c r="D47" s="12"/>
      <c r="F47" s="59"/>
      <c r="G47" s="59"/>
      <c r="H47" s="116"/>
      <c r="I47" s="117"/>
      <c r="J47" s="118"/>
      <c r="K47" s="21"/>
      <c r="P47" s="4"/>
      <c r="Q47" s="4"/>
      <c r="R47" s="5"/>
    </row>
    <row r="48" spans="1:18" ht="15" customHeight="1" x14ac:dyDescent="0.25">
      <c r="A48" s="113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16"/>
      <c r="I48" s="117"/>
      <c r="J48" s="1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4"/>
      <c r="B49" s="29" t="s">
        <v>68</v>
      </c>
      <c r="C49" s="33">
        <v>1</v>
      </c>
      <c r="D49" s="12">
        <f>C49*42</f>
        <v>42</v>
      </c>
      <c r="F49" s="119" t="s">
        <v>86</v>
      </c>
      <c r="G49" s="121">
        <f>H34+H35+H36+H37+H38+H39+H40+H41+G42+H44+H45+H46</f>
        <v>213263</v>
      </c>
      <c r="H49" s="122"/>
      <c r="I49" s="122"/>
      <c r="J49" s="12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4"/>
      <c r="B50" s="32" t="s">
        <v>70</v>
      </c>
      <c r="C50" s="11">
        <v>12</v>
      </c>
      <c r="D50" s="12">
        <f>C50*1.5</f>
        <v>18</v>
      </c>
      <c r="F50" s="120"/>
      <c r="G50" s="124"/>
      <c r="H50" s="125"/>
      <c r="I50" s="125"/>
      <c r="J50" s="126"/>
      <c r="P50" s="4"/>
      <c r="Q50" s="4"/>
      <c r="R50" s="5"/>
    </row>
    <row r="51" spans="1:18" ht="15" customHeight="1" x14ac:dyDescent="0.25">
      <c r="A51" s="114"/>
      <c r="B51" s="27"/>
      <c r="C51" s="10"/>
      <c r="D51" s="31"/>
      <c r="F51" s="127" t="s">
        <v>148</v>
      </c>
      <c r="G51" s="129">
        <f>G49-H29</f>
        <v>174.5</v>
      </c>
      <c r="H51" s="130"/>
      <c r="I51" s="130"/>
      <c r="J51" s="13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4"/>
      <c r="B52" s="29"/>
      <c r="C52" s="33"/>
      <c r="D52" s="45"/>
      <c r="F52" s="128"/>
      <c r="G52" s="132"/>
      <c r="H52" s="133"/>
      <c r="I52" s="133"/>
      <c r="J52" s="1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9" t="s">
        <v>90</v>
      </c>
      <c r="B54" s="100"/>
      <c r="C54" s="101"/>
      <c r="D54" s="105">
        <f>SUM(D34:D53)</f>
        <v>35187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2"/>
      <c r="B55" s="103"/>
      <c r="C55" s="104"/>
      <c r="D55" s="10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07" t="s">
        <v>91</v>
      </c>
      <c r="B58" s="108"/>
      <c r="C58" s="108"/>
      <c r="D58" s="109"/>
      <c r="F58" s="107" t="s">
        <v>92</v>
      </c>
      <c r="G58" s="108"/>
      <c r="H58" s="108"/>
      <c r="I58" s="108"/>
      <c r="J58" s="109"/>
    </row>
    <row r="59" spans="1:18" x14ac:dyDescent="0.25">
      <c r="A59" s="110"/>
      <c r="B59" s="111"/>
      <c r="C59" s="111"/>
      <c r="D59" s="112"/>
      <c r="F59" s="110"/>
      <c r="G59" s="111"/>
      <c r="H59" s="111"/>
      <c r="I59" s="111"/>
      <c r="J59" s="11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6E304-820A-41D0-9FF3-244B80FD61B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5" t="s">
        <v>1</v>
      </c>
      <c r="O1" s="195"/>
      <c r="P1" s="87" t="s">
        <v>2</v>
      </c>
      <c r="Q1" s="8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6" t="s">
        <v>7</v>
      </c>
      <c r="B4" s="147"/>
      <c r="C4" s="147"/>
      <c r="D4" s="148"/>
      <c r="F4" s="196" t="s">
        <v>8</v>
      </c>
      <c r="G4" s="198">
        <v>2</v>
      </c>
      <c r="H4" s="200" t="s">
        <v>9</v>
      </c>
      <c r="I4" s="202">
        <v>45992</v>
      </c>
      <c r="J4" s="20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97"/>
      <c r="G5" s="199"/>
      <c r="H5" s="201"/>
      <c r="I5" s="204"/>
      <c r="J5" s="20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10">
        <v>168</v>
      </c>
      <c r="D6" s="13">
        <f t="shared" ref="D6:D28" si="1">C6*L6</f>
        <v>123816</v>
      </c>
      <c r="F6" s="206" t="s">
        <v>16</v>
      </c>
      <c r="G6" s="208" t="s">
        <v>141</v>
      </c>
      <c r="H6" s="209"/>
      <c r="I6" s="209"/>
      <c r="J6" s="21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10">
        <v>2</v>
      </c>
      <c r="D7" s="13">
        <f t="shared" si="1"/>
        <v>1450</v>
      </c>
      <c r="F7" s="207"/>
      <c r="G7" s="211"/>
      <c r="H7" s="212"/>
      <c r="I7" s="212"/>
      <c r="J7" s="21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10"/>
      <c r="D8" s="13">
        <f t="shared" si="1"/>
        <v>0</v>
      </c>
      <c r="F8" s="214" t="s">
        <v>21</v>
      </c>
      <c r="G8" s="215" t="s">
        <v>114</v>
      </c>
      <c r="H8" s="216"/>
      <c r="I8" s="216"/>
      <c r="J8" s="21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10">
        <v>39</v>
      </c>
      <c r="D9" s="13">
        <f t="shared" si="1"/>
        <v>27573</v>
      </c>
      <c r="F9" s="207"/>
      <c r="G9" s="218"/>
      <c r="H9" s="219"/>
      <c r="I9" s="219"/>
      <c r="J9" s="22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10"/>
      <c r="D10" s="13">
        <f t="shared" si="1"/>
        <v>0</v>
      </c>
      <c r="F10" s="206" t="s">
        <v>26</v>
      </c>
      <c r="G10" s="221" t="s">
        <v>115</v>
      </c>
      <c r="H10" s="222"/>
      <c r="I10" s="222"/>
      <c r="J10" s="223"/>
      <c r="K10" s="8"/>
      <c r="L10" s="6">
        <f>R36</f>
        <v>972</v>
      </c>
      <c r="P10" s="4"/>
      <c r="Q10" s="4"/>
      <c r="R10" s="5"/>
    </row>
    <row r="11" spans="1:18" ht="15.75" x14ac:dyDescent="0.25">
      <c r="A11" s="141"/>
      <c r="B11" s="17" t="s">
        <v>28</v>
      </c>
      <c r="C11" s="10"/>
      <c r="D11" s="13">
        <f t="shared" si="1"/>
        <v>0</v>
      </c>
      <c r="F11" s="207"/>
      <c r="G11" s="218"/>
      <c r="H11" s="219"/>
      <c r="I11" s="219"/>
      <c r="J11" s="22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10"/>
      <c r="D12" s="48">
        <f t="shared" si="1"/>
        <v>0</v>
      </c>
      <c r="F12" s="224" t="s">
        <v>33</v>
      </c>
      <c r="G12" s="225"/>
      <c r="H12" s="225"/>
      <c r="I12" s="225"/>
      <c r="J12" s="22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10">
        <v>4</v>
      </c>
      <c r="D13" s="48">
        <f t="shared" si="1"/>
        <v>1228</v>
      </c>
      <c r="F13" s="227" t="s">
        <v>36</v>
      </c>
      <c r="G13" s="191"/>
      <c r="H13" s="182">
        <f>D29</f>
        <v>154078</v>
      </c>
      <c r="I13" s="183"/>
      <c r="J13" s="18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10">
        <v>1</v>
      </c>
      <c r="D14" s="31">
        <f t="shared" si="1"/>
        <v>11</v>
      </c>
      <c r="F14" s="185" t="s">
        <v>39</v>
      </c>
      <c r="G14" s="186"/>
      <c r="H14" s="187">
        <f>D54</f>
        <v>24060</v>
      </c>
      <c r="I14" s="188"/>
      <c r="J14" s="18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38</v>
      </c>
      <c r="C15" s="10"/>
      <c r="D15" s="31">
        <f t="shared" si="1"/>
        <v>0</v>
      </c>
      <c r="F15" s="190" t="s">
        <v>40</v>
      </c>
      <c r="G15" s="191"/>
      <c r="H15" s="192">
        <f>H13-H14</f>
        <v>130018</v>
      </c>
      <c r="I15" s="193"/>
      <c r="J15" s="19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2">
        <v>1314</v>
      </c>
      <c r="I16" s="152"/>
      <c r="J16" s="15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t="s">
        <v>93</v>
      </c>
      <c r="C17" s="10"/>
      <c r="D17" s="48">
        <f t="shared" si="1"/>
        <v>0</v>
      </c>
      <c r="F17" s="56"/>
      <c r="G17" s="66" t="s">
        <v>45</v>
      </c>
      <c r="H17" s="163"/>
      <c r="I17" s="163"/>
      <c r="J17" s="163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3"/>
      <c r="I18" s="163"/>
      <c r="J18" s="16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8">
        <v>50</v>
      </c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1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3"/>
      <c r="I20" s="163"/>
      <c r="J20" s="16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5" t="s">
        <v>13</v>
      </c>
      <c r="I21" s="166"/>
      <c r="J21" s="16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1"/>
      <c r="B22" s="46" t="s">
        <v>104</v>
      </c>
      <c r="C22" s="10"/>
      <c r="D22" s="48">
        <f t="shared" si="1"/>
        <v>0</v>
      </c>
      <c r="F22" s="72"/>
      <c r="G22" s="73"/>
      <c r="H22" s="168"/>
      <c r="I22" s="168"/>
      <c r="J22" s="16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107</v>
      </c>
      <c r="C23" s="10"/>
      <c r="D23" s="48">
        <f t="shared" si="1"/>
        <v>0</v>
      </c>
      <c r="F23" s="25"/>
      <c r="G23" s="37"/>
      <c r="H23" s="169"/>
      <c r="I23" s="138"/>
      <c r="J23" s="13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123</v>
      </c>
      <c r="C24" s="10"/>
      <c r="D24" s="48">
        <f t="shared" si="1"/>
        <v>0</v>
      </c>
      <c r="F24" s="38"/>
      <c r="G24" s="37"/>
      <c r="H24" s="169"/>
      <c r="I24" s="138"/>
      <c r="J24" s="13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105</v>
      </c>
      <c r="C26" s="10"/>
      <c r="D26" s="48">
        <f t="shared" si="1"/>
        <v>0</v>
      </c>
      <c r="F26" s="64"/>
      <c r="G26" s="10"/>
      <c r="H26" s="173"/>
      <c r="I26" s="174"/>
      <c r="J26" s="17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1"/>
      <c r="B27" s="14" t="s">
        <v>109</v>
      </c>
      <c r="C27" s="10"/>
      <c r="D27" s="44">
        <f t="shared" si="1"/>
        <v>0</v>
      </c>
      <c r="F27" s="14"/>
      <c r="G27" s="14"/>
      <c r="H27" s="176"/>
      <c r="I27" s="177"/>
      <c r="J27" s="17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97</v>
      </c>
      <c r="C28" s="10"/>
      <c r="D28" s="48">
        <f t="shared" si="1"/>
        <v>0</v>
      </c>
      <c r="F28" s="88"/>
      <c r="G28" s="61"/>
      <c r="H28" s="179"/>
      <c r="I28" s="180"/>
      <c r="J28" s="18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3" t="s">
        <v>36</v>
      </c>
      <c r="B29" s="154"/>
      <c r="C29" s="155"/>
      <c r="D29" s="159">
        <f>SUM(D6:D28)</f>
        <v>154078</v>
      </c>
      <c r="F29" s="99" t="s">
        <v>55</v>
      </c>
      <c r="G29" s="161"/>
      <c r="H29" s="121">
        <f>H15-H16-H17-H18-H19-H20-H22-H23-H24+H26+H27</f>
        <v>128654</v>
      </c>
      <c r="I29" s="122"/>
      <c r="J29" s="12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6"/>
      <c r="B30" s="157"/>
      <c r="C30" s="158"/>
      <c r="D30" s="160"/>
      <c r="F30" s="102"/>
      <c r="G30" s="162"/>
      <c r="H30" s="124"/>
      <c r="I30" s="125"/>
      <c r="J30" s="12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6" t="s">
        <v>58</v>
      </c>
      <c r="B32" s="147"/>
      <c r="C32" s="147"/>
      <c r="D32" s="148"/>
      <c r="F32" s="149" t="s">
        <v>59</v>
      </c>
      <c r="G32" s="150"/>
      <c r="H32" s="150"/>
      <c r="I32" s="150"/>
      <c r="J32" s="15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49" t="s">
        <v>13</v>
      </c>
      <c r="I33" s="150"/>
      <c r="J33" s="15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101</v>
      </c>
      <c r="H34" s="143">
        <f>F34*G34</f>
        <v>101000</v>
      </c>
      <c r="I34" s="144"/>
      <c r="J34" s="14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1"/>
      <c r="B35" s="27" t="s">
        <v>68</v>
      </c>
      <c r="C35" s="52"/>
      <c r="D35" s="30">
        <f>C35*84</f>
        <v>0</v>
      </c>
      <c r="F35" s="58">
        <v>500</v>
      </c>
      <c r="G35" s="41">
        <v>53</v>
      </c>
      <c r="H35" s="143">
        <f t="shared" ref="H35:H39" si="2">F35*G35</f>
        <v>26500</v>
      </c>
      <c r="I35" s="144"/>
      <c r="J35" s="14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70</v>
      </c>
      <c r="C36" s="10"/>
      <c r="D36" s="12">
        <f>C36*1.5</f>
        <v>0</v>
      </c>
      <c r="F36" s="12">
        <v>200</v>
      </c>
      <c r="G36" s="37"/>
      <c r="H36" s="143">
        <f>F36*G36</f>
        <v>0</v>
      </c>
      <c r="I36" s="144"/>
      <c r="J36" s="14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0" t="s">
        <v>72</v>
      </c>
      <c r="B37" s="28" t="s">
        <v>66</v>
      </c>
      <c r="C37" s="53">
        <v>211</v>
      </c>
      <c r="D37" s="12">
        <f>C37*111</f>
        <v>23421</v>
      </c>
      <c r="F37" s="12">
        <v>100</v>
      </c>
      <c r="G37" s="39">
        <v>4</v>
      </c>
      <c r="H37" s="143">
        <f t="shared" si="2"/>
        <v>400</v>
      </c>
      <c r="I37" s="144"/>
      <c r="J37" s="14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1"/>
      <c r="B38" s="29" t="s">
        <v>68</v>
      </c>
      <c r="C38" s="54"/>
      <c r="D38" s="12">
        <f>C38*84</f>
        <v>0</v>
      </c>
      <c r="F38" s="30">
        <v>50</v>
      </c>
      <c r="G38" s="39">
        <v>1</v>
      </c>
      <c r="H38" s="143">
        <f t="shared" si="2"/>
        <v>50</v>
      </c>
      <c r="I38" s="144"/>
      <c r="J38" s="14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2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43">
        <f t="shared" si="2"/>
        <v>0</v>
      </c>
      <c r="I39" s="144"/>
      <c r="J39" s="14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43"/>
      <c r="I40" s="144"/>
      <c r="J40" s="14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43"/>
      <c r="I41" s="144"/>
      <c r="J41" s="14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2"/>
      <c r="B42" s="27" t="s">
        <v>70</v>
      </c>
      <c r="C42" s="11">
        <v>8</v>
      </c>
      <c r="D42" s="12">
        <f>C42*2.25</f>
        <v>18</v>
      </c>
      <c r="F42" s="39" t="s">
        <v>79</v>
      </c>
      <c r="G42" s="143">
        <v>35</v>
      </c>
      <c r="H42" s="144"/>
      <c r="I42" s="144"/>
      <c r="J42" s="14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3" t="s">
        <v>81</v>
      </c>
      <c r="C43" s="11"/>
      <c r="D43" s="12"/>
      <c r="F43" s="59" t="s">
        <v>82</v>
      </c>
      <c r="G43" s="85" t="s">
        <v>83</v>
      </c>
      <c r="H43" s="135" t="s">
        <v>13</v>
      </c>
      <c r="I43" s="136"/>
      <c r="J43" s="137"/>
      <c r="K43" s="21"/>
      <c r="P43" s="4"/>
      <c r="Q43" s="4"/>
      <c r="R43" s="5"/>
    </row>
    <row r="44" spans="1:18" ht="15.75" x14ac:dyDescent="0.25">
      <c r="A44" s="114"/>
      <c r="B44" s="27" t="s">
        <v>66</v>
      </c>
      <c r="C44" s="10"/>
      <c r="D44" s="12">
        <f>C44*120</f>
        <v>0</v>
      </c>
      <c r="F44" s="37"/>
      <c r="G44" s="62"/>
      <c r="H44" s="138"/>
      <c r="I44" s="138"/>
      <c r="J44" s="138"/>
      <c r="K44" s="21"/>
      <c r="P44" s="4"/>
      <c r="Q44" s="4"/>
      <c r="R44" s="5"/>
    </row>
    <row r="45" spans="1:18" ht="15.75" x14ac:dyDescent="0.25">
      <c r="A45" s="114"/>
      <c r="B45" s="27" t="s">
        <v>68</v>
      </c>
      <c r="C45" s="33"/>
      <c r="D45" s="12">
        <f>C45*84</f>
        <v>0</v>
      </c>
      <c r="F45" s="37"/>
      <c r="G45" s="62"/>
      <c r="H45" s="138"/>
      <c r="I45" s="138"/>
      <c r="J45" s="138"/>
      <c r="K45" s="21"/>
      <c r="P45" s="4"/>
      <c r="Q45" s="4"/>
      <c r="R45" s="5"/>
    </row>
    <row r="46" spans="1:18" ht="15.75" x14ac:dyDescent="0.25">
      <c r="A46" s="114"/>
      <c r="B46" s="49" t="s">
        <v>70</v>
      </c>
      <c r="C46" s="81">
        <v>1</v>
      </c>
      <c r="D46" s="12">
        <f>C46*1.5</f>
        <v>1.5</v>
      </c>
      <c r="F46" s="37"/>
      <c r="G46" s="86"/>
      <c r="H46" s="139"/>
      <c r="I46" s="139"/>
      <c r="J46" s="139"/>
      <c r="K46" s="21"/>
      <c r="P46" s="4"/>
      <c r="Q46" s="4"/>
      <c r="R46" s="5"/>
    </row>
    <row r="47" spans="1:18" ht="15.75" x14ac:dyDescent="0.25">
      <c r="A47" s="115"/>
      <c r="B47" s="27"/>
      <c r="C47" s="11"/>
      <c r="D47" s="12"/>
      <c r="F47" s="59"/>
      <c r="G47" s="59"/>
      <c r="H47" s="116"/>
      <c r="I47" s="117"/>
      <c r="J47" s="118"/>
      <c r="K47" s="21"/>
      <c r="P47" s="4"/>
      <c r="Q47" s="4"/>
      <c r="R47" s="5"/>
    </row>
    <row r="48" spans="1:18" ht="15" customHeight="1" x14ac:dyDescent="0.25">
      <c r="A48" s="113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16"/>
      <c r="I48" s="117"/>
      <c r="J48" s="1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4"/>
      <c r="B49" s="29" t="s">
        <v>68</v>
      </c>
      <c r="C49" s="33">
        <v>1</v>
      </c>
      <c r="D49" s="12">
        <f>C49*42</f>
        <v>42</v>
      </c>
      <c r="F49" s="119" t="s">
        <v>86</v>
      </c>
      <c r="G49" s="121">
        <f>H34+H35+H36+H37+H38+H39+H40+H41+G42+H44+H45+H46</f>
        <v>127985</v>
      </c>
      <c r="H49" s="122"/>
      <c r="I49" s="122"/>
      <c r="J49" s="12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4"/>
      <c r="B50" s="32" t="s">
        <v>70</v>
      </c>
      <c r="C50" s="11">
        <v>22</v>
      </c>
      <c r="D50" s="12">
        <f>C50*1.5</f>
        <v>33</v>
      </c>
      <c r="F50" s="120"/>
      <c r="G50" s="124"/>
      <c r="H50" s="125"/>
      <c r="I50" s="125"/>
      <c r="J50" s="126"/>
      <c r="P50" s="4"/>
      <c r="Q50" s="4"/>
      <c r="R50" s="5"/>
    </row>
    <row r="51" spans="1:18" ht="15" customHeight="1" x14ac:dyDescent="0.25">
      <c r="A51" s="114"/>
      <c r="B51" s="27"/>
      <c r="C51" s="10"/>
      <c r="D51" s="31"/>
      <c r="F51" s="127" t="s">
        <v>132</v>
      </c>
      <c r="G51" s="232">
        <f>G49-H29</f>
        <v>-669</v>
      </c>
      <c r="H51" s="233"/>
      <c r="I51" s="233"/>
      <c r="J51" s="23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4"/>
      <c r="B52" s="29"/>
      <c r="C52" s="33"/>
      <c r="D52" s="45"/>
      <c r="F52" s="128"/>
      <c r="G52" s="235"/>
      <c r="H52" s="236"/>
      <c r="I52" s="236"/>
      <c r="J52" s="23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9" t="s">
        <v>90</v>
      </c>
      <c r="B54" s="100"/>
      <c r="C54" s="101"/>
      <c r="D54" s="105">
        <f>SUM(D34:D53)</f>
        <v>24060</v>
      </c>
      <c r="F54" s="21"/>
      <c r="J54" s="34"/>
    </row>
    <row r="55" spans="1:18" x14ac:dyDescent="0.25">
      <c r="A55" s="102"/>
      <c r="B55" s="103"/>
      <c r="C55" s="104"/>
      <c r="D55" s="10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7" t="s">
        <v>91</v>
      </c>
      <c r="B58" s="108"/>
      <c r="C58" s="108"/>
      <c r="D58" s="109"/>
      <c r="F58" s="107" t="s">
        <v>92</v>
      </c>
      <c r="G58" s="108"/>
      <c r="H58" s="108"/>
      <c r="I58" s="108"/>
      <c r="J58" s="109"/>
    </row>
    <row r="59" spans="1:18" x14ac:dyDescent="0.25">
      <c r="A59" s="110"/>
      <c r="B59" s="111"/>
      <c r="C59" s="111"/>
      <c r="D59" s="112"/>
      <c r="F59" s="110"/>
      <c r="G59" s="111"/>
      <c r="H59" s="111"/>
      <c r="I59" s="111"/>
      <c r="J59" s="11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10039-1D4D-45F4-91AD-620EE5B72D1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5" t="s">
        <v>1</v>
      </c>
      <c r="O1" s="195"/>
      <c r="P1" s="87" t="s">
        <v>2</v>
      </c>
      <c r="Q1" s="8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6" t="s">
        <v>7</v>
      </c>
      <c r="B4" s="147"/>
      <c r="C4" s="147"/>
      <c r="D4" s="148"/>
      <c r="F4" s="196" t="s">
        <v>8</v>
      </c>
      <c r="G4" s="198">
        <v>3</v>
      </c>
      <c r="H4" s="200" t="s">
        <v>9</v>
      </c>
      <c r="I4" s="202">
        <v>45992</v>
      </c>
      <c r="J4" s="20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97"/>
      <c r="G5" s="199"/>
      <c r="H5" s="201"/>
      <c r="I5" s="204"/>
      <c r="J5" s="20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10">
        <v>211</v>
      </c>
      <c r="D6" s="13">
        <f t="shared" ref="D6:D28" si="1">C6*L6</f>
        <v>155507</v>
      </c>
      <c r="F6" s="206" t="s">
        <v>16</v>
      </c>
      <c r="G6" s="208" t="s">
        <v>111</v>
      </c>
      <c r="H6" s="209"/>
      <c r="I6" s="209"/>
      <c r="J6" s="21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10">
        <v>11</v>
      </c>
      <c r="D7" s="13">
        <f t="shared" si="1"/>
        <v>7975</v>
      </c>
      <c r="F7" s="207"/>
      <c r="G7" s="211"/>
      <c r="H7" s="212"/>
      <c r="I7" s="212"/>
      <c r="J7" s="21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10">
        <v>1</v>
      </c>
      <c r="D8" s="13">
        <f t="shared" si="1"/>
        <v>1033</v>
      </c>
      <c r="F8" s="214" t="s">
        <v>21</v>
      </c>
      <c r="G8" s="215" t="s">
        <v>119</v>
      </c>
      <c r="H8" s="216"/>
      <c r="I8" s="216"/>
      <c r="J8" s="21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10">
        <v>18</v>
      </c>
      <c r="D9" s="13">
        <f t="shared" si="1"/>
        <v>12726</v>
      </c>
      <c r="F9" s="207"/>
      <c r="G9" s="218"/>
      <c r="H9" s="219"/>
      <c r="I9" s="219"/>
      <c r="J9" s="22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10">
        <v>2</v>
      </c>
      <c r="D10" s="13">
        <f t="shared" si="1"/>
        <v>1944</v>
      </c>
      <c r="F10" s="206" t="s">
        <v>26</v>
      </c>
      <c r="G10" s="221" t="s">
        <v>135</v>
      </c>
      <c r="H10" s="222"/>
      <c r="I10" s="222"/>
      <c r="J10" s="223"/>
      <c r="K10" s="8"/>
      <c r="L10" s="6">
        <f>R36</f>
        <v>972</v>
      </c>
      <c r="P10" s="4"/>
      <c r="Q10" s="4"/>
      <c r="R10" s="5"/>
    </row>
    <row r="11" spans="1:18" ht="15.75" x14ac:dyDescent="0.25">
      <c r="A11" s="141"/>
      <c r="B11" s="17" t="s">
        <v>28</v>
      </c>
      <c r="C11" s="10"/>
      <c r="D11" s="13">
        <f t="shared" si="1"/>
        <v>0</v>
      </c>
      <c r="F11" s="207"/>
      <c r="G11" s="218"/>
      <c r="H11" s="219"/>
      <c r="I11" s="219"/>
      <c r="J11" s="22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10">
        <v>3</v>
      </c>
      <c r="D12" s="48">
        <f t="shared" si="1"/>
        <v>2856</v>
      </c>
      <c r="F12" s="224" t="s">
        <v>33</v>
      </c>
      <c r="G12" s="225"/>
      <c r="H12" s="225"/>
      <c r="I12" s="225"/>
      <c r="J12" s="22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10">
        <v>5</v>
      </c>
      <c r="D13" s="48">
        <f t="shared" si="1"/>
        <v>1535</v>
      </c>
      <c r="F13" s="227" t="s">
        <v>36</v>
      </c>
      <c r="G13" s="191"/>
      <c r="H13" s="182">
        <f>D29</f>
        <v>197825</v>
      </c>
      <c r="I13" s="183"/>
      <c r="J13" s="18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10">
        <v>1</v>
      </c>
      <c r="D14" s="31">
        <f t="shared" si="1"/>
        <v>11</v>
      </c>
      <c r="F14" s="185" t="s">
        <v>39</v>
      </c>
      <c r="G14" s="186"/>
      <c r="H14" s="187">
        <f>D54</f>
        <v>31160.25</v>
      </c>
      <c r="I14" s="188"/>
      <c r="J14" s="18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38</v>
      </c>
      <c r="C15" s="10"/>
      <c r="D15" s="31">
        <f t="shared" si="1"/>
        <v>0</v>
      </c>
      <c r="F15" s="190" t="s">
        <v>40</v>
      </c>
      <c r="G15" s="191"/>
      <c r="H15" s="192">
        <f>H13-H14</f>
        <v>166664.75</v>
      </c>
      <c r="I15" s="193"/>
      <c r="J15" s="19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2">
        <f>300</f>
        <v>300</v>
      </c>
      <c r="I16" s="152"/>
      <c r="J16" s="15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t="s">
        <v>113</v>
      </c>
      <c r="C17" s="10"/>
      <c r="D17" s="48">
        <f t="shared" si="1"/>
        <v>0</v>
      </c>
      <c r="F17" s="56"/>
      <c r="G17" s="66" t="s">
        <v>45</v>
      </c>
      <c r="H17" s="163"/>
      <c r="I17" s="163"/>
      <c r="J17" s="16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3"/>
      <c r="I18" s="163"/>
      <c r="J18" s="16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2"/>
      <c r="I20" s="152"/>
      <c r="J20" s="15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5" t="s">
        <v>13</v>
      </c>
      <c r="I21" s="166"/>
      <c r="J21" s="16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1"/>
      <c r="B22" s="46" t="s">
        <v>104</v>
      </c>
      <c r="C22" s="10"/>
      <c r="D22" s="48">
        <f t="shared" si="1"/>
        <v>0</v>
      </c>
      <c r="F22" s="77"/>
      <c r="G22" s="73"/>
      <c r="H22" s="168"/>
      <c r="I22" s="168"/>
      <c r="J22" s="16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107</v>
      </c>
      <c r="C23" s="10"/>
      <c r="D23" s="48">
        <f t="shared" si="1"/>
        <v>0</v>
      </c>
      <c r="F23" s="78"/>
      <c r="G23" s="79"/>
      <c r="H23" s="169"/>
      <c r="I23" s="138"/>
      <c r="J23" s="13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101</v>
      </c>
      <c r="C24" s="10"/>
      <c r="D24" s="48">
        <f t="shared" si="1"/>
        <v>0</v>
      </c>
      <c r="F24" s="38"/>
      <c r="G24" s="37"/>
      <c r="H24" s="169"/>
      <c r="I24" s="138"/>
      <c r="J24" s="13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105</v>
      </c>
      <c r="C26" s="10"/>
      <c r="D26" s="48">
        <f t="shared" si="1"/>
        <v>0</v>
      </c>
      <c r="F26" s="64"/>
      <c r="G26" s="59"/>
      <c r="H26" s="173"/>
      <c r="I26" s="174"/>
      <c r="J26" s="17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1"/>
      <c r="B27" s="14" t="s">
        <v>109</v>
      </c>
      <c r="C27" s="10">
        <v>9</v>
      </c>
      <c r="D27" s="44">
        <f t="shared" si="1"/>
        <v>14238</v>
      </c>
      <c r="F27" s="25"/>
      <c r="G27" s="80"/>
      <c r="H27" s="176"/>
      <c r="I27" s="177"/>
      <c r="J27" s="17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97</v>
      </c>
      <c r="C28" s="10"/>
      <c r="D28" s="48">
        <f t="shared" si="1"/>
        <v>0</v>
      </c>
      <c r="F28" s="88"/>
      <c r="G28" s="61"/>
      <c r="H28" s="179"/>
      <c r="I28" s="180"/>
      <c r="J28" s="18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3" t="s">
        <v>36</v>
      </c>
      <c r="B29" s="154"/>
      <c r="C29" s="155"/>
      <c r="D29" s="159">
        <f>SUM(D6:D28)</f>
        <v>197825</v>
      </c>
      <c r="F29" s="99" t="s">
        <v>55</v>
      </c>
      <c r="G29" s="161"/>
      <c r="H29" s="121">
        <f>H15-H16-H17-H18-H19-H20-H22-H23-H24+H26+H27</f>
        <v>166364.75</v>
      </c>
      <c r="I29" s="122"/>
      <c r="J29" s="12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6"/>
      <c r="B30" s="157"/>
      <c r="C30" s="158"/>
      <c r="D30" s="160"/>
      <c r="F30" s="102"/>
      <c r="G30" s="162"/>
      <c r="H30" s="124"/>
      <c r="I30" s="125"/>
      <c r="J30" s="12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6" t="s">
        <v>58</v>
      </c>
      <c r="B32" s="147"/>
      <c r="C32" s="147"/>
      <c r="D32" s="148"/>
      <c r="F32" s="149" t="s">
        <v>59</v>
      </c>
      <c r="G32" s="150"/>
      <c r="H32" s="150"/>
      <c r="I32" s="150"/>
      <c r="J32" s="15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49" t="s">
        <v>13</v>
      </c>
      <c r="I33" s="150"/>
      <c r="J33" s="15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131</v>
      </c>
      <c r="H34" s="143">
        <f>F34*G34</f>
        <v>131000</v>
      </c>
      <c r="I34" s="144"/>
      <c r="J34" s="14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1"/>
      <c r="B35" s="27" t="s">
        <v>68</v>
      </c>
      <c r="C35" s="52"/>
      <c r="D35" s="30">
        <f>C35*84</f>
        <v>0</v>
      </c>
      <c r="F35" s="58">
        <v>500</v>
      </c>
      <c r="G35" s="41">
        <v>42</v>
      </c>
      <c r="H35" s="143">
        <f>F35*G35</f>
        <v>21000</v>
      </c>
      <c r="I35" s="144"/>
      <c r="J35" s="14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70</v>
      </c>
      <c r="C36" s="10">
        <v>3</v>
      </c>
      <c r="D36" s="12">
        <f>C36*1.5</f>
        <v>4.5</v>
      </c>
      <c r="F36" s="12">
        <v>200</v>
      </c>
      <c r="G36" s="37"/>
      <c r="H36" s="143">
        <f t="shared" ref="H36:H39" si="2">F36*G36</f>
        <v>0</v>
      </c>
      <c r="I36" s="144"/>
      <c r="J36" s="14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0" t="s">
        <v>72</v>
      </c>
      <c r="B37" s="28" t="s">
        <v>66</v>
      </c>
      <c r="C37" s="53">
        <v>262</v>
      </c>
      <c r="D37" s="12">
        <f>C37*111</f>
        <v>29082</v>
      </c>
      <c r="F37" s="12">
        <v>100</v>
      </c>
      <c r="G37" s="39"/>
      <c r="H37" s="143">
        <f t="shared" si="2"/>
        <v>0</v>
      </c>
      <c r="I37" s="144"/>
      <c r="J37" s="14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1"/>
      <c r="B38" s="29" t="s">
        <v>68</v>
      </c>
      <c r="C38" s="54"/>
      <c r="D38" s="12">
        <f>C38*84</f>
        <v>0</v>
      </c>
      <c r="F38" s="30">
        <v>50</v>
      </c>
      <c r="G38" s="39"/>
      <c r="H38" s="143">
        <f t="shared" si="2"/>
        <v>0</v>
      </c>
      <c r="I38" s="144"/>
      <c r="J38" s="14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2"/>
      <c r="B39" s="29" t="s">
        <v>70</v>
      </c>
      <c r="C39" s="52"/>
      <c r="D39" s="31">
        <f>C39*4.5</f>
        <v>0</v>
      </c>
      <c r="F39" s="12">
        <v>20</v>
      </c>
      <c r="G39" s="37"/>
      <c r="H39" s="143">
        <f t="shared" si="2"/>
        <v>0</v>
      </c>
      <c r="I39" s="144"/>
      <c r="J39" s="14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76</v>
      </c>
      <c r="B40" s="27" t="s">
        <v>66</v>
      </c>
      <c r="C40" s="63">
        <v>10</v>
      </c>
      <c r="D40" s="12">
        <f>C40*111</f>
        <v>1110</v>
      </c>
      <c r="F40" s="12">
        <v>10</v>
      </c>
      <c r="G40" s="42"/>
      <c r="H40" s="143"/>
      <c r="I40" s="144"/>
      <c r="J40" s="14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1"/>
      <c r="B41" s="27" t="s">
        <v>68</v>
      </c>
      <c r="C41" s="10"/>
      <c r="D41" s="12">
        <f>C41*84</f>
        <v>0</v>
      </c>
      <c r="F41" s="12">
        <v>5</v>
      </c>
      <c r="G41" s="42"/>
      <c r="H41" s="143"/>
      <c r="I41" s="144"/>
      <c r="J41" s="14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2"/>
      <c r="B42" s="27" t="s">
        <v>70</v>
      </c>
      <c r="C42" s="11">
        <v>9</v>
      </c>
      <c r="D42" s="12">
        <f>C42*2.25</f>
        <v>20.25</v>
      </c>
      <c r="F42" s="39" t="s">
        <v>79</v>
      </c>
      <c r="G42" s="143">
        <v>86</v>
      </c>
      <c r="H42" s="144"/>
      <c r="I42" s="144"/>
      <c r="J42" s="14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3" t="s">
        <v>81</v>
      </c>
      <c r="C43" s="11"/>
      <c r="D43" s="12"/>
      <c r="F43" s="59" t="s">
        <v>82</v>
      </c>
      <c r="G43" s="85" t="s">
        <v>83</v>
      </c>
      <c r="H43" s="135" t="s">
        <v>13</v>
      </c>
      <c r="I43" s="136"/>
      <c r="J43" s="137"/>
      <c r="K43" s="21"/>
      <c r="P43" s="4"/>
      <c r="Q43" s="4"/>
      <c r="R43" s="5"/>
    </row>
    <row r="44" spans="1:18" ht="15.75" x14ac:dyDescent="0.25">
      <c r="A44" s="114"/>
      <c r="B44" s="27" t="s">
        <v>66</v>
      </c>
      <c r="C44" s="10">
        <v>2</v>
      </c>
      <c r="D44" s="12">
        <f>C44*120</f>
        <v>240</v>
      </c>
      <c r="F44" s="95" t="s">
        <v>149</v>
      </c>
      <c r="G44" s="76"/>
      <c r="H44" s="138">
        <v>14238</v>
      </c>
      <c r="I44" s="138"/>
      <c r="J44" s="138"/>
      <c r="K44" s="21"/>
      <c r="P44" s="4"/>
      <c r="Q44" s="4"/>
      <c r="R44" s="5"/>
    </row>
    <row r="45" spans="1:18" ht="15.75" x14ac:dyDescent="0.25">
      <c r="A45" s="114"/>
      <c r="B45" s="27" t="s">
        <v>68</v>
      </c>
      <c r="C45" s="33">
        <v>1</v>
      </c>
      <c r="D45" s="12">
        <f>C45*84</f>
        <v>84</v>
      </c>
      <c r="F45" s="37"/>
      <c r="G45" s="76"/>
      <c r="H45" s="138"/>
      <c r="I45" s="138"/>
      <c r="J45" s="138"/>
      <c r="K45" s="21"/>
      <c r="P45" s="4"/>
      <c r="Q45" s="4"/>
      <c r="R45" s="5"/>
    </row>
    <row r="46" spans="1:18" ht="15.75" x14ac:dyDescent="0.25">
      <c r="A46" s="114"/>
      <c r="B46" s="49" t="s">
        <v>70</v>
      </c>
      <c r="C46" s="81">
        <v>11</v>
      </c>
      <c r="D46" s="12">
        <f>C46*1.5</f>
        <v>16.5</v>
      </c>
      <c r="F46" s="37"/>
      <c r="G46" s="62"/>
      <c r="H46" s="139"/>
      <c r="I46" s="139"/>
      <c r="J46" s="139"/>
      <c r="K46" s="21"/>
      <c r="P46" s="4"/>
      <c r="Q46" s="4"/>
      <c r="R46" s="5"/>
    </row>
    <row r="47" spans="1:18" ht="15.75" x14ac:dyDescent="0.25">
      <c r="A47" s="115"/>
      <c r="B47" s="27"/>
      <c r="C47" s="11"/>
      <c r="D47" s="12"/>
      <c r="F47" s="59"/>
      <c r="G47" s="59"/>
      <c r="H47" s="116"/>
      <c r="I47" s="117"/>
      <c r="J47" s="118"/>
      <c r="K47" s="21"/>
      <c r="P47" s="4"/>
      <c r="Q47" s="4"/>
      <c r="R47" s="5"/>
    </row>
    <row r="48" spans="1:18" ht="15" customHeight="1" x14ac:dyDescent="0.25">
      <c r="A48" s="113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16"/>
      <c r="I48" s="117"/>
      <c r="J48" s="1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4"/>
      <c r="B49" s="29" t="s">
        <v>68</v>
      </c>
      <c r="C49" s="33">
        <v>1</v>
      </c>
      <c r="D49" s="12">
        <f>C49*42</f>
        <v>42</v>
      </c>
      <c r="F49" s="119" t="s">
        <v>86</v>
      </c>
      <c r="G49" s="121">
        <f>H34+H35+H36+H37+H38+H39+H40+H41+G42+H44+H45+H46</f>
        <v>166324</v>
      </c>
      <c r="H49" s="122"/>
      <c r="I49" s="122"/>
      <c r="J49" s="12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4"/>
      <c r="B50" s="32" t="s">
        <v>70</v>
      </c>
      <c r="C50" s="11">
        <v>6</v>
      </c>
      <c r="D50" s="12">
        <f>C50*1.5</f>
        <v>9</v>
      </c>
      <c r="F50" s="120"/>
      <c r="G50" s="124"/>
      <c r="H50" s="125"/>
      <c r="I50" s="125"/>
      <c r="J50" s="126"/>
      <c r="P50" s="4"/>
      <c r="Q50" s="4"/>
      <c r="R50" s="5"/>
    </row>
    <row r="51" spans="1:18" ht="15" customHeight="1" x14ac:dyDescent="0.25">
      <c r="A51" s="114"/>
      <c r="B51" s="27"/>
      <c r="C51" s="10"/>
      <c r="D51" s="31"/>
      <c r="F51" s="127" t="s">
        <v>140</v>
      </c>
      <c r="G51" s="232">
        <f>G49-H29</f>
        <v>-40.75</v>
      </c>
      <c r="H51" s="233"/>
      <c r="I51" s="233"/>
      <c r="J51" s="23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4"/>
      <c r="B52" s="29"/>
      <c r="C52" s="33"/>
      <c r="D52" s="45"/>
      <c r="F52" s="128"/>
      <c r="G52" s="235"/>
      <c r="H52" s="236"/>
      <c r="I52" s="236"/>
      <c r="J52" s="23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9" t="s">
        <v>90</v>
      </c>
      <c r="B54" s="100"/>
      <c r="C54" s="101"/>
      <c r="D54" s="105">
        <f>SUM(D34:D53)</f>
        <v>31160.25</v>
      </c>
      <c r="F54" s="21"/>
      <c r="J54" s="34"/>
    </row>
    <row r="55" spans="1:18" x14ac:dyDescent="0.25">
      <c r="A55" s="102"/>
      <c r="B55" s="103"/>
      <c r="C55" s="104"/>
      <c r="D55" s="10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07" t="s">
        <v>91</v>
      </c>
      <c r="B58" s="108"/>
      <c r="C58" s="108"/>
      <c r="D58" s="109"/>
      <c r="F58" s="107" t="s">
        <v>92</v>
      </c>
      <c r="G58" s="108"/>
      <c r="H58" s="108"/>
      <c r="I58" s="108"/>
      <c r="J58" s="109"/>
    </row>
    <row r="59" spans="1:18" x14ac:dyDescent="0.25">
      <c r="A59" s="110"/>
      <c r="B59" s="111"/>
      <c r="C59" s="111"/>
      <c r="D59" s="112"/>
      <c r="F59" s="110"/>
      <c r="G59" s="111"/>
      <c r="H59" s="111"/>
      <c r="I59" s="111"/>
      <c r="J59" s="11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F323A-99F6-4AC1-9760-55923A2C96C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5" t="s">
        <v>1</v>
      </c>
      <c r="O1" s="195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6" t="s">
        <v>7</v>
      </c>
      <c r="B4" s="147"/>
      <c r="C4" s="147"/>
      <c r="D4" s="148"/>
      <c r="F4" s="196" t="s">
        <v>8</v>
      </c>
      <c r="G4" s="198"/>
      <c r="H4" s="200" t="s">
        <v>9</v>
      </c>
      <c r="I4" s="202"/>
      <c r="J4" s="20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97"/>
      <c r="G5" s="199"/>
      <c r="H5" s="201"/>
      <c r="I5" s="204"/>
      <c r="J5" s="20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1"/>
      <c r="B6" s="16"/>
      <c r="C6" s="10"/>
      <c r="D6" s="13">
        <f t="shared" ref="D6:D28" si="1">C6*L6</f>
        <v>0</v>
      </c>
      <c r="F6" s="206" t="s">
        <v>16</v>
      </c>
      <c r="G6" s="208"/>
      <c r="H6" s="209"/>
      <c r="I6" s="209"/>
      <c r="J6" s="21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1"/>
      <c r="B7" s="16"/>
      <c r="C7" s="10"/>
      <c r="D7" s="13">
        <f t="shared" si="1"/>
        <v>0</v>
      </c>
      <c r="F7" s="207"/>
      <c r="G7" s="211"/>
      <c r="H7" s="212"/>
      <c r="I7" s="212"/>
      <c r="J7" s="21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1"/>
      <c r="B8" s="16"/>
      <c r="C8" s="10"/>
      <c r="D8" s="13">
        <f t="shared" si="1"/>
        <v>0</v>
      </c>
      <c r="F8" s="214" t="s">
        <v>21</v>
      </c>
      <c r="G8" s="215"/>
      <c r="H8" s="216"/>
      <c r="I8" s="216"/>
      <c r="J8" s="21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1"/>
      <c r="B9" s="16"/>
      <c r="C9" s="10"/>
      <c r="D9" s="13">
        <f t="shared" si="1"/>
        <v>0</v>
      </c>
      <c r="F9" s="207"/>
      <c r="G9" s="218"/>
      <c r="H9" s="219"/>
      <c r="I9" s="219"/>
      <c r="J9" s="22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1"/>
      <c r="C10" s="10"/>
      <c r="D10" s="13">
        <f t="shared" si="1"/>
        <v>0</v>
      </c>
      <c r="F10" s="206" t="s">
        <v>26</v>
      </c>
      <c r="G10" s="221"/>
      <c r="H10" s="222"/>
      <c r="I10" s="222"/>
      <c r="J10" s="223"/>
      <c r="K10" s="8"/>
      <c r="L10" s="6">
        <f>R36</f>
        <v>972</v>
      </c>
      <c r="P10" s="4"/>
      <c r="Q10" s="4"/>
      <c r="R10" s="5"/>
    </row>
    <row r="11" spans="1:19" ht="15.75" x14ac:dyDescent="0.25">
      <c r="A11" s="141"/>
      <c r="B11" s="17"/>
      <c r="C11" s="10"/>
      <c r="D11" s="13">
        <f t="shared" si="1"/>
        <v>0</v>
      </c>
      <c r="F11" s="207"/>
      <c r="G11" s="218"/>
      <c r="H11" s="219"/>
      <c r="I11" s="219"/>
      <c r="J11" s="22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1"/>
      <c r="B12" s="17"/>
      <c r="C12" s="10"/>
      <c r="D12" s="48">
        <f t="shared" si="1"/>
        <v>0</v>
      </c>
      <c r="F12" s="224" t="s">
        <v>33</v>
      </c>
      <c r="G12" s="225"/>
      <c r="H12" s="225"/>
      <c r="I12" s="225"/>
      <c r="J12" s="22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1"/>
      <c r="B13" s="17"/>
      <c r="C13" s="10"/>
      <c r="D13" s="48">
        <f t="shared" si="1"/>
        <v>0</v>
      </c>
      <c r="F13" s="227" t="s">
        <v>36</v>
      </c>
      <c r="G13" s="191"/>
      <c r="H13" s="182">
        <f>D29</f>
        <v>0</v>
      </c>
      <c r="I13" s="183"/>
      <c r="J13" s="18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1"/>
      <c r="B14" s="14"/>
      <c r="C14" s="10"/>
      <c r="D14" s="31">
        <f t="shared" si="1"/>
        <v>0</v>
      </c>
      <c r="F14" s="185" t="s">
        <v>39</v>
      </c>
      <c r="G14" s="186"/>
      <c r="H14" s="187">
        <f>D54</f>
        <v>0</v>
      </c>
      <c r="I14" s="188"/>
      <c r="J14" s="18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1"/>
      <c r="B15" s="14"/>
      <c r="C15" s="10"/>
      <c r="D15" s="31">
        <f t="shared" si="1"/>
        <v>0</v>
      </c>
      <c r="F15" s="190" t="s">
        <v>40</v>
      </c>
      <c r="G15" s="191"/>
      <c r="H15" s="192">
        <f>H13-H14</f>
        <v>0</v>
      </c>
      <c r="I15" s="193"/>
      <c r="J15" s="19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2"/>
      <c r="I16" s="152"/>
      <c r="J16" s="15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C17" s="10"/>
      <c r="D17" s="48">
        <f t="shared" si="1"/>
        <v>0</v>
      </c>
      <c r="F17" s="56"/>
      <c r="G17" s="66" t="s">
        <v>45</v>
      </c>
      <c r="H17" s="163"/>
      <c r="I17" s="163"/>
      <c r="J17" s="16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19"/>
      <c r="C18" s="10"/>
      <c r="D18" s="48">
        <f t="shared" si="1"/>
        <v>0</v>
      </c>
      <c r="F18" s="56"/>
      <c r="G18" s="66" t="s">
        <v>47</v>
      </c>
      <c r="H18" s="163"/>
      <c r="I18" s="163"/>
      <c r="J18" s="16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14"/>
      <c r="C19" s="10"/>
      <c r="D19" s="48">
        <f t="shared" si="1"/>
        <v>0</v>
      </c>
      <c r="F19" s="56"/>
      <c r="G19" s="68" t="s">
        <v>50</v>
      </c>
      <c r="H19" s="164"/>
      <c r="I19" s="164"/>
      <c r="J19" s="1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1"/>
      <c r="B20" s="46"/>
      <c r="C20" s="10"/>
      <c r="D20" s="13">
        <f t="shared" si="1"/>
        <v>0</v>
      </c>
      <c r="F20" s="57"/>
      <c r="G20" s="70" t="s">
        <v>120</v>
      </c>
      <c r="H20" s="152"/>
      <c r="I20" s="152"/>
      <c r="J20" s="15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5" t="s">
        <v>13</v>
      </c>
      <c r="I21" s="166"/>
      <c r="J21" s="16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1"/>
      <c r="B22" s="46"/>
      <c r="C22" s="10"/>
      <c r="D22" s="48">
        <f t="shared" si="1"/>
        <v>0</v>
      </c>
      <c r="F22" s="77"/>
      <c r="G22" s="73"/>
      <c r="H22" s="168"/>
      <c r="I22" s="168"/>
      <c r="J22" s="16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/>
      <c r="C23" s="10"/>
      <c r="D23" s="48">
        <f t="shared" si="1"/>
        <v>0</v>
      </c>
      <c r="F23" s="78"/>
      <c r="G23" s="79"/>
      <c r="H23" s="169"/>
      <c r="I23" s="138"/>
      <c r="J23" s="13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/>
      <c r="C24" s="10"/>
      <c r="D24" s="48">
        <f t="shared" si="1"/>
        <v>0</v>
      </c>
      <c r="F24" s="38"/>
      <c r="G24" s="37"/>
      <c r="H24" s="169"/>
      <c r="I24" s="138"/>
      <c r="J24" s="13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/>
      <c r="C26" s="10"/>
      <c r="D26" s="48">
        <f t="shared" si="1"/>
        <v>0</v>
      </c>
      <c r="F26" s="64"/>
      <c r="G26" s="59"/>
      <c r="H26" s="173"/>
      <c r="I26" s="174"/>
      <c r="J26" s="17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1"/>
      <c r="B27" s="14"/>
      <c r="C27" s="10"/>
      <c r="D27" s="44">
        <f t="shared" si="1"/>
        <v>0</v>
      </c>
      <c r="F27" s="25"/>
      <c r="G27" s="80"/>
      <c r="H27" s="176"/>
      <c r="I27" s="177"/>
      <c r="J27" s="17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/>
      <c r="C28" s="10"/>
      <c r="D28" s="48">
        <f t="shared" si="1"/>
        <v>0</v>
      </c>
      <c r="F28" s="93"/>
      <c r="G28" s="61"/>
      <c r="H28" s="179"/>
      <c r="I28" s="180"/>
      <c r="J28" s="18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3" t="s">
        <v>36</v>
      </c>
      <c r="B29" s="154"/>
      <c r="C29" s="155"/>
      <c r="D29" s="159">
        <f>SUM(D6:D28)</f>
        <v>0</v>
      </c>
      <c r="F29" s="99" t="s">
        <v>55</v>
      </c>
      <c r="G29" s="161"/>
      <c r="H29" s="121">
        <f>H15-H16-H17-H18-H19-H20-H22-H23-H24+H26+H27</f>
        <v>0</v>
      </c>
      <c r="I29" s="122"/>
      <c r="J29" s="12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6"/>
      <c r="B30" s="157"/>
      <c r="C30" s="158"/>
      <c r="D30" s="160"/>
      <c r="F30" s="102"/>
      <c r="G30" s="162"/>
      <c r="H30" s="124"/>
      <c r="I30" s="125"/>
      <c r="J30" s="12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6" t="s">
        <v>58</v>
      </c>
      <c r="B32" s="147"/>
      <c r="C32" s="147"/>
      <c r="D32" s="148"/>
      <c r="F32" s="149" t="s">
        <v>59</v>
      </c>
      <c r="G32" s="150"/>
      <c r="H32" s="150"/>
      <c r="I32" s="150"/>
      <c r="J32" s="15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49" t="s">
        <v>13</v>
      </c>
      <c r="I33" s="150"/>
      <c r="J33" s="15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3"/>
      <c r="I34" s="144"/>
      <c r="J34" s="14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1"/>
      <c r="B35" s="27" t="s">
        <v>68</v>
      </c>
      <c r="C35" s="52"/>
      <c r="D35" s="30">
        <f>C35*84</f>
        <v>0</v>
      </c>
      <c r="F35" s="58">
        <v>500</v>
      </c>
      <c r="G35" s="41"/>
      <c r="H35" s="143"/>
      <c r="I35" s="144"/>
      <c r="J35" s="14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70</v>
      </c>
      <c r="C36" s="10"/>
      <c r="D36" s="12">
        <f>C36*1.5</f>
        <v>0</v>
      </c>
      <c r="F36" s="12">
        <v>200</v>
      </c>
      <c r="G36" s="37"/>
      <c r="H36" s="143"/>
      <c r="I36" s="144"/>
      <c r="J36" s="14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3"/>
      <c r="I37" s="144"/>
      <c r="J37" s="14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1"/>
      <c r="B38" s="29" t="s">
        <v>68</v>
      </c>
      <c r="C38" s="54"/>
      <c r="D38" s="12">
        <f>C38*84</f>
        <v>0</v>
      </c>
      <c r="F38" s="30">
        <v>50</v>
      </c>
      <c r="G38" s="39"/>
      <c r="H38" s="143"/>
      <c r="I38" s="144"/>
      <c r="J38" s="14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2"/>
      <c r="B39" s="29" t="s">
        <v>70</v>
      </c>
      <c r="C39" s="52"/>
      <c r="D39" s="31">
        <f>C39*4.5</f>
        <v>0</v>
      </c>
      <c r="F39" s="12">
        <v>20</v>
      </c>
      <c r="G39" s="37"/>
      <c r="H39" s="143"/>
      <c r="I39" s="144"/>
      <c r="J39" s="14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3"/>
      <c r="I40" s="144"/>
      <c r="J40" s="14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1"/>
      <c r="B41" s="27" t="s">
        <v>68</v>
      </c>
      <c r="C41" s="10"/>
      <c r="D41" s="12">
        <f>C41*84</f>
        <v>0</v>
      </c>
      <c r="F41" s="12">
        <v>5</v>
      </c>
      <c r="G41" s="42"/>
      <c r="H41" s="143"/>
      <c r="I41" s="144"/>
      <c r="J41" s="14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2"/>
      <c r="B42" s="27" t="s">
        <v>70</v>
      </c>
      <c r="C42" s="11"/>
      <c r="D42" s="12">
        <f>C42*2.25</f>
        <v>0</v>
      </c>
      <c r="F42" s="39" t="s">
        <v>79</v>
      </c>
      <c r="G42" s="143"/>
      <c r="H42" s="144"/>
      <c r="I42" s="144"/>
      <c r="J42" s="14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3" t="s">
        <v>81</v>
      </c>
      <c r="C43" s="11"/>
      <c r="D43" s="12"/>
      <c r="F43" s="59" t="s">
        <v>82</v>
      </c>
      <c r="G43" s="90" t="s">
        <v>83</v>
      </c>
      <c r="H43" s="135" t="s">
        <v>13</v>
      </c>
      <c r="I43" s="136"/>
      <c r="J43" s="137"/>
      <c r="K43" s="21"/>
      <c r="P43" s="4"/>
      <c r="Q43" s="4"/>
      <c r="R43" s="5"/>
    </row>
    <row r="44" spans="1:18" ht="15.75" x14ac:dyDescent="0.25">
      <c r="A44" s="114"/>
      <c r="B44" s="27" t="s">
        <v>66</v>
      </c>
      <c r="C44" s="10"/>
      <c r="D44" s="12">
        <f>C44*120</f>
        <v>0</v>
      </c>
      <c r="F44" s="37"/>
      <c r="G44" s="76"/>
      <c r="H44" s="138"/>
      <c r="I44" s="138"/>
      <c r="J44" s="138"/>
      <c r="K44" s="21"/>
      <c r="P44" s="4"/>
      <c r="Q44" s="4"/>
      <c r="R44" s="5"/>
    </row>
    <row r="45" spans="1:18" ht="15.75" x14ac:dyDescent="0.25">
      <c r="A45" s="114"/>
      <c r="B45" s="27" t="s">
        <v>68</v>
      </c>
      <c r="C45" s="33"/>
      <c r="D45" s="12">
        <f>C45*84</f>
        <v>0</v>
      </c>
      <c r="F45" s="37"/>
      <c r="G45" s="76"/>
      <c r="H45" s="138"/>
      <c r="I45" s="138"/>
      <c r="J45" s="138"/>
      <c r="K45" s="21"/>
      <c r="P45" s="4"/>
      <c r="Q45" s="4"/>
      <c r="R45" s="5"/>
    </row>
    <row r="46" spans="1:18" ht="15.75" x14ac:dyDescent="0.25">
      <c r="A46" s="114"/>
      <c r="B46" s="49" t="s">
        <v>70</v>
      </c>
      <c r="C46" s="81"/>
      <c r="D46" s="12">
        <f>C46*1.5</f>
        <v>0</v>
      </c>
      <c r="F46" s="37"/>
      <c r="G46" s="62"/>
      <c r="H46" s="139"/>
      <c r="I46" s="139"/>
      <c r="J46" s="139"/>
      <c r="K46" s="21"/>
      <c r="P46" s="4"/>
      <c r="Q46" s="4"/>
      <c r="R46" s="5"/>
    </row>
    <row r="47" spans="1:18" ht="15.75" x14ac:dyDescent="0.25">
      <c r="A47" s="115"/>
      <c r="B47" s="27"/>
      <c r="C47" s="11"/>
      <c r="D47" s="12"/>
      <c r="F47" s="59"/>
      <c r="G47" s="59"/>
      <c r="H47" s="116"/>
      <c r="I47" s="117"/>
      <c r="J47" s="118"/>
      <c r="K47" s="21"/>
      <c r="P47" s="4"/>
      <c r="Q47" s="4"/>
      <c r="R47" s="5"/>
    </row>
    <row r="48" spans="1:18" ht="15" customHeight="1" x14ac:dyDescent="0.25">
      <c r="A48" s="113" t="s">
        <v>32</v>
      </c>
      <c r="B48" s="27" t="s">
        <v>66</v>
      </c>
      <c r="C48" s="10"/>
      <c r="D48" s="12">
        <f>C48*78</f>
        <v>0</v>
      </c>
      <c r="F48" s="59"/>
      <c r="G48" s="59"/>
      <c r="H48" s="116"/>
      <c r="I48" s="117"/>
      <c r="J48" s="1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4"/>
      <c r="B49" s="29" t="s">
        <v>68</v>
      </c>
      <c r="C49" s="33"/>
      <c r="D49" s="12">
        <f>C49*42</f>
        <v>0</v>
      </c>
      <c r="F49" s="119" t="s">
        <v>86</v>
      </c>
      <c r="G49" s="121">
        <f>H34+H35+H36+H37+H38+H39+H40+H41+G42+H44+H45+H46</f>
        <v>0</v>
      </c>
      <c r="H49" s="122"/>
      <c r="I49" s="122"/>
      <c r="J49" s="12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4"/>
      <c r="B50" s="32" t="s">
        <v>70</v>
      </c>
      <c r="C50" s="11"/>
      <c r="D50" s="12">
        <f>C50*1.5</f>
        <v>0</v>
      </c>
      <c r="F50" s="120"/>
      <c r="G50" s="124"/>
      <c r="H50" s="125"/>
      <c r="I50" s="125"/>
      <c r="J50" s="126"/>
      <c r="P50" s="4"/>
      <c r="Q50" s="4"/>
      <c r="R50" s="5"/>
    </row>
    <row r="51" spans="1:18" ht="15" customHeight="1" x14ac:dyDescent="0.25">
      <c r="A51" s="114"/>
      <c r="B51" s="27"/>
      <c r="C51" s="10"/>
      <c r="D51" s="31"/>
      <c r="F51" s="127" t="s">
        <v>128</v>
      </c>
      <c r="G51" s="129">
        <f>G49-H29</f>
        <v>0</v>
      </c>
      <c r="H51" s="130"/>
      <c r="I51" s="130"/>
      <c r="J51" s="13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4"/>
      <c r="B52" s="29"/>
      <c r="C52" s="33"/>
      <c r="D52" s="45"/>
      <c r="F52" s="128"/>
      <c r="G52" s="132"/>
      <c r="H52" s="133"/>
      <c r="I52" s="133"/>
      <c r="J52" s="1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9" t="s">
        <v>90</v>
      </c>
      <c r="B54" s="100"/>
      <c r="C54" s="101"/>
      <c r="D54" s="105">
        <f>SUM(D34:D53)</f>
        <v>0</v>
      </c>
      <c r="F54" s="21"/>
      <c r="J54" s="34"/>
    </row>
    <row r="55" spans="1:18" x14ac:dyDescent="0.25">
      <c r="A55" s="102"/>
      <c r="B55" s="103"/>
      <c r="C55" s="104"/>
      <c r="D55" s="10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7" t="s">
        <v>91</v>
      </c>
      <c r="B58" s="108"/>
      <c r="C58" s="108"/>
      <c r="D58" s="109"/>
      <c r="F58" s="107" t="s">
        <v>92</v>
      </c>
      <c r="G58" s="108"/>
      <c r="H58" s="108"/>
      <c r="I58" s="108"/>
      <c r="J58" s="109"/>
    </row>
    <row r="59" spans="1:18" x14ac:dyDescent="0.25">
      <c r="A59" s="110"/>
      <c r="B59" s="111"/>
      <c r="C59" s="111"/>
      <c r="D59" s="112"/>
      <c r="F59" s="110"/>
      <c r="G59" s="111"/>
      <c r="H59" s="111"/>
      <c r="I59" s="111"/>
      <c r="J59" s="11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FB3FA8-FAB8-4146-95DA-A54B5200ACE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5" t="s">
        <v>1</v>
      </c>
      <c r="O1" s="19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6" t="s">
        <v>7</v>
      </c>
      <c r="B4" s="147"/>
      <c r="C4" s="147"/>
      <c r="D4" s="148"/>
      <c r="F4" s="196" t="s">
        <v>8</v>
      </c>
      <c r="G4" s="198">
        <v>1</v>
      </c>
      <c r="H4" s="200" t="s">
        <v>9</v>
      </c>
      <c r="I4" s="202">
        <v>45993</v>
      </c>
      <c r="J4" s="20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97"/>
      <c r="G5" s="199"/>
      <c r="H5" s="201"/>
      <c r="I5" s="204"/>
      <c r="J5" s="20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84">
        <v>261</v>
      </c>
      <c r="D6" s="13">
        <f t="shared" ref="D6:D28" si="1">C6*L6</f>
        <v>192357</v>
      </c>
      <c r="F6" s="206" t="s">
        <v>16</v>
      </c>
      <c r="G6" s="208" t="s">
        <v>129</v>
      </c>
      <c r="H6" s="209"/>
      <c r="I6" s="209"/>
      <c r="J6" s="21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84">
        <v>3</v>
      </c>
      <c r="D7" s="13">
        <f t="shared" si="1"/>
        <v>2175</v>
      </c>
      <c r="F7" s="207"/>
      <c r="G7" s="211"/>
      <c r="H7" s="212"/>
      <c r="I7" s="212"/>
      <c r="J7" s="21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84"/>
      <c r="D8" s="13">
        <f t="shared" si="1"/>
        <v>0</v>
      </c>
      <c r="F8" s="214" t="s">
        <v>21</v>
      </c>
      <c r="G8" s="215" t="s">
        <v>112</v>
      </c>
      <c r="H8" s="216"/>
      <c r="I8" s="216"/>
      <c r="J8" s="21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84">
        <v>20</v>
      </c>
      <c r="D9" s="13">
        <f t="shared" si="1"/>
        <v>14140</v>
      </c>
      <c r="F9" s="207"/>
      <c r="G9" s="218"/>
      <c r="H9" s="219"/>
      <c r="I9" s="219"/>
      <c r="J9" s="22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84">
        <v>1</v>
      </c>
      <c r="D10" s="13">
        <f t="shared" si="1"/>
        <v>972</v>
      </c>
      <c r="F10" s="206" t="s">
        <v>26</v>
      </c>
      <c r="G10" s="221" t="s">
        <v>130</v>
      </c>
      <c r="H10" s="222"/>
      <c r="I10" s="222"/>
      <c r="J10" s="223"/>
      <c r="K10" s="8"/>
      <c r="L10" s="6">
        <f>R36</f>
        <v>972</v>
      </c>
      <c r="P10" s="4"/>
      <c r="Q10" s="4"/>
      <c r="R10" s="5"/>
    </row>
    <row r="11" spans="1:18" ht="15.75" x14ac:dyDescent="0.25">
      <c r="A11" s="141"/>
      <c r="B11" s="17" t="s">
        <v>28</v>
      </c>
      <c r="C11" s="84"/>
      <c r="D11" s="13">
        <f t="shared" si="1"/>
        <v>0</v>
      </c>
      <c r="F11" s="207"/>
      <c r="G11" s="218"/>
      <c r="H11" s="219"/>
      <c r="I11" s="219"/>
      <c r="J11" s="22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84">
        <v>1</v>
      </c>
      <c r="D12" s="48">
        <f t="shared" si="1"/>
        <v>952</v>
      </c>
      <c r="F12" s="224" t="s">
        <v>33</v>
      </c>
      <c r="G12" s="225"/>
      <c r="H12" s="225"/>
      <c r="I12" s="225"/>
      <c r="J12" s="22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84">
        <v>4</v>
      </c>
      <c r="D13" s="48">
        <f t="shared" si="1"/>
        <v>1228</v>
      </c>
      <c r="F13" s="227" t="s">
        <v>36</v>
      </c>
      <c r="G13" s="191"/>
      <c r="H13" s="182">
        <f>D29</f>
        <v>220448</v>
      </c>
      <c r="I13" s="183"/>
      <c r="J13" s="18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84">
        <v>22</v>
      </c>
      <c r="D14" s="31">
        <f t="shared" si="1"/>
        <v>242</v>
      </c>
      <c r="F14" s="185" t="s">
        <v>39</v>
      </c>
      <c r="G14" s="186"/>
      <c r="H14" s="187">
        <f>D54</f>
        <v>32962.5</v>
      </c>
      <c r="I14" s="188"/>
      <c r="J14" s="18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38</v>
      </c>
      <c r="C15" s="84"/>
      <c r="D15" s="31">
        <f t="shared" si="1"/>
        <v>0</v>
      </c>
      <c r="F15" s="190" t="s">
        <v>40</v>
      </c>
      <c r="G15" s="191"/>
      <c r="H15" s="192">
        <f>H13-H14</f>
        <v>187485.5</v>
      </c>
      <c r="I15" s="193"/>
      <c r="J15" s="19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2"/>
      <c r="I16" s="152"/>
      <c r="J16" s="15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t="s">
        <v>138</v>
      </c>
      <c r="C17" s="84"/>
      <c r="D17" s="48">
        <f t="shared" si="1"/>
        <v>0</v>
      </c>
      <c r="F17" s="56"/>
      <c r="G17" s="66" t="s">
        <v>45</v>
      </c>
      <c r="H17" s="163"/>
      <c r="I17" s="163"/>
      <c r="J17" s="16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19" t="s">
        <v>95</v>
      </c>
      <c r="C18" s="84">
        <v>1</v>
      </c>
      <c r="D18" s="48">
        <f t="shared" si="1"/>
        <v>620</v>
      </c>
      <c r="F18" s="56"/>
      <c r="G18" s="66" t="s">
        <v>47</v>
      </c>
      <c r="H18" s="163"/>
      <c r="I18" s="163"/>
      <c r="J18" s="16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14" t="s">
        <v>134</v>
      </c>
      <c r="C19" s="84">
        <f>1</f>
        <v>1</v>
      </c>
      <c r="D19" s="48">
        <f t="shared" si="1"/>
        <v>1102</v>
      </c>
      <c r="F19" s="56"/>
      <c r="G19" s="68" t="s">
        <v>50</v>
      </c>
      <c r="H19" s="163"/>
      <c r="I19" s="163"/>
      <c r="J19" s="163"/>
      <c r="L19" s="6">
        <v>1102</v>
      </c>
      <c r="Q19" s="4"/>
      <c r="R19" s="5">
        <f t="shared" si="0"/>
        <v>0</v>
      </c>
    </row>
    <row r="20" spans="1:18" ht="15.75" x14ac:dyDescent="0.25">
      <c r="A20" s="14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2"/>
      <c r="I20" s="152"/>
      <c r="J20" s="15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1"/>
      <c r="B21" s="14" t="s">
        <v>136</v>
      </c>
      <c r="C21" s="84">
        <f>1+2</f>
        <v>3</v>
      </c>
      <c r="D21" s="48">
        <f t="shared" si="1"/>
        <v>1950</v>
      </c>
      <c r="F21" s="69" t="s">
        <v>99</v>
      </c>
      <c r="G21" s="82" t="s">
        <v>98</v>
      </c>
      <c r="H21" s="165" t="s">
        <v>13</v>
      </c>
      <c r="I21" s="166"/>
      <c r="J21" s="16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1"/>
      <c r="B22" s="46" t="s">
        <v>127</v>
      </c>
      <c r="C22" s="84"/>
      <c r="D22" s="48">
        <f t="shared" si="1"/>
        <v>0</v>
      </c>
      <c r="F22" s="77"/>
      <c r="G22" s="73"/>
      <c r="H22" s="168"/>
      <c r="I22" s="168"/>
      <c r="J22" s="16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101</v>
      </c>
      <c r="C23" s="84"/>
      <c r="D23" s="48">
        <f t="shared" si="1"/>
        <v>0</v>
      </c>
      <c r="F23" s="77"/>
      <c r="G23" s="79"/>
      <c r="H23" s="228"/>
      <c r="I23" s="229"/>
      <c r="J23" s="22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121</v>
      </c>
      <c r="C24" s="84"/>
      <c r="D24" s="48">
        <f t="shared" si="1"/>
        <v>0</v>
      </c>
      <c r="F24" s="77"/>
      <c r="G24" s="79"/>
      <c r="H24" s="228"/>
      <c r="I24" s="229"/>
      <c r="J24" s="22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137</v>
      </c>
      <c r="C26" s="84"/>
      <c r="D26" s="48">
        <f t="shared" si="1"/>
        <v>0</v>
      </c>
      <c r="F26" s="75"/>
      <c r="G26" s="65"/>
      <c r="H26" s="138"/>
      <c r="I26" s="138"/>
      <c r="J26" s="138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1"/>
      <c r="B27" s="14" t="s">
        <v>110</v>
      </c>
      <c r="C27" s="84"/>
      <c r="D27" s="44">
        <f t="shared" si="1"/>
        <v>0</v>
      </c>
      <c r="F27" s="71"/>
      <c r="G27" s="90"/>
      <c r="H27" s="230"/>
      <c r="I27" s="231"/>
      <c r="J27" s="23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97</v>
      </c>
      <c r="C28" s="84">
        <v>6</v>
      </c>
      <c r="D28" s="48">
        <f t="shared" si="1"/>
        <v>4710</v>
      </c>
      <c r="F28" s="93"/>
      <c r="G28" s="61"/>
      <c r="H28" s="179"/>
      <c r="I28" s="180"/>
      <c r="J28" s="18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3" t="s">
        <v>36</v>
      </c>
      <c r="B29" s="154"/>
      <c r="C29" s="155"/>
      <c r="D29" s="159">
        <f>SUM(D6:D28)</f>
        <v>220448</v>
      </c>
      <c r="F29" s="99" t="s">
        <v>55</v>
      </c>
      <c r="G29" s="161"/>
      <c r="H29" s="121">
        <f>H15-H16-H17-H18-H19-H20-H22-H23-H24+H26+H27+H28</f>
        <v>187485.5</v>
      </c>
      <c r="I29" s="122"/>
      <c r="J29" s="12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6"/>
      <c r="B30" s="157"/>
      <c r="C30" s="158"/>
      <c r="D30" s="160"/>
      <c r="F30" s="102"/>
      <c r="G30" s="162"/>
      <c r="H30" s="124"/>
      <c r="I30" s="125"/>
      <c r="J30" s="12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6" t="s">
        <v>58</v>
      </c>
      <c r="B32" s="147"/>
      <c r="C32" s="147"/>
      <c r="D32" s="148"/>
      <c r="F32" s="149" t="s">
        <v>59</v>
      </c>
      <c r="G32" s="150"/>
      <c r="H32" s="150"/>
      <c r="I32" s="150"/>
      <c r="J32" s="15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49" t="s">
        <v>13</v>
      </c>
      <c r="I33" s="150"/>
      <c r="J33" s="15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124</v>
      </c>
      <c r="H34" s="143">
        <f t="shared" ref="H34:H39" si="2">F34*G34</f>
        <v>124000</v>
      </c>
      <c r="I34" s="144"/>
      <c r="J34" s="14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1"/>
      <c r="B35" s="27" t="s">
        <v>68</v>
      </c>
      <c r="C35" s="52"/>
      <c r="D35" s="30">
        <f>C35*84</f>
        <v>0</v>
      </c>
      <c r="F35" s="58">
        <v>500</v>
      </c>
      <c r="G35" s="41">
        <v>104</v>
      </c>
      <c r="H35" s="143">
        <f t="shared" si="2"/>
        <v>52000</v>
      </c>
      <c r="I35" s="144"/>
      <c r="J35" s="14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2</v>
      </c>
      <c r="H36" s="143">
        <f t="shared" si="2"/>
        <v>400</v>
      </c>
      <c r="I36" s="144"/>
      <c r="J36" s="14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0" t="s">
        <v>72</v>
      </c>
      <c r="B37" s="28" t="s">
        <v>66</v>
      </c>
      <c r="C37" s="53">
        <v>281</v>
      </c>
      <c r="D37" s="12">
        <f>C37*111</f>
        <v>31191</v>
      </c>
      <c r="F37" s="12">
        <v>100</v>
      </c>
      <c r="G37" s="39">
        <v>26</v>
      </c>
      <c r="H37" s="143">
        <f t="shared" si="2"/>
        <v>2600</v>
      </c>
      <c r="I37" s="144"/>
      <c r="J37" s="14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1"/>
      <c r="B38" s="29" t="s">
        <v>68</v>
      </c>
      <c r="C38" s="54">
        <v>8</v>
      </c>
      <c r="D38" s="12">
        <f>C38*84</f>
        <v>672</v>
      </c>
      <c r="F38" s="30">
        <v>50</v>
      </c>
      <c r="G38" s="39"/>
      <c r="H38" s="143">
        <f t="shared" si="2"/>
        <v>0</v>
      </c>
      <c r="I38" s="144"/>
      <c r="J38" s="14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2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43">
        <f t="shared" si="2"/>
        <v>0</v>
      </c>
      <c r="I39" s="144"/>
      <c r="J39" s="14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43"/>
      <c r="I40" s="144"/>
      <c r="J40" s="14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43"/>
      <c r="I41" s="144"/>
      <c r="J41" s="14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2"/>
      <c r="B42" s="27" t="s">
        <v>70</v>
      </c>
      <c r="C42" s="11">
        <v>12</v>
      </c>
      <c r="D42" s="12">
        <f>C42*2.25</f>
        <v>27</v>
      </c>
      <c r="F42" s="39" t="s">
        <v>79</v>
      </c>
      <c r="G42" s="143">
        <v>69</v>
      </c>
      <c r="H42" s="144"/>
      <c r="I42" s="144"/>
      <c r="J42" s="14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3" t="s">
        <v>81</v>
      </c>
      <c r="C43" s="11"/>
      <c r="D43" s="12"/>
      <c r="F43" s="59" t="s">
        <v>82</v>
      </c>
      <c r="G43" s="90" t="s">
        <v>83</v>
      </c>
      <c r="H43" s="135" t="s">
        <v>13</v>
      </c>
      <c r="I43" s="136"/>
      <c r="J43" s="13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4"/>
      <c r="B44" s="27" t="s">
        <v>66</v>
      </c>
      <c r="C44" s="10">
        <v>2</v>
      </c>
      <c r="D44" s="12">
        <f>C44*120</f>
        <v>240</v>
      </c>
      <c r="F44" s="37" t="s">
        <v>145</v>
      </c>
      <c r="G44" s="62"/>
      <c r="H44" s="138">
        <v>7978</v>
      </c>
      <c r="I44" s="138"/>
      <c r="J44" s="13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14"/>
      <c r="B45" s="27" t="s">
        <v>68</v>
      </c>
      <c r="C45" s="33"/>
      <c r="D45" s="12">
        <f>C45*84</f>
        <v>0</v>
      </c>
      <c r="F45" s="37"/>
      <c r="G45" s="62"/>
      <c r="H45" s="138"/>
      <c r="I45" s="138"/>
      <c r="J45" s="138"/>
      <c r="K45" s="21"/>
      <c r="P45" s="4"/>
      <c r="Q45" s="4"/>
      <c r="R45" s="5"/>
    </row>
    <row r="46" spans="1:18" ht="15.75" x14ac:dyDescent="0.25">
      <c r="A46" s="114"/>
      <c r="B46" s="49" t="s">
        <v>70</v>
      </c>
      <c r="C46" s="81">
        <v>5</v>
      </c>
      <c r="D46" s="12">
        <f>C46*1.5</f>
        <v>7.5</v>
      </c>
      <c r="F46" s="37"/>
      <c r="G46" s="62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5"/>
      <c r="B47" s="27"/>
      <c r="C47" s="11"/>
      <c r="D47" s="12"/>
      <c r="F47" s="59"/>
      <c r="G47" s="59"/>
      <c r="H47" s="116"/>
      <c r="I47" s="117"/>
      <c r="J47" s="118"/>
      <c r="K47" s="21"/>
      <c r="P47" s="4"/>
      <c r="Q47" s="4"/>
      <c r="R47" s="5"/>
    </row>
    <row r="48" spans="1:18" ht="15" customHeight="1" x14ac:dyDescent="0.25">
      <c r="A48" s="113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16"/>
      <c r="I48" s="117"/>
      <c r="J48" s="1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4"/>
      <c r="B49" s="29" t="s">
        <v>68</v>
      </c>
      <c r="C49" s="33">
        <v>1</v>
      </c>
      <c r="D49" s="12">
        <f>C49*42</f>
        <v>42</v>
      </c>
      <c r="F49" s="119" t="s">
        <v>86</v>
      </c>
      <c r="G49" s="121">
        <f>H34+H35+H36+H37+H38+H39+H40+H41+G42+H44+H45+H46</f>
        <v>187047</v>
      </c>
      <c r="H49" s="122"/>
      <c r="I49" s="122"/>
      <c r="J49" s="12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4"/>
      <c r="B50" s="32" t="s">
        <v>70</v>
      </c>
      <c r="C50" s="11">
        <v>20</v>
      </c>
      <c r="D50" s="12">
        <f>C50*1.5</f>
        <v>30</v>
      </c>
      <c r="F50" s="120"/>
      <c r="G50" s="124"/>
      <c r="H50" s="125"/>
      <c r="I50" s="125"/>
      <c r="J50" s="126"/>
      <c r="P50" s="4"/>
      <c r="Q50" s="4"/>
      <c r="R50" s="5"/>
    </row>
    <row r="51" spans="1:18" ht="15" customHeight="1" x14ac:dyDescent="0.25">
      <c r="A51" s="114"/>
      <c r="B51" s="27"/>
      <c r="C51" s="10"/>
      <c r="D51" s="31"/>
      <c r="F51" s="127" t="s">
        <v>131</v>
      </c>
      <c r="G51" s="232">
        <f>G49-H29</f>
        <v>-438.5</v>
      </c>
      <c r="H51" s="233"/>
      <c r="I51" s="233"/>
      <c r="J51" s="23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4"/>
      <c r="B52" s="29"/>
      <c r="C52" s="33"/>
      <c r="D52" s="45"/>
      <c r="F52" s="128"/>
      <c r="G52" s="235"/>
      <c r="H52" s="236"/>
      <c r="I52" s="236"/>
      <c r="J52" s="23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9" t="s">
        <v>90</v>
      </c>
      <c r="B54" s="100"/>
      <c r="C54" s="101"/>
      <c r="D54" s="105">
        <f>SUM(D34:D53)</f>
        <v>32962.5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2"/>
      <c r="B55" s="103"/>
      <c r="C55" s="104"/>
      <c r="D55" s="10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07" t="s">
        <v>91</v>
      </c>
      <c r="B58" s="108"/>
      <c r="C58" s="108"/>
      <c r="D58" s="109"/>
      <c r="F58" s="107" t="s">
        <v>92</v>
      </c>
      <c r="G58" s="108"/>
      <c r="H58" s="108"/>
      <c r="I58" s="108"/>
      <c r="J58" s="109"/>
    </row>
    <row r="59" spans="1:18" x14ac:dyDescent="0.25">
      <c r="A59" s="110"/>
      <c r="B59" s="111"/>
      <c r="C59" s="111"/>
      <c r="D59" s="112"/>
      <c r="F59" s="110"/>
      <c r="G59" s="111"/>
      <c r="H59" s="111"/>
      <c r="I59" s="111"/>
      <c r="J59" s="11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0B2313-0902-430B-B8EE-3375DD1308C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5" t="s">
        <v>1</v>
      </c>
      <c r="O1" s="19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6" t="s">
        <v>7</v>
      </c>
      <c r="B4" s="147"/>
      <c r="C4" s="147"/>
      <c r="D4" s="148"/>
      <c r="F4" s="196" t="s">
        <v>8</v>
      </c>
      <c r="G4" s="198">
        <v>2</v>
      </c>
      <c r="H4" s="200" t="s">
        <v>9</v>
      </c>
      <c r="I4" s="202">
        <v>45993</v>
      </c>
      <c r="J4" s="20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97"/>
      <c r="G5" s="199"/>
      <c r="H5" s="201"/>
      <c r="I5" s="204"/>
      <c r="J5" s="20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10">
        <v>230</v>
      </c>
      <c r="D6" s="13">
        <f t="shared" ref="D6:D28" si="1">C6*L6</f>
        <v>169510</v>
      </c>
      <c r="F6" s="206" t="s">
        <v>16</v>
      </c>
      <c r="G6" s="208" t="s">
        <v>141</v>
      </c>
      <c r="H6" s="209"/>
      <c r="I6" s="209"/>
      <c r="J6" s="21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10">
        <v>7</v>
      </c>
      <c r="D7" s="13">
        <f t="shared" si="1"/>
        <v>5075</v>
      </c>
      <c r="F7" s="207"/>
      <c r="G7" s="211"/>
      <c r="H7" s="212"/>
      <c r="I7" s="212"/>
      <c r="J7" s="21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10"/>
      <c r="D8" s="13">
        <f t="shared" si="1"/>
        <v>0</v>
      </c>
      <c r="F8" s="214" t="s">
        <v>21</v>
      </c>
      <c r="G8" s="215" t="s">
        <v>114</v>
      </c>
      <c r="H8" s="216"/>
      <c r="I8" s="216"/>
      <c r="J8" s="21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10">
        <v>20</v>
      </c>
      <c r="D9" s="13">
        <f t="shared" si="1"/>
        <v>14140</v>
      </c>
      <c r="F9" s="207"/>
      <c r="G9" s="218"/>
      <c r="H9" s="219"/>
      <c r="I9" s="219"/>
      <c r="J9" s="22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10"/>
      <c r="D10" s="13">
        <f t="shared" si="1"/>
        <v>0</v>
      </c>
      <c r="F10" s="206" t="s">
        <v>26</v>
      </c>
      <c r="G10" s="221" t="s">
        <v>115</v>
      </c>
      <c r="H10" s="222"/>
      <c r="I10" s="222"/>
      <c r="J10" s="223"/>
      <c r="K10" s="8"/>
      <c r="L10" s="6">
        <f>R36</f>
        <v>972</v>
      </c>
      <c r="P10" s="4"/>
      <c r="Q10" s="4"/>
      <c r="R10" s="5"/>
    </row>
    <row r="11" spans="1:18" ht="15.75" x14ac:dyDescent="0.25">
      <c r="A11" s="141"/>
      <c r="B11" s="17" t="s">
        <v>28</v>
      </c>
      <c r="C11" s="10"/>
      <c r="D11" s="13">
        <f t="shared" si="1"/>
        <v>0</v>
      </c>
      <c r="F11" s="207"/>
      <c r="G11" s="218"/>
      <c r="H11" s="219"/>
      <c r="I11" s="219"/>
      <c r="J11" s="22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10">
        <v>2</v>
      </c>
      <c r="D12" s="48">
        <f t="shared" si="1"/>
        <v>1904</v>
      </c>
      <c r="F12" s="224" t="s">
        <v>33</v>
      </c>
      <c r="G12" s="225"/>
      <c r="H12" s="225"/>
      <c r="I12" s="225"/>
      <c r="J12" s="22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10">
        <v>8</v>
      </c>
      <c r="D13" s="48">
        <f t="shared" si="1"/>
        <v>2456</v>
      </c>
      <c r="F13" s="227" t="s">
        <v>36</v>
      </c>
      <c r="G13" s="191"/>
      <c r="H13" s="182">
        <f>D29</f>
        <v>196676.66666666666</v>
      </c>
      <c r="I13" s="183"/>
      <c r="J13" s="18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10">
        <v>13</v>
      </c>
      <c r="D14" s="31">
        <f t="shared" si="1"/>
        <v>143</v>
      </c>
      <c r="F14" s="185" t="s">
        <v>39</v>
      </c>
      <c r="G14" s="186"/>
      <c r="H14" s="187">
        <f>D54</f>
        <v>36855</v>
      </c>
      <c r="I14" s="188"/>
      <c r="J14" s="18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38</v>
      </c>
      <c r="C15" s="10"/>
      <c r="D15" s="31">
        <f t="shared" si="1"/>
        <v>0</v>
      </c>
      <c r="F15" s="190" t="s">
        <v>40</v>
      </c>
      <c r="G15" s="191"/>
      <c r="H15" s="192">
        <f>H13-H14</f>
        <v>159821.66666666666</v>
      </c>
      <c r="I15" s="193"/>
      <c r="J15" s="19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2">
        <f>1899</f>
        <v>1899</v>
      </c>
      <c r="I16" s="152"/>
      <c r="J16" s="15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t="s">
        <v>93</v>
      </c>
      <c r="C17" s="10"/>
      <c r="D17" s="48">
        <f t="shared" si="1"/>
        <v>0</v>
      </c>
      <c r="F17" s="56"/>
      <c r="G17" s="66" t="s">
        <v>45</v>
      </c>
      <c r="H17" s="163"/>
      <c r="I17" s="163"/>
      <c r="J17" s="163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3"/>
      <c r="I18" s="163"/>
      <c r="J18" s="16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9"/>
      <c r="I19" s="239"/>
      <c r="J19" s="23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1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3"/>
      <c r="I20" s="163"/>
      <c r="J20" s="16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1"/>
      <c r="B21" s="14" t="s">
        <v>126</v>
      </c>
      <c r="C21" s="10">
        <f>3+2</f>
        <v>5</v>
      </c>
      <c r="D21" s="48">
        <f t="shared" si="1"/>
        <v>3250</v>
      </c>
      <c r="F21" s="69" t="s">
        <v>99</v>
      </c>
      <c r="G21" s="82" t="s">
        <v>98</v>
      </c>
      <c r="H21" s="165" t="s">
        <v>13</v>
      </c>
      <c r="I21" s="166"/>
      <c r="J21" s="16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1"/>
      <c r="B22" s="46" t="s">
        <v>104</v>
      </c>
      <c r="C22" s="10"/>
      <c r="D22" s="48">
        <f t="shared" si="1"/>
        <v>0</v>
      </c>
      <c r="F22" s="72"/>
      <c r="G22" s="73"/>
      <c r="H22" s="168"/>
      <c r="I22" s="168"/>
      <c r="J22" s="16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107</v>
      </c>
      <c r="C23" s="10"/>
      <c r="D23" s="48">
        <f t="shared" si="1"/>
        <v>0</v>
      </c>
      <c r="F23" s="25"/>
      <c r="G23" s="37"/>
      <c r="H23" s="169"/>
      <c r="I23" s="138"/>
      <c r="J23" s="13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123</v>
      </c>
      <c r="C24" s="10">
        <v>2</v>
      </c>
      <c r="D24" s="48">
        <f t="shared" si="1"/>
        <v>198.66666666666666</v>
      </c>
      <c r="F24" s="38"/>
      <c r="G24" s="37"/>
      <c r="H24" s="169"/>
      <c r="I24" s="138"/>
      <c r="J24" s="13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105</v>
      </c>
      <c r="C26" s="10"/>
      <c r="D26" s="48">
        <f t="shared" si="1"/>
        <v>0</v>
      </c>
      <c r="F26" s="64"/>
      <c r="G26" s="10"/>
      <c r="H26" s="173"/>
      <c r="I26" s="174"/>
      <c r="J26" s="17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1"/>
      <c r="B27" s="14" t="s">
        <v>109</v>
      </c>
      <c r="C27" s="10"/>
      <c r="D27" s="44">
        <f t="shared" si="1"/>
        <v>0</v>
      </c>
      <c r="F27" s="14"/>
      <c r="G27" s="14"/>
      <c r="H27" s="176"/>
      <c r="I27" s="177"/>
      <c r="J27" s="17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97</v>
      </c>
      <c r="C28" s="10"/>
      <c r="D28" s="48">
        <f t="shared" si="1"/>
        <v>0</v>
      </c>
      <c r="F28" s="93"/>
      <c r="G28" s="61"/>
      <c r="H28" s="179"/>
      <c r="I28" s="180"/>
      <c r="J28" s="18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3" t="s">
        <v>36</v>
      </c>
      <c r="B29" s="154"/>
      <c r="C29" s="155"/>
      <c r="D29" s="159">
        <f>SUM(D6:D28)</f>
        <v>196676.66666666666</v>
      </c>
      <c r="F29" s="99" t="s">
        <v>55</v>
      </c>
      <c r="G29" s="161"/>
      <c r="H29" s="121">
        <f>H15-H16-H17-H18-H19-H20-H22-H23-H24+H26+H27</f>
        <v>157922.66666666666</v>
      </c>
      <c r="I29" s="122"/>
      <c r="J29" s="12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6"/>
      <c r="B30" s="157"/>
      <c r="C30" s="158"/>
      <c r="D30" s="160"/>
      <c r="F30" s="102"/>
      <c r="G30" s="162"/>
      <c r="H30" s="124"/>
      <c r="I30" s="125"/>
      <c r="J30" s="12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6" t="s">
        <v>58</v>
      </c>
      <c r="B32" s="147"/>
      <c r="C32" s="147"/>
      <c r="D32" s="148"/>
      <c r="F32" s="149" t="s">
        <v>59</v>
      </c>
      <c r="G32" s="150"/>
      <c r="H32" s="150"/>
      <c r="I32" s="150"/>
      <c r="J32" s="15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49" t="s">
        <v>13</v>
      </c>
      <c r="I33" s="150"/>
      <c r="J33" s="15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34</v>
      </c>
      <c r="H34" s="143">
        <f>F34*G34</f>
        <v>34000</v>
      </c>
      <c r="I34" s="144"/>
      <c r="J34" s="14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1"/>
      <c r="B35" s="27" t="s">
        <v>68</v>
      </c>
      <c r="C35" s="52"/>
      <c r="D35" s="30">
        <f>C35*84</f>
        <v>0</v>
      </c>
      <c r="F35" s="58">
        <v>500</v>
      </c>
      <c r="G35" s="41">
        <v>2</v>
      </c>
      <c r="H35" s="143">
        <f t="shared" ref="H35:H39" si="2">F35*G35</f>
        <v>1000</v>
      </c>
      <c r="I35" s="144"/>
      <c r="J35" s="14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70</v>
      </c>
      <c r="C36" s="10"/>
      <c r="D36" s="12">
        <f>C36*1.5</f>
        <v>0</v>
      </c>
      <c r="F36" s="12">
        <v>200</v>
      </c>
      <c r="G36" s="37"/>
      <c r="H36" s="143">
        <f>F36*G36</f>
        <v>0</v>
      </c>
      <c r="I36" s="144"/>
      <c r="J36" s="14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0" t="s">
        <v>72</v>
      </c>
      <c r="B37" s="28" t="s">
        <v>66</v>
      </c>
      <c r="C37" s="53">
        <v>323</v>
      </c>
      <c r="D37" s="12">
        <f>C37*111</f>
        <v>35853</v>
      </c>
      <c r="F37" s="12">
        <v>100</v>
      </c>
      <c r="G37" s="39">
        <v>4</v>
      </c>
      <c r="H37" s="143">
        <f t="shared" si="2"/>
        <v>400</v>
      </c>
      <c r="I37" s="144"/>
      <c r="J37" s="14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1"/>
      <c r="B38" s="29" t="s">
        <v>68</v>
      </c>
      <c r="C38" s="54">
        <v>5</v>
      </c>
      <c r="D38" s="12">
        <f>C38*84</f>
        <v>420</v>
      </c>
      <c r="F38" s="30">
        <v>50</v>
      </c>
      <c r="G38" s="39"/>
      <c r="H38" s="143">
        <f t="shared" si="2"/>
        <v>0</v>
      </c>
      <c r="I38" s="144"/>
      <c r="J38" s="14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2"/>
      <c r="B39" s="29" t="s">
        <v>70</v>
      </c>
      <c r="C39" s="52">
        <v>6</v>
      </c>
      <c r="D39" s="31">
        <f>C39*4.5</f>
        <v>27</v>
      </c>
      <c r="F39" s="12">
        <v>20</v>
      </c>
      <c r="G39" s="37"/>
      <c r="H39" s="143">
        <f t="shared" si="2"/>
        <v>0</v>
      </c>
      <c r="I39" s="144"/>
      <c r="J39" s="14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43"/>
      <c r="I40" s="144"/>
      <c r="J40" s="14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1"/>
      <c r="B41" s="27" t="s">
        <v>68</v>
      </c>
      <c r="C41" s="10"/>
      <c r="D41" s="12">
        <f>C41*84</f>
        <v>0</v>
      </c>
      <c r="F41" s="12">
        <v>5</v>
      </c>
      <c r="G41" s="42"/>
      <c r="H41" s="143"/>
      <c r="I41" s="144"/>
      <c r="J41" s="14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2"/>
      <c r="B42" s="27" t="s">
        <v>70</v>
      </c>
      <c r="C42" s="11">
        <v>2</v>
      </c>
      <c r="D42" s="12">
        <f>C42*2.25</f>
        <v>4.5</v>
      </c>
      <c r="F42" s="39" t="s">
        <v>79</v>
      </c>
      <c r="G42" s="143">
        <v>2460</v>
      </c>
      <c r="H42" s="144"/>
      <c r="I42" s="144"/>
      <c r="J42" s="14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3" t="s">
        <v>81</v>
      </c>
      <c r="C43" s="11"/>
      <c r="D43" s="12"/>
      <c r="F43" s="59" t="s">
        <v>82</v>
      </c>
      <c r="G43" s="90" t="s">
        <v>83</v>
      </c>
      <c r="H43" s="135" t="s">
        <v>13</v>
      </c>
      <c r="I43" s="136"/>
      <c r="J43" s="137"/>
      <c r="K43" s="21"/>
      <c r="P43" s="4"/>
      <c r="Q43" s="4"/>
      <c r="R43" s="5"/>
    </row>
    <row r="44" spans="1:18" ht="15.75" x14ac:dyDescent="0.25">
      <c r="A44" s="114"/>
      <c r="B44" s="27" t="s">
        <v>66</v>
      </c>
      <c r="C44" s="10">
        <v>1</v>
      </c>
      <c r="D44" s="12">
        <f>C44*120</f>
        <v>120</v>
      </c>
      <c r="F44" s="37" t="s">
        <v>150</v>
      </c>
      <c r="G44" s="62" t="s">
        <v>151</v>
      </c>
      <c r="H44" s="138">
        <v>119875</v>
      </c>
      <c r="I44" s="138"/>
      <c r="J44" s="138"/>
      <c r="K44" s="21"/>
      <c r="P44" s="4"/>
      <c r="Q44" s="4"/>
      <c r="R44" s="5"/>
    </row>
    <row r="45" spans="1:18" ht="15.75" x14ac:dyDescent="0.25">
      <c r="A45" s="114"/>
      <c r="B45" s="27" t="s">
        <v>68</v>
      </c>
      <c r="C45" s="33">
        <v>1</v>
      </c>
      <c r="D45" s="12">
        <f>C45*84</f>
        <v>84</v>
      </c>
      <c r="F45" s="37"/>
      <c r="G45" s="62"/>
      <c r="H45" s="138"/>
      <c r="I45" s="138"/>
      <c r="J45" s="138"/>
      <c r="K45" s="21"/>
      <c r="P45" s="4"/>
      <c r="Q45" s="4"/>
      <c r="R45" s="5"/>
    </row>
    <row r="46" spans="1:18" ht="15.75" x14ac:dyDescent="0.25">
      <c r="A46" s="114"/>
      <c r="B46" s="49" t="s">
        <v>70</v>
      </c>
      <c r="C46" s="81">
        <v>5</v>
      </c>
      <c r="D46" s="12">
        <f>C46*1.5</f>
        <v>7.5</v>
      </c>
      <c r="F46" s="37"/>
      <c r="G46" s="91"/>
      <c r="H46" s="139"/>
      <c r="I46" s="139"/>
      <c r="J46" s="139"/>
      <c r="K46" s="21"/>
      <c r="P46" s="4"/>
      <c r="Q46" s="4"/>
      <c r="R46" s="5"/>
    </row>
    <row r="47" spans="1:18" ht="15.75" x14ac:dyDescent="0.25">
      <c r="A47" s="115"/>
      <c r="B47" s="27"/>
      <c r="C47" s="11"/>
      <c r="D47" s="12"/>
      <c r="F47" s="59"/>
      <c r="G47" s="59"/>
      <c r="H47" s="116"/>
      <c r="I47" s="117"/>
      <c r="J47" s="118"/>
      <c r="K47" s="21"/>
      <c r="P47" s="4"/>
      <c r="Q47" s="4"/>
      <c r="R47" s="5"/>
    </row>
    <row r="48" spans="1:18" ht="15" customHeight="1" x14ac:dyDescent="0.25">
      <c r="A48" s="113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116"/>
      <c r="I48" s="117"/>
      <c r="J48" s="1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4"/>
      <c r="B49" s="29" t="s">
        <v>68</v>
      </c>
      <c r="C49" s="33">
        <v>1</v>
      </c>
      <c r="D49" s="12">
        <f>C49*42</f>
        <v>42</v>
      </c>
      <c r="F49" s="119" t="s">
        <v>86</v>
      </c>
      <c r="G49" s="121">
        <f>H34+H35+H36+H37+H38+H39+H40+H41+G42+H44+H45+H46</f>
        <v>157735</v>
      </c>
      <c r="H49" s="122"/>
      <c r="I49" s="122"/>
      <c r="J49" s="12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4"/>
      <c r="B50" s="32" t="s">
        <v>70</v>
      </c>
      <c r="C50" s="11">
        <v>20</v>
      </c>
      <c r="D50" s="12">
        <f>C50*1.5</f>
        <v>30</v>
      </c>
      <c r="F50" s="120"/>
      <c r="G50" s="124"/>
      <c r="H50" s="125"/>
      <c r="I50" s="125"/>
      <c r="J50" s="126"/>
      <c r="P50" s="4"/>
      <c r="Q50" s="4"/>
      <c r="R50" s="5"/>
    </row>
    <row r="51" spans="1:18" ht="15" customHeight="1" x14ac:dyDescent="0.25">
      <c r="A51" s="114"/>
      <c r="B51" s="27"/>
      <c r="C51" s="10"/>
      <c r="D51" s="31"/>
      <c r="F51" s="127" t="s">
        <v>132</v>
      </c>
      <c r="G51" s="232">
        <f>G49-H29</f>
        <v>-187.66666666665697</v>
      </c>
      <c r="H51" s="233"/>
      <c r="I51" s="233"/>
      <c r="J51" s="23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4"/>
      <c r="B52" s="29"/>
      <c r="C52" s="33"/>
      <c r="D52" s="45"/>
      <c r="F52" s="128"/>
      <c r="G52" s="235"/>
      <c r="H52" s="236"/>
      <c r="I52" s="236"/>
      <c r="J52" s="23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9" t="s">
        <v>90</v>
      </c>
      <c r="B54" s="100"/>
      <c r="C54" s="101"/>
      <c r="D54" s="105">
        <f>SUM(D34:D53)</f>
        <v>36855</v>
      </c>
      <c r="F54" s="21"/>
      <c r="J54" s="34"/>
    </row>
    <row r="55" spans="1:18" x14ac:dyDescent="0.25">
      <c r="A55" s="102"/>
      <c r="B55" s="103"/>
      <c r="C55" s="104"/>
      <c r="D55" s="10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7" t="s">
        <v>91</v>
      </c>
      <c r="B58" s="108"/>
      <c r="C58" s="108"/>
      <c r="D58" s="109"/>
      <c r="F58" s="107" t="s">
        <v>92</v>
      </c>
      <c r="G58" s="108"/>
      <c r="H58" s="108"/>
      <c r="I58" s="108"/>
      <c r="J58" s="109"/>
    </row>
    <row r="59" spans="1:18" x14ac:dyDescent="0.25">
      <c r="A59" s="110"/>
      <c r="B59" s="111"/>
      <c r="C59" s="111"/>
      <c r="D59" s="112"/>
      <c r="F59" s="110"/>
      <c r="G59" s="111"/>
      <c r="H59" s="111"/>
      <c r="I59" s="111"/>
      <c r="J59" s="11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FA3F0-3F42-4048-B246-BB7E7997016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5" t="s">
        <v>1</v>
      </c>
      <c r="O1" s="19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6" t="s">
        <v>7</v>
      </c>
      <c r="B4" s="147"/>
      <c r="C4" s="147"/>
      <c r="D4" s="148"/>
      <c r="F4" s="196" t="s">
        <v>8</v>
      </c>
      <c r="G4" s="198">
        <v>3</v>
      </c>
      <c r="H4" s="200" t="s">
        <v>9</v>
      </c>
      <c r="I4" s="202">
        <v>45993</v>
      </c>
      <c r="J4" s="20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97"/>
      <c r="G5" s="199"/>
      <c r="H5" s="201"/>
      <c r="I5" s="204"/>
      <c r="J5" s="20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10">
        <v>194</v>
      </c>
      <c r="D6" s="13">
        <f t="shared" ref="D6:D28" si="1">C6*L6</f>
        <v>142978</v>
      </c>
      <c r="F6" s="206" t="s">
        <v>16</v>
      </c>
      <c r="G6" s="208" t="s">
        <v>111</v>
      </c>
      <c r="H6" s="209"/>
      <c r="I6" s="209"/>
      <c r="J6" s="21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10">
        <v>17</v>
      </c>
      <c r="D7" s="13">
        <f t="shared" si="1"/>
        <v>12325</v>
      </c>
      <c r="F7" s="207"/>
      <c r="G7" s="211"/>
      <c r="H7" s="212"/>
      <c r="I7" s="212"/>
      <c r="J7" s="21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10"/>
      <c r="D8" s="13">
        <f t="shared" si="1"/>
        <v>0</v>
      </c>
      <c r="F8" s="214" t="s">
        <v>21</v>
      </c>
      <c r="G8" s="215" t="s">
        <v>119</v>
      </c>
      <c r="H8" s="216"/>
      <c r="I8" s="216"/>
      <c r="J8" s="21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10">
        <v>13</v>
      </c>
      <c r="D9" s="13">
        <f t="shared" si="1"/>
        <v>9191</v>
      </c>
      <c r="F9" s="207"/>
      <c r="G9" s="218"/>
      <c r="H9" s="219"/>
      <c r="I9" s="219"/>
      <c r="J9" s="22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10">
        <v>2</v>
      </c>
      <c r="D10" s="13">
        <f t="shared" si="1"/>
        <v>1944</v>
      </c>
      <c r="F10" s="206" t="s">
        <v>26</v>
      </c>
      <c r="G10" s="221" t="s">
        <v>135</v>
      </c>
      <c r="H10" s="222"/>
      <c r="I10" s="222"/>
      <c r="J10" s="223"/>
      <c r="K10" s="8"/>
      <c r="L10" s="6">
        <f>R36</f>
        <v>972</v>
      </c>
      <c r="P10" s="4"/>
      <c r="Q10" s="4"/>
      <c r="R10" s="5"/>
    </row>
    <row r="11" spans="1:18" ht="15.75" x14ac:dyDescent="0.25">
      <c r="A11" s="141"/>
      <c r="B11" s="17" t="s">
        <v>28</v>
      </c>
      <c r="C11" s="10">
        <v>2</v>
      </c>
      <c r="D11" s="13">
        <f t="shared" si="1"/>
        <v>2250</v>
      </c>
      <c r="F11" s="207"/>
      <c r="G11" s="218"/>
      <c r="H11" s="219"/>
      <c r="I11" s="219"/>
      <c r="J11" s="22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10">
        <v>2</v>
      </c>
      <c r="D12" s="48">
        <f t="shared" si="1"/>
        <v>1904</v>
      </c>
      <c r="F12" s="224" t="s">
        <v>33</v>
      </c>
      <c r="G12" s="225"/>
      <c r="H12" s="225"/>
      <c r="I12" s="225"/>
      <c r="J12" s="22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10">
        <v>5</v>
      </c>
      <c r="D13" s="48">
        <f t="shared" si="1"/>
        <v>1535</v>
      </c>
      <c r="F13" s="227" t="s">
        <v>36</v>
      </c>
      <c r="G13" s="191"/>
      <c r="H13" s="182">
        <f>D29</f>
        <v>173906</v>
      </c>
      <c r="I13" s="183"/>
      <c r="J13" s="18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10">
        <v>19</v>
      </c>
      <c r="D14" s="31">
        <f t="shared" si="1"/>
        <v>209</v>
      </c>
      <c r="F14" s="185" t="s">
        <v>39</v>
      </c>
      <c r="G14" s="186"/>
      <c r="H14" s="187">
        <f>D54</f>
        <v>39246.75</v>
      </c>
      <c r="I14" s="188"/>
      <c r="J14" s="18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38</v>
      </c>
      <c r="C15" s="10"/>
      <c r="D15" s="31">
        <f t="shared" si="1"/>
        <v>0</v>
      </c>
      <c r="F15" s="190" t="s">
        <v>40</v>
      </c>
      <c r="G15" s="191"/>
      <c r="H15" s="192">
        <f>H13-H14</f>
        <v>134659.25</v>
      </c>
      <c r="I15" s="193"/>
      <c r="J15" s="19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2">
        <f>336</f>
        <v>336</v>
      </c>
      <c r="I16" s="152"/>
      <c r="J16" s="15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t="s">
        <v>113</v>
      </c>
      <c r="C17" s="10"/>
      <c r="D17" s="48">
        <f t="shared" si="1"/>
        <v>0</v>
      </c>
      <c r="F17" s="56"/>
      <c r="G17" s="66" t="s">
        <v>45</v>
      </c>
      <c r="H17" s="163"/>
      <c r="I17" s="163"/>
      <c r="J17" s="16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3"/>
      <c r="I18" s="163"/>
      <c r="J18" s="16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2"/>
      <c r="I20" s="152"/>
      <c r="J20" s="15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5" t="s">
        <v>13</v>
      </c>
      <c r="I21" s="166"/>
      <c r="J21" s="16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1"/>
      <c r="B22" s="46" t="s">
        <v>104</v>
      </c>
      <c r="C22" s="10"/>
      <c r="D22" s="48">
        <f t="shared" si="1"/>
        <v>0</v>
      </c>
      <c r="F22" s="77"/>
      <c r="G22" s="73"/>
      <c r="H22" s="168"/>
      <c r="I22" s="168"/>
      <c r="J22" s="16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107</v>
      </c>
      <c r="C23" s="10"/>
      <c r="D23" s="48">
        <f t="shared" si="1"/>
        <v>0</v>
      </c>
      <c r="F23" s="78"/>
      <c r="G23" s="79"/>
      <c r="H23" s="169"/>
      <c r="I23" s="138"/>
      <c r="J23" s="13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101</v>
      </c>
      <c r="C24" s="10"/>
      <c r="D24" s="48">
        <f t="shared" si="1"/>
        <v>0</v>
      </c>
      <c r="F24" s="38"/>
      <c r="G24" s="37"/>
      <c r="H24" s="169"/>
      <c r="I24" s="138"/>
      <c r="J24" s="13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105</v>
      </c>
      <c r="C26" s="10"/>
      <c r="D26" s="48">
        <f t="shared" si="1"/>
        <v>0</v>
      </c>
      <c r="F26" s="97" t="s">
        <v>154</v>
      </c>
      <c r="G26" s="59">
        <v>7331</v>
      </c>
      <c r="H26" s="173">
        <v>85842</v>
      </c>
      <c r="I26" s="174"/>
      <c r="J26" s="17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1"/>
      <c r="B27" s="14" t="s">
        <v>109</v>
      </c>
      <c r="C27" s="10"/>
      <c r="D27" s="44">
        <f t="shared" si="1"/>
        <v>0</v>
      </c>
      <c r="F27" s="25"/>
      <c r="G27" s="80"/>
      <c r="H27" s="176"/>
      <c r="I27" s="177"/>
      <c r="J27" s="17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97</v>
      </c>
      <c r="C28" s="10">
        <v>2</v>
      </c>
      <c r="D28" s="48">
        <f t="shared" si="1"/>
        <v>1570</v>
      </c>
      <c r="F28" s="93"/>
      <c r="G28" s="61"/>
      <c r="H28" s="179"/>
      <c r="I28" s="180"/>
      <c r="J28" s="18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3" t="s">
        <v>36</v>
      </c>
      <c r="B29" s="154"/>
      <c r="C29" s="155"/>
      <c r="D29" s="159">
        <f>SUM(D6:D28)</f>
        <v>173906</v>
      </c>
      <c r="F29" s="99" t="s">
        <v>55</v>
      </c>
      <c r="G29" s="161"/>
      <c r="H29" s="121">
        <f>H15-H16-H17-H18-H19-H20-H22-H23-H24+H26+H27</f>
        <v>220165.25</v>
      </c>
      <c r="I29" s="122"/>
      <c r="J29" s="12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6"/>
      <c r="B30" s="157"/>
      <c r="C30" s="158"/>
      <c r="D30" s="160"/>
      <c r="F30" s="102"/>
      <c r="G30" s="162"/>
      <c r="H30" s="124"/>
      <c r="I30" s="125"/>
      <c r="J30" s="12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6" t="s">
        <v>58</v>
      </c>
      <c r="B32" s="147"/>
      <c r="C32" s="147"/>
      <c r="D32" s="148"/>
      <c r="F32" s="149" t="s">
        <v>59</v>
      </c>
      <c r="G32" s="150"/>
      <c r="H32" s="150"/>
      <c r="I32" s="150"/>
      <c r="J32" s="15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49" t="s">
        <v>13</v>
      </c>
      <c r="I33" s="150"/>
      <c r="J33" s="15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133</v>
      </c>
      <c r="H34" s="143">
        <f>F34*G34</f>
        <v>133000</v>
      </c>
      <c r="I34" s="144"/>
      <c r="J34" s="14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1"/>
      <c r="B35" s="27" t="s">
        <v>68</v>
      </c>
      <c r="C35" s="52"/>
      <c r="D35" s="30">
        <f>C35*84</f>
        <v>0</v>
      </c>
      <c r="F35" s="58">
        <v>500</v>
      </c>
      <c r="G35" s="41">
        <v>22</v>
      </c>
      <c r="H35" s="143">
        <f>F35*G35</f>
        <v>11000</v>
      </c>
      <c r="I35" s="144"/>
      <c r="J35" s="14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70</v>
      </c>
      <c r="C36" s="10"/>
      <c r="D36" s="12">
        <f>C36*1.5</f>
        <v>0</v>
      </c>
      <c r="F36" s="12">
        <v>200</v>
      </c>
      <c r="G36" s="37"/>
      <c r="H36" s="143">
        <f t="shared" ref="H36:H39" si="2">F36*G36</f>
        <v>0</v>
      </c>
      <c r="I36" s="144"/>
      <c r="J36" s="14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0" t="s">
        <v>72</v>
      </c>
      <c r="B37" s="28" t="s">
        <v>66</v>
      </c>
      <c r="C37" s="53">
        <v>322</v>
      </c>
      <c r="D37" s="12">
        <f>C37*111</f>
        <v>35742</v>
      </c>
      <c r="F37" s="12">
        <v>100</v>
      </c>
      <c r="G37" s="39">
        <v>3</v>
      </c>
      <c r="H37" s="143">
        <f t="shared" si="2"/>
        <v>300</v>
      </c>
      <c r="I37" s="144"/>
      <c r="J37" s="14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1"/>
      <c r="B38" s="29" t="s">
        <v>68</v>
      </c>
      <c r="C38" s="54">
        <v>10</v>
      </c>
      <c r="D38" s="12">
        <f>C38*84</f>
        <v>840</v>
      </c>
      <c r="F38" s="30">
        <v>50</v>
      </c>
      <c r="G38" s="39">
        <v>2</v>
      </c>
      <c r="H38" s="143">
        <f t="shared" si="2"/>
        <v>100</v>
      </c>
      <c r="I38" s="144"/>
      <c r="J38" s="14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2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43">
        <f t="shared" si="2"/>
        <v>0</v>
      </c>
      <c r="I39" s="144"/>
      <c r="J39" s="14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143"/>
      <c r="I40" s="144"/>
      <c r="J40" s="14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43"/>
      <c r="I41" s="144"/>
      <c r="J41" s="14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2"/>
      <c r="B42" s="27" t="s">
        <v>70</v>
      </c>
      <c r="C42" s="11">
        <v>1</v>
      </c>
      <c r="D42" s="12">
        <f>C42*2.25</f>
        <v>2.25</v>
      </c>
      <c r="F42" s="39" t="s">
        <v>79</v>
      </c>
      <c r="G42" s="143">
        <v>61</v>
      </c>
      <c r="H42" s="144"/>
      <c r="I42" s="144"/>
      <c r="J42" s="14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3" t="s">
        <v>81</v>
      </c>
      <c r="C43" s="11"/>
      <c r="D43" s="12"/>
      <c r="F43" s="59" t="s">
        <v>82</v>
      </c>
      <c r="G43" s="90" t="s">
        <v>83</v>
      </c>
      <c r="H43" s="135" t="s">
        <v>13</v>
      </c>
      <c r="I43" s="136"/>
      <c r="J43" s="137"/>
      <c r="K43" s="21"/>
      <c r="P43" s="4"/>
      <c r="Q43" s="4"/>
      <c r="R43" s="5"/>
    </row>
    <row r="44" spans="1:18" ht="15.75" x14ac:dyDescent="0.25">
      <c r="A44" s="114"/>
      <c r="B44" s="27" t="s">
        <v>66</v>
      </c>
      <c r="C44" s="10">
        <v>5</v>
      </c>
      <c r="D44" s="12">
        <f>C44*120</f>
        <v>600</v>
      </c>
      <c r="F44" s="37" t="s">
        <v>152</v>
      </c>
      <c r="G44" s="76" t="s">
        <v>153</v>
      </c>
      <c r="H44" s="138">
        <v>85842</v>
      </c>
      <c r="I44" s="138"/>
      <c r="J44" s="138"/>
      <c r="K44" s="21"/>
      <c r="P44" s="4"/>
      <c r="Q44" s="4"/>
      <c r="R44" s="5"/>
    </row>
    <row r="45" spans="1:18" ht="15.75" x14ac:dyDescent="0.25">
      <c r="A45" s="114"/>
      <c r="B45" s="27" t="s">
        <v>68</v>
      </c>
      <c r="C45" s="33"/>
      <c r="D45" s="12">
        <f>C45*84</f>
        <v>0</v>
      </c>
      <c r="F45" s="37"/>
      <c r="G45" s="76"/>
      <c r="H45" s="138"/>
      <c r="I45" s="138"/>
      <c r="J45" s="138"/>
      <c r="K45" s="21"/>
      <c r="P45" s="4"/>
      <c r="Q45" s="4"/>
      <c r="R45" s="5"/>
    </row>
    <row r="46" spans="1:18" ht="15.75" x14ac:dyDescent="0.25">
      <c r="A46" s="114"/>
      <c r="B46" s="49" t="s">
        <v>70</v>
      </c>
      <c r="C46" s="81">
        <v>3</v>
      </c>
      <c r="D46" s="12">
        <f>C46*1.5</f>
        <v>4.5</v>
      </c>
      <c r="F46" s="37"/>
      <c r="G46" s="62"/>
      <c r="H46" s="139"/>
      <c r="I46" s="139"/>
      <c r="J46" s="139"/>
      <c r="K46" s="21"/>
      <c r="P46" s="4"/>
      <c r="Q46" s="4"/>
      <c r="R46" s="5"/>
    </row>
    <row r="47" spans="1:18" ht="15.75" x14ac:dyDescent="0.25">
      <c r="A47" s="115"/>
      <c r="B47" s="27"/>
      <c r="C47" s="11"/>
      <c r="D47" s="12"/>
      <c r="F47" s="59"/>
      <c r="G47" s="59"/>
      <c r="H47" s="116"/>
      <c r="I47" s="117"/>
      <c r="J47" s="118"/>
      <c r="K47" s="21"/>
      <c r="P47" s="4"/>
      <c r="Q47" s="4"/>
      <c r="R47" s="5"/>
    </row>
    <row r="48" spans="1:18" ht="15" customHeight="1" x14ac:dyDescent="0.25">
      <c r="A48" s="113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16"/>
      <c r="I48" s="117"/>
      <c r="J48" s="1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4"/>
      <c r="B49" s="29" t="s">
        <v>68</v>
      </c>
      <c r="C49" s="33"/>
      <c r="D49" s="12">
        <f>C49*42</f>
        <v>0</v>
      </c>
      <c r="F49" s="119" t="s">
        <v>86</v>
      </c>
      <c r="G49" s="121">
        <f>H34+H35+H36+H37+H38+H39+H40+H41+G42+H44+H45+H46</f>
        <v>230303</v>
      </c>
      <c r="H49" s="122"/>
      <c r="I49" s="122"/>
      <c r="J49" s="12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4"/>
      <c r="B50" s="32" t="s">
        <v>70</v>
      </c>
      <c r="C50" s="11">
        <v>5</v>
      </c>
      <c r="D50" s="12">
        <f>C50*1.5</f>
        <v>7.5</v>
      </c>
      <c r="F50" s="120"/>
      <c r="G50" s="124"/>
      <c r="H50" s="125"/>
      <c r="I50" s="125"/>
      <c r="J50" s="126"/>
      <c r="P50" s="4"/>
      <c r="Q50" s="4"/>
      <c r="R50" s="5"/>
    </row>
    <row r="51" spans="1:18" ht="15" customHeight="1" x14ac:dyDescent="0.25">
      <c r="A51" s="114"/>
      <c r="B51" s="27"/>
      <c r="C51" s="10"/>
      <c r="D51" s="31"/>
      <c r="F51" s="127" t="s">
        <v>148</v>
      </c>
      <c r="G51" s="129">
        <f>G49-H29</f>
        <v>10137.75</v>
      </c>
      <c r="H51" s="130"/>
      <c r="I51" s="130"/>
      <c r="J51" s="13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4"/>
      <c r="B52" s="29"/>
      <c r="C52" s="33"/>
      <c r="D52" s="45"/>
      <c r="F52" s="128"/>
      <c r="G52" s="132"/>
      <c r="H52" s="133"/>
      <c r="I52" s="133"/>
      <c r="J52" s="1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9" t="s">
        <v>90</v>
      </c>
      <c r="B54" s="100"/>
      <c r="C54" s="101"/>
      <c r="D54" s="105">
        <f>SUM(D34:D53)</f>
        <v>39246.75</v>
      </c>
      <c r="F54" s="21"/>
      <c r="J54" s="34"/>
    </row>
    <row r="55" spans="1:18" x14ac:dyDescent="0.25">
      <c r="A55" s="102"/>
      <c r="B55" s="103"/>
      <c r="C55" s="104"/>
      <c r="D55" s="10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07" t="s">
        <v>91</v>
      </c>
      <c r="B58" s="108"/>
      <c r="C58" s="108"/>
      <c r="D58" s="109"/>
      <c r="F58" s="107" t="s">
        <v>92</v>
      </c>
      <c r="G58" s="108"/>
      <c r="H58" s="108"/>
      <c r="I58" s="108"/>
      <c r="J58" s="109"/>
    </row>
    <row r="59" spans="1:18" x14ac:dyDescent="0.25">
      <c r="A59" s="110"/>
      <c r="B59" s="111"/>
      <c r="C59" s="111"/>
      <c r="D59" s="112"/>
      <c r="F59" s="110"/>
      <c r="G59" s="111"/>
      <c r="H59" s="111"/>
      <c r="I59" s="111"/>
      <c r="J59" s="11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24416-A329-4BDE-B1C6-A3CE45120B7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5" t="s">
        <v>1</v>
      </c>
      <c r="O1" s="195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6" t="s">
        <v>7</v>
      </c>
      <c r="B4" s="147"/>
      <c r="C4" s="147"/>
      <c r="D4" s="148"/>
      <c r="F4" s="196" t="s">
        <v>8</v>
      </c>
      <c r="G4" s="198"/>
      <c r="H4" s="200" t="s">
        <v>9</v>
      </c>
      <c r="I4" s="202"/>
      <c r="J4" s="20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97"/>
      <c r="G5" s="199"/>
      <c r="H5" s="201"/>
      <c r="I5" s="204"/>
      <c r="J5" s="20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1"/>
      <c r="B6" s="16"/>
      <c r="C6" s="10"/>
      <c r="D6" s="13">
        <f t="shared" ref="D6:D28" si="1">C6*L6</f>
        <v>0</v>
      </c>
      <c r="F6" s="206" t="s">
        <v>16</v>
      </c>
      <c r="G6" s="208"/>
      <c r="H6" s="209"/>
      <c r="I6" s="209"/>
      <c r="J6" s="21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1"/>
      <c r="B7" s="16"/>
      <c r="C7" s="10"/>
      <c r="D7" s="13">
        <f t="shared" si="1"/>
        <v>0</v>
      </c>
      <c r="F7" s="207"/>
      <c r="G7" s="211"/>
      <c r="H7" s="212"/>
      <c r="I7" s="212"/>
      <c r="J7" s="21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1"/>
      <c r="B8" s="16"/>
      <c r="C8" s="10"/>
      <c r="D8" s="13">
        <f t="shared" si="1"/>
        <v>0</v>
      </c>
      <c r="F8" s="214" t="s">
        <v>21</v>
      </c>
      <c r="G8" s="215"/>
      <c r="H8" s="216"/>
      <c r="I8" s="216"/>
      <c r="J8" s="21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1"/>
      <c r="B9" s="16"/>
      <c r="C9" s="10"/>
      <c r="D9" s="13">
        <f t="shared" si="1"/>
        <v>0</v>
      </c>
      <c r="F9" s="207"/>
      <c r="G9" s="218"/>
      <c r="H9" s="219"/>
      <c r="I9" s="219"/>
      <c r="J9" s="22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1"/>
      <c r="C10" s="10"/>
      <c r="D10" s="13">
        <f t="shared" si="1"/>
        <v>0</v>
      </c>
      <c r="F10" s="206" t="s">
        <v>26</v>
      </c>
      <c r="G10" s="221"/>
      <c r="H10" s="222"/>
      <c r="I10" s="222"/>
      <c r="J10" s="223"/>
      <c r="K10" s="8"/>
      <c r="L10" s="6">
        <f>R36</f>
        <v>972</v>
      </c>
      <c r="P10" s="4"/>
      <c r="Q10" s="4"/>
      <c r="R10" s="5"/>
    </row>
    <row r="11" spans="1:19" ht="15.75" x14ac:dyDescent="0.25">
      <c r="A11" s="141"/>
      <c r="B11" s="17"/>
      <c r="C11" s="10"/>
      <c r="D11" s="13">
        <f t="shared" si="1"/>
        <v>0</v>
      </c>
      <c r="F11" s="207"/>
      <c r="G11" s="218"/>
      <c r="H11" s="219"/>
      <c r="I11" s="219"/>
      <c r="J11" s="22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1"/>
      <c r="B12" s="17"/>
      <c r="C12" s="10"/>
      <c r="D12" s="48">
        <f t="shared" si="1"/>
        <v>0</v>
      </c>
      <c r="F12" s="224" t="s">
        <v>33</v>
      </c>
      <c r="G12" s="225"/>
      <c r="H12" s="225"/>
      <c r="I12" s="225"/>
      <c r="J12" s="22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1"/>
      <c r="B13" s="17"/>
      <c r="C13" s="10"/>
      <c r="D13" s="48">
        <f t="shared" si="1"/>
        <v>0</v>
      </c>
      <c r="F13" s="227" t="s">
        <v>36</v>
      </c>
      <c r="G13" s="191"/>
      <c r="H13" s="182">
        <f>D29</f>
        <v>0</v>
      </c>
      <c r="I13" s="183"/>
      <c r="J13" s="18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1"/>
      <c r="B14" s="14"/>
      <c r="C14" s="10"/>
      <c r="D14" s="31">
        <f t="shared" si="1"/>
        <v>0</v>
      </c>
      <c r="F14" s="185" t="s">
        <v>39</v>
      </c>
      <c r="G14" s="186"/>
      <c r="H14" s="187">
        <f>D54</f>
        <v>0</v>
      </c>
      <c r="I14" s="188"/>
      <c r="J14" s="18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1"/>
      <c r="B15" s="14"/>
      <c r="C15" s="10"/>
      <c r="D15" s="31">
        <f t="shared" si="1"/>
        <v>0</v>
      </c>
      <c r="F15" s="190" t="s">
        <v>40</v>
      </c>
      <c r="G15" s="191"/>
      <c r="H15" s="192">
        <f>H13-H14</f>
        <v>0</v>
      </c>
      <c r="I15" s="193"/>
      <c r="J15" s="19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2"/>
      <c r="I16" s="152"/>
      <c r="J16" s="15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C17" s="10"/>
      <c r="D17" s="48">
        <f t="shared" si="1"/>
        <v>0</v>
      </c>
      <c r="F17" s="56"/>
      <c r="G17" s="66" t="s">
        <v>45</v>
      </c>
      <c r="H17" s="163"/>
      <c r="I17" s="163"/>
      <c r="J17" s="16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19"/>
      <c r="C18" s="10"/>
      <c r="D18" s="48">
        <f t="shared" si="1"/>
        <v>0</v>
      </c>
      <c r="F18" s="56"/>
      <c r="G18" s="66" t="s">
        <v>47</v>
      </c>
      <c r="H18" s="163"/>
      <c r="I18" s="163"/>
      <c r="J18" s="16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14"/>
      <c r="C19" s="10"/>
      <c r="D19" s="48">
        <f t="shared" si="1"/>
        <v>0</v>
      </c>
      <c r="F19" s="56"/>
      <c r="G19" s="68" t="s">
        <v>50</v>
      </c>
      <c r="H19" s="164"/>
      <c r="I19" s="164"/>
      <c r="J19" s="1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1"/>
      <c r="B20" s="46"/>
      <c r="C20" s="10"/>
      <c r="D20" s="13">
        <f t="shared" si="1"/>
        <v>0</v>
      </c>
      <c r="F20" s="57"/>
      <c r="G20" s="70" t="s">
        <v>120</v>
      </c>
      <c r="H20" s="152"/>
      <c r="I20" s="152"/>
      <c r="J20" s="15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5" t="s">
        <v>13</v>
      </c>
      <c r="I21" s="166"/>
      <c r="J21" s="16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1"/>
      <c r="B22" s="46"/>
      <c r="C22" s="10"/>
      <c r="D22" s="48">
        <f t="shared" si="1"/>
        <v>0</v>
      </c>
      <c r="F22" s="77"/>
      <c r="G22" s="73"/>
      <c r="H22" s="168"/>
      <c r="I22" s="168"/>
      <c r="J22" s="16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/>
      <c r="C23" s="10"/>
      <c r="D23" s="48">
        <f t="shared" si="1"/>
        <v>0</v>
      </c>
      <c r="F23" s="78"/>
      <c r="G23" s="79"/>
      <c r="H23" s="169"/>
      <c r="I23" s="138"/>
      <c r="J23" s="13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/>
      <c r="C24" s="10"/>
      <c r="D24" s="48">
        <f t="shared" si="1"/>
        <v>0</v>
      </c>
      <c r="F24" s="38"/>
      <c r="G24" s="37"/>
      <c r="H24" s="169"/>
      <c r="I24" s="138"/>
      <c r="J24" s="13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/>
      <c r="C26" s="10"/>
      <c r="D26" s="48">
        <f t="shared" si="1"/>
        <v>0</v>
      </c>
      <c r="F26" s="64"/>
      <c r="G26" s="59"/>
      <c r="H26" s="173"/>
      <c r="I26" s="174"/>
      <c r="J26" s="17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1"/>
      <c r="B27" s="14"/>
      <c r="C27" s="10"/>
      <c r="D27" s="44">
        <f t="shared" si="1"/>
        <v>0</v>
      </c>
      <c r="F27" s="25"/>
      <c r="G27" s="80"/>
      <c r="H27" s="176"/>
      <c r="I27" s="177"/>
      <c r="J27" s="17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/>
      <c r="C28" s="10"/>
      <c r="D28" s="48">
        <f t="shared" si="1"/>
        <v>0</v>
      </c>
      <c r="F28" s="93"/>
      <c r="G28" s="61"/>
      <c r="H28" s="179"/>
      <c r="I28" s="180"/>
      <c r="J28" s="18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3" t="s">
        <v>36</v>
      </c>
      <c r="B29" s="154"/>
      <c r="C29" s="155"/>
      <c r="D29" s="159">
        <f>SUM(D6:D28)</f>
        <v>0</v>
      </c>
      <c r="F29" s="99" t="s">
        <v>55</v>
      </c>
      <c r="G29" s="161"/>
      <c r="H29" s="121">
        <f>H15-H16-H17-H18-H19-H20-H22-H23-H24+H26+H27</f>
        <v>0</v>
      </c>
      <c r="I29" s="122"/>
      <c r="J29" s="12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6"/>
      <c r="B30" s="157"/>
      <c r="C30" s="158"/>
      <c r="D30" s="160"/>
      <c r="F30" s="102"/>
      <c r="G30" s="162"/>
      <c r="H30" s="124"/>
      <c r="I30" s="125"/>
      <c r="J30" s="12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6" t="s">
        <v>58</v>
      </c>
      <c r="B32" s="147"/>
      <c r="C32" s="147"/>
      <c r="D32" s="148"/>
      <c r="F32" s="149" t="s">
        <v>59</v>
      </c>
      <c r="G32" s="150"/>
      <c r="H32" s="150"/>
      <c r="I32" s="150"/>
      <c r="J32" s="15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49" t="s">
        <v>13</v>
      </c>
      <c r="I33" s="150"/>
      <c r="J33" s="15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3"/>
      <c r="I34" s="144"/>
      <c r="J34" s="14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1"/>
      <c r="B35" s="27" t="s">
        <v>68</v>
      </c>
      <c r="C35" s="52"/>
      <c r="D35" s="30">
        <f>C35*84</f>
        <v>0</v>
      </c>
      <c r="F35" s="58">
        <v>500</v>
      </c>
      <c r="G35" s="41"/>
      <c r="H35" s="143"/>
      <c r="I35" s="144"/>
      <c r="J35" s="14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70</v>
      </c>
      <c r="C36" s="10"/>
      <c r="D36" s="12">
        <f>C36*1.5</f>
        <v>0</v>
      </c>
      <c r="F36" s="12">
        <v>200</v>
      </c>
      <c r="G36" s="37"/>
      <c r="H36" s="143"/>
      <c r="I36" s="144"/>
      <c r="J36" s="14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3"/>
      <c r="I37" s="144"/>
      <c r="J37" s="14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1"/>
      <c r="B38" s="29" t="s">
        <v>68</v>
      </c>
      <c r="C38" s="54"/>
      <c r="D38" s="12">
        <f>C38*84</f>
        <v>0</v>
      </c>
      <c r="F38" s="30">
        <v>50</v>
      </c>
      <c r="G38" s="39"/>
      <c r="H38" s="143"/>
      <c r="I38" s="144"/>
      <c r="J38" s="14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2"/>
      <c r="B39" s="29" t="s">
        <v>70</v>
      </c>
      <c r="C39" s="52"/>
      <c r="D39" s="31">
        <f>C39*4.5</f>
        <v>0</v>
      </c>
      <c r="F39" s="12">
        <v>20</v>
      </c>
      <c r="G39" s="37"/>
      <c r="H39" s="143"/>
      <c r="I39" s="144"/>
      <c r="J39" s="14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3"/>
      <c r="I40" s="144"/>
      <c r="J40" s="14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1"/>
      <c r="B41" s="27" t="s">
        <v>68</v>
      </c>
      <c r="C41" s="10"/>
      <c r="D41" s="12">
        <f>C41*84</f>
        <v>0</v>
      </c>
      <c r="F41" s="12">
        <v>5</v>
      </c>
      <c r="G41" s="42"/>
      <c r="H41" s="143"/>
      <c r="I41" s="144"/>
      <c r="J41" s="14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2"/>
      <c r="B42" s="27" t="s">
        <v>70</v>
      </c>
      <c r="C42" s="11"/>
      <c r="D42" s="12">
        <f>C42*2.25</f>
        <v>0</v>
      </c>
      <c r="F42" s="39" t="s">
        <v>79</v>
      </c>
      <c r="G42" s="143"/>
      <c r="H42" s="144"/>
      <c r="I42" s="144"/>
      <c r="J42" s="14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3" t="s">
        <v>81</v>
      </c>
      <c r="C43" s="11"/>
      <c r="D43" s="12"/>
      <c r="F43" s="59" t="s">
        <v>82</v>
      </c>
      <c r="G43" s="90" t="s">
        <v>83</v>
      </c>
      <c r="H43" s="135" t="s">
        <v>13</v>
      </c>
      <c r="I43" s="136"/>
      <c r="J43" s="137"/>
      <c r="K43" s="21"/>
      <c r="P43" s="4"/>
      <c r="Q43" s="4"/>
      <c r="R43" s="5"/>
    </row>
    <row r="44" spans="1:18" ht="15.75" x14ac:dyDescent="0.25">
      <c r="A44" s="114"/>
      <c r="B44" s="27" t="s">
        <v>66</v>
      </c>
      <c r="C44" s="10"/>
      <c r="D44" s="12">
        <f>C44*120</f>
        <v>0</v>
      </c>
      <c r="F44" s="37"/>
      <c r="G44" s="76"/>
      <c r="H44" s="138"/>
      <c r="I44" s="138"/>
      <c r="J44" s="138"/>
      <c r="K44" s="21"/>
      <c r="P44" s="4"/>
      <c r="Q44" s="4"/>
      <c r="R44" s="5"/>
    </row>
    <row r="45" spans="1:18" ht="15.75" x14ac:dyDescent="0.25">
      <c r="A45" s="114"/>
      <c r="B45" s="27" t="s">
        <v>68</v>
      </c>
      <c r="C45" s="33"/>
      <c r="D45" s="12">
        <f>C45*84</f>
        <v>0</v>
      </c>
      <c r="F45" s="37"/>
      <c r="G45" s="76"/>
      <c r="H45" s="138"/>
      <c r="I45" s="138"/>
      <c r="J45" s="138"/>
      <c r="K45" s="21"/>
      <c r="P45" s="4"/>
      <c r="Q45" s="4"/>
      <c r="R45" s="5"/>
    </row>
    <row r="46" spans="1:18" ht="15.75" x14ac:dyDescent="0.25">
      <c r="A46" s="114"/>
      <c r="B46" s="49" t="s">
        <v>70</v>
      </c>
      <c r="C46" s="81"/>
      <c r="D46" s="12">
        <f>C46*1.5</f>
        <v>0</v>
      </c>
      <c r="F46" s="37"/>
      <c r="G46" s="62"/>
      <c r="H46" s="139"/>
      <c r="I46" s="139"/>
      <c r="J46" s="139"/>
      <c r="K46" s="21"/>
      <c r="P46" s="4"/>
      <c r="Q46" s="4"/>
      <c r="R46" s="5"/>
    </row>
    <row r="47" spans="1:18" ht="15.75" x14ac:dyDescent="0.25">
      <c r="A47" s="115"/>
      <c r="B47" s="27"/>
      <c r="C47" s="11"/>
      <c r="D47" s="12"/>
      <c r="F47" s="59"/>
      <c r="G47" s="59"/>
      <c r="H47" s="116"/>
      <c r="I47" s="117"/>
      <c r="J47" s="118"/>
      <c r="K47" s="21"/>
      <c r="P47" s="4"/>
      <c r="Q47" s="4"/>
      <c r="R47" s="5"/>
    </row>
    <row r="48" spans="1:18" ht="15" customHeight="1" x14ac:dyDescent="0.25">
      <c r="A48" s="113" t="s">
        <v>32</v>
      </c>
      <c r="B48" s="27" t="s">
        <v>66</v>
      </c>
      <c r="C48" s="10"/>
      <c r="D48" s="12">
        <f>C48*78</f>
        <v>0</v>
      </c>
      <c r="F48" s="59"/>
      <c r="G48" s="59"/>
      <c r="H48" s="116"/>
      <c r="I48" s="117"/>
      <c r="J48" s="1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4"/>
      <c r="B49" s="29" t="s">
        <v>68</v>
      </c>
      <c r="C49" s="33"/>
      <c r="D49" s="12">
        <f>C49*42</f>
        <v>0</v>
      </c>
      <c r="F49" s="119" t="s">
        <v>86</v>
      </c>
      <c r="G49" s="121">
        <f>H34+H35+H36+H37+H38+H39+H40+H41+G42+H44+H45+H46</f>
        <v>0</v>
      </c>
      <c r="H49" s="122"/>
      <c r="I49" s="122"/>
      <c r="J49" s="12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4"/>
      <c r="B50" s="32" t="s">
        <v>70</v>
      </c>
      <c r="C50" s="11"/>
      <c r="D50" s="12">
        <f>C50*1.5</f>
        <v>0</v>
      </c>
      <c r="F50" s="120"/>
      <c r="G50" s="124"/>
      <c r="H50" s="125"/>
      <c r="I50" s="125"/>
      <c r="J50" s="126"/>
      <c r="P50" s="4"/>
      <c r="Q50" s="4"/>
      <c r="R50" s="5"/>
    </row>
    <row r="51" spans="1:18" ht="15" customHeight="1" x14ac:dyDescent="0.25">
      <c r="A51" s="114"/>
      <c r="B51" s="27"/>
      <c r="C51" s="10"/>
      <c r="D51" s="31"/>
      <c r="F51" s="127" t="s">
        <v>128</v>
      </c>
      <c r="G51" s="129">
        <f>G49-H29</f>
        <v>0</v>
      </c>
      <c r="H51" s="130"/>
      <c r="I51" s="130"/>
      <c r="J51" s="13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4"/>
      <c r="B52" s="29"/>
      <c r="C52" s="33"/>
      <c r="D52" s="45"/>
      <c r="F52" s="128"/>
      <c r="G52" s="132"/>
      <c r="H52" s="133"/>
      <c r="I52" s="133"/>
      <c r="J52" s="1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9" t="s">
        <v>90</v>
      </c>
      <c r="B54" s="100"/>
      <c r="C54" s="101"/>
      <c r="D54" s="105">
        <f>SUM(D34:D53)</f>
        <v>0</v>
      </c>
      <c r="F54" s="21"/>
      <c r="J54" s="34"/>
    </row>
    <row r="55" spans="1:18" x14ac:dyDescent="0.25">
      <c r="A55" s="102"/>
      <c r="B55" s="103"/>
      <c r="C55" s="104"/>
      <c r="D55" s="10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7" t="s">
        <v>91</v>
      </c>
      <c r="B58" s="108"/>
      <c r="C58" s="108"/>
      <c r="D58" s="109"/>
      <c r="F58" s="107" t="s">
        <v>92</v>
      </c>
      <c r="G58" s="108"/>
      <c r="H58" s="108"/>
      <c r="I58" s="108"/>
      <c r="J58" s="109"/>
    </row>
    <row r="59" spans="1:18" x14ac:dyDescent="0.25">
      <c r="A59" s="110"/>
      <c r="B59" s="111"/>
      <c r="C59" s="111"/>
      <c r="D59" s="112"/>
      <c r="F59" s="110"/>
      <c r="G59" s="111"/>
      <c r="H59" s="111"/>
      <c r="I59" s="111"/>
      <c r="J59" s="11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7F3FB-8878-4E3E-863E-1BE61C67EEE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5" t="s">
        <v>1</v>
      </c>
      <c r="O1" s="19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6" t="s">
        <v>7</v>
      </c>
      <c r="B4" s="147"/>
      <c r="C4" s="147"/>
      <c r="D4" s="148"/>
      <c r="F4" s="196" t="s">
        <v>8</v>
      </c>
      <c r="G4" s="198">
        <v>1</v>
      </c>
      <c r="H4" s="200" t="s">
        <v>9</v>
      </c>
      <c r="I4" s="202">
        <v>45994</v>
      </c>
      <c r="J4" s="20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97"/>
      <c r="G5" s="199"/>
      <c r="H5" s="201"/>
      <c r="I5" s="204"/>
      <c r="J5" s="20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84">
        <v>150</v>
      </c>
      <c r="D6" s="13">
        <f t="shared" ref="D6:D28" si="1">C6*L6</f>
        <v>110550</v>
      </c>
      <c r="F6" s="206" t="s">
        <v>16</v>
      </c>
      <c r="G6" s="208" t="s">
        <v>129</v>
      </c>
      <c r="H6" s="209"/>
      <c r="I6" s="209"/>
      <c r="J6" s="21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84">
        <v>5</v>
      </c>
      <c r="D7" s="13">
        <f t="shared" si="1"/>
        <v>3625</v>
      </c>
      <c r="F7" s="207"/>
      <c r="G7" s="211"/>
      <c r="H7" s="212"/>
      <c r="I7" s="212"/>
      <c r="J7" s="21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84"/>
      <c r="D8" s="13">
        <f t="shared" si="1"/>
        <v>0</v>
      </c>
      <c r="F8" s="214" t="s">
        <v>21</v>
      </c>
      <c r="G8" s="215" t="s">
        <v>112</v>
      </c>
      <c r="H8" s="216"/>
      <c r="I8" s="216"/>
      <c r="J8" s="21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84">
        <v>10</v>
      </c>
      <c r="D9" s="13">
        <f t="shared" si="1"/>
        <v>7070</v>
      </c>
      <c r="F9" s="207"/>
      <c r="G9" s="218"/>
      <c r="H9" s="219"/>
      <c r="I9" s="219"/>
      <c r="J9" s="22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84"/>
      <c r="D10" s="13">
        <f t="shared" si="1"/>
        <v>0</v>
      </c>
      <c r="F10" s="206" t="s">
        <v>26</v>
      </c>
      <c r="G10" s="221" t="s">
        <v>130</v>
      </c>
      <c r="H10" s="222"/>
      <c r="I10" s="222"/>
      <c r="J10" s="223"/>
      <c r="K10" s="8"/>
      <c r="L10" s="6">
        <f>R36</f>
        <v>972</v>
      </c>
      <c r="P10" s="4"/>
      <c r="Q10" s="4"/>
      <c r="R10" s="5"/>
    </row>
    <row r="11" spans="1:18" ht="15.75" x14ac:dyDescent="0.25">
      <c r="A11" s="141"/>
      <c r="B11" s="17" t="s">
        <v>28</v>
      </c>
      <c r="C11" s="84"/>
      <c r="D11" s="13">
        <f t="shared" si="1"/>
        <v>0</v>
      </c>
      <c r="F11" s="207"/>
      <c r="G11" s="218"/>
      <c r="H11" s="219"/>
      <c r="I11" s="219"/>
      <c r="J11" s="22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84"/>
      <c r="D12" s="48">
        <f t="shared" si="1"/>
        <v>0</v>
      </c>
      <c r="F12" s="224" t="s">
        <v>33</v>
      </c>
      <c r="G12" s="225"/>
      <c r="H12" s="225"/>
      <c r="I12" s="225"/>
      <c r="J12" s="22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84">
        <v>4</v>
      </c>
      <c r="D13" s="48">
        <f t="shared" si="1"/>
        <v>1228</v>
      </c>
      <c r="F13" s="227" t="s">
        <v>36</v>
      </c>
      <c r="G13" s="191"/>
      <c r="H13" s="182">
        <f>D29</f>
        <v>124676</v>
      </c>
      <c r="I13" s="183"/>
      <c r="J13" s="18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84">
        <v>23</v>
      </c>
      <c r="D14" s="31">
        <f t="shared" si="1"/>
        <v>253</v>
      </c>
      <c r="F14" s="185" t="s">
        <v>39</v>
      </c>
      <c r="G14" s="186"/>
      <c r="H14" s="187">
        <f>D54</f>
        <v>17744.25</v>
      </c>
      <c r="I14" s="188"/>
      <c r="J14" s="18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38</v>
      </c>
      <c r="C15" s="84"/>
      <c r="D15" s="31">
        <f t="shared" si="1"/>
        <v>0</v>
      </c>
      <c r="F15" s="190" t="s">
        <v>40</v>
      </c>
      <c r="G15" s="191"/>
      <c r="H15" s="192">
        <f>H13-H14</f>
        <v>106931.75</v>
      </c>
      <c r="I15" s="193"/>
      <c r="J15" s="19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2"/>
      <c r="I16" s="152"/>
      <c r="J16" s="15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t="s">
        <v>138</v>
      </c>
      <c r="C17" s="84"/>
      <c r="D17" s="48">
        <f t="shared" si="1"/>
        <v>0</v>
      </c>
      <c r="F17" s="56"/>
      <c r="G17" s="66" t="s">
        <v>45</v>
      </c>
      <c r="H17" s="163"/>
      <c r="I17" s="163"/>
      <c r="J17" s="16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3"/>
      <c r="I18" s="163"/>
      <c r="J18" s="16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63"/>
      <c r="I19" s="163"/>
      <c r="J19" s="163"/>
      <c r="L19" s="6">
        <v>1102</v>
      </c>
      <c r="Q19" s="4"/>
      <c r="R19" s="5">
        <f t="shared" si="0"/>
        <v>0</v>
      </c>
    </row>
    <row r="20" spans="1:18" ht="15.75" x14ac:dyDescent="0.25">
      <c r="A20" s="14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2"/>
      <c r="I20" s="152"/>
      <c r="J20" s="15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1"/>
      <c r="B21" s="14" t="s">
        <v>136</v>
      </c>
      <c r="C21" s="84">
        <f>1+2</f>
        <v>3</v>
      </c>
      <c r="D21" s="48">
        <f t="shared" si="1"/>
        <v>1950</v>
      </c>
      <c r="F21" s="69" t="s">
        <v>99</v>
      </c>
      <c r="G21" s="82" t="s">
        <v>98</v>
      </c>
      <c r="H21" s="165" t="s">
        <v>13</v>
      </c>
      <c r="I21" s="166"/>
      <c r="J21" s="16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1"/>
      <c r="B22" s="46" t="s">
        <v>127</v>
      </c>
      <c r="C22" s="84"/>
      <c r="D22" s="48">
        <f t="shared" si="1"/>
        <v>0</v>
      </c>
      <c r="F22" s="77"/>
      <c r="G22" s="73"/>
      <c r="H22" s="168"/>
      <c r="I22" s="168"/>
      <c r="J22" s="16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101</v>
      </c>
      <c r="C23" s="84"/>
      <c r="D23" s="48">
        <f t="shared" si="1"/>
        <v>0</v>
      </c>
      <c r="F23" s="77"/>
      <c r="G23" s="79"/>
      <c r="H23" s="228"/>
      <c r="I23" s="229"/>
      <c r="J23" s="22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121</v>
      </c>
      <c r="C24" s="84"/>
      <c r="D24" s="48">
        <f t="shared" si="1"/>
        <v>0</v>
      </c>
      <c r="F24" s="77"/>
      <c r="G24" s="79"/>
      <c r="H24" s="228"/>
      <c r="I24" s="229"/>
      <c r="J24" s="22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137</v>
      </c>
      <c r="C26" s="84"/>
      <c r="D26" s="48">
        <f t="shared" si="1"/>
        <v>0</v>
      </c>
      <c r="F26" s="75"/>
      <c r="G26" s="65"/>
      <c r="H26" s="138"/>
      <c r="I26" s="138"/>
      <c r="J26" s="138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1"/>
      <c r="B27" s="14" t="s">
        <v>110</v>
      </c>
      <c r="C27" s="84"/>
      <c r="D27" s="44">
        <f t="shared" si="1"/>
        <v>0</v>
      </c>
      <c r="F27" s="71"/>
      <c r="G27" s="90"/>
      <c r="H27" s="230"/>
      <c r="I27" s="231"/>
      <c r="J27" s="23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97</v>
      </c>
      <c r="C28" s="84"/>
      <c r="D28" s="48">
        <f t="shared" si="1"/>
        <v>0</v>
      </c>
      <c r="F28" s="93"/>
      <c r="G28" s="61"/>
      <c r="H28" s="179"/>
      <c r="I28" s="180"/>
      <c r="J28" s="18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3" t="s">
        <v>36</v>
      </c>
      <c r="B29" s="154"/>
      <c r="C29" s="155"/>
      <c r="D29" s="159">
        <f>SUM(D6:D28)</f>
        <v>124676</v>
      </c>
      <c r="F29" s="99" t="s">
        <v>55</v>
      </c>
      <c r="G29" s="161"/>
      <c r="H29" s="121">
        <f>H15-H16-H17-H18-H19-H20-H22-H23-H24+H26+H27+H28</f>
        <v>106931.75</v>
      </c>
      <c r="I29" s="122"/>
      <c r="J29" s="12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6"/>
      <c r="B30" s="157"/>
      <c r="C30" s="158"/>
      <c r="D30" s="160"/>
      <c r="F30" s="102"/>
      <c r="G30" s="162"/>
      <c r="H30" s="124"/>
      <c r="I30" s="125"/>
      <c r="J30" s="12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6" t="s">
        <v>58</v>
      </c>
      <c r="B32" s="147"/>
      <c r="C32" s="147"/>
      <c r="D32" s="148"/>
      <c r="F32" s="149" t="s">
        <v>59</v>
      </c>
      <c r="G32" s="150"/>
      <c r="H32" s="150"/>
      <c r="I32" s="150"/>
      <c r="J32" s="15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49" t="s">
        <v>13</v>
      </c>
      <c r="I33" s="150"/>
      <c r="J33" s="15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89</v>
      </c>
      <c r="H34" s="143">
        <f t="shared" ref="H34:H39" si="2">F34*G34</f>
        <v>89000</v>
      </c>
      <c r="I34" s="144"/>
      <c r="J34" s="14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1"/>
      <c r="B35" s="27" t="s">
        <v>68</v>
      </c>
      <c r="C35" s="52"/>
      <c r="D35" s="30">
        <f>C35*84</f>
        <v>0</v>
      </c>
      <c r="F35" s="58">
        <v>500</v>
      </c>
      <c r="G35" s="41">
        <v>31</v>
      </c>
      <c r="H35" s="143">
        <f t="shared" si="2"/>
        <v>15500</v>
      </c>
      <c r="I35" s="144"/>
      <c r="J35" s="14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43">
        <f t="shared" si="2"/>
        <v>200</v>
      </c>
      <c r="I36" s="144"/>
      <c r="J36" s="14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0" t="s">
        <v>72</v>
      </c>
      <c r="B37" s="28" t="s">
        <v>66</v>
      </c>
      <c r="C37" s="53">
        <v>150</v>
      </c>
      <c r="D37" s="12">
        <f>C37*111</f>
        <v>16650</v>
      </c>
      <c r="F37" s="12">
        <v>100</v>
      </c>
      <c r="G37" s="39">
        <v>25</v>
      </c>
      <c r="H37" s="143">
        <f t="shared" si="2"/>
        <v>2500</v>
      </c>
      <c r="I37" s="144"/>
      <c r="J37" s="14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1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</v>
      </c>
      <c r="H38" s="143">
        <f t="shared" si="2"/>
        <v>50</v>
      </c>
      <c r="I38" s="144"/>
      <c r="J38" s="14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2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43">
        <f t="shared" si="2"/>
        <v>0</v>
      </c>
      <c r="I39" s="144"/>
      <c r="J39" s="14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43"/>
      <c r="I40" s="144"/>
      <c r="J40" s="14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1"/>
      <c r="B41" s="27" t="s">
        <v>68</v>
      </c>
      <c r="C41" s="10"/>
      <c r="D41" s="12">
        <f>C41*84</f>
        <v>0</v>
      </c>
      <c r="F41" s="12">
        <v>5</v>
      </c>
      <c r="G41" s="42"/>
      <c r="H41" s="143"/>
      <c r="I41" s="144"/>
      <c r="J41" s="14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2"/>
      <c r="B42" s="27" t="s">
        <v>70</v>
      </c>
      <c r="C42" s="11">
        <v>5</v>
      </c>
      <c r="D42" s="12">
        <f>C42*2.25</f>
        <v>11.25</v>
      </c>
      <c r="F42" s="39" t="s">
        <v>79</v>
      </c>
      <c r="G42" s="143">
        <v>395</v>
      </c>
      <c r="H42" s="144"/>
      <c r="I42" s="144"/>
      <c r="J42" s="14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3" t="s">
        <v>81</v>
      </c>
      <c r="C43" s="11"/>
      <c r="D43" s="12"/>
      <c r="F43" s="59" t="s">
        <v>82</v>
      </c>
      <c r="G43" s="90" t="s">
        <v>83</v>
      </c>
      <c r="H43" s="135" t="s">
        <v>13</v>
      </c>
      <c r="I43" s="136"/>
      <c r="J43" s="13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4"/>
      <c r="B44" s="27" t="s">
        <v>66</v>
      </c>
      <c r="C44" s="10"/>
      <c r="D44" s="12">
        <f>C44*120</f>
        <v>0</v>
      </c>
      <c r="F44" s="37"/>
      <c r="G44" s="62"/>
      <c r="H44" s="138"/>
      <c r="I44" s="138"/>
      <c r="J44" s="13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14"/>
      <c r="B45" s="27" t="s">
        <v>68</v>
      </c>
      <c r="C45" s="33"/>
      <c r="D45" s="12">
        <f>C45*84</f>
        <v>0</v>
      </c>
      <c r="F45" s="37"/>
      <c r="G45" s="62"/>
      <c r="H45" s="138"/>
      <c r="I45" s="138"/>
      <c r="J45" s="138"/>
      <c r="K45" s="21"/>
      <c r="P45" s="4"/>
      <c r="Q45" s="4"/>
      <c r="R45" s="5"/>
    </row>
    <row r="46" spans="1:18" ht="15.75" x14ac:dyDescent="0.25">
      <c r="A46" s="114"/>
      <c r="B46" s="49" t="s">
        <v>70</v>
      </c>
      <c r="C46" s="81"/>
      <c r="D46" s="12">
        <f>C46*1.5</f>
        <v>0</v>
      </c>
      <c r="F46" s="37"/>
      <c r="G46" s="62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5"/>
      <c r="B47" s="27"/>
      <c r="C47" s="11"/>
      <c r="D47" s="12"/>
      <c r="F47" s="59"/>
      <c r="G47" s="59"/>
      <c r="H47" s="116"/>
      <c r="I47" s="117"/>
      <c r="J47" s="118"/>
      <c r="K47" s="21"/>
      <c r="P47" s="4"/>
      <c r="Q47" s="4"/>
      <c r="R47" s="5"/>
    </row>
    <row r="48" spans="1:18" ht="15" customHeight="1" x14ac:dyDescent="0.25">
      <c r="A48" s="113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16"/>
      <c r="I48" s="117"/>
      <c r="J48" s="1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4"/>
      <c r="B49" s="29" t="s">
        <v>68</v>
      </c>
      <c r="C49" s="33">
        <v>1</v>
      </c>
      <c r="D49" s="12">
        <f>C49*42</f>
        <v>42</v>
      </c>
      <c r="F49" s="119" t="s">
        <v>86</v>
      </c>
      <c r="G49" s="121">
        <f>H34+H35+H36+H37+H38+H39+H40+H41+G42+H44+H45+H46</f>
        <v>107645</v>
      </c>
      <c r="H49" s="122"/>
      <c r="I49" s="122"/>
      <c r="J49" s="12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4"/>
      <c r="B50" s="32" t="s">
        <v>70</v>
      </c>
      <c r="C50" s="11">
        <v>20</v>
      </c>
      <c r="D50" s="12">
        <f>C50*1.5</f>
        <v>30</v>
      </c>
      <c r="F50" s="120"/>
      <c r="G50" s="124"/>
      <c r="H50" s="125"/>
      <c r="I50" s="125"/>
      <c r="J50" s="126"/>
      <c r="P50" s="4"/>
      <c r="Q50" s="4"/>
      <c r="R50" s="5"/>
    </row>
    <row r="51" spans="1:18" ht="15" customHeight="1" x14ac:dyDescent="0.25">
      <c r="A51" s="114"/>
      <c r="B51" s="27"/>
      <c r="C51" s="10"/>
      <c r="D51" s="31"/>
      <c r="F51" s="127" t="s">
        <v>148</v>
      </c>
      <c r="G51" s="129">
        <f>G49-H29</f>
        <v>713.25</v>
      </c>
      <c r="H51" s="130"/>
      <c r="I51" s="130"/>
      <c r="J51" s="13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4"/>
      <c r="B52" s="29"/>
      <c r="C52" s="33"/>
      <c r="D52" s="45"/>
      <c r="F52" s="128"/>
      <c r="G52" s="132"/>
      <c r="H52" s="133"/>
      <c r="I52" s="133"/>
      <c r="J52" s="1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9" t="s">
        <v>90</v>
      </c>
      <c r="B54" s="100"/>
      <c r="C54" s="101"/>
      <c r="D54" s="105">
        <f>SUM(D34:D53)</f>
        <v>17744.25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2"/>
      <c r="B55" s="103"/>
      <c r="C55" s="104"/>
      <c r="D55" s="10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07" t="s">
        <v>91</v>
      </c>
      <c r="B58" s="108"/>
      <c r="C58" s="108"/>
      <c r="D58" s="109"/>
      <c r="F58" s="107" t="s">
        <v>92</v>
      </c>
      <c r="G58" s="108"/>
      <c r="H58" s="108"/>
      <c r="I58" s="108"/>
      <c r="J58" s="109"/>
    </row>
    <row r="59" spans="1:18" x14ac:dyDescent="0.25">
      <c r="A59" s="110"/>
      <c r="B59" s="111"/>
      <c r="C59" s="111"/>
      <c r="D59" s="112"/>
      <c r="F59" s="110"/>
      <c r="G59" s="111"/>
      <c r="H59" s="111"/>
      <c r="I59" s="111"/>
      <c r="J59" s="11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3F163-FFE6-4864-B547-EB1433D85A0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5" t="s">
        <v>1</v>
      </c>
      <c r="O1" s="19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6" t="s">
        <v>7</v>
      </c>
      <c r="B4" s="147"/>
      <c r="C4" s="147"/>
      <c r="D4" s="148"/>
      <c r="F4" s="196" t="s">
        <v>8</v>
      </c>
      <c r="G4" s="198">
        <v>2</v>
      </c>
      <c r="H4" s="200" t="s">
        <v>9</v>
      </c>
      <c r="I4" s="202">
        <v>45994</v>
      </c>
      <c r="J4" s="20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97"/>
      <c r="G5" s="199"/>
      <c r="H5" s="201"/>
      <c r="I5" s="204"/>
      <c r="J5" s="20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10">
        <f>440-99</f>
        <v>341</v>
      </c>
      <c r="D6" s="13">
        <f t="shared" ref="D6:D28" si="1">C6*L6</f>
        <v>251317</v>
      </c>
      <c r="F6" s="206" t="s">
        <v>16</v>
      </c>
      <c r="G6" s="208" t="s">
        <v>141</v>
      </c>
      <c r="H6" s="209"/>
      <c r="I6" s="209"/>
      <c r="J6" s="21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10">
        <v>2</v>
      </c>
      <c r="D7" s="13">
        <f t="shared" si="1"/>
        <v>1450</v>
      </c>
      <c r="F7" s="207"/>
      <c r="G7" s="211"/>
      <c r="H7" s="212"/>
      <c r="I7" s="212"/>
      <c r="J7" s="21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10"/>
      <c r="D8" s="13">
        <f t="shared" si="1"/>
        <v>0</v>
      </c>
      <c r="F8" s="214" t="s">
        <v>21</v>
      </c>
      <c r="G8" s="215" t="s">
        <v>114</v>
      </c>
      <c r="H8" s="216"/>
      <c r="I8" s="216"/>
      <c r="J8" s="21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10">
        <v>5</v>
      </c>
      <c r="D9" s="13">
        <f t="shared" si="1"/>
        <v>3535</v>
      </c>
      <c r="F9" s="207"/>
      <c r="G9" s="218"/>
      <c r="H9" s="219"/>
      <c r="I9" s="219"/>
      <c r="J9" s="22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10"/>
      <c r="D10" s="13">
        <f t="shared" si="1"/>
        <v>0</v>
      </c>
      <c r="F10" s="206" t="s">
        <v>26</v>
      </c>
      <c r="G10" s="221" t="s">
        <v>115</v>
      </c>
      <c r="H10" s="222"/>
      <c r="I10" s="222"/>
      <c r="J10" s="223"/>
      <c r="K10" s="8"/>
      <c r="L10" s="6">
        <f>R36</f>
        <v>972</v>
      </c>
      <c r="P10" s="4"/>
      <c r="Q10" s="4"/>
      <c r="R10" s="5"/>
    </row>
    <row r="11" spans="1:18" ht="15.75" x14ac:dyDescent="0.25">
      <c r="A11" s="141"/>
      <c r="B11" s="17" t="s">
        <v>28</v>
      </c>
      <c r="C11" s="10"/>
      <c r="D11" s="13">
        <f t="shared" si="1"/>
        <v>0</v>
      </c>
      <c r="F11" s="207"/>
      <c r="G11" s="218"/>
      <c r="H11" s="219"/>
      <c r="I11" s="219"/>
      <c r="J11" s="22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10"/>
      <c r="D12" s="48">
        <f t="shared" si="1"/>
        <v>0</v>
      </c>
      <c r="F12" s="224" t="s">
        <v>33</v>
      </c>
      <c r="G12" s="225"/>
      <c r="H12" s="225"/>
      <c r="I12" s="225"/>
      <c r="J12" s="22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10">
        <v>14</v>
      </c>
      <c r="D13" s="48">
        <f t="shared" si="1"/>
        <v>4298</v>
      </c>
      <c r="F13" s="227" t="s">
        <v>36</v>
      </c>
      <c r="G13" s="191"/>
      <c r="H13" s="182">
        <f>D29</f>
        <v>261506</v>
      </c>
      <c r="I13" s="183"/>
      <c r="J13" s="18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10">
        <v>11</v>
      </c>
      <c r="D14" s="31">
        <f t="shared" si="1"/>
        <v>121</v>
      </c>
      <c r="F14" s="185" t="s">
        <v>39</v>
      </c>
      <c r="G14" s="186"/>
      <c r="H14" s="187">
        <f>D54</f>
        <v>40169.25</v>
      </c>
      <c r="I14" s="188"/>
      <c r="J14" s="18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38</v>
      </c>
      <c r="C15" s="10"/>
      <c r="D15" s="31">
        <f t="shared" si="1"/>
        <v>0</v>
      </c>
      <c r="F15" s="190" t="s">
        <v>40</v>
      </c>
      <c r="G15" s="191"/>
      <c r="H15" s="192">
        <f>H13-H14</f>
        <v>221336.75</v>
      </c>
      <c r="I15" s="193"/>
      <c r="J15" s="19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2">
        <f>337*9</f>
        <v>3033</v>
      </c>
      <c r="I16" s="152"/>
      <c r="J16" s="15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t="s">
        <v>93</v>
      </c>
      <c r="C17" s="10"/>
      <c r="D17" s="48">
        <f t="shared" si="1"/>
        <v>0</v>
      </c>
      <c r="F17" s="56"/>
      <c r="G17" s="66" t="s">
        <v>45</v>
      </c>
      <c r="H17" s="163"/>
      <c r="I17" s="163"/>
      <c r="J17" s="163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3"/>
      <c r="I18" s="163"/>
      <c r="J18" s="16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9"/>
      <c r="I19" s="239"/>
      <c r="J19" s="23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1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3"/>
      <c r="I20" s="163"/>
      <c r="J20" s="16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5" t="s">
        <v>13</v>
      </c>
      <c r="I21" s="166"/>
      <c r="J21" s="16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1"/>
      <c r="B22" s="46" t="s">
        <v>104</v>
      </c>
      <c r="C22" s="10"/>
      <c r="D22" s="48">
        <f t="shared" si="1"/>
        <v>0</v>
      </c>
      <c r="F22" s="72"/>
      <c r="G22" s="73"/>
      <c r="H22" s="168"/>
      <c r="I22" s="168"/>
      <c r="J22" s="16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107</v>
      </c>
      <c r="C23" s="10"/>
      <c r="D23" s="48">
        <f t="shared" si="1"/>
        <v>0</v>
      </c>
      <c r="F23" s="25"/>
      <c r="G23" s="37"/>
      <c r="H23" s="169"/>
      <c r="I23" s="138"/>
      <c r="J23" s="13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123</v>
      </c>
      <c r="C24" s="10"/>
      <c r="D24" s="48">
        <f t="shared" si="1"/>
        <v>0</v>
      </c>
      <c r="F24" s="38"/>
      <c r="G24" s="37"/>
      <c r="H24" s="169"/>
      <c r="I24" s="138"/>
      <c r="J24" s="13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105</v>
      </c>
      <c r="C26" s="10"/>
      <c r="D26" s="48">
        <f t="shared" si="1"/>
        <v>0</v>
      </c>
      <c r="F26" s="64"/>
      <c r="G26" s="10"/>
      <c r="H26" s="173"/>
      <c r="I26" s="174"/>
      <c r="J26" s="17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1"/>
      <c r="B27" s="14" t="s">
        <v>109</v>
      </c>
      <c r="C27" s="10"/>
      <c r="D27" s="44">
        <f t="shared" si="1"/>
        <v>0</v>
      </c>
      <c r="F27" s="14"/>
      <c r="G27" s="14"/>
      <c r="H27" s="176"/>
      <c r="I27" s="177"/>
      <c r="J27" s="17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97</v>
      </c>
      <c r="C28" s="10">
        <v>1</v>
      </c>
      <c r="D28" s="48">
        <f t="shared" si="1"/>
        <v>785</v>
      </c>
      <c r="F28" s="93"/>
      <c r="G28" s="61"/>
      <c r="H28" s="179"/>
      <c r="I28" s="180"/>
      <c r="J28" s="18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3" t="s">
        <v>36</v>
      </c>
      <c r="B29" s="154"/>
      <c r="C29" s="155"/>
      <c r="D29" s="159">
        <f>SUM(D6:D28)</f>
        <v>261506</v>
      </c>
      <c r="F29" s="99" t="s">
        <v>55</v>
      </c>
      <c r="G29" s="161"/>
      <c r="H29" s="121">
        <f>H15-H16-H17-H18-H19-H20-H22-H23-H24+H26+H27</f>
        <v>218303.75</v>
      </c>
      <c r="I29" s="122"/>
      <c r="J29" s="12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6"/>
      <c r="B30" s="157"/>
      <c r="C30" s="158"/>
      <c r="D30" s="160"/>
      <c r="F30" s="102"/>
      <c r="G30" s="162"/>
      <c r="H30" s="124"/>
      <c r="I30" s="125"/>
      <c r="J30" s="12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6" t="s">
        <v>58</v>
      </c>
      <c r="B32" s="147"/>
      <c r="C32" s="147"/>
      <c r="D32" s="148"/>
      <c r="F32" s="149" t="s">
        <v>59</v>
      </c>
      <c r="G32" s="150"/>
      <c r="H32" s="150"/>
      <c r="I32" s="150"/>
      <c r="J32" s="15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49" t="s">
        <v>13</v>
      </c>
      <c r="I33" s="150"/>
      <c r="J33" s="15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216</v>
      </c>
      <c r="H34" s="143">
        <f>F34*G34</f>
        <v>216000</v>
      </c>
      <c r="I34" s="144"/>
      <c r="J34" s="14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1"/>
      <c r="B35" s="27" t="s">
        <v>68</v>
      </c>
      <c r="C35" s="52"/>
      <c r="D35" s="30">
        <f>C35*84</f>
        <v>0</v>
      </c>
      <c r="F35" s="58">
        <v>500</v>
      </c>
      <c r="G35" s="41">
        <v>4</v>
      </c>
      <c r="H35" s="143">
        <f t="shared" ref="H35:H39" si="2">F35*G35</f>
        <v>2000</v>
      </c>
      <c r="I35" s="144"/>
      <c r="J35" s="14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70</v>
      </c>
      <c r="C36" s="10"/>
      <c r="D36" s="12">
        <f>C36*1.5</f>
        <v>0</v>
      </c>
      <c r="F36" s="12">
        <v>200</v>
      </c>
      <c r="G36" s="37"/>
      <c r="H36" s="143">
        <f>F36*G36</f>
        <v>0</v>
      </c>
      <c r="I36" s="144"/>
      <c r="J36" s="14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0" t="s">
        <v>72</v>
      </c>
      <c r="B37" s="28" t="s">
        <v>66</v>
      </c>
      <c r="C37" s="53">
        <v>348</v>
      </c>
      <c r="D37" s="12">
        <f>C37*111</f>
        <v>38628</v>
      </c>
      <c r="F37" s="12">
        <v>100</v>
      </c>
      <c r="G37" s="39">
        <v>2</v>
      </c>
      <c r="H37" s="143">
        <f t="shared" si="2"/>
        <v>200</v>
      </c>
      <c r="I37" s="144"/>
      <c r="J37" s="14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1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3</v>
      </c>
      <c r="H38" s="143">
        <f t="shared" si="2"/>
        <v>150</v>
      </c>
      <c r="I38" s="144"/>
      <c r="J38" s="14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2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43">
        <f t="shared" si="2"/>
        <v>0</v>
      </c>
      <c r="I39" s="144"/>
      <c r="J39" s="14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43"/>
      <c r="I40" s="144"/>
      <c r="J40" s="14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43"/>
      <c r="I41" s="144"/>
      <c r="J41" s="14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2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43">
        <v>8</v>
      </c>
      <c r="H42" s="144"/>
      <c r="I42" s="144"/>
      <c r="J42" s="14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3" t="s">
        <v>81</v>
      </c>
      <c r="C43" s="11"/>
      <c r="D43" s="12"/>
      <c r="F43" s="59" t="s">
        <v>82</v>
      </c>
      <c r="G43" s="90" t="s">
        <v>83</v>
      </c>
      <c r="H43" s="135" t="s">
        <v>13</v>
      </c>
      <c r="I43" s="136"/>
      <c r="J43" s="137"/>
      <c r="K43" s="21"/>
      <c r="P43" s="4"/>
      <c r="Q43" s="4"/>
      <c r="R43" s="5"/>
    </row>
    <row r="44" spans="1:18" ht="15.75" x14ac:dyDescent="0.25">
      <c r="A44" s="114"/>
      <c r="B44" s="27" t="s">
        <v>66</v>
      </c>
      <c r="C44" s="10"/>
      <c r="D44" s="12">
        <f>C44*120</f>
        <v>0</v>
      </c>
      <c r="F44" s="37"/>
      <c r="G44" s="62"/>
      <c r="H44" s="138"/>
      <c r="I44" s="138"/>
      <c r="J44" s="138"/>
      <c r="K44" s="21"/>
      <c r="P44" s="4"/>
      <c r="Q44" s="4"/>
      <c r="R44" s="5"/>
    </row>
    <row r="45" spans="1:18" ht="15.75" x14ac:dyDescent="0.25">
      <c r="A45" s="114"/>
      <c r="B45" s="27" t="s">
        <v>68</v>
      </c>
      <c r="C45" s="33"/>
      <c r="D45" s="12">
        <f>C45*84</f>
        <v>0</v>
      </c>
      <c r="F45" s="37"/>
      <c r="G45" s="62"/>
      <c r="H45" s="138"/>
      <c r="I45" s="138"/>
      <c r="J45" s="138"/>
      <c r="K45" s="21"/>
      <c r="P45" s="4"/>
      <c r="Q45" s="4"/>
      <c r="R45" s="5"/>
    </row>
    <row r="46" spans="1:18" ht="15.75" x14ac:dyDescent="0.25">
      <c r="A46" s="114"/>
      <c r="B46" s="49" t="s">
        <v>70</v>
      </c>
      <c r="C46" s="81">
        <v>1</v>
      </c>
      <c r="D46" s="12">
        <f>C46*1.5</f>
        <v>1.5</v>
      </c>
      <c r="F46" s="37"/>
      <c r="G46" s="91"/>
      <c r="H46" s="139"/>
      <c r="I46" s="139"/>
      <c r="J46" s="139"/>
      <c r="K46" s="21"/>
      <c r="P46" s="4"/>
      <c r="Q46" s="4"/>
      <c r="R46" s="5"/>
    </row>
    <row r="47" spans="1:18" ht="15.75" x14ac:dyDescent="0.25">
      <c r="A47" s="115"/>
      <c r="B47" s="27"/>
      <c r="C47" s="11"/>
      <c r="D47" s="12"/>
      <c r="F47" s="59"/>
      <c r="G47" s="59"/>
      <c r="H47" s="116"/>
      <c r="I47" s="117"/>
      <c r="J47" s="118"/>
      <c r="K47" s="21"/>
      <c r="P47" s="4"/>
      <c r="Q47" s="4"/>
      <c r="R47" s="5"/>
    </row>
    <row r="48" spans="1:18" ht="15" customHeight="1" x14ac:dyDescent="0.25">
      <c r="A48" s="113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16"/>
      <c r="I48" s="117"/>
      <c r="J48" s="1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4"/>
      <c r="B49" s="29" t="s">
        <v>68</v>
      </c>
      <c r="C49" s="33">
        <v>17</v>
      </c>
      <c r="D49" s="12">
        <f>C49*42</f>
        <v>714</v>
      </c>
      <c r="F49" s="119" t="s">
        <v>86</v>
      </c>
      <c r="G49" s="121">
        <f>H34+H35+H36+H37+H38+H39+H40+H41+G42+H44+H45+H46</f>
        <v>218358</v>
      </c>
      <c r="H49" s="122"/>
      <c r="I49" s="122"/>
      <c r="J49" s="12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4"/>
      <c r="B50" s="32" t="s">
        <v>70</v>
      </c>
      <c r="C50" s="11">
        <v>21</v>
      </c>
      <c r="D50" s="12">
        <f>C50*1.5</f>
        <v>31.5</v>
      </c>
      <c r="F50" s="120"/>
      <c r="G50" s="124"/>
      <c r="H50" s="125"/>
      <c r="I50" s="125"/>
      <c r="J50" s="126"/>
      <c r="P50" s="4"/>
      <c r="Q50" s="4"/>
      <c r="R50" s="5"/>
    </row>
    <row r="51" spans="1:18" ht="15" customHeight="1" x14ac:dyDescent="0.25">
      <c r="A51" s="114"/>
      <c r="B51" s="27"/>
      <c r="C51" s="10"/>
      <c r="D51" s="31"/>
      <c r="F51" s="127" t="s">
        <v>155</v>
      </c>
      <c r="G51" s="129">
        <f>G49-H29</f>
        <v>54.25</v>
      </c>
      <c r="H51" s="130"/>
      <c r="I51" s="130"/>
      <c r="J51" s="13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4"/>
      <c r="B52" s="29"/>
      <c r="C52" s="33"/>
      <c r="D52" s="45"/>
      <c r="F52" s="128"/>
      <c r="G52" s="132"/>
      <c r="H52" s="133"/>
      <c r="I52" s="133"/>
      <c r="J52" s="1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9" t="s">
        <v>90</v>
      </c>
      <c r="B54" s="100"/>
      <c r="C54" s="101"/>
      <c r="D54" s="105">
        <f>SUM(D34:D53)</f>
        <v>40169.25</v>
      </c>
      <c r="F54" s="21"/>
      <c r="J54" s="34"/>
    </row>
    <row r="55" spans="1:18" x14ac:dyDescent="0.25">
      <c r="A55" s="102"/>
      <c r="B55" s="103"/>
      <c r="C55" s="104"/>
      <c r="D55" s="10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7" t="s">
        <v>91</v>
      </c>
      <c r="B58" s="108"/>
      <c r="C58" s="108"/>
      <c r="D58" s="109"/>
      <c r="F58" s="107" t="s">
        <v>92</v>
      </c>
      <c r="G58" s="108"/>
      <c r="H58" s="108"/>
      <c r="I58" s="108"/>
      <c r="J58" s="109"/>
    </row>
    <row r="59" spans="1:18" x14ac:dyDescent="0.25">
      <c r="A59" s="110"/>
      <c r="B59" s="111"/>
      <c r="C59" s="111"/>
      <c r="D59" s="112"/>
      <c r="F59" s="110"/>
      <c r="G59" s="111"/>
      <c r="H59" s="111"/>
      <c r="I59" s="111"/>
      <c r="J59" s="11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9418FD-8EAD-4720-8591-5179583978D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5" t="s">
        <v>1</v>
      </c>
      <c r="O1" s="19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6" t="s">
        <v>7</v>
      </c>
      <c r="B4" s="147"/>
      <c r="C4" s="147"/>
      <c r="D4" s="148"/>
      <c r="F4" s="196" t="s">
        <v>8</v>
      </c>
      <c r="G4" s="198">
        <v>3</v>
      </c>
      <c r="H4" s="200" t="s">
        <v>9</v>
      </c>
      <c r="I4" s="202">
        <v>45994</v>
      </c>
      <c r="J4" s="20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97"/>
      <c r="G5" s="199"/>
      <c r="H5" s="201"/>
      <c r="I5" s="204"/>
      <c r="J5" s="20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10">
        <v>536</v>
      </c>
      <c r="D6" s="13">
        <f t="shared" ref="D6:D28" si="1">C6*L6</f>
        <v>395032</v>
      </c>
      <c r="F6" s="206" t="s">
        <v>16</v>
      </c>
      <c r="G6" s="208" t="s">
        <v>111</v>
      </c>
      <c r="H6" s="209"/>
      <c r="I6" s="209"/>
      <c r="J6" s="21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10">
        <v>15</v>
      </c>
      <c r="D7" s="13">
        <f t="shared" si="1"/>
        <v>10875</v>
      </c>
      <c r="F7" s="207"/>
      <c r="G7" s="211"/>
      <c r="H7" s="212"/>
      <c r="I7" s="212"/>
      <c r="J7" s="21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10"/>
      <c r="D8" s="13">
        <f t="shared" si="1"/>
        <v>0</v>
      </c>
      <c r="F8" s="214" t="s">
        <v>21</v>
      </c>
      <c r="G8" s="215" t="s">
        <v>119</v>
      </c>
      <c r="H8" s="216"/>
      <c r="I8" s="216"/>
      <c r="J8" s="21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10">
        <v>129</v>
      </c>
      <c r="D9" s="13">
        <f t="shared" si="1"/>
        <v>91203</v>
      </c>
      <c r="F9" s="207"/>
      <c r="G9" s="218"/>
      <c r="H9" s="219"/>
      <c r="I9" s="219"/>
      <c r="J9" s="22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10"/>
      <c r="D10" s="13">
        <f t="shared" si="1"/>
        <v>0</v>
      </c>
      <c r="F10" s="206" t="s">
        <v>26</v>
      </c>
      <c r="G10" s="221" t="s">
        <v>135</v>
      </c>
      <c r="H10" s="222"/>
      <c r="I10" s="222"/>
      <c r="J10" s="223"/>
      <c r="K10" s="8"/>
      <c r="L10" s="6">
        <f>R36</f>
        <v>972</v>
      </c>
      <c r="P10" s="4"/>
      <c r="Q10" s="4"/>
      <c r="R10" s="5"/>
    </row>
    <row r="11" spans="1:18" ht="15.75" x14ac:dyDescent="0.25">
      <c r="A11" s="141"/>
      <c r="B11" s="17" t="s">
        <v>28</v>
      </c>
      <c r="C11" s="10"/>
      <c r="D11" s="13">
        <f t="shared" si="1"/>
        <v>0</v>
      </c>
      <c r="F11" s="207"/>
      <c r="G11" s="218"/>
      <c r="H11" s="219"/>
      <c r="I11" s="219"/>
      <c r="J11" s="22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10">
        <f>1+1</f>
        <v>2</v>
      </c>
      <c r="D12" s="48">
        <f t="shared" si="1"/>
        <v>1904</v>
      </c>
      <c r="F12" s="224" t="s">
        <v>33</v>
      </c>
      <c r="G12" s="225"/>
      <c r="H12" s="225"/>
      <c r="I12" s="225"/>
      <c r="J12" s="22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10">
        <v>8</v>
      </c>
      <c r="D13" s="48">
        <f t="shared" si="1"/>
        <v>2456</v>
      </c>
      <c r="F13" s="227" t="s">
        <v>36</v>
      </c>
      <c r="G13" s="191"/>
      <c r="H13" s="182">
        <f>D29</f>
        <v>505571</v>
      </c>
      <c r="I13" s="183"/>
      <c r="J13" s="18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10">
        <v>16</v>
      </c>
      <c r="D14" s="31">
        <f t="shared" si="1"/>
        <v>176</v>
      </c>
      <c r="F14" s="185" t="s">
        <v>39</v>
      </c>
      <c r="G14" s="186"/>
      <c r="H14" s="187">
        <f>D54</f>
        <v>38012.25</v>
      </c>
      <c r="I14" s="188"/>
      <c r="J14" s="18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38</v>
      </c>
      <c r="C15" s="10"/>
      <c r="D15" s="31">
        <f t="shared" si="1"/>
        <v>0</v>
      </c>
      <c r="F15" s="190" t="s">
        <v>40</v>
      </c>
      <c r="G15" s="191"/>
      <c r="H15" s="192">
        <f>H13-H14</f>
        <v>467558.75</v>
      </c>
      <c r="I15" s="193"/>
      <c r="J15" s="19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2">
        <f>2610+330</f>
        <v>2940</v>
      </c>
      <c r="I16" s="152"/>
      <c r="J16" s="15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t="s">
        <v>113</v>
      </c>
      <c r="C17" s="10"/>
      <c r="D17" s="48">
        <f t="shared" si="1"/>
        <v>0</v>
      </c>
      <c r="F17" s="56"/>
      <c r="G17" s="66" t="s">
        <v>45</v>
      </c>
      <c r="H17" s="163"/>
      <c r="I17" s="163"/>
      <c r="J17" s="16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3"/>
      <c r="I18" s="163"/>
      <c r="J18" s="16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8">
        <v>50</v>
      </c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2"/>
      <c r="I20" s="152"/>
      <c r="J20" s="15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5" t="s">
        <v>13</v>
      </c>
      <c r="I21" s="166"/>
      <c r="J21" s="16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1"/>
      <c r="B22" s="46" t="s">
        <v>104</v>
      </c>
      <c r="C22" s="10"/>
      <c r="D22" s="48">
        <f t="shared" si="1"/>
        <v>0</v>
      </c>
      <c r="F22" s="98"/>
      <c r="G22" s="73"/>
      <c r="H22" s="168"/>
      <c r="I22" s="168"/>
      <c r="J22" s="16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107</v>
      </c>
      <c r="C23" s="10"/>
      <c r="D23" s="48">
        <f t="shared" si="1"/>
        <v>0</v>
      </c>
      <c r="F23" s="78"/>
      <c r="G23" s="79"/>
      <c r="H23" s="169"/>
      <c r="I23" s="138"/>
      <c r="J23" s="13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101</v>
      </c>
      <c r="C24" s="10"/>
      <c r="D24" s="48">
        <f t="shared" si="1"/>
        <v>0</v>
      </c>
      <c r="F24" s="38"/>
      <c r="G24" s="37"/>
      <c r="H24" s="169"/>
      <c r="I24" s="138"/>
      <c r="J24" s="13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105</v>
      </c>
      <c r="C26" s="10"/>
      <c r="D26" s="48">
        <f t="shared" si="1"/>
        <v>0</v>
      </c>
      <c r="F26" s="64"/>
      <c r="G26" s="59"/>
      <c r="H26" s="173"/>
      <c r="I26" s="174"/>
      <c r="J26" s="17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1"/>
      <c r="B27" s="14" t="s">
        <v>109</v>
      </c>
      <c r="C27" s="10"/>
      <c r="D27" s="44">
        <f t="shared" si="1"/>
        <v>0</v>
      </c>
      <c r="F27" s="25"/>
      <c r="G27" s="80"/>
      <c r="H27" s="176"/>
      <c r="I27" s="177"/>
      <c r="J27" s="17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97</v>
      </c>
      <c r="C28" s="10">
        <v>5</v>
      </c>
      <c r="D28" s="48">
        <f t="shared" si="1"/>
        <v>3925</v>
      </c>
      <c r="F28" s="93"/>
      <c r="G28" s="61"/>
      <c r="H28" s="179"/>
      <c r="I28" s="180"/>
      <c r="J28" s="18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3" t="s">
        <v>36</v>
      </c>
      <c r="B29" s="154"/>
      <c r="C29" s="155"/>
      <c r="D29" s="159">
        <f>SUM(D6:D28)</f>
        <v>505571</v>
      </c>
      <c r="F29" s="99" t="s">
        <v>55</v>
      </c>
      <c r="G29" s="161"/>
      <c r="H29" s="121">
        <f>H15-H16-H17-H18-H19-H20-H22-H23-H24+H26+H27+H28</f>
        <v>464568.75</v>
      </c>
      <c r="I29" s="122"/>
      <c r="J29" s="12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6"/>
      <c r="B30" s="157"/>
      <c r="C30" s="158"/>
      <c r="D30" s="160"/>
      <c r="F30" s="102"/>
      <c r="G30" s="162"/>
      <c r="H30" s="124"/>
      <c r="I30" s="125"/>
      <c r="J30" s="12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6" t="s">
        <v>58</v>
      </c>
      <c r="B32" s="147"/>
      <c r="C32" s="147"/>
      <c r="D32" s="148"/>
      <c r="F32" s="149" t="s">
        <v>59</v>
      </c>
      <c r="G32" s="150"/>
      <c r="H32" s="150"/>
      <c r="I32" s="150"/>
      <c r="J32" s="15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49" t="s">
        <v>13</v>
      </c>
      <c r="I33" s="150"/>
      <c r="J33" s="15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</v>
      </c>
      <c r="H34" s="143">
        <f>F34*G34</f>
        <v>12000</v>
      </c>
      <c r="I34" s="144"/>
      <c r="J34" s="14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1"/>
      <c r="B35" s="27" t="s">
        <v>68</v>
      </c>
      <c r="C35" s="52"/>
      <c r="D35" s="30">
        <f>C35*84</f>
        <v>0</v>
      </c>
      <c r="F35" s="58">
        <v>500</v>
      </c>
      <c r="G35" s="41"/>
      <c r="H35" s="143">
        <f>F35*G35</f>
        <v>0</v>
      </c>
      <c r="I35" s="144"/>
      <c r="J35" s="14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70</v>
      </c>
      <c r="C36" s="10"/>
      <c r="D36" s="12">
        <f>C36*1.5</f>
        <v>0</v>
      </c>
      <c r="F36" s="12">
        <v>200</v>
      </c>
      <c r="G36" s="37"/>
      <c r="H36" s="143">
        <f t="shared" ref="H36:H39" si="2">F36*G36</f>
        <v>0</v>
      </c>
      <c r="I36" s="144"/>
      <c r="J36" s="14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0" t="s">
        <v>72</v>
      </c>
      <c r="B37" s="28" t="s">
        <v>66</v>
      </c>
      <c r="C37" s="53">
        <v>327</v>
      </c>
      <c r="D37" s="12">
        <f>C37*111</f>
        <v>36297</v>
      </c>
      <c r="F37" s="12">
        <v>100</v>
      </c>
      <c r="G37" s="39">
        <v>4</v>
      </c>
      <c r="H37" s="143">
        <f t="shared" si="2"/>
        <v>400</v>
      </c>
      <c r="I37" s="144"/>
      <c r="J37" s="14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1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43">
        <f t="shared" si="2"/>
        <v>0</v>
      </c>
      <c r="I38" s="144"/>
      <c r="J38" s="14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2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43">
        <f t="shared" si="2"/>
        <v>0</v>
      </c>
      <c r="I39" s="144"/>
      <c r="J39" s="14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43"/>
      <c r="I40" s="144"/>
      <c r="J40" s="14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43"/>
      <c r="I41" s="144"/>
      <c r="J41" s="14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2"/>
      <c r="B42" s="27" t="s">
        <v>70</v>
      </c>
      <c r="C42" s="11">
        <v>7</v>
      </c>
      <c r="D42" s="12">
        <f>C42*2.25</f>
        <v>15.75</v>
      </c>
      <c r="F42" s="39" t="s">
        <v>79</v>
      </c>
      <c r="G42" s="143">
        <v>45</v>
      </c>
      <c r="H42" s="144"/>
      <c r="I42" s="144"/>
      <c r="J42" s="14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3" t="s">
        <v>81</v>
      </c>
      <c r="C43" s="11"/>
      <c r="D43" s="12"/>
      <c r="F43" s="59" t="s">
        <v>82</v>
      </c>
      <c r="G43" s="90" t="s">
        <v>83</v>
      </c>
      <c r="H43" s="135" t="s">
        <v>13</v>
      </c>
      <c r="I43" s="136"/>
      <c r="J43" s="137"/>
      <c r="K43" s="21"/>
      <c r="P43" s="4"/>
      <c r="Q43" s="4"/>
      <c r="R43" s="5"/>
    </row>
    <row r="44" spans="1:18" ht="15.75" x14ac:dyDescent="0.25">
      <c r="A44" s="114"/>
      <c r="B44" s="27" t="s">
        <v>66</v>
      </c>
      <c r="C44" s="10">
        <v>2</v>
      </c>
      <c r="D44" s="12">
        <f>C44*120</f>
        <v>240</v>
      </c>
      <c r="F44" s="37" t="s">
        <v>150</v>
      </c>
      <c r="G44" s="76" t="s">
        <v>156</v>
      </c>
      <c r="H44" s="138">
        <v>283894</v>
      </c>
      <c r="I44" s="138"/>
      <c r="J44" s="138"/>
      <c r="K44" s="21"/>
      <c r="P44" s="4"/>
      <c r="Q44" s="4"/>
      <c r="R44" s="5"/>
    </row>
    <row r="45" spans="1:18" ht="15.75" x14ac:dyDescent="0.25">
      <c r="A45" s="114"/>
      <c r="B45" s="27" t="s">
        <v>68</v>
      </c>
      <c r="C45" s="33"/>
      <c r="D45" s="12">
        <f>C45*84</f>
        <v>0</v>
      </c>
      <c r="F45" s="37" t="s">
        <v>150</v>
      </c>
      <c r="G45" s="76" t="s">
        <v>157</v>
      </c>
      <c r="H45" s="138">
        <v>34498</v>
      </c>
      <c r="I45" s="138"/>
      <c r="J45" s="138"/>
      <c r="K45" s="21"/>
      <c r="P45" s="4"/>
      <c r="Q45" s="4"/>
      <c r="R45" s="5"/>
    </row>
    <row r="46" spans="1:18" ht="15.75" x14ac:dyDescent="0.25">
      <c r="A46" s="114"/>
      <c r="B46" s="49" t="s">
        <v>70</v>
      </c>
      <c r="C46" s="81"/>
      <c r="D46" s="12">
        <f>C46*1.5</f>
        <v>0</v>
      </c>
      <c r="F46" s="95" t="s">
        <v>158</v>
      </c>
      <c r="G46" s="62" t="s">
        <v>159</v>
      </c>
      <c r="H46" s="138">
        <v>19009</v>
      </c>
      <c r="I46" s="138"/>
      <c r="J46" s="138"/>
      <c r="K46" s="21"/>
      <c r="P46" s="4"/>
      <c r="Q46" s="4"/>
      <c r="R46" s="5"/>
    </row>
    <row r="47" spans="1:18" ht="15.75" x14ac:dyDescent="0.25">
      <c r="A47" s="115"/>
      <c r="B47" s="27"/>
      <c r="C47" s="11"/>
      <c r="D47" s="12"/>
      <c r="F47" s="37" t="s">
        <v>152</v>
      </c>
      <c r="G47" s="76" t="s">
        <v>160</v>
      </c>
      <c r="H47" s="138">
        <v>102341</v>
      </c>
      <c r="I47" s="138"/>
      <c r="J47" s="138"/>
      <c r="K47" s="21"/>
      <c r="P47" s="4"/>
      <c r="Q47" s="4"/>
      <c r="R47" s="5"/>
    </row>
    <row r="48" spans="1:18" ht="15" customHeight="1" x14ac:dyDescent="0.25">
      <c r="A48" s="113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16"/>
      <c r="I48" s="117"/>
      <c r="J48" s="1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4"/>
      <c r="B49" s="29" t="s">
        <v>68</v>
      </c>
      <c r="C49" s="33">
        <v>1</v>
      </c>
      <c r="D49" s="12">
        <f>C49*42</f>
        <v>42</v>
      </c>
      <c r="F49" s="119" t="s">
        <v>86</v>
      </c>
      <c r="G49" s="121">
        <f>H34+H35+H36+H37+H38+H39+H40+H41+G42+H44+H45+H46+H47</f>
        <v>452187</v>
      </c>
      <c r="H49" s="122"/>
      <c r="I49" s="122"/>
      <c r="J49" s="12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4"/>
      <c r="B50" s="32" t="s">
        <v>70</v>
      </c>
      <c r="C50" s="11">
        <v>2</v>
      </c>
      <c r="D50" s="12">
        <f>C50*1.5</f>
        <v>3</v>
      </c>
      <c r="F50" s="120"/>
      <c r="G50" s="124"/>
      <c r="H50" s="125"/>
      <c r="I50" s="125"/>
      <c r="J50" s="126"/>
      <c r="P50" s="4"/>
      <c r="Q50" s="4"/>
      <c r="R50" s="5"/>
    </row>
    <row r="51" spans="1:18" ht="15" customHeight="1" x14ac:dyDescent="0.25">
      <c r="A51" s="114"/>
      <c r="B51" s="27"/>
      <c r="C51" s="10"/>
      <c r="D51" s="31"/>
      <c r="F51" s="127" t="s">
        <v>140</v>
      </c>
      <c r="G51" s="232">
        <f>G49-H29</f>
        <v>-12381.75</v>
      </c>
      <c r="H51" s="233"/>
      <c r="I51" s="233"/>
      <c r="J51" s="23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4"/>
      <c r="B52" s="29"/>
      <c r="C52" s="33"/>
      <c r="D52" s="45"/>
      <c r="F52" s="128"/>
      <c r="G52" s="235"/>
      <c r="H52" s="236"/>
      <c r="I52" s="236"/>
      <c r="J52" s="23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9" t="s">
        <v>90</v>
      </c>
      <c r="B54" s="100"/>
      <c r="C54" s="101"/>
      <c r="D54" s="105">
        <f>SUM(D34:D53)</f>
        <v>38012.25</v>
      </c>
      <c r="F54" s="21"/>
      <c r="J54" s="34"/>
    </row>
    <row r="55" spans="1:18" x14ac:dyDescent="0.25">
      <c r="A55" s="102"/>
      <c r="B55" s="103"/>
      <c r="C55" s="104"/>
      <c r="D55" s="10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07" t="s">
        <v>91</v>
      </c>
      <c r="B58" s="108"/>
      <c r="C58" s="108"/>
      <c r="D58" s="109"/>
      <c r="F58" s="107" t="s">
        <v>92</v>
      </c>
      <c r="G58" s="108"/>
      <c r="H58" s="108"/>
      <c r="I58" s="108"/>
      <c r="J58" s="109"/>
    </row>
    <row r="59" spans="1:18" x14ac:dyDescent="0.25">
      <c r="A59" s="110"/>
      <c r="B59" s="111"/>
      <c r="C59" s="111"/>
      <c r="D59" s="112"/>
      <c r="F59" s="110"/>
      <c r="G59" s="111"/>
      <c r="H59" s="111"/>
      <c r="I59" s="111"/>
      <c r="J59" s="11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A31ECC-2E5D-482D-8B67-DE074F9C0A8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5" t="s">
        <v>1</v>
      </c>
      <c r="O1" s="195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6" t="s">
        <v>7</v>
      </c>
      <c r="B4" s="147"/>
      <c r="C4" s="147"/>
      <c r="D4" s="148"/>
      <c r="F4" s="196" t="s">
        <v>8</v>
      </c>
      <c r="G4" s="198"/>
      <c r="H4" s="200" t="s">
        <v>9</v>
      </c>
      <c r="I4" s="202"/>
      <c r="J4" s="20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97"/>
      <c r="G5" s="199"/>
      <c r="H5" s="201"/>
      <c r="I5" s="204"/>
      <c r="J5" s="20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1"/>
      <c r="B6" s="16"/>
      <c r="C6" s="10"/>
      <c r="D6" s="13">
        <f t="shared" ref="D6:D28" si="1">C6*L6</f>
        <v>0</v>
      </c>
      <c r="F6" s="206" t="s">
        <v>16</v>
      </c>
      <c r="G6" s="208"/>
      <c r="H6" s="209"/>
      <c r="I6" s="209"/>
      <c r="J6" s="21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1"/>
      <c r="B7" s="16"/>
      <c r="C7" s="10"/>
      <c r="D7" s="13">
        <f t="shared" si="1"/>
        <v>0</v>
      </c>
      <c r="F7" s="207"/>
      <c r="G7" s="211"/>
      <c r="H7" s="212"/>
      <c r="I7" s="212"/>
      <c r="J7" s="21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1"/>
      <c r="B8" s="16"/>
      <c r="C8" s="10"/>
      <c r="D8" s="13">
        <f t="shared" si="1"/>
        <v>0</v>
      </c>
      <c r="F8" s="214" t="s">
        <v>21</v>
      </c>
      <c r="G8" s="215"/>
      <c r="H8" s="216"/>
      <c r="I8" s="216"/>
      <c r="J8" s="21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1"/>
      <c r="B9" s="16"/>
      <c r="C9" s="10"/>
      <c r="D9" s="13">
        <f t="shared" si="1"/>
        <v>0</v>
      </c>
      <c r="F9" s="207"/>
      <c r="G9" s="218"/>
      <c r="H9" s="219"/>
      <c r="I9" s="219"/>
      <c r="J9" s="22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1"/>
      <c r="C10" s="10"/>
      <c r="D10" s="13">
        <f t="shared" si="1"/>
        <v>0</v>
      </c>
      <c r="F10" s="206" t="s">
        <v>26</v>
      </c>
      <c r="G10" s="221"/>
      <c r="H10" s="222"/>
      <c r="I10" s="222"/>
      <c r="J10" s="223"/>
      <c r="K10" s="8"/>
      <c r="L10" s="6">
        <f>R36</f>
        <v>972</v>
      </c>
      <c r="P10" s="4"/>
      <c r="Q10" s="4"/>
      <c r="R10" s="5"/>
    </row>
    <row r="11" spans="1:19" ht="15.75" x14ac:dyDescent="0.25">
      <c r="A11" s="141"/>
      <c r="B11" s="17"/>
      <c r="C11" s="10"/>
      <c r="D11" s="13">
        <f t="shared" si="1"/>
        <v>0</v>
      </c>
      <c r="F11" s="207"/>
      <c r="G11" s="218"/>
      <c r="H11" s="219"/>
      <c r="I11" s="219"/>
      <c r="J11" s="22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1"/>
      <c r="B12" s="17"/>
      <c r="C12" s="10"/>
      <c r="D12" s="48">
        <f t="shared" si="1"/>
        <v>0</v>
      </c>
      <c r="F12" s="224" t="s">
        <v>33</v>
      </c>
      <c r="G12" s="225"/>
      <c r="H12" s="225"/>
      <c r="I12" s="225"/>
      <c r="J12" s="22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1"/>
      <c r="B13" s="17"/>
      <c r="C13" s="10"/>
      <c r="D13" s="48">
        <f t="shared" si="1"/>
        <v>0</v>
      </c>
      <c r="F13" s="227" t="s">
        <v>36</v>
      </c>
      <c r="G13" s="191"/>
      <c r="H13" s="182">
        <f>D29</f>
        <v>0</v>
      </c>
      <c r="I13" s="183"/>
      <c r="J13" s="18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1"/>
      <c r="B14" s="14"/>
      <c r="C14" s="10"/>
      <c r="D14" s="31">
        <f t="shared" si="1"/>
        <v>0</v>
      </c>
      <c r="F14" s="185" t="s">
        <v>39</v>
      </c>
      <c r="G14" s="186"/>
      <c r="H14" s="187">
        <f>D54</f>
        <v>0</v>
      </c>
      <c r="I14" s="188"/>
      <c r="J14" s="18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1"/>
      <c r="B15" s="14"/>
      <c r="C15" s="10"/>
      <c r="D15" s="31">
        <f t="shared" si="1"/>
        <v>0</v>
      </c>
      <c r="F15" s="190" t="s">
        <v>40</v>
      </c>
      <c r="G15" s="191"/>
      <c r="H15" s="192">
        <f>H13-H14</f>
        <v>0</v>
      </c>
      <c r="I15" s="193"/>
      <c r="J15" s="19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2"/>
      <c r="I16" s="152"/>
      <c r="J16" s="15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C17" s="10"/>
      <c r="D17" s="48">
        <f t="shared" si="1"/>
        <v>0</v>
      </c>
      <c r="F17" s="56"/>
      <c r="G17" s="66" t="s">
        <v>45</v>
      </c>
      <c r="H17" s="163"/>
      <c r="I17" s="163"/>
      <c r="J17" s="16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19"/>
      <c r="C18" s="10"/>
      <c r="D18" s="48">
        <f t="shared" si="1"/>
        <v>0</v>
      </c>
      <c r="F18" s="56"/>
      <c r="G18" s="66" t="s">
        <v>47</v>
      </c>
      <c r="H18" s="163"/>
      <c r="I18" s="163"/>
      <c r="J18" s="16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14"/>
      <c r="C19" s="10"/>
      <c r="D19" s="48">
        <f t="shared" si="1"/>
        <v>0</v>
      </c>
      <c r="F19" s="56"/>
      <c r="G19" s="68" t="s">
        <v>50</v>
      </c>
      <c r="H19" s="164"/>
      <c r="I19" s="164"/>
      <c r="J19" s="1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1"/>
      <c r="B20" s="46"/>
      <c r="C20" s="10"/>
      <c r="D20" s="13">
        <f t="shared" si="1"/>
        <v>0</v>
      </c>
      <c r="F20" s="57"/>
      <c r="G20" s="70" t="s">
        <v>120</v>
      </c>
      <c r="H20" s="152"/>
      <c r="I20" s="152"/>
      <c r="J20" s="15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5" t="s">
        <v>13</v>
      </c>
      <c r="I21" s="166"/>
      <c r="J21" s="16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1"/>
      <c r="B22" s="46"/>
      <c r="C22" s="10"/>
      <c r="D22" s="48">
        <f t="shared" si="1"/>
        <v>0</v>
      </c>
      <c r="F22" s="77"/>
      <c r="G22" s="73"/>
      <c r="H22" s="168"/>
      <c r="I22" s="168"/>
      <c r="J22" s="16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/>
      <c r="C23" s="10"/>
      <c r="D23" s="48">
        <f t="shared" si="1"/>
        <v>0</v>
      </c>
      <c r="F23" s="78"/>
      <c r="G23" s="79"/>
      <c r="H23" s="169"/>
      <c r="I23" s="138"/>
      <c r="J23" s="13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/>
      <c r="C24" s="10"/>
      <c r="D24" s="48">
        <f t="shared" si="1"/>
        <v>0</v>
      </c>
      <c r="F24" s="38"/>
      <c r="G24" s="37"/>
      <c r="H24" s="169"/>
      <c r="I24" s="138"/>
      <c r="J24" s="13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/>
      <c r="C26" s="10"/>
      <c r="D26" s="48">
        <f t="shared" si="1"/>
        <v>0</v>
      </c>
      <c r="F26" s="64"/>
      <c r="G26" s="59"/>
      <c r="H26" s="173"/>
      <c r="I26" s="174"/>
      <c r="J26" s="17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1"/>
      <c r="B27" s="14"/>
      <c r="C27" s="10"/>
      <c r="D27" s="44">
        <f t="shared" si="1"/>
        <v>0</v>
      </c>
      <c r="F27" s="25"/>
      <c r="G27" s="80"/>
      <c r="H27" s="176"/>
      <c r="I27" s="177"/>
      <c r="J27" s="17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/>
      <c r="C28" s="10"/>
      <c r="D28" s="48">
        <f t="shared" si="1"/>
        <v>0</v>
      </c>
      <c r="F28" s="93"/>
      <c r="G28" s="61"/>
      <c r="H28" s="179"/>
      <c r="I28" s="180"/>
      <c r="J28" s="18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3" t="s">
        <v>36</v>
      </c>
      <c r="B29" s="154"/>
      <c r="C29" s="155"/>
      <c r="D29" s="159">
        <f>SUM(D6:D28)</f>
        <v>0</v>
      </c>
      <c r="F29" s="99" t="s">
        <v>55</v>
      </c>
      <c r="G29" s="161"/>
      <c r="H29" s="121">
        <f>H15-H16-H17-H18-H19-H20-H22-H23-H24+H26+H27</f>
        <v>0</v>
      </c>
      <c r="I29" s="122"/>
      <c r="J29" s="12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6"/>
      <c r="B30" s="157"/>
      <c r="C30" s="158"/>
      <c r="D30" s="160"/>
      <c r="F30" s="102"/>
      <c r="G30" s="162"/>
      <c r="H30" s="124"/>
      <c r="I30" s="125"/>
      <c r="J30" s="12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6" t="s">
        <v>58</v>
      </c>
      <c r="B32" s="147"/>
      <c r="C32" s="147"/>
      <c r="D32" s="148"/>
      <c r="F32" s="149" t="s">
        <v>59</v>
      </c>
      <c r="G32" s="150"/>
      <c r="H32" s="150"/>
      <c r="I32" s="150"/>
      <c r="J32" s="15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49" t="s">
        <v>13</v>
      </c>
      <c r="I33" s="150"/>
      <c r="J33" s="15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3"/>
      <c r="I34" s="144"/>
      <c r="J34" s="14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1"/>
      <c r="B35" s="27" t="s">
        <v>68</v>
      </c>
      <c r="C35" s="52"/>
      <c r="D35" s="30">
        <f>C35*84</f>
        <v>0</v>
      </c>
      <c r="F35" s="58">
        <v>500</v>
      </c>
      <c r="G35" s="41"/>
      <c r="H35" s="143"/>
      <c r="I35" s="144"/>
      <c r="J35" s="14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70</v>
      </c>
      <c r="C36" s="10"/>
      <c r="D36" s="12">
        <f>C36*1.5</f>
        <v>0</v>
      </c>
      <c r="F36" s="12">
        <v>200</v>
      </c>
      <c r="G36" s="37"/>
      <c r="H36" s="143"/>
      <c r="I36" s="144"/>
      <c r="J36" s="14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3"/>
      <c r="I37" s="144"/>
      <c r="J37" s="14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1"/>
      <c r="B38" s="29" t="s">
        <v>68</v>
      </c>
      <c r="C38" s="54"/>
      <c r="D38" s="12">
        <f>C38*84</f>
        <v>0</v>
      </c>
      <c r="F38" s="30">
        <v>50</v>
      </c>
      <c r="G38" s="39"/>
      <c r="H38" s="143"/>
      <c r="I38" s="144"/>
      <c r="J38" s="14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2"/>
      <c r="B39" s="29" t="s">
        <v>70</v>
      </c>
      <c r="C39" s="52"/>
      <c r="D39" s="31">
        <f>C39*4.5</f>
        <v>0</v>
      </c>
      <c r="F39" s="12">
        <v>20</v>
      </c>
      <c r="G39" s="37"/>
      <c r="H39" s="143"/>
      <c r="I39" s="144"/>
      <c r="J39" s="14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3"/>
      <c r="I40" s="144"/>
      <c r="J40" s="14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1"/>
      <c r="B41" s="27" t="s">
        <v>68</v>
      </c>
      <c r="C41" s="10"/>
      <c r="D41" s="12">
        <f>C41*84</f>
        <v>0</v>
      </c>
      <c r="F41" s="12">
        <v>5</v>
      </c>
      <c r="G41" s="42"/>
      <c r="H41" s="143"/>
      <c r="I41" s="144"/>
      <c r="J41" s="14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2"/>
      <c r="B42" s="27" t="s">
        <v>70</v>
      </c>
      <c r="C42" s="11"/>
      <c r="D42" s="12">
        <f>C42*2.25</f>
        <v>0</v>
      </c>
      <c r="F42" s="39" t="s">
        <v>79</v>
      </c>
      <c r="G42" s="143"/>
      <c r="H42" s="144"/>
      <c r="I42" s="144"/>
      <c r="J42" s="14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3" t="s">
        <v>81</v>
      </c>
      <c r="C43" s="11"/>
      <c r="D43" s="12"/>
      <c r="F43" s="59" t="s">
        <v>82</v>
      </c>
      <c r="G43" s="90" t="s">
        <v>83</v>
      </c>
      <c r="H43" s="135" t="s">
        <v>13</v>
      </c>
      <c r="I43" s="136"/>
      <c r="J43" s="137"/>
      <c r="K43" s="21"/>
      <c r="P43" s="4"/>
      <c r="Q43" s="4"/>
      <c r="R43" s="5"/>
    </row>
    <row r="44" spans="1:18" ht="15.75" x14ac:dyDescent="0.25">
      <c r="A44" s="114"/>
      <c r="B44" s="27" t="s">
        <v>66</v>
      </c>
      <c r="C44" s="10"/>
      <c r="D44" s="12">
        <f>C44*120</f>
        <v>0</v>
      </c>
      <c r="F44" s="37"/>
      <c r="G44" s="76"/>
      <c r="H44" s="138"/>
      <c r="I44" s="138"/>
      <c r="J44" s="138"/>
      <c r="K44" s="21"/>
      <c r="P44" s="4"/>
      <c r="Q44" s="4"/>
      <c r="R44" s="5"/>
    </row>
    <row r="45" spans="1:18" ht="15.75" x14ac:dyDescent="0.25">
      <c r="A45" s="114"/>
      <c r="B45" s="27" t="s">
        <v>68</v>
      </c>
      <c r="C45" s="33"/>
      <c r="D45" s="12">
        <f>C45*84</f>
        <v>0</v>
      </c>
      <c r="F45" s="37"/>
      <c r="G45" s="76"/>
      <c r="H45" s="138"/>
      <c r="I45" s="138"/>
      <c r="J45" s="138"/>
      <c r="K45" s="21"/>
      <c r="P45" s="4"/>
      <c r="Q45" s="4"/>
      <c r="R45" s="5"/>
    </row>
    <row r="46" spans="1:18" ht="15.75" x14ac:dyDescent="0.25">
      <c r="A46" s="114"/>
      <c r="B46" s="49" t="s">
        <v>70</v>
      </c>
      <c r="C46" s="81"/>
      <c r="D46" s="12">
        <f>C46*1.5</f>
        <v>0</v>
      </c>
      <c r="F46" s="37"/>
      <c r="G46" s="62"/>
      <c r="H46" s="139"/>
      <c r="I46" s="139"/>
      <c r="J46" s="139"/>
      <c r="K46" s="21"/>
      <c r="P46" s="4"/>
      <c r="Q46" s="4"/>
      <c r="R46" s="5"/>
    </row>
    <row r="47" spans="1:18" ht="15.75" x14ac:dyDescent="0.25">
      <c r="A47" s="115"/>
      <c r="B47" s="27"/>
      <c r="C47" s="11"/>
      <c r="D47" s="12"/>
      <c r="F47" s="59"/>
      <c r="G47" s="59"/>
      <c r="H47" s="116"/>
      <c r="I47" s="117"/>
      <c r="J47" s="118"/>
      <c r="K47" s="21"/>
      <c r="P47" s="4"/>
      <c r="Q47" s="4"/>
      <c r="R47" s="5"/>
    </row>
    <row r="48" spans="1:18" ht="15" customHeight="1" x14ac:dyDescent="0.25">
      <c r="A48" s="113" t="s">
        <v>32</v>
      </c>
      <c r="B48" s="27" t="s">
        <v>66</v>
      </c>
      <c r="C48" s="10"/>
      <c r="D48" s="12">
        <f>C48*78</f>
        <v>0</v>
      </c>
      <c r="F48" s="59"/>
      <c r="G48" s="59"/>
      <c r="H48" s="116"/>
      <c r="I48" s="117"/>
      <c r="J48" s="1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4"/>
      <c r="B49" s="29" t="s">
        <v>68</v>
      </c>
      <c r="C49" s="33"/>
      <c r="D49" s="12">
        <f>C49*42</f>
        <v>0</v>
      </c>
      <c r="F49" s="119" t="s">
        <v>86</v>
      </c>
      <c r="G49" s="121">
        <f>H34+H35+H36+H37+H38+H39+H40+H41+G42+H44+H45+H46</f>
        <v>0</v>
      </c>
      <c r="H49" s="122"/>
      <c r="I49" s="122"/>
      <c r="J49" s="12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4"/>
      <c r="B50" s="32" t="s">
        <v>70</v>
      </c>
      <c r="C50" s="11"/>
      <c r="D50" s="12">
        <f>C50*1.5</f>
        <v>0</v>
      </c>
      <c r="F50" s="120"/>
      <c r="G50" s="124"/>
      <c r="H50" s="125"/>
      <c r="I50" s="125"/>
      <c r="J50" s="126"/>
      <c r="P50" s="4"/>
      <c r="Q50" s="4"/>
      <c r="R50" s="5"/>
    </row>
    <row r="51" spans="1:18" ht="15" customHeight="1" x14ac:dyDescent="0.25">
      <c r="A51" s="114"/>
      <c r="B51" s="27"/>
      <c r="C51" s="10"/>
      <c r="D51" s="31"/>
      <c r="F51" s="127" t="s">
        <v>128</v>
      </c>
      <c r="G51" s="129">
        <f>G49-H29</f>
        <v>0</v>
      </c>
      <c r="H51" s="130"/>
      <c r="I51" s="130"/>
      <c r="J51" s="13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4"/>
      <c r="B52" s="29"/>
      <c r="C52" s="33"/>
      <c r="D52" s="45"/>
      <c r="F52" s="128"/>
      <c r="G52" s="132"/>
      <c r="H52" s="133"/>
      <c r="I52" s="133"/>
      <c r="J52" s="1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9" t="s">
        <v>90</v>
      </c>
      <c r="B54" s="100"/>
      <c r="C54" s="101"/>
      <c r="D54" s="105">
        <f>SUM(D34:D53)</f>
        <v>0</v>
      </c>
      <c r="F54" s="21"/>
      <c r="J54" s="34"/>
    </row>
    <row r="55" spans="1:18" x14ac:dyDescent="0.25">
      <c r="A55" s="102"/>
      <c r="B55" s="103"/>
      <c r="C55" s="104"/>
      <c r="D55" s="10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7" t="s">
        <v>91</v>
      </c>
      <c r="B58" s="108"/>
      <c r="C58" s="108"/>
      <c r="D58" s="109"/>
      <c r="F58" s="107" t="s">
        <v>92</v>
      </c>
      <c r="G58" s="108"/>
      <c r="H58" s="108"/>
      <c r="I58" s="108"/>
      <c r="J58" s="109"/>
    </row>
    <row r="59" spans="1:18" x14ac:dyDescent="0.25">
      <c r="A59" s="110"/>
      <c r="B59" s="111"/>
      <c r="C59" s="111"/>
      <c r="D59" s="112"/>
      <c r="F59" s="110"/>
      <c r="G59" s="111"/>
      <c r="H59" s="111"/>
      <c r="I59" s="111"/>
      <c r="J59" s="11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CC3FCA-3B4A-4591-94BD-82AEE38AEF7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5" t="s">
        <v>1</v>
      </c>
      <c r="O1" s="19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6" t="s">
        <v>7</v>
      </c>
      <c r="B4" s="147"/>
      <c r="C4" s="147"/>
      <c r="D4" s="148"/>
      <c r="F4" s="196" t="s">
        <v>8</v>
      </c>
      <c r="G4" s="198">
        <v>1</v>
      </c>
      <c r="H4" s="200" t="s">
        <v>9</v>
      </c>
      <c r="I4" s="202">
        <v>45995</v>
      </c>
      <c r="J4" s="20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97"/>
      <c r="G5" s="199"/>
      <c r="H5" s="201"/>
      <c r="I5" s="204"/>
      <c r="J5" s="20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84"/>
      <c r="D6" s="13">
        <f t="shared" ref="D6:D28" si="1">C6*L6</f>
        <v>0</v>
      </c>
      <c r="F6" s="206" t="s">
        <v>16</v>
      </c>
      <c r="G6" s="208" t="s">
        <v>129</v>
      </c>
      <c r="H6" s="209"/>
      <c r="I6" s="209"/>
      <c r="J6" s="21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84"/>
      <c r="D7" s="13">
        <f t="shared" si="1"/>
        <v>0</v>
      </c>
      <c r="F7" s="207"/>
      <c r="G7" s="211"/>
      <c r="H7" s="212"/>
      <c r="I7" s="212"/>
      <c r="J7" s="21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84"/>
      <c r="D8" s="13">
        <f t="shared" si="1"/>
        <v>0</v>
      </c>
      <c r="F8" s="214" t="s">
        <v>21</v>
      </c>
      <c r="G8" s="215" t="s">
        <v>112</v>
      </c>
      <c r="H8" s="216"/>
      <c r="I8" s="216"/>
      <c r="J8" s="21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84"/>
      <c r="D9" s="13">
        <f t="shared" si="1"/>
        <v>0</v>
      </c>
      <c r="F9" s="207"/>
      <c r="G9" s="218"/>
      <c r="H9" s="219"/>
      <c r="I9" s="219"/>
      <c r="J9" s="22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84"/>
      <c r="D10" s="13">
        <f t="shared" si="1"/>
        <v>0</v>
      </c>
      <c r="F10" s="206" t="s">
        <v>26</v>
      </c>
      <c r="G10" s="221" t="s">
        <v>130</v>
      </c>
      <c r="H10" s="222"/>
      <c r="I10" s="222"/>
      <c r="J10" s="223"/>
      <c r="K10" s="8"/>
      <c r="L10" s="6">
        <f>R36</f>
        <v>972</v>
      </c>
      <c r="P10" s="4"/>
      <c r="Q10" s="4"/>
      <c r="R10" s="5"/>
    </row>
    <row r="11" spans="1:18" ht="15.75" x14ac:dyDescent="0.25">
      <c r="A11" s="141"/>
      <c r="B11" s="17" t="s">
        <v>28</v>
      </c>
      <c r="C11" s="84"/>
      <c r="D11" s="13">
        <f t="shared" si="1"/>
        <v>0</v>
      </c>
      <c r="F11" s="207"/>
      <c r="G11" s="218"/>
      <c r="H11" s="219"/>
      <c r="I11" s="219"/>
      <c r="J11" s="22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84"/>
      <c r="D12" s="48">
        <f t="shared" si="1"/>
        <v>0</v>
      </c>
      <c r="F12" s="224" t="s">
        <v>33</v>
      </c>
      <c r="G12" s="225"/>
      <c r="H12" s="225"/>
      <c r="I12" s="225"/>
      <c r="J12" s="22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84"/>
      <c r="D13" s="48">
        <f t="shared" si="1"/>
        <v>0</v>
      </c>
      <c r="F13" s="227" t="s">
        <v>36</v>
      </c>
      <c r="G13" s="191"/>
      <c r="H13" s="182">
        <f>D29</f>
        <v>0</v>
      </c>
      <c r="I13" s="183"/>
      <c r="J13" s="18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84"/>
      <c r="D14" s="31">
        <f t="shared" si="1"/>
        <v>0</v>
      </c>
      <c r="F14" s="185" t="s">
        <v>39</v>
      </c>
      <c r="G14" s="186"/>
      <c r="H14" s="187">
        <f>D54</f>
        <v>0</v>
      </c>
      <c r="I14" s="188"/>
      <c r="J14" s="18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38</v>
      </c>
      <c r="C15" s="84"/>
      <c r="D15" s="31">
        <f t="shared" si="1"/>
        <v>0</v>
      </c>
      <c r="F15" s="190" t="s">
        <v>40</v>
      </c>
      <c r="G15" s="191"/>
      <c r="H15" s="192">
        <f>H13-H14</f>
        <v>0</v>
      </c>
      <c r="I15" s="193"/>
      <c r="J15" s="19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2"/>
      <c r="I16" s="152"/>
      <c r="J16" s="15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t="s">
        <v>138</v>
      </c>
      <c r="C17" s="84"/>
      <c r="D17" s="48">
        <f t="shared" si="1"/>
        <v>0</v>
      </c>
      <c r="F17" s="56"/>
      <c r="G17" s="66" t="s">
        <v>45</v>
      </c>
      <c r="H17" s="163"/>
      <c r="I17" s="163"/>
      <c r="J17" s="16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3"/>
      <c r="I18" s="163"/>
      <c r="J18" s="16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14" t="s">
        <v>161</v>
      </c>
      <c r="C19" s="84"/>
      <c r="D19" s="48">
        <f t="shared" si="1"/>
        <v>0</v>
      </c>
      <c r="F19" s="56"/>
      <c r="G19" s="68" t="s">
        <v>50</v>
      </c>
      <c r="H19" s="163"/>
      <c r="I19" s="163"/>
      <c r="J19" s="163"/>
      <c r="L19" s="6">
        <v>1102</v>
      </c>
      <c r="Q19" s="4"/>
      <c r="R19" s="5">
        <f t="shared" si="0"/>
        <v>0</v>
      </c>
    </row>
    <row r="20" spans="1:18" ht="15.75" x14ac:dyDescent="0.25">
      <c r="A20" s="14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2"/>
      <c r="I20" s="152"/>
      <c r="J20" s="15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1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65" t="s">
        <v>13</v>
      </c>
      <c r="I21" s="166"/>
      <c r="J21" s="16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1"/>
      <c r="B22" s="46" t="s">
        <v>127</v>
      </c>
      <c r="C22" s="84"/>
      <c r="D22" s="48">
        <f t="shared" si="1"/>
        <v>0</v>
      </c>
      <c r="F22" s="77"/>
      <c r="G22" s="73"/>
      <c r="H22" s="168"/>
      <c r="I22" s="168"/>
      <c r="J22" s="16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101</v>
      </c>
      <c r="C23" s="84"/>
      <c r="D23" s="48">
        <f t="shared" si="1"/>
        <v>0</v>
      </c>
      <c r="F23" s="77"/>
      <c r="G23" s="79"/>
      <c r="H23" s="228"/>
      <c r="I23" s="229"/>
      <c r="J23" s="22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124</v>
      </c>
      <c r="C24" s="84"/>
      <c r="D24" s="48">
        <f t="shared" si="1"/>
        <v>0</v>
      </c>
      <c r="F24" s="77"/>
      <c r="G24" s="79"/>
      <c r="H24" s="228"/>
      <c r="I24" s="229"/>
      <c r="J24" s="229"/>
      <c r="L24" s="47">
        <f>674/6+4.5</f>
        <v>116.83333333333333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137</v>
      </c>
      <c r="C26" s="84"/>
      <c r="D26" s="48">
        <f t="shared" si="1"/>
        <v>0</v>
      </c>
      <c r="F26" s="75"/>
      <c r="G26" s="65"/>
      <c r="H26" s="138"/>
      <c r="I26" s="138"/>
      <c r="J26" s="138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1"/>
      <c r="B27" s="14" t="s">
        <v>110</v>
      </c>
      <c r="C27" s="84"/>
      <c r="D27" s="44">
        <f t="shared" si="1"/>
        <v>0</v>
      </c>
      <c r="F27" s="71"/>
      <c r="G27" s="90"/>
      <c r="H27" s="230"/>
      <c r="I27" s="231"/>
      <c r="J27" s="23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97</v>
      </c>
      <c r="C28" s="84"/>
      <c r="D28" s="48">
        <f t="shared" si="1"/>
        <v>0</v>
      </c>
      <c r="F28" s="93"/>
      <c r="G28" s="61"/>
      <c r="H28" s="179"/>
      <c r="I28" s="180"/>
      <c r="J28" s="18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3" t="s">
        <v>36</v>
      </c>
      <c r="B29" s="154"/>
      <c r="C29" s="155"/>
      <c r="D29" s="159">
        <f>SUM(D6:D28)</f>
        <v>0</v>
      </c>
      <c r="F29" s="99" t="s">
        <v>55</v>
      </c>
      <c r="G29" s="161"/>
      <c r="H29" s="121">
        <f>H15-H16-H17-H18-H19-H20-H22-H23-H24+H26+H27+H28</f>
        <v>0</v>
      </c>
      <c r="I29" s="122"/>
      <c r="J29" s="12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6"/>
      <c r="B30" s="157"/>
      <c r="C30" s="158"/>
      <c r="D30" s="160"/>
      <c r="F30" s="102"/>
      <c r="G30" s="162"/>
      <c r="H30" s="124"/>
      <c r="I30" s="125"/>
      <c r="J30" s="12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6" t="s">
        <v>58</v>
      </c>
      <c r="B32" s="147"/>
      <c r="C32" s="147"/>
      <c r="D32" s="148"/>
      <c r="F32" s="149" t="s">
        <v>59</v>
      </c>
      <c r="G32" s="150"/>
      <c r="H32" s="150"/>
      <c r="I32" s="150"/>
      <c r="J32" s="15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49" t="s">
        <v>13</v>
      </c>
      <c r="I33" s="150"/>
      <c r="J33" s="15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43">
        <f t="shared" ref="H34:H39" si="2">F34*G34</f>
        <v>0</v>
      </c>
      <c r="I34" s="144"/>
      <c r="J34" s="14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1"/>
      <c r="B35" s="27" t="s">
        <v>68</v>
      </c>
      <c r="C35" s="52"/>
      <c r="D35" s="30">
        <f>C35*84</f>
        <v>0</v>
      </c>
      <c r="F35" s="58">
        <v>500</v>
      </c>
      <c r="G35" s="41"/>
      <c r="H35" s="143">
        <f t="shared" si="2"/>
        <v>0</v>
      </c>
      <c r="I35" s="144"/>
      <c r="J35" s="14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70</v>
      </c>
      <c r="C36" s="10"/>
      <c r="D36" s="12">
        <f>C36*1.5</f>
        <v>0</v>
      </c>
      <c r="F36" s="12">
        <v>200</v>
      </c>
      <c r="G36" s="37"/>
      <c r="H36" s="143">
        <f t="shared" si="2"/>
        <v>0</v>
      </c>
      <c r="I36" s="144"/>
      <c r="J36" s="14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3">
        <f t="shared" si="2"/>
        <v>0</v>
      </c>
      <c r="I37" s="144"/>
      <c r="J37" s="14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1"/>
      <c r="B38" s="29" t="s">
        <v>68</v>
      </c>
      <c r="C38" s="54"/>
      <c r="D38" s="12">
        <f>C38*84</f>
        <v>0</v>
      </c>
      <c r="F38" s="30">
        <v>50</v>
      </c>
      <c r="G38" s="39"/>
      <c r="H38" s="143">
        <f t="shared" si="2"/>
        <v>0</v>
      </c>
      <c r="I38" s="144"/>
      <c r="J38" s="14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2"/>
      <c r="B39" s="29" t="s">
        <v>70</v>
      </c>
      <c r="C39" s="52"/>
      <c r="D39" s="31">
        <f>C39*4.5</f>
        <v>0</v>
      </c>
      <c r="F39" s="12">
        <v>20</v>
      </c>
      <c r="G39" s="37"/>
      <c r="H39" s="143">
        <f t="shared" si="2"/>
        <v>0</v>
      </c>
      <c r="I39" s="144"/>
      <c r="J39" s="14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3"/>
      <c r="I40" s="144"/>
      <c r="J40" s="14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1"/>
      <c r="B41" s="27" t="s">
        <v>68</v>
      </c>
      <c r="C41" s="10"/>
      <c r="D41" s="12">
        <f>C41*84</f>
        <v>0</v>
      </c>
      <c r="F41" s="12">
        <v>5</v>
      </c>
      <c r="G41" s="42"/>
      <c r="H41" s="143"/>
      <c r="I41" s="144"/>
      <c r="J41" s="14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2"/>
      <c r="B42" s="27" t="s">
        <v>70</v>
      </c>
      <c r="C42" s="11"/>
      <c r="D42" s="12">
        <f>C42*2.25</f>
        <v>0</v>
      </c>
      <c r="F42" s="39" t="s">
        <v>79</v>
      </c>
      <c r="G42" s="143"/>
      <c r="H42" s="144"/>
      <c r="I42" s="144"/>
      <c r="J42" s="14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3" t="s">
        <v>81</v>
      </c>
      <c r="C43" s="11"/>
      <c r="D43" s="12"/>
      <c r="F43" s="59" t="s">
        <v>82</v>
      </c>
      <c r="G43" s="90" t="s">
        <v>83</v>
      </c>
      <c r="H43" s="135" t="s">
        <v>13</v>
      </c>
      <c r="I43" s="136"/>
      <c r="J43" s="13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4"/>
      <c r="B44" s="27" t="s">
        <v>66</v>
      </c>
      <c r="C44" s="10"/>
      <c r="D44" s="12">
        <f>C44*120</f>
        <v>0</v>
      </c>
      <c r="F44" s="37"/>
      <c r="G44" s="62"/>
      <c r="H44" s="138"/>
      <c r="I44" s="138"/>
      <c r="J44" s="13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14"/>
      <c r="B45" s="27" t="s">
        <v>68</v>
      </c>
      <c r="C45" s="33"/>
      <c r="D45" s="12">
        <f>C45*84</f>
        <v>0</v>
      </c>
      <c r="F45" s="37"/>
      <c r="G45" s="62"/>
      <c r="H45" s="138"/>
      <c r="I45" s="138"/>
      <c r="J45" s="138"/>
      <c r="K45" s="21"/>
      <c r="P45" s="4"/>
      <c r="Q45" s="4"/>
      <c r="R45" s="5"/>
    </row>
    <row r="46" spans="1:18" ht="15.75" x14ac:dyDescent="0.25">
      <c r="A46" s="114"/>
      <c r="B46" s="49" t="s">
        <v>70</v>
      </c>
      <c r="C46" s="81"/>
      <c r="D46" s="12">
        <f>C46*1.5</f>
        <v>0</v>
      </c>
      <c r="F46" s="37"/>
      <c r="G46" s="62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5"/>
      <c r="B47" s="27"/>
      <c r="C47" s="11"/>
      <c r="D47" s="12"/>
      <c r="F47" s="59"/>
      <c r="G47" s="59"/>
      <c r="H47" s="116"/>
      <c r="I47" s="117"/>
      <c r="J47" s="118"/>
      <c r="K47" s="21"/>
      <c r="P47" s="4"/>
      <c r="Q47" s="4"/>
      <c r="R47" s="5"/>
    </row>
    <row r="48" spans="1:18" ht="15" customHeight="1" x14ac:dyDescent="0.25">
      <c r="A48" s="113" t="s">
        <v>32</v>
      </c>
      <c r="B48" s="27" t="s">
        <v>66</v>
      </c>
      <c r="C48" s="10"/>
      <c r="D48" s="12">
        <f>C48*78</f>
        <v>0</v>
      </c>
      <c r="F48" s="59"/>
      <c r="G48" s="59"/>
      <c r="H48" s="116"/>
      <c r="I48" s="117"/>
      <c r="J48" s="1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4"/>
      <c r="B49" s="29" t="s">
        <v>68</v>
      </c>
      <c r="C49" s="33"/>
      <c r="D49" s="12">
        <f>C49*42</f>
        <v>0</v>
      </c>
      <c r="F49" s="119" t="s">
        <v>86</v>
      </c>
      <c r="G49" s="121">
        <f>H34+H35+H36+H37+H38+H39+H40+H41+G42+H44+H45+H46</f>
        <v>0</v>
      </c>
      <c r="H49" s="122"/>
      <c r="I49" s="122"/>
      <c r="J49" s="12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4"/>
      <c r="B50" s="32" t="s">
        <v>70</v>
      </c>
      <c r="C50" s="11"/>
      <c r="D50" s="12">
        <f>C50*1.5</f>
        <v>0</v>
      </c>
      <c r="F50" s="120"/>
      <c r="G50" s="124"/>
      <c r="H50" s="125"/>
      <c r="I50" s="125"/>
      <c r="J50" s="126"/>
      <c r="P50" s="4"/>
      <c r="Q50" s="4"/>
      <c r="R50" s="5"/>
    </row>
    <row r="51" spans="1:18" ht="15" customHeight="1" x14ac:dyDescent="0.25">
      <c r="A51" s="114"/>
      <c r="B51" s="27"/>
      <c r="C51" s="10"/>
      <c r="D51" s="31"/>
      <c r="F51" s="127" t="s">
        <v>131</v>
      </c>
      <c r="G51" s="232">
        <f>G49-H29</f>
        <v>0</v>
      </c>
      <c r="H51" s="233"/>
      <c r="I51" s="233"/>
      <c r="J51" s="23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4"/>
      <c r="B52" s="29"/>
      <c r="C52" s="33"/>
      <c r="D52" s="45"/>
      <c r="F52" s="128"/>
      <c r="G52" s="235"/>
      <c r="H52" s="236"/>
      <c r="I52" s="236"/>
      <c r="J52" s="23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9" t="s">
        <v>90</v>
      </c>
      <c r="B54" s="100"/>
      <c r="C54" s="101"/>
      <c r="D54" s="10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2"/>
      <c r="B55" s="103"/>
      <c r="C55" s="104"/>
      <c r="D55" s="10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07" t="s">
        <v>91</v>
      </c>
      <c r="B58" s="108"/>
      <c r="C58" s="108"/>
      <c r="D58" s="109"/>
      <c r="F58" s="107" t="s">
        <v>92</v>
      </c>
      <c r="G58" s="108"/>
      <c r="H58" s="108"/>
      <c r="I58" s="108"/>
      <c r="J58" s="109"/>
    </row>
    <row r="59" spans="1:18" x14ac:dyDescent="0.25">
      <c r="A59" s="110"/>
      <c r="B59" s="111"/>
      <c r="C59" s="111"/>
      <c r="D59" s="112"/>
      <c r="F59" s="110"/>
      <c r="G59" s="111"/>
      <c r="H59" s="111"/>
      <c r="I59" s="111"/>
      <c r="J59" s="11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34B79-5408-4FC9-AB3F-AE981D97B11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5" t="s">
        <v>1</v>
      </c>
      <c r="O1" s="19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6" t="s">
        <v>7</v>
      </c>
      <c r="B4" s="147"/>
      <c r="C4" s="147"/>
      <c r="D4" s="148"/>
      <c r="F4" s="196" t="s">
        <v>8</v>
      </c>
      <c r="G4" s="198">
        <v>2</v>
      </c>
      <c r="H4" s="200" t="s">
        <v>9</v>
      </c>
      <c r="I4" s="202">
        <v>45995</v>
      </c>
      <c r="J4" s="20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97"/>
      <c r="G5" s="199"/>
      <c r="H5" s="201"/>
      <c r="I5" s="204"/>
      <c r="J5" s="20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10">
        <v>207</v>
      </c>
      <c r="D6" s="13">
        <f t="shared" ref="D6:D28" si="1">C6*L6</f>
        <v>152559</v>
      </c>
      <c r="F6" s="206" t="s">
        <v>16</v>
      </c>
      <c r="G6" s="208" t="s">
        <v>141</v>
      </c>
      <c r="H6" s="209"/>
      <c r="I6" s="209"/>
      <c r="J6" s="21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10">
        <v>4</v>
      </c>
      <c r="D7" s="13">
        <f t="shared" si="1"/>
        <v>2900</v>
      </c>
      <c r="F7" s="207"/>
      <c r="G7" s="211"/>
      <c r="H7" s="212"/>
      <c r="I7" s="212"/>
      <c r="J7" s="21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10"/>
      <c r="D8" s="13">
        <f t="shared" si="1"/>
        <v>0</v>
      </c>
      <c r="F8" s="214" t="s">
        <v>21</v>
      </c>
      <c r="G8" s="215" t="s">
        <v>114</v>
      </c>
      <c r="H8" s="216"/>
      <c r="I8" s="216"/>
      <c r="J8" s="21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10">
        <v>13</v>
      </c>
      <c r="D9" s="13">
        <f t="shared" si="1"/>
        <v>9191</v>
      </c>
      <c r="F9" s="207"/>
      <c r="G9" s="218"/>
      <c r="H9" s="219"/>
      <c r="I9" s="219"/>
      <c r="J9" s="22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10"/>
      <c r="D10" s="13">
        <f t="shared" si="1"/>
        <v>0</v>
      </c>
      <c r="F10" s="206" t="s">
        <v>26</v>
      </c>
      <c r="G10" s="221" t="s">
        <v>115</v>
      </c>
      <c r="H10" s="222"/>
      <c r="I10" s="222"/>
      <c r="J10" s="223"/>
      <c r="K10" s="8"/>
      <c r="L10" s="6">
        <f>R36</f>
        <v>972</v>
      </c>
      <c r="P10" s="4"/>
      <c r="Q10" s="4"/>
      <c r="R10" s="5"/>
    </row>
    <row r="11" spans="1:18" ht="15.75" x14ac:dyDescent="0.25">
      <c r="A11" s="141"/>
      <c r="B11" s="17" t="s">
        <v>28</v>
      </c>
      <c r="C11" s="10"/>
      <c r="D11" s="13">
        <f t="shared" si="1"/>
        <v>0</v>
      </c>
      <c r="F11" s="207"/>
      <c r="G11" s="218"/>
      <c r="H11" s="219"/>
      <c r="I11" s="219"/>
      <c r="J11" s="22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10"/>
      <c r="D12" s="48">
        <f t="shared" si="1"/>
        <v>0</v>
      </c>
      <c r="F12" s="224" t="s">
        <v>33</v>
      </c>
      <c r="G12" s="225"/>
      <c r="H12" s="225"/>
      <c r="I12" s="225"/>
      <c r="J12" s="22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10">
        <v>4</v>
      </c>
      <c r="D13" s="48">
        <f t="shared" si="1"/>
        <v>1228</v>
      </c>
      <c r="F13" s="227" t="s">
        <v>36</v>
      </c>
      <c r="G13" s="191"/>
      <c r="H13" s="182">
        <f>D29</f>
        <v>187607.83333333334</v>
      </c>
      <c r="I13" s="183"/>
      <c r="J13" s="18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10">
        <v>15</v>
      </c>
      <c r="D14" s="31">
        <f t="shared" si="1"/>
        <v>165</v>
      </c>
      <c r="F14" s="185" t="s">
        <v>39</v>
      </c>
      <c r="G14" s="186"/>
      <c r="H14" s="187">
        <f>D54</f>
        <v>13236.75</v>
      </c>
      <c r="I14" s="188"/>
      <c r="J14" s="18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38</v>
      </c>
      <c r="C15" s="10"/>
      <c r="D15" s="31">
        <f t="shared" si="1"/>
        <v>0</v>
      </c>
      <c r="F15" s="190" t="s">
        <v>40</v>
      </c>
      <c r="G15" s="191"/>
      <c r="H15" s="192">
        <f>H13-H14</f>
        <v>174371.08333333334</v>
      </c>
      <c r="I15" s="193"/>
      <c r="J15" s="19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2">
        <f>1620</f>
        <v>1620</v>
      </c>
      <c r="I16" s="152"/>
      <c r="J16" s="15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t="s">
        <v>93</v>
      </c>
      <c r="C17" s="10"/>
      <c r="D17" s="48">
        <f t="shared" si="1"/>
        <v>0</v>
      </c>
      <c r="F17" s="56"/>
      <c r="G17" s="66" t="s">
        <v>45</v>
      </c>
      <c r="H17" s="163"/>
      <c r="I17" s="163"/>
      <c r="J17" s="163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63"/>
      <c r="I18" s="163"/>
      <c r="J18" s="16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14" t="s">
        <v>96</v>
      </c>
      <c r="C19" s="10">
        <v>1</v>
      </c>
      <c r="D19" s="48">
        <f t="shared" si="1"/>
        <v>1102</v>
      </c>
      <c r="F19" s="56"/>
      <c r="G19" s="68" t="s">
        <v>50</v>
      </c>
      <c r="H19" s="239"/>
      <c r="I19" s="239"/>
      <c r="J19" s="23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1"/>
      <c r="B20" s="46" t="s">
        <v>122</v>
      </c>
      <c r="C20" s="10">
        <f>1+6</f>
        <v>7</v>
      </c>
      <c r="D20" s="13">
        <f t="shared" si="1"/>
        <v>8225</v>
      </c>
      <c r="F20" s="57"/>
      <c r="G20" s="70" t="s">
        <v>120</v>
      </c>
      <c r="H20" s="163"/>
      <c r="I20" s="163"/>
      <c r="J20" s="16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1"/>
      <c r="B21" s="14" t="s">
        <v>136</v>
      </c>
      <c r="C21" s="10">
        <f>8+2</f>
        <v>10</v>
      </c>
      <c r="D21" s="48">
        <f t="shared" si="1"/>
        <v>6500</v>
      </c>
      <c r="F21" s="69" t="s">
        <v>99</v>
      </c>
      <c r="G21" s="82" t="s">
        <v>98</v>
      </c>
      <c r="H21" s="165" t="s">
        <v>13</v>
      </c>
      <c r="I21" s="166"/>
      <c r="J21" s="16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1"/>
      <c r="B22" s="46" t="s">
        <v>101</v>
      </c>
      <c r="C22" s="10">
        <v>3</v>
      </c>
      <c r="D22" s="48">
        <f t="shared" si="1"/>
        <v>5001</v>
      </c>
      <c r="F22" s="72"/>
      <c r="G22" s="73"/>
      <c r="H22" s="168"/>
      <c r="I22" s="168"/>
      <c r="J22" s="168"/>
      <c r="L22" s="7">
        <v>1667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107</v>
      </c>
      <c r="C23" s="10"/>
      <c r="D23" s="48">
        <f t="shared" si="1"/>
        <v>0</v>
      </c>
      <c r="F23" s="25"/>
      <c r="G23" s="37"/>
      <c r="H23" s="169"/>
      <c r="I23" s="138"/>
      <c r="J23" s="13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123</v>
      </c>
      <c r="C24" s="10"/>
      <c r="D24" s="48">
        <f t="shared" si="1"/>
        <v>0</v>
      </c>
      <c r="F24" s="38"/>
      <c r="G24" s="37"/>
      <c r="H24" s="169"/>
      <c r="I24" s="138"/>
      <c r="J24" s="13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124</v>
      </c>
      <c r="C25" s="10">
        <v>1</v>
      </c>
      <c r="D25" s="48">
        <f t="shared" si="1"/>
        <v>116.83333333333333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105</v>
      </c>
      <c r="C26" s="10"/>
      <c r="D26" s="48">
        <f t="shared" si="1"/>
        <v>0</v>
      </c>
      <c r="F26" s="64"/>
      <c r="G26" s="10"/>
      <c r="H26" s="173"/>
      <c r="I26" s="174"/>
      <c r="J26" s="17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1"/>
      <c r="B27" s="14" t="s">
        <v>109</v>
      </c>
      <c r="C27" s="10"/>
      <c r="D27" s="44">
        <f t="shared" si="1"/>
        <v>0</v>
      </c>
      <c r="F27" s="14"/>
      <c r="G27" s="14"/>
      <c r="H27" s="176"/>
      <c r="I27" s="177"/>
      <c r="J27" s="17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97</v>
      </c>
      <c r="C28" s="10"/>
      <c r="D28" s="48">
        <f t="shared" si="1"/>
        <v>0</v>
      </c>
      <c r="F28" s="93"/>
      <c r="G28" s="61"/>
      <c r="H28" s="179"/>
      <c r="I28" s="180"/>
      <c r="J28" s="18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3" t="s">
        <v>36</v>
      </c>
      <c r="B29" s="154"/>
      <c r="C29" s="155"/>
      <c r="D29" s="159">
        <f>SUM(D6:D28)</f>
        <v>187607.83333333334</v>
      </c>
      <c r="F29" s="99" t="s">
        <v>55</v>
      </c>
      <c r="G29" s="161"/>
      <c r="H29" s="121">
        <f>H15-H16-H17-H18-H19-H20-H22-H23-H24+H26+H27</f>
        <v>172751.08333333334</v>
      </c>
      <c r="I29" s="122"/>
      <c r="J29" s="12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6"/>
      <c r="B30" s="157"/>
      <c r="C30" s="158"/>
      <c r="D30" s="160"/>
      <c r="F30" s="102"/>
      <c r="G30" s="162"/>
      <c r="H30" s="124"/>
      <c r="I30" s="125"/>
      <c r="J30" s="12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6" t="s">
        <v>58</v>
      </c>
      <c r="B32" s="147"/>
      <c r="C32" s="147"/>
      <c r="D32" s="148"/>
      <c r="F32" s="149" t="s">
        <v>59</v>
      </c>
      <c r="G32" s="150"/>
      <c r="H32" s="150"/>
      <c r="I32" s="150"/>
      <c r="J32" s="15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49" t="s">
        <v>13</v>
      </c>
      <c r="I33" s="150"/>
      <c r="J33" s="15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21</v>
      </c>
      <c r="H34" s="143">
        <f>F34*G34</f>
        <v>21000</v>
      </c>
      <c r="I34" s="144"/>
      <c r="J34" s="14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1"/>
      <c r="B35" s="27" t="s">
        <v>68</v>
      </c>
      <c r="C35" s="52"/>
      <c r="D35" s="30">
        <f>C35*84</f>
        <v>0</v>
      </c>
      <c r="F35" s="58">
        <v>500</v>
      </c>
      <c r="G35" s="41">
        <v>13</v>
      </c>
      <c r="H35" s="143">
        <f t="shared" ref="H35:H39" si="2">F35*G35</f>
        <v>6500</v>
      </c>
      <c r="I35" s="144"/>
      <c r="J35" s="14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143">
        <f>F36*G36</f>
        <v>0</v>
      </c>
      <c r="I36" s="144"/>
      <c r="J36" s="14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0" t="s">
        <v>72</v>
      </c>
      <c r="B37" s="28" t="s">
        <v>66</v>
      </c>
      <c r="C37" s="53">
        <v>105</v>
      </c>
      <c r="D37" s="12">
        <f>C37*111</f>
        <v>11655</v>
      </c>
      <c r="F37" s="12">
        <v>100</v>
      </c>
      <c r="G37" s="39">
        <v>1</v>
      </c>
      <c r="H37" s="143">
        <f t="shared" si="2"/>
        <v>100</v>
      </c>
      <c r="I37" s="144"/>
      <c r="J37" s="14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1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43">
        <f t="shared" si="2"/>
        <v>0</v>
      </c>
      <c r="I38" s="144"/>
      <c r="J38" s="14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2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43">
        <f t="shared" si="2"/>
        <v>0</v>
      </c>
      <c r="I39" s="144"/>
      <c r="J39" s="14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43"/>
      <c r="I40" s="144"/>
      <c r="J40" s="14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43"/>
      <c r="I41" s="144"/>
      <c r="J41" s="14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2"/>
      <c r="B42" s="27" t="s">
        <v>70</v>
      </c>
      <c r="C42" s="11">
        <v>5</v>
      </c>
      <c r="D42" s="12">
        <f>C42*2.25</f>
        <v>11.25</v>
      </c>
      <c r="F42" s="39" t="s">
        <v>79</v>
      </c>
      <c r="G42" s="143">
        <v>477</v>
      </c>
      <c r="H42" s="144"/>
      <c r="I42" s="144"/>
      <c r="J42" s="14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3" t="s">
        <v>81</v>
      </c>
      <c r="C43" s="11"/>
      <c r="D43" s="12"/>
      <c r="F43" s="59" t="s">
        <v>82</v>
      </c>
      <c r="G43" s="90" t="s">
        <v>83</v>
      </c>
      <c r="H43" s="135" t="s">
        <v>13</v>
      </c>
      <c r="I43" s="136"/>
      <c r="J43" s="137"/>
      <c r="K43" s="21"/>
      <c r="P43" s="4"/>
      <c r="Q43" s="4"/>
      <c r="R43" s="5"/>
    </row>
    <row r="44" spans="1:18" ht="15.75" x14ac:dyDescent="0.25">
      <c r="A44" s="114"/>
      <c r="B44" s="27" t="s">
        <v>66</v>
      </c>
      <c r="C44" s="10">
        <v>1</v>
      </c>
      <c r="D44" s="12">
        <f>C44*120</f>
        <v>120</v>
      </c>
      <c r="F44" s="37" t="s">
        <v>150</v>
      </c>
      <c r="G44" s="62" t="s">
        <v>162</v>
      </c>
      <c r="H44" s="138">
        <v>144167</v>
      </c>
      <c r="I44" s="138"/>
      <c r="J44" s="138"/>
      <c r="K44" s="21"/>
      <c r="P44" s="4"/>
      <c r="Q44" s="4"/>
      <c r="R44" s="5"/>
    </row>
    <row r="45" spans="1:18" ht="15.75" x14ac:dyDescent="0.25">
      <c r="A45" s="114"/>
      <c r="B45" s="27" t="s">
        <v>68</v>
      </c>
      <c r="C45" s="33">
        <v>2</v>
      </c>
      <c r="D45" s="12">
        <f>C45*84</f>
        <v>168</v>
      </c>
      <c r="F45" s="37"/>
      <c r="G45" s="62"/>
      <c r="H45" s="138"/>
      <c r="I45" s="138"/>
      <c r="J45" s="138"/>
      <c r="K45" s="21"/>
      <c r="P45" s="4"/>
      <c r="Q45" s="4"/>
      <c r="R45" s="5"/>
    </row>
    <row r="46" spans="1:18" ht="15.75" x14ac:dyDescent="0.25">
      <c r="A46" s="114"/>
      <c r="B46" s="49" t="s">
        <v>70</v>
      </c>
      <c r="C46" s="81">
        <v>13</v>
      </c>
      <c r="D46" s="12">
        <f>C46*1.5</f>
        <v>19.5</v>
      </c>
      <c r="F46" s="37"/>
      <c r="G46" s="91"/>
      <c r="H46" s="139"/>
      <c r="I46" s="139"/>
      <c r="J46" s="139"/>
      <c r="K46" s="21"/>
      <c r="P46" s="4"/>
      <c r="Q46" s="4"/>
      <c r="R46" s="5"/>
    </row>
    <row r="47" spans="1:18" ht="15.75" x14ac:dyDescent="0.25">
      <c r="A47" s="115"/>
      <c r="B47" s="27"/>
      <c r="C47" s="11"/>
      <c r="D47" s="12"/>
      <c r="F47" s="59"/>
      <c r="G47" s="59"/>
      <c r="H47" s="116"/>
      <c r="I47" s="117"/>
      <c r="J47" s="118"/>
      <c r="K47" s="21"/>
      <c r="P47" s="4"/>
      <c r="Q47" s="4"/>
      <c r="R47" s="5"/>
    </row>
    <row r="48" spans="1:18" ht="15" customHeight="1" x14ac:dyDescent="0.25">
      <c r="A48" s="113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16"/>
      <c r="I48" s="117"/>
      <c r="J48" s="1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4"/>
      <c r="B49" s="29" t="s">
        <v>68</v>
      </c>
      <c r="C49" s="33">
        <v>6</v>
      </c>
      <c r="D49" s="12">
        <f>C49*42</f>
        <v>252</v>
      </c>
      <c r="F49" s="119" t="s">
        <v>86</v>
      </c>
      <c r="G49" s="121">
        <f>H34+H35+H36+H37+H38+H39+H40+H41+G42+H44+H45+H46</f>
        <v>172244</v>
      </c>
      <c r="H49" s="122"/>
      <c r="I49" s="122"/>
      <c r="J49" s="12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4"/>
      <c r="B50" s="32" t="s">
        <v>70</v>
      </c>
      <c r="C50" s="11">
        <v>22</v>
      </c>
      <c r="D50" s="12">
        <f>C50*1.5</f>
        <v>33</v>
      </c>
      <c r="F50" s="120"/>
      <c r="G50" s="124"/>
      <c r="H50" s="125"/>
      <c r="I50" s="125"/>
      <c r="J50" s="126"/>
      <c r="P50" s="4"/>
      <c r="Q50" s="4"/>
      <c r="R50" s="5"/>
    </row>
    <row r="51" spans="1:18" ht="15" customHeight="1" x14ac:dyDescent="0.25">
      <c r="A51" s="114"/>
      <c r="B51" s="27"/>
      <c r="C51" s="10"/>
      <c r="D51" s="31"/>
      <c r="F51" s="127" t="s">
        <v>132</v>
      </c>
      <c r="G51" s="232">
        <f>G49-H29</f>
        <v>-507.08333333334303</v>
      </c>
      <c r="H51" s="233"/>
      <c r="I51" s="233"/>
      <c r="J51" s="23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4"/>
      <c r="B52" s="29"/>
      <c r="C52" s="33"/>
      <c r="D52" s="45"/>
      <c r="F52" s="128"/>
      <c r="G52" s="235"/>
      <c r="H52" s="236"/>
      <c r="I52" s="236"/>
      <c r="J52" s="23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9" t="s">
        <v>90</v>
      </c>
      <c r="B54" s="100"/>
      <c r="C54" s="101"/>
      <c r="D54" s="105">
        <f>SUM(D34:D53)</f>
        <v>13236.75</v>
      </c>
      <c r="F54" s="21"/>
      <c r="J54" s="34"/>
    </row>
    <row r="55" spans="1:18" x14ac:dyDescent="0.25">
      <c r="A55" s="102"/>
      <c r="B55" s="103"/>
      <c r="C55" s="104"/>
      <c r="D55" s="10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7" t="s">
        <v>91</v>
      </c>
      <c r="B58" s="108"/>
      <c r="C58" s="108"/>
      <c r="D58" s="109"/>
      <c r="F58" s="107" t="s">
        <v>92</v>
      </c>
      <c r="G58" s="108"/>
      <c r="H58" s="108"/>
      <c r="I58" s="108"/>
      <c r="J58" s="109"/>
    </row>
    <row r="59" spans="1:18" x14ac:dyDescent="0.25">
      <c r="A59" s="110"/>
      <c r="B59" s="111"/>
      <c r="C59" s="111"/>
      <c r="D59" s="112"/>
      <c r="F59" s="110"/>
      <c r="G59" s="111"/>
      <c r="H59" s="111"/>
      <c r="I59" s="111"/>
      <c r="J59" s="11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7D12CC-B1BF-4C13-8D4D-5A0033F3BBDF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5" t="s">
        <v>1</v>
      </c>
      <c r="O1" s="19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6" t="s">
        <v>7</v>
      </c>
      <c r="B4" s="147"/>
      <c r="C4" s="147"/>
      <c r="D4" s="148"/>
      <c r="F4" s="196" t="s">
        <v>8</v>
      </c>
      <c r="G4" s="198">
        <v>3</v>
      </c>
      <c r="H4" s="200" t="s">
        <v>9</v>
      </c>
      <c r="I4" s="202">
        <v>45995</v>
      </c>
      <c r="J4" s="20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97"/>
      <c r="G5" s="199"/>
      <c r="H5" s="201"/>
      <c r="I5" s="204"/>
      <c r="J5" s="20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10">
        <v>429</v>
      </c>
      <c r="D6" s="13">
        <f t="shared" ref="D6:D28" si="1">C6*L6</f>
        <v>316173</v>
      </c>
      <c r="F6" s="206" t="s">
        <v>16</v>
      </c>
      <c r="G6" s="208" t="s">
        <v>111</v>
      </c>
      <c r="H6" s="209"/>
      <c r="I6" s="209"/>
      <c r="J6" s="21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10"/>
      <c r="D7" s="13">
        <f t="shared" si="1"/>
        <v>0</v>
      </c>
      <c r="F7" s="207"/>
      <c r="G7" s="211"/>
      <c r="H7" s="212"/>
      <c r="I7" s="212"/>
      <c r="J7" s="21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10"/>
      <c r="D8" s="13">
        <f t="shared" si="1"/>
        <v>0</v>
      </c>
      <c r="F8" s="214" t="s">
        <v>21</v>
      </c>
      <c r="G8" s="215" t="s">
        <v>119</v>
      </c>
      <c r="H8" s="216"/>
      <c r="I8" s="216"/>
      <c r="J8" s="21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10">
        <v>70</v>
      </c>
      <c r="D9" s="13">
        <f t="shared" si="1"/>
        <v>49490</v>
      </c>
      <c r="F9" s="207"/>
      <c r="G9" s="218"/>
      <c r="H9" s="219"/>
      <c r="I9" s="219"/>
      <c r="J9" s="22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10">
        <v>1</v>
      </c>
      <c r="D10" s="13">
        <f t="shared" si="1"/>
        <v>972</v>
      </c>
      <c r="F10" s="206" t="s">
        <v>26</v>
      </c>
      <c r="G10" s="221" t="s">
        <v>135</v>
      </c>
      <c r="H10" s="222"/>
      <c r="I10" s="222"/>
      <c r="J10" s="223"/>
      <c r="K10" s="8"/>
      <c r="L10" s="6">
        <f>R36</f>
        <v>972</v>
      </c>
      <c r="P10" s="4"/>
      <c r="Q10" s="4"/>
      <c r="R10" s="5"/>
    </row>
    <row r="11" spans="1:18" ht="15.75" x14ac:dyDescent="0.25">
      <c r="A11" s="141"/>
      <c r="B11" s="17" t="s">
        <v>28</v>
      </c>
      <c r="C11" s="10"/>
      <c r="D11" s="13">
        <f t="shared" si="1"/>
        <v>0</v>
      </c>
      <c r="F11" s="207"/>
      <c r="G11" s="218"/>
      <c r="H11" s="219"/>
      <c r="I11" s="219"/>
      <c r="J11" s="22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10">
        <f>3+1</f>
        <v>4</v>
      </c>
      <c r="D12" s="48">
        <f t="shared" si="1"/>
        <v>3808</v>
      </c>
      <c r="F12" s="224" t="s">
        <v>33</v>
      </c>
      <c r="G12" s="225"/>
      <c r="H12" s="225"/>
      <c r="I12" s="225"/>
      <c r="J12" s="22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10">
        <v>18</v>
      </c>
      <c r="D13" s="48">
        <f t="shared" si="1"/>
        <v>5526</v>
      </c>
      <c r="F13" s="227" t="s">
        <v>36</v>
      </c>
      <c r="G13" s="191"/>
      <c r="H13" s="182">
        <f>D29</f>
        <v>378246</v>
      </c>
      <c r="I13" s="183"/>
      <c r="J13" s="18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10"/>
      <c r="D14" s="31">
        <f t="shared" si="1"/>
        <v>0</v>
      </c>
      <c r="F14" s="185" t="s">
        <v>39</v>
      </c>
      <c r="G14" s="186"/>
      <c r="H14" s="187">
        <f>D54</f>
        <v>50790</v>
      </c>
      <c r="I14" s="188"/>
      <c r="J14" s="18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38</v>
      </c>
      <c r="C15" s="10"/>
      <c r="D15" s="31">
        <f t="shared" si="1"/>
        <v>0</v>
      </c>
      <c r="F15" s="190" t="s">
        <v>40</v>
      </c>
      <c r="G15" s="191"/>
      <c r="H15" s="192">
        <f>H13-H14</f>
        <v>327456</v>
      </c>
      <c r="I15" s="193"/>
      <c r="J15" s="19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2">
        <f>912+1824+300</f>
        <v>3036</v>
      </c>
      <c r="I16" s="152"/>
      <c r="J16" s="15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t="s">
        <v>113</v>
      </c>
      <c r="C17" s="10"/>
      <c r="D17" s="48">
        <f t="shared" si="1"/>
        <v>0</v>
      </c>
      <c r="F17" s="56"/>
      <c r="G17" s="66" t="s">
        <v>45</v>
      </c>
      <c r="H17" s="163"/>
      <c r="I17" s="163"/>
      <c r="J17" s="16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3"/>
      <c r="I18" s="163"/>
      <c r="J18" s="16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1"/>
      <c r="B20" s="46" t="s">
        <v>108</v>
      </c>
      <c r="C20" s="10">
        <v>1</v>
      </c>
      <c r="D20" s="13">
        <f t="shared" si="1"/>
        <v>1102</v>
      </c>
      <c r="F20" s="57"/>
      <c r="G20" s="70" t="s">
        <v>120</v>
      </c>
      <c r="H20" s="152"/>
      <c r="I20" s="152"/>
      <c r="J20" s="15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5" t="s">
        <v>13</v>
      </c>
      <c r="I21" s="166"/>
      <c r="J21" s="16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1"/>
      <c r="B22" s="46" t="s">
        <v>104</v>
      </c>
      <c r="C22" s="10"/>
      <c r="D22" s="48">
        <f t="shared" si="1"/>
        <v>0</v>
      </c>
      <c r="F22" s="77"/>
      <c r="G22" s="73"/>
      <c r="H22" s="168"/>
      <c r="I22" s="168"/>
      <c r="J22" s="16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107</v>
      </c>
      <c r="C23" s="10">
        <v>1</v>
      </c>
      <c r="D23" s="48">
        <f t="shared" si="1"/>
        <v>1175</v>
      </c>
      <c r="F23" s="78"/>
      <c r="G23" s="79"/>
      <c r="H23" s="169"/>
      <c r="I23" s="138"/>
      <c r="J23" s="13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101</v>
      </c>
      <c r="C24" s="10"/>
      <c r="D24" s="48">
        <f t="shared" si="1"/>
        <v>0</v>
      </c>
      <c r="F24" s="38"/>
      <c r="G24" s="37"/>
      <c r="H24" s="169"/>
      <c r="I24" s="138"/>
      <c r="J24" s="13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105</v>
      </c>
      <c r="C26" s="10"/>
      <c r="D26" s="48">
        <f t="shared" si="1"/>
        <v>0</v>
      </c>
      <c r="F26" s="64"/>
      <c r="G26" s="59"/>
      <c r="H26" s="173"/>
      <c r="I26" s="174"/>
      <c r="J26" s="17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1"/>
      <c r="B27" s="14" t="s">
        <v>109</v>
      </c>
      <c r="C27" s="10"/>
      <c r="D27" s="44">
        <f t="shared" si="1"/>
        <v>0</v>
      </c>
      <c r="F27" s="25"/>
      <c r="G27" s="80"/>
      <c r="H27" s="176"/>
      <c r="I27" s="177"/>
      <c r="J27" s="17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97</v>
      </c>
      <c r="C28" s="10"/>
      <c r="D28" s="48">
        <f t="shared" si="1"/>
        <v>0</v>
      </c>
      <c r="F28" s="93"/>
      <c r="G28" s="61"/>
      <c r="H28" s="179"/>
      <c r="I28" s="180"/>
      <c r="J28" s="18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3" t="s">
        <v>36</v>
      </c>
      <c r="B29" s="154"/>
      <c r="C29" s="155"/>
      <c r="D29" s="159">
        <f>SUM(D6:D28)</f>
        <v>378246</v>
      </c>
      <c r="F29" s="99" t="s">
        <v>55</v>
      </c>
      <c r="G29" s="161"/>
      <c r="H29" s="121">
        <f>H15-H16-H17-H18-H19-H20-H22-H23-H24+H26+H27</f>
        <v>324420</v>
      </c>
      <c r="I29" s="122"/>
      <c r="J29" s="12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6"/>
      <c r="B30" s="157"/>
      <c r="C30" s="158"/>
      <c r="D30" s="160"/>
      <c r="F30" s="102"/>
      <c r="G30" s="162"/>
      <c r="H30" s="124"/>
      <c r="I30" s="125"/>
      <c r="J30" s="12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6" t="s">
        <v>58</v>
      </c>
      <c r="B32" s="147"/>
      <c r="C32" s="147"/>
      <c r="D32" s="148"/>
      <c r="F32" s="149" t="s">
        <v>59</v>
      </c>
      <c r="G32" s="150"/>
      <c r="H32" s="150"/>
      <c r="I32" s="150"/>
      <c r="J32" s="15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49" t="s">
        <v>13</v>
      </c>
      <c r="I33" s="150"/>
      <c r="J33" s="15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31</v>
      </c>
      <c r="H34" s="143">
        <f>F34*G34</f>
        <v>31000</v>
      </c>
      <c r="I34" s="144"/>
      <c r="J34" s="14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1"/>
      <c r="B35" s="27" t="s">
        <v>68</v>
      </c>
      <c r="C35" s="52"/>
      <c r="D35" s="30">
        <f>C35*84</f>
        <v>0</v>
      </c>
      <c r="F35" s="58">
        <v>500</v>
      </c>
      <c r="G35" s="41"/>
      <c r="H35" s="143">
        <f>F35*G35</f>
        <v>0</v>
      </c>
      <c r="I35" s="144"/>
      <c r="J35" s="14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70</v>
      </c>
      <c r="C36" s="10"/>
      <c r="D36" s="12">
        <f>C36*1.5</f>
        <v>0</v>
      </c>
      <c r="F36" s="12">
        <v>200</v>
      </c>
      <c r="G36" s="37"/>
      <c r="H36" s="143">
        <f t="shared" ref="H36:H39" si="2">F36*G36</f>
        <v>0</v>
      </c>
      <c r="I36" s="144"/>
      <c r="J36" s="14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0" t="s">
        <v>72</v>
      </c>
      <c r="B37" s="28" t="s">
        <v>66</v>
      </c>
      <c r="C37" s="53">
        <v>444</v>
      </c>
      <c r="D37" s="12">
        <f>C37*111</f>
        <v>49284</v>
      </c>
      <c r="F37" s="12">
        <v>100</v>
      </c>
      <c r="G37" s="39"/>
      <c r="H37" s="143">
        <f t="shared" si="2"/>
        <v>0</v>
      </c>
      <c r="I37" s="144"/>
      <c r="J37" s="14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1"/>
      <c r="B38" s="29" t="s">
        <v>68</v>
      </c>
      <c r="C38" s="54"/>
      <c r="D38" s="12">
        <f>C38*84</f>
        <v>0</v>
      </c>
      <c r="F38" s="30">
        <v>50</v>
      </c>
      <c r="G38" s="39"/>
      <c r="H38" s="143">
        <f t="shared" si="2"/>
        <v>0</v>
      </c>
      <c r="I38" s="144"/>
      <c r="J38" s="14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2"/>
      <c r="B39" s="29" t="s">
        <v>70</v>
      </c>
      <c r="C39" s="52">
        <v>6</v>
      </c>
      <c r="D39" s="31">
        <f>C39*4.5</f>
        <v>27</v>
      </c>
      <c r="F39" s="12">
        <v>20</v>
      </c>
      <c r="G39" s="37"/>
      <c r="H39" s="143">
        <f t="shared" si="2"/>
        <v>0</v>
      </c>
      <c r="I39" s="144"/>
      <c r="J39" s="14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43"/>
      <c r="I40" s="144"/>
      <c r="J40" s="14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43"/>
      <c r="I41" s="144"/>
      <c r="J41" s="14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2"/>
      <c r="B42" s="27" t="s">
        <v>70</v>
      </c>
      <c r="C42" s="11"/>
      <c r="D42" s="12">
        <f>C42*2.25</f>
        <v>0</v>
      </c>
      <c r="F42" s="39" t="s">
        <v>79</v>
      </c>
      <c r="G42" s="143">
        <v>2</v>
      </c>
      <c r="H42" s="144"/>
      <c r="I42" s="144"/>
      <c r="J42" s="14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3" t="s">
        <v>81</v>
      </c>
      <c r="C43" s="11"/>
      <c r="D43" s="12"/>
      <c r="F43" s="59" t="s">
        <v>82</v>
      </c>
      <c r="G43" s="90" t="s">
        <v>83</v>
      </c>
      <c r="H43" s="135" t="s">
        <v>13</v>
      </c>
      <c r="I43" s="136"/>
      <c r="J43" s="137"/>
      <c r="K43" s="21"/>
      <c r="P43" s="4"/>
      <c r="Q43" s="4"/>
      <c r="R43" s="5"/>
    </row>
    <row r="44" spans="1:18" ht="15.75" x14ac:dyDescent="0.25">
      <c r="A44" s="114"/>
      <c r="B44" s="27" t="s">
        <v>66</v>
      </c>
      <c r="C44" s="10">
        <v>4</v>
      </c>
      <c r="D44" s="12">
        <f>C44*120</f>
        <v>480</v>
      </c>
      <c r="F44" s="37" t="s">
        <v>163</v>
      </c>
      <c r="G44" s="76" t="s">
        <v>164</v>
      </c>
      <c r="H44" s="138">
        <v>101868</v>
      </c>
      <c r="I44" s="138"/>
      <c r="J44" s="138"/>
      <c r="K44" s="21"/>
      <c r="P44" s="4"/>
      <c r="Q44" s="4"/>
      <c r="R44" s="5"/>
    </row>
    <row r="45" spans="1:18" ht="15.75" x14ac:dyDescent="0.25">
      <c r="A45" s="114"/>
      <c r="B45" s="27" t="s">
        <v>68</v>
      </c>
      <c r="C45" s="33"/>
      <c r="D45" s="12">
        <f>C45*84</f>
        <v>0</v>
      </c>
      <c r="F45" s="37" t="s">
        <v>163</v>
      </c>
      <c r="G45" s="76" t="s">
        <v>165</v>
      </c>
      <c r="H45" s="138">
        <v>191152</v>
      </c>
      <c r="I45" s="138"/>
      <c r="J45" s="138"/>
      <c r="K45" s="21"/>
      <c r="P45" s="4"/>
      <c r="Q45" s="4"/>
      <c r="R45" s="5"/>
    </row>
    <row r="46" spans="1:18" ht="15.75" x14ac:dyDescent="0.25">
      <c r="A46" s="114"/>
      <c r="B46" s="49" t="s">
        <v>70</v>
      </c>
      <c r="C46" s="81"/>
      <c r="D46" s="12">
        <f>C46*1.5</f>
        <v>0</v>
      </c>
      <c r="F46" s="37"/>
      <c r="G46" s="62"/>
      <c r="H46" s="139"/>
      <c r="I46" s="139"/>
      <c r="J46" s="139"/>
      <c r="K46" s="21"/>
      <c r="P46" s="4"/>
      <c r="Q46" s="4"/>
      <c r="R46" s="5"/>
    </row>
    <row r="47" spans="1:18" ht="15.75" x14ac:dyDescent="0.25">
      <c r="A47" s="115"/>
      <c r="B47" s="27"/>
      <c r="C47" s="11"/>
      <c r="D47" s="12"/>
      <c r="F47" s="59"/>
      <c r="G47" s="59"/>
      <c r="H47" s="116"/>
      <c r="I47" s="117"/>
      <c r="J47" s="118"/>
      <c r="K47" s="21"/>
      <c r="P47" s="4"/>
      <c r="Q47" s="4"/>
      <c r="R47" s="5"/>
    </row>
    <row r="48" spans="1:18" ht="15" customHeight="1" x14ac:dyDescent="0.25">
      <c r="A48" s="113" t="s">
        <v>32</v>
      </c>
      <c r="B48" s="27" t="s">
        <v>66</v>
      </c>
      <c r="C48" s="10"/>
      <c r="D48" s="12">
        <f>C48*78</f>
        <v>0</v>
      </c>
      <c r="F48" s="59"/>
      <c r="G48" s="59"/>
      <c r="H48" s="116"/>
      <c r="I48" s="117"/>
      <c r="J48" s="1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4"/>
      <c r="B49" s="29" t="s">
        <v>68</v>
      </c>
      <c r="C49" s="33">
        <v>11</v>
      </c>
      <c r="D49" s="12">
        <f>C49*42</f>
        <v>462</v>
      </c>
      <c r="F49" s="119" t="s">
        <v>86</v>
      </c>
      <c r="G49" s="121">
        <f>H34+H35+H36+H37+H38+H39+H40+H41+G42+H44+H45+H46</f>
        <v>324022</v>
      </c>
      <c r="H49" s="122"/>
      <c r="I49" s="122"/>
      <c r="J49" s="12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4"/>
      <c r="B50" s="32" t="s">
        <v>70</v>
      </c>
      <c r="C50" s="11"/>
      <c r="D50" s="12">
        <f>C50*1.5</f>
        <v>0</v>
      </c>
      <c r="F50" s="120"/>
      <c r="G50" s="124"/>
      <c r="H50" s="125"/>
      <c r="I50" s="125"/>
      <c r="J50" s="126"/>
      <c r="P50" s="4"/>
      <c r="Q50" s="4"/>
      <c r="R50" s="5"/>
    </row>
    <row r="51" spans="1:18" ht="15" customHeight="1" x14ac:dyDescent="0.25">
      <c r="A51" s="114"/>
      <c r="B51" s="27"/>
      <c r="C51" s="10"/>
      <c r="D51" s="31"/>
      <c r="F51" s="127" t="s">
        <v>140</v>
      </c>
      <c r="G51" s="232">
        <f>G49-H29</f>
        <v>-398</v>
      </c>
      <c r="H51" s="233"/>
      <c r="I51" s="233"/>
      <c r="J51" s="23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4"/>
      <c r="B52" s="29"/>
      <c r="C52" s="33"/>
      <c r="D52" s="45"/>
      <c r="F52" s="128"/>
      <c r="G52" s="235"/>
      <c r="H52" s="236"/>
      <c r="I52" s="236"/>
      <c r="J52" s="23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9" t="s">
        <v>90</v>
      </c>
      <c r="B54" s="100"/>
      <c r="C54" s="101"/>
      <c r="D54" s="105">
        <f>SUM(D34:D53)</f>
        <v>50790</v>
      </c>
      <c r="F54" s="21"/>
      <c r="J54" s="34"/>
    </row>
    <row r="55" spans="1:18" x14ac:dyDescent="0.25">
      <c r="A55" s="102"/>
      <c r="B55" s="103"/>
      <c r="C55" s="104"/>
      <c r="D55" s="10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07" t="s">
        <v>91</v>
      </c>
      <c r="B58" s="108"/>
      <c r="C58" s="108"/>
      <c r="D58" s="109"/>
      <c r="F58" s="107" t="s">
        <v>92</v>
      </c>
      <c r="G58" s="108"/>
      <c r="H58" s="108"/>
      <c r="I58" s="108"/>
      <c r="J58" s="109"/>
    </row>
    <row r="59" spans="1:18" x14ac:dyDescent="0.25">
      <c r="A59" s="110"/>
      <c r="B59" s="111"/>
      <c r="C59" s="111"/>
      <c r="D59" s="112"/>
      <c r="F59" s="110"/>
      <c r="G59" s="111"/>
      <c r="H59" s="111"/>
      <c r="I59" s="111"/>
      <c r="J59" s="11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79CBEF-6F6C-41D9-B171-AA7638A998C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5" t="s">
        <v>1</v>
      </c>
      <c r="O1" s="195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6" t="s">
        <v>7</v>
      </c>
      <c r="B4" s="147"/>
      <c r="C4" s="147"/>
      <c r="D4" s="148"/>
      <c r="F4" s="196" t="s">
        <v>8</v>
      </c>
      <c r="G4" s="198"/>
      <c r="H4" s="200" t="s">
        <v>9</v>
      </c>
      <c r="I4" s="202"/>
      <c r="J4" s="20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97"/>
      <c r="G5" s="199"/>
      <c r="H5" s="201"/>
      <c r="I5" s="204"/>
      <c r="J5" s="20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1"/>
      <c r="B6" s="16"/>
      <c r="C6" s="10"/>
      <c r="D6" s="13">
        <f t="shared" ref="D6:D28" si="1">C6*L6</f>
        <v>0</v>
      </c>
      <c r="F6" s="206" t="s">
        <v>16</v>
      </c>
      <c r="G6" s="208"/>
      <c r="H6" s="209"/>
      <c r="I6" s="209"/>
      <c r="J6" s="21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1"/>
      <c r="B7" s="16"/>
      <c r="C7" s="10"/>
      <c r="D7" s="13">
        <f t="shared" si="1"/>
        <v>0</v>
      </c>
      <c r="F7" s="207"/>
      <c r="G7" s="211"/>
      <c r="H7" s="212"/>
      <c r="I7" s="212"/>
      <c r="J7" s="21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1"/>
      <c r="B8" s="16"/>
      <c r="C8" s="10"/>
      <c r="D8" s="13">
        <f t="shared" si="1"/>
        <v>0</v>
      </c>
      <c r="F8" s="214" t="s">
        <v>21</v>
      </c>
      <c r="G8" s="215"/>
      <c r="H8" s="216"/>
      <c r="I8" s="216"/>
      <c r="J8" s="21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1"/>
      <c r="B9" s="16"/>
      <c r="C9" s="10"/>
      <c r="D9" s="13">
        <f t="shared" si="1"/>
        <v>0</v>
      </c>
      <c r="F9" s="207"/>
      <c r="G9" s="218"/>
      <c r="H9" s="219"/>
      <c r="I9" s="219"/>
      <c r="J9" s="22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1"/>
      <c r="C10" s="10"/>
      <c r="D10" s="13">
        <f t="shared" si="1"/>
        <v>0</v>
      </c>
      <c r="F10" s="206" t="s">
        <v>26</v>
      </c>
      <c r="G10" s="221"/>
      <c r="H10" s="222"/>
      <c r="I10" s="222"/>
      <c r="J10" s="223"/>
      <c r="K10" s="8"/>
      <c r="L10" s="6">
        <f>R36</f>
        <v>972</v>
      </c>
      <c r="P10" s="4"/>
      <c r="Q10" s="4"/>
      <c r="R10" s="5"/>
    </row>
    <row r="11" spans="1:19" ht="15.75" x14ac:dyDescent="0.25">
      <c r="A11" s="141"/>
      <c r="B11" s="17"/>
      <c r="C11" s="10"/>
      <c r="D11" s="13">
        <f t="shared" si="1"/>
        <v>0</v>
      </c>
      <c r="F11" s="207"/>
      <c r="G11" s="218"/>
      <c r="H11" s="219"/>
      <c r="I11" s="219"/>
      <c r="J11" s="22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1"/>
      <c r="B12" s="17"/>
      <c r="C12" s="10"/>
      <c r="D12" s="48">
        <f t="shared" si="1"/>
        <v>0</v>
      </c>
      <c r="F12" s="224" t="s">
        <v>33</v>
      </c>
      <c r="G12" s="225"/>
      <c r="H12" s="225"/>
      <c r="I12" s="225"/>
      <c r="J12" s="22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1"/>
      <c r="B13" s="17"/>
      <c r="C13" s="10"/>
      <c r="D13" s="48">
        <f t="shared" si="1"/>
        <v>0</v>
      </c>
      <c r="F13" s="227" t="s">
        <v>36</v>
      </c>
      <c r="G13" s="191"/>
      <c r="H13" s="182">
        <f>D29</f>
        <v>0</v>
      </c>
      <c r="I13" s="183"/>
      <c r="J13" s="18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1"/>
      <c r="B14" s="14"/>
      <c r="C14" s="10"/>
      <c r="D14" s="31">
        <f t="shared" si="1"/>
        <v>0</v>
      </c>
      <c r="F14" s="185" t="s">
        <v>39</v>
      </c>
      <c r="G14" s="186"/>
      <c r="H14" s="187">
        <f>D54</f>
        <v>0</v>
      </c>
      <c r="I14" s="188"/>
      <c r="J14" s="18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1"/>
      <c r="B15" s="14"/>
      <c r="C15" s="10"/>
      <c r="D15" s="31">
        <f t="shared" si="1"/>
        <v>0</v>
      </c>
      <c r="F15" s="190" t="s">
        <v>40</v>
      </c>
      <c r="G15" s="191"/>
      <c r="H15" s="192">
        <f>H13-H14</f>
        <v>0</v>
      </c>
      <c r="I15" s="193"/>
      <c r="J15" s="19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2"/>
      <c r="I16" s="152"/>
      <c r="J16" s="15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C17" s="10"/>
      <c r="D17" s="48">
        <f t="shared" si="1"/>
        <v>0</v>
      </c>
      <c r="F17" s="56"/>
      <c r="G17" s="66" t="s">
        <v>45</v>
      </c>
      <c r="H17" s="163"/>
      <c r="I17" s="163"/>
      <c r="J17" s="16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19"/>
      <c r="C18" s="10"/>
      <c r="D18" s="48">
        <f t="shared" si="1"/>
        <v>0</v>
      </c>
      <c r="F18" s="56"/>
      <c r="G18" s="66" t="s">
        <v>47</v>
      </c>
      <c r="H18" s="163"/>
      <c r="I18" s="163"/>
      <c r="J18" s="16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14"/>
      <c r="C19" s="10"/>
      <c r="D19" s="48">
        <f t="shared" si="1"/>
        <v>0</v>
      </c>
      <c r="F19" s="56"/>
      <c r="G19" s="68" t="s">
        <v>50</v>
      </c>
      <c r="H19" s="164"/>
      <c r="I19" s="164"/>
      <c r="J19" s="1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1"/>
      <c r="B20" s="46"/>
      <c r="C20" s="10"/>
      <c r="D20" s="13">
        <f t="shared" si="1"/>
        <v>0</v>
      </c>
      <c r="F20" s="57"/>
      <c r="G20" s="70" t="s">
        <v>120</v>
      </c>
      <c r="H20" s="152"/>
      <c r="I20" s="152"/>
      <c r="J20" s="15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5" t="s">
        <v>13</v>
      </c>
      <c r="I21" s="166"/>
      <c r="J21" s="16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1"/>
      <c r="B22" s="46"/>
      <c r="C22" s="10"/>
      <c r="D22" s="48">
        <f t="shared" si="1"/>
        <v>0</v>
      </c>
      <c r="F22" s="77"/>
      <c r="G22" s="73"/>
      <c r="H22" s="168"/>
      <c r="I22" s="168"/>
      <c r="J22" s="16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/>
      <c r="C23" s="10"/>
      <c r="D23" s="48">
        <f t="shared" si="1"/>
        <v>0</v>
      </c>
      <c r="F23" s="78"/>
      <c r="G23" s="79"/>
      <c r="H23" s="169"/>
      <c r="I23" s="138"/>
      <c r="J23" s="13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/>
      <c r="C24" s="10"/>
      <c r="D24" s="48">
        <f t="shared" si="1"/>
        <v>0</v>
      </c>
      <c r="F24" s="38"/>
      <c r="G24" s="37"/>
      <c r="H24" s="169"/>
      <c r="I24" s="138"/>
      <c r="J24" s="13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/>
      <c r="C26" s="10"/>
      <c r="D26" s="48">
        <f t="shared" si="1"/>
        <v>0</v>
      </c>
      <c r="F26" s="64"/>
      <c r="G26" s="59"/>
      <c r="H26" s="173"/>
      <c r="I26" s="174"/>
      <c r="J26" s="17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1"/>
      <c r="B27" s="14"/>
      <c r="C27" s="10"/>
      <c r="D27" s="44">
        <f t="shared" si="1"/>
        <v>0</v>
      </c>
      <c r="F27" s="25"/>
      <c r="G27" s="80"/>
      <c r="H27" s="176"/>
      <c r="I27" s="177"/>
      <c r="J27" s="17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/>
      <c r="C28" s="10"/>
      <c r="D28" s="48">
        <f t="shared" si="1"/>
        <v>0</v>
      </c>
      <c r="F28" s="93"/>
      <c r="G28" s="61"/>
      <c r="H28" s="179"/>
      <c r="I28" s="180"/>
      <c r="J28" s="18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3" t="s">
        <v>36</v>
      </c>
      <c r="B29" s="154"/>
      <c r="C29" s="155"/>
      <c r="D29" s="159">
        <f>SUM(D6:D28)</f>
        <v>0</v>
      </c>
      <c r="F29" s="99" t="s">
        <v>55</v>
      </c>
      <c r="G29" s="161"/>
      <c r="H29" s="121">
        <f>H15-H16-H17-H18-H19-H20-H22-H23-H24+H26+H27</f>
        <v>0</v>
      </c>
      <c r="I29" s="122"/>
      <c r="J29" s="12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6"/>
      <c r="B30" s="157"/>
      <c r="C30" s="158"/>
      <c r="D30" s="160"/>
      <c r="F30" s="102"/>
      <c r="G30" s="162"/>
      <c r="H30" s="124"/>
      <c r="I30" s="125"/>
      <c r="J30" s="12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6" t="s">
        <v>58</v>
      </c>
      <c r="B32" s="147"/>
      <c r="C32" s="147"/>
      <c r="D32" s="148"/>
      <c r="F32" s="149" t="s">
        <v>59</v>
      </c>
      <c r="G32" s="150"/>
      <c r="H32" s="150"/>
      <c r="I32" s="150"/>
      <c r="J32" s="15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49" t="s">
        <v>13</v>
      </c>
      <c r="I33" s="150"/>
      <c r="J33" s="15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3"/>
      <c r="I34" s="144"/>
      <c r="J34" s="14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1"/>
      <c r="B35" s="27" t="s">
        <v>68</v>
      </c>
      <c r="C35" s="52"/>
      <c r="D35" s="30">
        <f>C35*84</f>
        <v>0</v>
      </c>
      <c r="F35" s="58">
        <v>500</v>
      </c>
      <c r="G35" s="41"/>
      <c r="H35" s="143"/>
      <c r="I35" s="144"/>
      <c r="J35" s="14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70</v>
      </c>
      <c r="C36" s="10"/>
      <c r="D36" s="12">
        <f>C36*1.5</f>
        <v>0</v>
      </c>
      <c r="F36" s="12">
        <v>200</v>
      </c>
      <c r="G36" s="37"/>
      <c r="H36" s="143"/>
      <c r="I36" s="144"/>
      <c r="J36" s="14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3"/>
      <c r="I37" s="144"/>
      <c r="J37" s="14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1"/>
      <c r="B38" s="29" t="s">
        <v>68</v>
      </c>
      <c r="C38" s="54"/>
      <c r="D38" s="12">
        <f>C38*84</f>
        <v>0</v>
      </c>
      <c r="F38" s="30">
        <v>50</v>
      </c>
      <c r="G38" s="39"/>
      <c r="H38" s="143"/>
      <c r="I38" s="144"/>
      <c r="J38" s="14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2"/>
      <c r="B39" s="29" t="s">
        <v>70</v>
      </c>
      <c r="C39" s="52"/>
      <c r="D39" s="31">
        <f>C39*4.5</f>
        <v>0</v>
      </c>
      <c r="F39" s="12">
        <v>20</v>
      </c>
      <c r="G39" s="37"/>
      <c r="H39" s="143"/>
      <c r="I39" s="144"/>
      <c r="J39" s="14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3"/>
      <c r="I40" s="144"/>
      <c r="J40" s="14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1"/>
      <c r="B41" s="27" t="s">
        <v>68</v>
      </c>
      <c r="C41" s="10"/>
      <c r="D41" s="12">
        <f>C41*84</f>
        <v>0</v>
      </c>
      <c r="F41" s="12">
        <v>5</v>
      </c>
      <c r="G41" s="42"/>
      <c r="H41" s="143"/>
      <c r="I41" s="144"/>
      <c r="J41" s="14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2"/>
      <c r="B42" s="27" t="s">
        <v>70</v>
      </c>
      <c r="C42" s="11"/>
      <c r="D42" s="12">
        <f>C42*2.25</f>
        <v>0</v>
      </c>
      <c r="F42" s="39" t="s">
        <v>79</v>
      </c>
      <c r="G42" s="143"/>
      <c r="H42" s="144"/>
      <c r="I42" s="144"/>
      <c r="J42" s="14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3" t="s">
        <v>81</v>
      </c>
      <c r="C43" s="11"/>
      <c r="D43" s="12"/>
      <c r="F43" s="59" t="s">
        <v>82</v>
      </c>
      <c r="G43" s="90" t="s">
        <v>83</v>
      </c>
      <c r="H43" s="135" t="s">
        <v>13</v>
      </c>
      <c r="I43" s="136"/>
      <c r="J43" s="137"/>
      <c r="K43" s="21"/>
      <c r="P43" s="4"/>
      <c r="Q43" s="4"/>
      <c r="R43" s="5"/>
    </row>
    <row r="44" spans="1:18" ht="15.75" x14ac:dyDescent="0.25">
      <c r="A44" s="114"/>
      <c r="B44" s="27" t="s">
        <v>66</v>
      </c>
      <c r="C44" s="10"/>
      <c r="D44" s="12">
        <f>C44*120</f>
        <v>0</v>
      </c>
      <c r="F44" s="37"/>
      <c r="G44" s="76"/>
      <c r="H44" s="138"/>
      <c r="I44" s="138"/>
      <c r="J44" s="138"/>
      <c r="K44" s="21"/>
      <c r="P44" s="4"/>
      <c r="Q44" s="4"/>
      <c r="R44" s="5"/>
    </row>
    <row r="45" spans="1:18" ht="15.75" x14ac:dyDescent="0.25">
      <c r="A45" s="114"/>
      <c r="B45" s="27" t="s">
        <v>68</v>
      </c>
      <c r="C45" s="33"/>
      <c r="D45" s="12">
        <f>C45*84</f>
        <v>0</v>
      </c>
      <c r="F45" s="37"/>
      <c r="G45" s="76"/>
      <c r="H45" s="138"/>
      <c r="I45" s="138"/>
      <c r="J45" s="138"/>
      <c r="K45" s="21"/>
      <c r="P45" s="4"/>
      <c r="Q45" s="4"/>
      <c r="R45" s="5"/>
    </row>
    <row r="46" spans="1:18" ht="15.75" x14ac:dyDescent="0.25">
      <c r="A46" s="114"/>
      <c r="B46" s="49" t="s">
        <v>70</v>
      </c>
      <c r="C46" s="81"/>
      <c r="D46" s="12">
        <f>C46*1.5</f>
        <v>0</v>
      </c>
      <c r="F46" s="37"/>
      <c r="G46" s="62"/>
      <c r="H46" s="139"/>
      <c r="I46" s="139"/>
      <c r="J46" s="139"/>
      <c r="K46" s="21"/>
      <c r="P46" s="4"/>
      <c r="Q46" s="4"/>
      <c r="R46" s="5"/>
    </row>
    <row r="47" spans="1:18" ht="15.75" x14ac:dyDescent="0.25">
      <c r="A47" s="115"/>
      <c r="B47" s="27"/>
      <c r="C47" s="11"/>
      <c r="D47" s="12"/>
      <c r="F47" s="59"/>
      <c r="G47" s="59"/>
      <c r="H47" s="116"/>
      <c r="I47" s="117"/>
      <c r="J47" s="118"/>
      <c r="K47" s="21"/>
      <c r="P47" s="4"/>
      <c r="Q47" s="4"/>
      <c r="R47" s="5"/>
    </row>
    <row r="48" spans="1:18" ht="15" customHeight="1" x14ac:dyDescent="0.25">
      <c r="A48" s="113" t="s">
        <v>32</v>
      </c>
      <c r="B48" s="27" t="s">
        <v>66</v>
      </c>
      <c r="C48" s="10"/>
      <c r="D48" s="12">
        <f>C48*78</f>
        <v>0</v>
      </c>
      <c r="F48" s="59"/>
      <c r="G48" s="59"/>
      <c r="H48" s="116"/>
      <c r="I48" s="117"/>
      <c r="J48" s="1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4"/>
      <c r="B49" s="29" t="s">
        <v>68</v>
      </c>
      <c r="C49" s="33"/>
      <c r="D49" s="12">
        <f>C49*42</f>
        <v>0</v>
      </c>
      <c r="F49" s="119" t="s">
        <v>86</v>
      </c>
      <c r="G49" s="121">
        <f>H34+H35+H36+H37+H38+H39+H40+H41+G42+H44+H45+H46</f>
        <v>0</v>
      </c>
      <c r="H49" s="122"/>
      <c r="I49" s="122"/>
      <c r="J49" s="12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4"/>
      <c r="B50" s="32" t="s">
        <v>70</v>
      </c>
      <c r="C50" s="11"/>
      <c r="D50" s="12">
        <f>C50*1.5</f>
        <v>0</v>
      </c>
      <c r="F50" s="120"/>
      <c r="G50" s="124"/>
      <c r="H50" s="125"/>
      <c r="I50" s="125"/>
      <c r="J50" s="126"/>
      <c r="P50" s="4"/>
      <c r="Q50" s="4"/>
      <c r="R50" s="5"/>
    </row>
    <row r="51" spans="1:18" ht="15" customHeight="1" x14ac:dyDescent="0.25">
      <c r="A51" s="114"/>
      <c r="B51" s="27"/>
      <c r="C51" s="10"/>
      <c r="D51" s="31"/>
      <c r="F51" s="127" t="s">
        <v>128</v>
      </c>
      <c r="G51" s="129">
        <f>G49-H29</f>
        <v>0</v>
      </c>
      <c r="H51" s="130"/>
      <c r="I51" s="130"/>
      <c r="J51" s="13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4"/>
      <c r="B52" s="29"/>
      <c r="C52" s="33"/>
      <c r="D52" s="45"/>
      <c r="F52" s="128"/>
      <c r="G52" s="132"/>
      <c r="H52" s="133"/>
      <c r="I52" s="133"/>
      <c r="J52" s="1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9" t="s">
        <v>90</v>
      </c>
      <c r="B54" s="100"/>
      <c r="C54" s="101"/>
      <c r="D54" s="105">
        <f>SUM(D34:D53)</f>
        <v>0</v>
      </c>
      <c r="F54" s="21"/>
      <c r="J54" s="34"/>
    </row>
    <row r="55" spans="1:18" x14ac:dyDescent="0.25">
      <c r="A55" s="102"/>
      <c r="B55" s="103"/>
      <c r="C55" s="104"/>
      <c r="D55" s="10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7" t="s">
        <v>91</v>
      </c>
      <c r="B58" s="108"/>
      <c r="C58" s="108"/>
      <c r="D58" s="109"/>
      <c r="F58" s="107" t="s">
        <v>92</v>
      </c>
      <c r="G58" s="108"/>
      <c r="H58" s="108"/>
      <c r="I58" s="108"/>
      <c r="J58" s="109"/>
    </row>
    <row r="59" spans="1:18" x14ac:dyDescent="0.25">
      <c r="A59" s="110"/>
      <c r="B59" s="111"/>
      <c r="C59" s="111"/>
      <c r="D59" s="112"/>
      <c r="F59" s="110"/>
      <c r="G59" s="111"/>
      <c r="H59" s="111"/>
      <c r="I59" s="111"/>
      <c r="J59" s="11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18BE-29B0-485D-A3A4-C99833CB9FE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5" t="s">
        <v>1</v>
      </c>
      <c r="O1" s="19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6" t="s">
        <v>7</v>
      </c>
      <c r="B4" s="147"/>
      <c r="C4" s="147"/>
      <c r="D4" s="148"/>
      <c r="F4" s="196" t="s">
        <v>8</v>
      </c>
      <c r="G4" s="198">
        <v>1</v>
      </c>
      <c r="H4" s="200" t="s">
        <v>9</v>
      </c>
      <c r="I4" s="202">
        <v>45996</v>
      </c>
      <c r="J4" s="20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97"/>
      <c r="G5" s="199"/>
      <c r="H5" s="201"/>
      <c r="I5" s="204"/>
      <c r="J5" s="20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84">
        <v>522</v>
      </c>
      <c r="D6" s="13">
        <f t="shared" ref="D6:D28" si="1">C6*L6</f>
        <v>384714</v>
      </c>
      <c r="F6" s="206" t="s">
        <v>16</v>
      </c>
      <c r="G6" s="208" t="s">
        <v>129</v>
      </c>
      <c r="H6" s="209"/>
      <c r="I6" s="209"/>
      <c r="J6" s="21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84">
        <v>3</v>
      </c>
      <c r="D7" s="13">
        <f t="shared" si="1"/>
        <v>2175</v>
      </c>
      <c r="F7" s="207"/>
      <c r="G7" s="211"/>
      <c r="H7" s="212"/>
      <c r="I7" s="212"/>
      <c r="J7" s="21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84">
        <v>50</v>
      </c>
      <c r="D8" s="13">
        <f t="shared" si="1"/>
        <v>51650</v>
      </c>
      <c r="F8" s="214" t="s">
        <v>21</v>
      </c>
      <c r="G8" s="215" t="s">
        <v>112</v>
      </c>
      <c r="H8" s="216"/>
      <c r="I8" s="216"/>
      <c r="J8" s="21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84">
        <v>51</v>
      </c>
      <c r="D9" s="13">
        <f t="shared" si="1"/>
        <v>36057</v>
      </c>
      <c r="F9" s="207"/>
      <c r="G9" s="218"/>
      <c r="H9" s="219"/>
      <c r="I9" s="219"/>
      <c r="J9" s="22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84"/>
      <c r="D10" s="13">
        <f t="shared" si="1"/>
        <v>0</v>
      </c>
      <c r="F10" s="206" t="s">
        <v>26</v>
      </c>
      <c r="G10" s="221" t="s">
        <v>130</v>
      </c>
      <c r="H10" s="222"/>
      <c r="I10" s="222"/>
      <c r="J10" s="223"/>
      <c r="K10" s="8"/>
      <c r="L10" s="6">
        <f>R36</f>
        <v>972</v>
      </c>
      <c r="P10" s="4"/>
      <c r="Q10" s="4"/>
      <c r="R10" s="5"/>
    </row>
    <row r="11" spans="1:18" ht="15.75" x14ac:dyDescent="0.25">
      <c r="A11" s="141"/>
      <c r="B11" s="17" t="s">
        <v>28</v>
      </c>
      <c r="C11" s="84"/>
      <c r="D11" s="13">
        <f t="shared" si="1"/>
        <v>0</v>
      </c>
      <c r="F11" s="207"/>
      <c r="G11" s="218"/>
      <c r="H11" s="219"/>
      <c r="I11" s="219"/>
      <c r="J11" s="22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84"/>
      <c r="D12" s="48">
        <f t="shared" si="1"/>
        <v>0</v>
      </c>
      <c r="F12" s="224" t="s">
        <v>33</v>
      </c>
      <c r="G12" s="225"/>
      <c r="H12" s="225"/>
      <c r="I12" s="225"/>
      <c r="J12" s="22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84">
        <v>22</v>
      </c>
      <c r="D13" s="48">
        <f t="shared" si="1"/>
        <v>6754</v>
      </c>
      <c r="F13" s="227" t="s">
        <v>36</v>
      </c>
      <c r="G13" s="191"/>
      <c r="H13" s="182">
        <f>D29</f>
        <v>481416</v>
      </c>
      <c r="I13" s="183"/>
      <c r="J13" s="18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84">
        <v>6</v>
      </c>
      <c r="D14" s="31">
        <f t="shared" si="1"/>
        <v>66</v>
      </c>
      <c r="F14" s="185" t="s">
        <v>39</v>
      </c>
      <c r="G14" s="186"/>
      <c r="H14" s="187">
        <f>D54</f>
        <v>102241.5</v>
      </c>
      <c r="I14" s="188"/>
      <c r="J14" s="18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38</v>
      </c>
      <c r="C15" s="84"/>
      <c r="D15" s="31">
        <f t="shared" si="1"/>
        <v>0</v>
      </c>
      <c r="F15" s="190" t="s">
        <v>40</v>
      </c>
      <c r="G15" s="191"/>
      <c r="H15" s="192">
        <f>H13-H14</f>
        <v>379174.5</v>
      </c>
      <c r="I15" s="193"/>
      <c r="J15" s="19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2">
        <f>3012</f>
        <v>3012</v>
      </c>
      <c r="I16" s="152"/>
      <c r="J16" s="15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t="s">
        <v>138</v>
      </c>
      <c r="C17" s="84"/>
      <c r="D17" s="48">
        <f t="shared" si="1"/>
        <v>0</v>
      </c>
      <c r="F17" s="56"/>
      <c r="G17" s="66" t="s">
        <v>45</v>
      </c>
      <c r="H17" s="163"/>
      <c r="I17" s="163"/>
      <c r="J17" s="16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3"/>
      <c r="I18" s="163"/>
      <c r="J18" s="16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63"/>
      <c r="I19" s="163"/>
      <c r="J19" s="163"/>
      <c r="L19" s="6">
        <v>1102</v>
      </c>
      <c r="Q19" s="4"/>
      <c r="R19" s="5">
        <f t="shared" si="0"/>
        <v>0</v>
      </c>
    </row>
    <row r="20" spans="1:18" ht="15.75" x14ac:dyDescent="0.25">
      <c r="A20" s="14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2"/>
      <c r="I20" s="152"/>
      <c r="J20" s="15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1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65" t="s">
        <v>13</v>
      </c>
      <c r="I21" s="166"/>
      <c r="J21" s="16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1"/>
      <c r="B22" s="46" t="s">
        <v>127</v>
      </c>
      <c r="C22" s="84"/>
      <c r="D22" s="48">
        <f t="shared" si="1"/>
        <v>0</v>
      </c>
      <c r="F22" s="77" t="s">
        <v>166</v>
      </c>
      <c r="G22" s="73">
        <v>7681</v>
      </c>
      <c r="H22" s="168">
        <v>45650</v>
      </c>
      <c r="I22" s="168"/>
      <c r="J22" s="16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101</v>
      </c>
      <c r="C23" s="84"/>
      <c r="D23" s="48">
        <f t="shared" si="1"/>
        <v>0</v>
      </c>
      <c r="F23" s="77"/>
      <c r="G23" s="79"/>
      <c r="H23" s="228"/>
      <c r="I23" s="229"/>
      <c r="J23" s="22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121</v>
      </c>
      <c r="C24" s="84"/>
      <c r="D24" s="48">
        <f t="shared" si="1"/>
        <v>0</v>
      </c>
      <c r="F24" s="77"/>
      <c r="G24" s="79"/>
      <c r="H24" s="228"/>
      <c r="I24" s="229"/>
      <c r="J24" s="22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137</v>
      </c>
      <c r="C26" s="84"/>
      <c r="D26" s="48">
        <f t="shared" si="1"/>
        <v>0</v>
      </c>
      <c r="F26" s="75"/>
      <c r="G26" s="65"/>
      <c r="H26" s="138"/>
      <c r="I26" s="138"/>
      <c r="J26" s="138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1"/>
      <c r="B27" s="14" t="s">
        <v>110</v>
      </c>
      <c r="C27" s="84"/>
      <c r="D27" s="44">
        <f t="shared" si="1"/>
        <v>0</v>
      </c>
      <c r="F27" s="71"/>
      <c r="G27" s="90"/>
      <c r="H27" s="230"/>
      <c r="I27" s="231"/>
      <c r="J27" s="23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97</v>
      </c>
      <c r="C28" s="84"/>
      <c r="D28" s="48">
        <f t="shared" si="1"/>
        <v>0</v>
      </c>
      <c r="F28" s="93"/>
      <c r="G28" s="61"/>
      <c r="H28" s="179"/>
      <c r="I28" s="180"/>
      <c r="J28" s="18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3" t="s">
        <v>36</v>
      </c>
      <c r="B29" s="154"/>
      <c r="C29" s="155"/>
      <c r="D29" s="159">
        <f>SUM(D6:D28)</f>
        <v>481416</v>
      </c>
      <c r="F29" s="99" t="s">
        <v>55</v>
      </c>
      <c r="G29" s="161"/>
      <c r="H29" s="121">
        <f>H15-H16-H17-H18-H19-H20-H22-H23-H24+H26+H27+H28</f>
        <v>330512.5</v>
      </c>
      <c r="I29" s="122"/>
      <c r="J29" s="12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6"/>
      <c r="B30" s="157"/>
      <c r="C30" s="158"/>
      <c r="D30" s="160"/>
      <c r="F30" s="102"/>
      <c r="G30" s="162"/>
      <c r="H30" s="124"/>
      <c r="I30" s="125"/>
      <c r="J30" s="12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6" t="s">
        <v>58</v>
      </c>
      <c r="B32" s="147"/>
      <c r="C32" s="147"/>
      <c r="D32" s="148"/>
      <c r="F32" s="149" t="s">
        <v>59</v>
      </c>
      <c r="G32" s="150"/>
      <c r="H32" s="150"/>
      <c r="I32" s="150"/>
      <c r="J32" s="15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49" t="s">
        <v>13</v>
      </c>
      <c r="I33" s="150"/>
      <c r="J33" s="15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65</v>
      </c>
      <c r="B34" s="26" t="s">
        <v>66</v>
      </c>
      <c r="C34" s="51">
        <v>10</v>
      </c>
      <c r="D34" s="30">
        <f>C34*120</f>
        <v>1200</v>
      </c>
      <c r="F34" s="12">
        <v>1000</v>
      </c>
      <c r="G34" s="40">
        <v>278</v>
      </c>
      <c r="H34" s="143">
        <f t="shared" ref="H34:H39" si="2">F34*G34</f>
        <v>278000</v>
      </c>
      <c r="I34" s="144"/>
      <c r="J34" s="14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1"/>
      <c r="B35" s="27" t="s">
        <v>68</v>
      </c>
      <c r="C35" s="52"/>
      <c r="D35" s="30">
        <f>C35*84</f>
        <v>0</v>
      </c>
      <c r="F35" s="58">
        <v>500</v>
      </c>
      <c r="G35" s="41">
        <v>102</v>
      </c>
      <c r="H35" s="143">
        <f t="shared" si="2"/>
        <v>51000</v>
      </c>
      <c r="I35" s="144"/>
      <c r="J35" s="14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70</v>
      </c>
      <c r="C36" s="10">
        <v>12</v>
      </c>
      <c r="D36" s="12">
        <f>C36*1.5</f>
        <v>18</v>
      </c>
      <c r="F36" s="12">
        <v>200</v>
      </c>
      <c r="G36" s="37"/>
      <c r="H36" s="143">
        <f t="shared" si="2"/>
        <v>0</v>
      </c>
      <c r="I36" s="144"/>
      <c r="J36" s="14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0" t="s">
        <v>72</v>
      </c>
      <c r="B37" s="28" t="s">
        <v>66</v>
      </c>
      <c r="C37" s="53">
        <v>838</v>
      </c>
      <c r="D37" s="12">
        <f>C37*111</f>
        <v>93018</v>
      </c>
      <c r="F37" s="12">
        <v>100</v>
      </c>
      <c r="G37" s="39">
        <v>9</v>
      </c>
      <c r="H37" s="143">
        <f t="shared" si="2"/>
        <v>900</v>
      </c>
      <c r="I37" s="144"/>
      <c r="J37" s="14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1"/>
      <c r="B38" s="29" t="s">
        <v>68</v>
      </c>
      <c r="C38" s="54"/>
      <c r="D38" s="12">
        <f>C38*84</f>
        <v>0</v>
      </c>
      <c r="F38" s="30">
        <v>50</v>
      </c>
      <c r="G38" s="39">
        <v>3</v>
      </c>
      <c r="H38" s="143">
        <f t="shared" si="2"/>
        <v>150</v>
      </c>
      <c r="I38" s="144"/>
      <c r="J38" s="14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2"/>
      <c r="B39" s="29" t="s">
        <v>70</v>
      </c>
      <c r="C39" s="52"/>
      <c r="D39" s="31">
        <f>C39*4.5</f>
        <v>0</v>
      </c>
      <c r="F39" s="12">
        <v>20</v>
      </c>
      <c r="G39" s="37"/>
      <c r="H39" s="143">
        <f t="shared" si="2"/>
        <v>0</v>
      </c>
      <c r="I39" s="144"/>
      <c r="J39" s="14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43"/>
      <c r="I40" s="144"/>
      <c r="J40" s="14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1"/>
      <c r="B41" s="27" t="s">
        <v>68</v>
      </c>
      <c r="C41" s="10"/>
      <c r="D41" s="12">
        <f>C41*84</f>
        <v>0</v>
      </c>
      <c r="F41" s="12">
        <v>5</v>
      </c>
      <c r="G41" s="42"/>
      <c r="H41" s="143"/>
      <c r="I41" s="144"/>
      <c r="J41" s="14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2"/>
      <c r="B42" s="27" t="s">
        <v>70</v>
      </c>
      <c r="C42" s="11"/>
      <c r="D42" s="12">
        <f>C42*2.25</f>
        <v>0</v>
      </c>
      <c r="F42" s="39" t="s">
        <v>79</v>
      </c>
      <c r="G42" s="143">
        <v>25</v>
      </c>
      <c r="H42" s="144"/>
      <c r="I42" s="144"/>
      <c r="J42" s="14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3" t="s">
        <v>81</v>
      </c>
      <c r="C43" s="11"/>
      <c r="D43" s="12"/>
      <c r="F43" s="59" t="s">
        <v>82</v>
      </c>
      <c r="G43" s="90" t="s">
        <v>83</v>
      </c>
      <c r="H43" s="135" t="s">
        <v>13</v>
      </c>
      <c r="I43" s="136"/>
      <c r="J43" s="13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4"/>
      <c r="B44" s="27" t="s">
        <v>66</v>
      </c>
      <c r="C44" s="10">
        <v>41</v>
      </c>
      <c r="D44" s="12">
        <f>C44*120</f>
        <v>4920</v>
      </c>
      <c r="F44" s="37"/>
      <c r="G44" s="62"/>
      <c r="H44" s="138"/>
      <c r="I44" s="138"/>
      <c r="J44" s="13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14"/>
      <c r="B45" s="27" t="s">
        <v>68</v>
      </c>
      <c r="C45" s="33"/>
      <c r="D45" s="12">
        <f>C45*84</f>
        <v>0</v>
      </c>
      <c r="F45" s="37"/>
      <c r="G45" s="62"/>
      <c r="H45" s="138"/>
      <c r="I45" s="138"/>
      <c r="J45" s="138"/>
      <c r="K45" s="21"/>
      <c r="P45" s="4"/>
      <c r="Q45" s="4"/>
      <c r="R45" s="5"/>
    </row>
    <row r="46" spans="1:18" ht="15.75" x14ac:dyDescent="0.25">
      <c r="A46" s="114"/>
      <c r="B46" s="49" t="s">
        <v>70</v>
      </c>
      <c r="C46" s="81">
        <v>9</v>
      </c>
      <c r="D46" s="12">
        <f>C46*1.5</f>
        <v>13.5</v>
      </c>
      <c r="F46" s="37"/>
      <c r="G46" s="62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5"/>
      <c r="B47" s="27"/>
      <c r="C47" s="11"/>
      <c r="D47" s="12"/>
      <c r="F47" s="59"/>
      <c r="G47" s="59"/>
      <c r="H47" s="116"/>
      <c r="I47" s="117"/>
      <c r="J47" s="118"/>
      <c r="K47" s="21"/>
      <c r="P47" s="4"/>
      <c r="Q47" s="4"/>
      <c r="R47" s="5"/>
    </row>
    <row r="48" spans="1:18" ht="15" customHeight="1" x14ac:dyDescent="0.25">
      <c r="A48" s="113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16"/>
      <c r="I48" s="117"/>
      <c r="J48" s="1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4"/>
      <c r="B49" s="29" t="s">
        <v>68</v>
      </c>
      <c r="C49" s="33">
        <v>48</v>
      </c>
      <c r="D49" s="12">
        <f>C49*42</f>
        <v>2016</v>
      </c>
      <c r="F49" s="119" t="s">
        <v>86</v>
      </c>
      <c r="G49" s="121">
        <f>H34+H35+H36+H37+H38+H39+H40+H41+G42+H44+H45+H46</f>
        <v>330075</v>
      </c>
      <c r="H49" s="122"/>
      <c r="I49" s="122"/>
      <c r="J49" s="12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4"/>
      <c r="B50" s="32" t="s">
        <v>70</v>
      </c>
      <c r="C50" s="11">
        <v>14</v>
      </c>
      <c r="D50" s="12">
        <f>C50*1.5</f>
        <v>21</v>
      </c>
      <c r="F50" s="120"/>
      <c r="G50" s="124"/>
      <c r="H50" s="125"/>
      <c r="I50" s="125"/>
      <c r="J50" s="126"/>
      <c r="P50" s="4"/>
      <c r="Q50" s="4"/>
      <c r="R50" s="5"/>
    </row>
    <row r="51" spans="1:18" ht="15" customHeight="1" x14ac:dyDescent="0.25">
      <c r="A51" s="114"/>
      <c r="B51" s="27"/>
      <c r="C51" s="10"/>
      <c r="D51" s="31"/>
      <c r="F51" s="127" t="s">
        <v>131</v>
      </c>
      <c r="G51" s="232">
        <f>G49-H29</f>
        <v>-437.5</v>
      </c>
      <c r="H51" s="233"/>
      <c r="I51" s="233"/>
      <c r="J51" s="23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4"/>
      <c r="B52" s="29"/>
      <c r="C52" s="33"/>
      <c r="D52" s="45"/>
      <c r="F52" s="128"/>
      <c r="G52" s="235"/>
      <c r="H52" s="236"/>
      <c r="I52" s="236"/>
      <c r="J52" s="23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9" t="s">
        <v>90</v>
      </c>
      <c r="B54" s="100"/>
      <c r="C54" s="101"/>
      <c r="D54" s="105">
        <f>SUM(D34:D53)</f>
        <v>102241.5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2"/>
      <c r="B55" s="103"/>
      <c r="C55" s="104"/>
      <c r="D55" s="10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07" t="s">
        <v>91</v>
      </c>
      <c r="B58" s="108"/>
      <c r="C58" s="108"/>
      <c r="D58" s="109"/>
      <c r="F58" s="107" t="s">
        <v>92</v>
      </c>
      <c r="G58" s="108"/>
      <c r="H58" s="108"/>
      <c r="I58" s="108"/>
      <c r="J58" s="109"/>
    </row>
    <row r="59" spans="1:18" x14ac:dyDescent="0.25">
      <c r="A59" s="110"/>
      <c r="B59" s="111"/>
      <c r="C59" s="111"/>
      <c r="D59" s="112"/>
      <c r="F59" s="110"/>
      <c r="G59" s="111"/>
      <c r="H59" s="111"/>
      <c r="I59" s="111"/>
      <c r="J59" s="11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5333D-C745-474C-8FF0-9245C6796D1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5" t="s">
        <v>1</v>
      </c>
      <c r="O1" s="19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6" t="s">
        <v>7</v>
      </c>
      <c r="B4" s="147"/>
      <c r="C4" s="147"/>
      <c r="D4" s="148"/>
      <c r="F4" s="196" t="s">
        <v>8</v>
      </c>
      <c r="G4" s="198">
        <v>2</v>
      </c>
      <c r="H4" s="200" t="s">
        <v>9</v>
      </c>
      <c r="I4" s="202">
        <v>45996</v>
      </c>
      <c r="J4" s="20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97"/>
      <c r="G5" s="199"/>
      <c r="H5" s="201"/>
      <c r="I5" s="204"/>
      <c r="J5" s="20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10">
        <v>186</v>
      </c>
      <c r="D6" s="13">
        <f t="shared" ref="D6:D28" si="1">C6*L6</f>
        <v>137082</v>
      </c>
      <c r="F6" s="206" t="s">
        <v>16</v>
      </c>
      <c r="G6" s="208" t="s">
        <v>141</v>
      </c>
      <c r="H6" s="209"/>
      <c r="I6" s="209"/>
      <c r="J6" s="21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10">
        <v>2</v>
      </c>
      <c r="D7" s="13">
        <f t="shared" si="1"/>
        <v>1450</v>
      </c>
      <c r="F7" s="207"/>
      <c r="G7" s="211"/>
      <c r="H7" s="212"/>
      <c r="I7" s="212"/>
      <c r="J7" s="21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10"/>
      <c r="D8" s="13">
        <f t="shared" si="1"/>
        <v>0</v>
      </c>
      <c r="F8" s="214" t="s">
        <v>21</v>
      </c>
      <c r="G8" s="215" t="s">
        <v>114</v>
      </c>
      <c r="H8" s="216"/>
      <c r="I8" s="216"/>
      <c r="J8" s="21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10">
        <v>8</v>
      </c>
      <c r="D9" s="13">
        <f t="shared" si="1"/>
        <v>5656</v>
      </c>
      <c r="F9" s="207"/>
      <c r="G9" s="218"/>
      <c r="H9" s="219"/>
      <c r="I9" s="219"/>
      <c r="J9" s="22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10"/>
      <c r="D10" s="13">
        <f t="shared" si="1"/>
        <v>0</v>
      </c>
      <c r="F10" s="206" t="s">
        <v>26</v>
      </c>
      <c r="G10" s="221" t="s">
        <v>115</v>
      </c>
      <c r="H10" s="222"/>
      <c r="I10" s="222"/>
      <c r="J10" s="223"/>
      <c r="K10" s="8"/>
      <c r="L10" s="6">
        <f>R36</f>
        <v>972</v>
      </c>
      <c r="P10" s="4"/>
      <c r="Q10" s="4"/>
      <c r="R10" s="5"/>
    </row>
    <row r="11" spans="1:18" ht="15.75" x14ac:dyDescent="0.25">
      <c r="A11" s="141"/>
      <c r="B11" s="17" t="s">
        <v>28</v>
      </c>
      <c r="C11" s="10"/>
      <c r="D11" s="13">
        <f t="shared" si="1"/>
        <v>0</v>
      </c>
      <c r="F11" s="207"/>
      <c r="G11" s="218"/>
      <c r="H11" s="219"/>
      <c r="I11" s="219"/>
      <c r="J11" s="22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10"/>
      <c r="D12" s="48">
        <f t="shared" si="1"/>
        <v>0</v>
      </c>
      <c r="F12" s="224" t="s">
        <v>33</v>
      </c>
      <c r="G12" s="225"/>
      <c r="H12" s="225"/>
      <c r="I12" s="225"/>
      <c r="J12" s="22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10">
        <v>5</v>
      </c>
      <c r="D13" s="48">
        <f t="shared" si="1"/>
        <v>1535</v>
      </c>
      <c r="F13" s="227" t="s">
        <v>36</v>
      </c>
      <c r="G13" s="191"/>
      <c r="H13" s="182">
        <f>D29</f>
        <v>148838.16666666666</v>
      </c>
      <c r="I13" s="183"/>
      <c r="J13" s="18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10">
        <v>16</v>
      </c>
      <c r="D14" s="31">
        <f t="shared" si="1"/>
        <v>176</v>
      </c>
      <c r="F14" s="185" t="s">
        <v>39</v>
      </c>
      <c r="G14" s="186"/>
      <c r="H14" s="187">
        <f>D54</f>
        <v>23934.75</v>
      </c>
      <c r="I14" s="188"/>
      <c r="J14" s="18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38</v>
      </c>
      <c r="C15" s="10"/>
      <c r="D15" s="31">
        <f t="shared" si="1"/>
        <v>0</v>
      </c>
      <c r="F15" s="190" t="s">
        <v>40</v>
      </c>
      <c r="G15" s="191"/>
      <c r="H15" s="192">
        <f>H13-H14</f>
        <v>124903.41666666666</v>
      </c>
      <c r="I15" s="193"/>
      <c r="J15" s="19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2"/>
      <c r="I16" s="152"/>
      <c r="J16" s="15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t="s">
        <v>93</v>
      </c>
      <c r="C17" s="10"/>
      <c r="D17" s="48">
        <f t="shared" si="1"/>
        <v>0</v>
      </c>
      <c r="F17" s="56"/>
      <c r="G17" s="66" t="s">
        <v>45</v>
      </c>
      <c r="H17" s="163"/>
      <c r="I17" s="163"/>
      <c r="J17" s="163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3"/>
      <c r="I18" s="163"/>
      <c r="J18" s="16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9"/>
      <c r="I19" s="239"/>
      <c r="J19" s="23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1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3"/>
      <c r="I20" s="163"/>
      <c r="J20" s="16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5" t="s">
        <v>13</v>
      </c>
      <c r="I21" s="166"/>
      <c r="J21" s="16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1"/>
      <c r="B22" s="46" t="s">
        <v>104</v>
      </c>
      <c r="C22" s="10"/>
      <c r="D22" s="48">
        <f t="shared" si="1"/>
        <v>0</v>
      </c>
      <c r="F22" s="72"/>
      <c r="G22" s="73"/>
      <c r="H22" s="168"/>
      <c r="I22" s="168"/>
      <c r="J22" s="16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107</v>
      </c>
      <c r="C23" s="10"/>
      <c r="D23" s="48">
        <f t="shared" si="1"/>
        <v>0</v>
      </c>
      <c r="F23" s="25"/>
      <c r="G23" s="37"/>
      <c r="H23" s="169"/>
      <c r="I23" s="138"/>
      <c r="J23" s="13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123</v>
      </c>
      <c r="C24" s="10"/>
      <c r="D24" s="48">
        <f t="shared" si="1"/>
        <v>0</v>
      </c>
      <c r="F24" s="38"/>
      <c r="G24" s="37"/>
      <c r="H24" s="169"/>
      <c r="I24" s="138"/>
      <c r="J24" s="13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124</v>
      </c>
      <c r="C25" s="10">
        <v>5</v>
      </c>
      <c r="D25" s="48">
        <f t="shared" si="1"/>
        <v>584.16666666666663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105</v>
      </c>
      <c r="C26" s="10"/>
      <c r="D26" s="48">
        <f t="shared" si="1"/>
        <v>0</v>
      </c>
      <c r="F26" s="64"/>
      <c r="G26" s="10"/>
      <c r="H26" s="173"/>
      <c r="I26" s="174"/>
      <c r="J26" s="17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1"/>
      <c r="B27" s="14" t="s">
        <v>109</v>
      </c>
      <c r="C27" s="10"/>
      <c r="D27" s="44">
        <f t="shared" si="1"/>
        <v>0</v>
      </c>
      <c r="F27" s="14"/>
      <c r="G27" s="14"/>
      <c r="H27" s="176"/>
      <c r="I27" s="177"/>
      <c r="J27" s="17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97</v>
      </c>
      <c r="C28" s="10">
        <v>3</v>
      </c>
      <c r="D28" s="48">
        <f t="shared" si="1"/>
        <v>2355</v>
      </c>
      <c r="F28" s="93"/>
      <c r="G28" s="61"/>
      <c r="H28" s="179"/>
      <c r="I28" s="180"/>
      <c r="J28" s="18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3" t="s">
        <v>36</v>
      </c>
      <c r="B29" s="154"/>
      <c r="C29" s="155"/>
      <c r="D29" s="159">
        <f>SUM(D6:D28)</f>
        <v>148838.16666666666</v>
      </c>
      <c r="F29" s="99" t="s">
        <v>55</v>
      </c>
      <c r="G29" s="161"/>
      <c r="H29" s="121">
        <f>H15-H16-H17-H18-H19-H20-H22-H23-H24+H26+H27</f>
        <v>124903.41666666666</v>
      </c>
      <c r="I29" s="122"/>
      <c r="J29" s="12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6"/>
      <c r="B30" s="157"/>
      <c r="C30" s="158"/>
      <c r="D30" s="160"/>
      <c r="F30" s="102"/>
      <c r="G30" s="162"/>
      <c r="H30" s="124"/>
      <c r="I30" s="125"/>
      <c r="J30" s="12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6" t="s">
        <v>58</v>
      </c>
      <c r="B32" s="147"/>
      <c r="C32" s="147"/>
      <c r="D32" s="148"/>
      <c r="F32" s="149" t="s">
        <v>59</v>
      </c>
      <c r="G32" s="150"/>
      <c r="H32" s="150"/>
      <c r="I32" s="150"/>
      <c r="J32" s="15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49" t="s">
        <v>13</v>
      </c>
      <c r="I33" s="150"/>
      <c r="J33" s="15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91</v>
      </c>
      <c r="H34" s="143">
        <f>F34*G34</f>
        <v>91000</v>
      </c>
      <c r="I34" s="144"/>
      <c r="J34" s="14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1"/>
      <c r="B35" s="27" t="s">
        <v>68</v>
      </c>
      <c r="C35" s="52"/>
      <c r="D35" s="30">
        <f>C35*84</f>
        <v>0</v>
      </c>
      <c r="F35" s="58">
        <v>500</v>
      </c>
      <c r="G35" s="41">
        <v>65</v>
      </c>
      <c r="H35" s="143">
        <f t="shared" ref="H35:H39" si="2">F35*G35</f>
        <v>32500</v>
      </c>
      <c r="I35" s="144"/>
      <c r="J35" s="14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43">
        <f>F36*G36</f>
        <v>200</v>
      </c>
      <c r="I36" s="144"/>
      <c r="J36" s="14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0" t="s">
        <v>72</v>
      </c>
      <c r="B37" s="28" t="s">
        <v>66</v>
      </c>
      <c r="C37" s="53">
        <v>202</v>
      </c>
      <c r="D37" s="12">
        <f>C37*111</f>
        <v>22422</v>
      </c>
      <c r="F37" s="12">
        <v>100</v>
      </c>
      <c r="G37" s="39">
        <v>17</v>
      </c>
      <c r="H37" s="143">
        <f t="shared" si="2"/>
        <v>1700</v>
      </c>
      <c r="I37" s="144"/>
      <c r="J37" s="14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1"/>
      <c r="B38" s="29" t="s">
        <v>68</v>
      </c>
      <c r="C38" s="54">
        <v>10</v>
      </c>
      <c r="D38" s="12">
        <f>C38*84</f>
        <v>840</v>
      </c>
      <c r="F38" s="30">
        <v>50</v>
      </c>
      <c r="G38" s="39"/>
      <c r="H38" s="143">
        <f t="shared" si="2"/>
        <v>0</v>
      </c>
      <c r="I38" s="144"/>
      <c r="J38" s="14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2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43">
        <f t="shared" si="2"/>
        <v>0</v>
      </c>
      <c r="I39" s="144"/>
      <c r="J39" s="14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43"/>
      <c r="I40" s="144"/>
      <c r="J40" s="14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1"/>
      <c r="B41" s="27" t="s">
        <v>68</v>
      </c>
      <c r="C41" s="10"/>
      <c r="D41" s="12">
        <f>C41*84</f>
        <v>0</v>
      </c>
      <c r="F41" s="12">
        <v>5</v>
      </c>
      <c r="G41" s="42"/>
      <c r="H41" s="143"/>
      <c r="I41" s="144"/>
      <c r="J41" s="14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2"/>
      <c r="B42" s="27" t="s">
        <v>70</v>
      </c>
      <c r="C42" s="11">
        <v>7</v>
      </c>
      <c r="D42" s="12">
        <f>C42*2.25</f>
        <v>15.75</v>
      </c>
      <c r="F42" s="39" t="s">
        <v>79</v>
      </c>
      <c r="G42" s="143">
        <v>11</v>
      </c>
      <c r="H42" s="144"/>
      <c r="I42" s="144"/>
      <c r="J42" s="14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3" t="s">
        <v>81</v>
      </c>
      <c r="C43" s="11"/>
      <c r="D43" s="12"/>
      <c r="F43" s="59" t="s">
        <v>82</v>
      </c>
      <c r="G43" s="90" t="s">
        <v>83</v>
      </c>
      <c r="H43" s="135" t="s">
        <v>13</v>
      </c>
      <c r="I43" s="136"/>
      <c r="J43" s="137"/>
      <c r="K43" s="21"/>
      <c r="P43" s="4"/>
      <c r="Q43" s="4"/>
      <c r="R43" s="5"/>
    </row>
    <row r="44" spans="1:18" ht="15.75" x14ac:dyDescent="0.25">
      <c r="A44" s="114"/>
      <c r="B44" s="27" t="s">
        <v>66</v>
      </c>
      <c r="C44" s="10"/>
      <c r="D44" s="12">
        <f>C44*120</f>
        <v>0</v>
      </c>
      <c r="F44" s="37"/>
      <c r="G44" s="62"/>
      <c r="H44" s="138"/>
      <c r="I44" s="138"/>
      <c r="J44" s="138"/>
      <c r="K44" s="21"/>
      <c r="P44" s="4"/>
      <c r="Q44" s="4"/>
      <c r="R44" s="5"/>
    </row>
    <row r="45" spans="1:18" ht="15.75" x14ac:dyDescent="0.25">
      <c r="A45" s="114"/>
      <c r="B45" s="27" t="s">
        <v>68</v>
      </c>
      <c r="C45" s="33"/>
      <c r="D45" s="12">
        <f>C45*84</f>
        <v>0</v>
      </c>
      <c r="F45" s="37"/>
      <c r="G45" s="62"/>
      <c r="H45" s="138"/>
      <c r="I45" s="138"/>
      <c r="J45" s="138"/>
      <c r="K45" s="21"/>
      <c r="P45" s="4"/>
      <c r="Q45" s="4"/>
      <c r="R45" s="5"/>
    </row>
    <row r="46" spans="1:18" ht="15.75" x14ac:dyDescent="0.25">
      <c r="A46" s="114"/>
      <c r="B46" s="49" t="s">
        <v>70</v>
      </c>
      <c r="C46" s="81"/>
      <c r="D46" s="12">
        <f>C46*1.5</f>
        <v>0</v>
      </c>
      <c r="F46" s="37"/>
      <c r="G46" s="91"/>
      <c r="H46" s="139"/>
      <c r="I46" s="139"/>
      <c r="J46" s="139"/>
      <c r="K46" s="21"/>
      <c r="P46" s="4"/>
      <c r="Q46" s="4"/>
      <c r="R46" s="5"/>
    </row>
    <row r="47" spans="1:18" ht="15.75" x14ac:dyDescent="0.25">
      <c r="A47" s="115"/>
      <c r="B47" s="27"/>
      <c r="C47" s="11"/>
      <c r="D47" s="12"/>
      <c r="F47" s="59"/>
      <c r="G47" s="59"/>
      <c r="H47" s="116"/>
      <c r="I47" s="117"/>
      <c r="J47" s="118"/>
      <c r="K47" s="21"/>
      <c r="P47" s="4"/>
      <c r="Q47" s="4"/>
      <c r="R47" s="5"/>
    </row>
    <row r="48" spans="1:18" ht="15" customHeight="1" x14ac:dyDescent="0.25">
      <c r="A48" s="113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16"/>
      <c r="I48" s="117"/>
      <c r="J48" s="1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4"/>
      <c r="B49" s="29" t="s">
        <v>68</v>
      </c>
      <c r="C49" s="33">
        <v>2</v>
      </c>
      <c r="D49" s="12">
        <f>C49*42</f>
        <v>84</v>
      </c>
      <c r="F49" s="119" t="s">
        <v>86</v>
      </c>
      <c r="G49" s="121">
        <f>H34+H35+H36+H37+H38+H39+H40+H41+G42+H44+H45+H46</f>
        <v>125411</v>
      </c>
      <c r="H49" s="122"/>
      <c r="I49" s="122"/>
      <c r="J49" s="12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4"/>
      <c r="B50" s="32" t="s">
        <v>70</v>
      </c>
      <c r="C50" s="11">
        <v>17</v>
      </c>
      <c r="D50" s="12">
        <f>C50*1.5</f>
        <v>25.5</v>
      </c>
      <c r="F50" s="120"/>
      <c r="G50" s="124"/>
      <c r="H50" s="125"/>
      <c r="I50" s="125"/>
      <c r="J50" s="126"/>
      <c r="P50" s="4"/>
      <c r="Q50" s="4"/>
      <c r="R50" s="5"/>
    </row>
    <row r="51" spans="1:18" ht="15" customHeight="1" x14ac:dyDescent="0.25">
      <c r="A51" s="114"/>
      <c r="B51" s="27"/>
      <c r="C51" s="10"/>
      <c r="D51" s="31"/>
      <c r="F51" s="127" t="s">
        <v>155</v>
      </c>
      <c r="G51" s="129">
        <f>G49-H29</f>
        <v>507.58333333334303</v>
      </c>
      <c r="H51" s="130"/>
      <c r="I51" s="130"/>
      <c r="J51" s="13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4"/>
      <c r="B52" s="29"/>
      <c r="C52" s="33"/>
      <c r="D52" s="45"/>
      <c r="F52" s="128"/>
      <c r="G52" s="132"/>
      <c r="H52" s="133"/>
      <c r="I52" s="133"/>
      <c r="J52" s="1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9" t="s">
        <v>90</v>
      </c>
      <c r="B54" s="100"/>
      <c r="C54" s="101"/>
      <c r="D54" s="105">
        <f>SUM(D34:D53)</f>
        <v>23934.75</v>
      </c>
      <c r="F54" s="21"/>
      <c r="J54" s="34"/>
    </row>
    <row r="55" spans="1:18" x14ac:dyDescent="0.25">
      <c r="A55" s="102"/>
      <c r="B55" s="103"/>
      <c r="C55" s="104"/>
      <c r="D55" s="10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7" t="s">
        <v>91</v>
      </c>
      <c r="B58" s="108"/>
      <c r="C58" s="108"/>
      <c r="D58" s="109"/>
      <c r="F58" s="107" t="s">
        <v>92</v>
      </c>
      <c r="G58" s="108"/>
      <c r="H58" s="108"/>
      <c r="I58" s="108"/>
      <c r="J58" s="109"/>
    </row>
    <row r="59" spans="1:18" x14ac:dyDescent="0.25">
      <c r="A59" s="110"/>
      <c r="B59" s="111"/>
      <c r="C59" s="111"/>
      <c r="D59" s="112"/>
      <c r="F59" s="110"/>
      <c r="G59" s="111"/>
      <c r="H59" s="111"/>
      <c r="I59" s="111"/>
      <c r="J59" s="11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47494-3345-458E-8782-BD702A3573B4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5" t="s">
        <v>1</v>
      </c>
      <c r="O1" s="19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6" t="s">
        <v>7</v>
      </c>
      <c r="B4" s="147"/>
      <c r="C4" s="147"/>
      <c r="D4" s="148"/>
      <c r="F4" s="196" t="s">
        <v>8</v>
      </c>
      <c r="G4" s="198">
        <v>3</v>
      </c>
      <c r="H4" s="200" t="s">
        <v>9</v>
      </c>
      <c r="I4" s="202">
        <v>45996</v>
      </c>
      <c r="J4" s="20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97"/>
      <c r="G5" s="199"/>
      <c r="H5" s="201"/>
      <c r="I5" s="204"/>
      <c r="J5" s="20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10">
        <v>175</v>
      </c>
      <c r="D6" s="13">
        <f t="shared" ref="D6:D28" si="1">C6*L6</f>
        <v>128975</v>
      </c>
      <c r="F6" s="206" t="s">
        <v>16</v>
      </c>
      <c r="G6" s="208" t="s">
        <v>111</v>
      </c>
      <c r="H6" s="209"/>
      <c r="I6" s="209"/>
      <c r="J6" s="21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10">
        <v>20</v>
      </c>
      <c r="D7" s="13">
        <f t="shared" si="1"/>
        <v>14500</v>
      </c>
      <c r="F7" s="207"/>
      <c r="G7" s="211"/>
      <c r="H7" s="212"/>
      <c r="I7" s="212"/>
      <c r="J7" s="21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10"/>
      <c r="D8" s="13">
        <f t="shared" si="1"/>
        <v>0</v>
      </c>
      <c r="F8" s="214" t="s">
        <v>21</v>
      </c>
      <c r="G8" s="215" t="s">
        <v>119</v>
      </c>
      <c r="H8" s="216"/>
      <c r="I8" s="216"/>
      <c r="J8" s="21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10">
        <v>17</v>
      </c>
      <c r="D9" s="13">
        <f t="shared" si="1"/>
        <v>12019</v>
      </c>
      <c r="F9" s="207"/>
      <c r="G9" s="218"/>
      <c r="H9" s="219"/>
      <c r="I9" s="219"/>
      <c r="J9" s="22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10">
        <v>3</v>
      </c>
      <c r="D10" s="13">
        <f t="shared" si="1"/>
        <v>2916</v>
      </c>
      <c r="F10" s="206" t="s">
        <v>26</v>
      </c>
      <c r="G10" s="221" t="s">
        <v>135</v>
      </c>
      <c r="H10" s="222"/>
      <c r="I10" s="222"/>
      <c r="J10" s="223"/>
      <c r="K10" s="8"/>
      <c r="L10" s="6">
        <f>R36</f>
        <v>972</v>
      </c>
      <c r="P10" s="4"/>
      <c r="Q10" s="4"/>
      <c r="R10" s="5"/>
    </row>
    <row r="11" spans="1:18" ht="15.75" x14ac:dyDescent="0.25">
      <c r="A11" s="141"/>
      <c r="B11" s="17" t="s">
        <v>28</v>
      </c>
      <c r="C11" s="10">
        <v>1</v>
      </c>
      <c r="D11" s="13">
        <f t="shared" si="1"/>
        <v>1125</v>
      </c>
      <c r="F11" s="207"/>
      <c r="G11" s="218"/>
      <c r="H11" s="219"/>
      <c r="I11" s="219"/>
      <c r="J11" s="22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10">
        <f>1+1</f>
        <v>2</v>
      </c>
      <c r="D12" s="48">
        <f t="shared" si="1"/>
        <v>1904</v>
      </c>
      <c r="F12" s="224" t="s">
        <v>33</v>
      </c>
      <c r="G12" s="225"/>
      <c r="H12" s="225"/>
      <c r="I12" s="225"/>
      <c r="J12" s="22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10">
        <v>6</v>
      </c>
      <c r="D13" s="48">
        <f t="shared" si="1"/>
        <v>1842</v>
      </c>
      <c r="F13" s="227" t="s">
        <v>36</v>
      </c>
      <c r="G13" s="191"/>
      <c r="H13" s="182">
        <f>D29</f>
        <v>166256</v>
      </c>
      <c r="I13" s="183"/>
      <c r="J13" s="18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10"/>
      <c r="D14" s="31">
        <f t="shared" si="1"/>
        <v>0</v>
      </c>
      <c r="F14" s="185" t="s">
        <v>39</v>
      </c>
      <c r="G14" s="186"/>
      <c r="H14" s="187">
        <f>D54</f>
        <v>24198</v>
      </c>
      <c r="I14" s="188"/>
      <c r="J14" s="18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38</v>
      </c>
      <c r="C15" s="10"/>
      <c r="D15" s="31">
        <f t="shared" si="1"/>
        <v>0</v>
      </c>
      <c r="F15" s="190" t="s">
        <v>40</v>
      </c>
      <c r="G15" s="191"/>
      <c r="H15" s="192">
        <f>H13-H14</f>
        <v>142058</v>
      </c>
      <c r="I15" s="193"/>
      <c r="J15" s="19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2">
        <f>300</f>
        <v>300</v>
      </c>
      <c r="I16" s="152"/>
      <c r="J16" s="15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t="s">
        <v>113</v>
      </c>
      <c r="C17" s="10"/>
      <c r="D17" s="48">
        <f t="shared" si="1"/>
        <v>0</v>
      </c>
      <c r="F17" s="56"/>
      <c r="G17" s="66" t="s">
        <v>45</v>
      </c>
      <c r="H17" s="163"/>
      <c r="I17" s="163"/>
      <c r="J17" s="16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63"/>
      <c r="I18" s="163"/>
      <c r="J18" s="16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8">
        <v>50</v>
      </c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2"/>
      <c r="I20" s="152"/>
      <c r="J20" s="15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5" t="s">
        <v>13</v>
      </c>
      <c r="I21" s="166"/>
      <c r="J21" s="16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1"/>
      <c r="B22" s="46" t="s">
        <v>104</v>
      </c>
      <c r="C22" s="10"/>
      <c r="D22" s="48">
        <f t="shared" si="1"/>
        <v>0</v>
      </c>
      <c r="F22" s="77"/>
      <c r="G22" s="73"/>
      <c r="H22" s="168"/>
      <c r="I22" s="168"/>
      <c r="J22" s="16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107</v>
      </c>
      <c r="C23" s="10"/>
      <c r="D23" s="48">
        <f t="shared" si="1"/>
        <v>0</v>
      </c>
      <c r="F23" s="78"/>
      <c r="G23" s="79"/>
      <c r="H23" s="169"/>
      <c r="I23" s="138"/>
      <c r="J23" s="13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101</v>
      </c>
      <c r="C24" s="10"/>
      <c r="D24" s="48">
        <f t="shared" si="1"/>
        <v>0</v>
      </c>
      <c r="F24" s="38"/>
      <c r="G24" s="37"/>
      <c r="H24" s="169"/>
      <c r="I24" s="138"/>
      <c r="J24" s="13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105</v>
      </c>
      <c r="C26" s="10"/>
      <c r="D26" s="48">
        <f t="shared" si="1"/>
        <v>0</v>
      </c>
      <c r="F26" s="64"/>
      <c r="G26" s="59"/>
      <c r="H26" s="173"/>
      <c r="I26" s="174"/>
      <c r="J26" s="17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1"/>
      <c r="B27" s="14" t="s">
        <v>109</v>
      </c>
      <c r="C27" s="10"/>
      <c r="D27" s="44">
        <f t="shared" si="1"/>
        <v>0</v>
      </c>
      <c r="F27" s="25"/>
      <c r="G27" s="80"/>
      <c r="H27" s="176"/>
      <c r="I27" s="177"/>
      <c r="J27" s="17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97</v>
      </c>
      <c r="C28" s="10">
        <v>3</v>
      </c>
      <c r="D28" s="48">
        <f t="shared" si="1"/>
        <v>2355</v>
      </c>
      <c r="F28" s="93"/>
      <c r="G28" s="61"/>
      <c r="H28" s="179"/>
      <c r="I28" s="180"/>
      <c r="J28" s="18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3" t="s">
        <v>36</v>
      </c>
      <c r="B29" s="154"/>
      <c r="C29" s="155"/>
      <c r="D29" s="159">
        <f>SUM(D6:D28)</f>
        <v>166256</v>
      </c>
      <c r="F29" s="99" t="s">
        <v>55</v>
      </c>
      <c r="G29" s="161"/>
      <c r="H29" s="121">
        <f>H15-H16-H17-H18-H19-H20-H22-H23-H24+H26+H27</f>
        <v>141708</v>
      </c>
      <c r="I29" s="122"/>
      <c r="J29" s="12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6"/>
      <c r="B30" s="157"/>
      <c r="C30" s="158"/>
      <c r="D30" s="160"/>
      <c r="F30" s="102"/>
      <c r="G30" s="162"/>
      <c r="H30" s="124"/>
      <c r="I30" s="125"/>
      <c r="J30" s="12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6" t="s">
        <v>58</v>
      </c>
      <c r="B32" s="147"/>
      <c r="C32" s="147"/>
      <c r="D32" s="148"/>
      <c r="F32" s="149" t="s">
        <v>59</v>
      </c>
      <c r="G32" s="150"/>
      <c r="H32" s="150"/>
      <c r="I32" s="150"/>
      <c r="J32" s="15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49" t="s">
        <v>13</v>
      </c>
      <c r="I33" s="150"/>
      <c r="J33" s="15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113</v>
      </c>
      <c r="H34" s="143">
        <f>F34*G34</f>
        <v>113000</v>
      </c>
      <c r="I34" s="144"/>
      <c r="J34" s="14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1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37</v>
      </c>
      <c r="H35" s="143">
        <f>F35*G35</f>
        <v>18500</v>
      </c>
      <c r="I35" s="144"/>
      <c r="J35" s="14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70</v>
      </c>
      <c r="C36" s="10">
        <v>12</v>
      </c>
      <c r="D36" s="12">
        <f>C36*1.5</f>
        <v>18</v>
      </c>
      <c r="F36" s="12">
        <v>200</v>
      </c>
      <c r="G36" s="37">
        <v>2</v>
      </c>
      <c r="H36" s="143">
        <f t="shared" ref="H36:H39" si="2">F36*G36</f>
        <v>400</v>
      </c>
      <c r="I36" s="144"/>
      <c r="J36" s="14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0" t="s">
        <v>72</v>
      </c>
      <c r="B37" s="28" t="s">
        <v>66</v>
      </c>
      <c r="C37" s="53">
        <v>194</v>
      </c>
      <c r="D37" s="12">
        <f>C37*111</f>
        <v>21534</v>
      </c>
      <c r="F37" s="12">
        <v>100</v>
      </c>
      <c r="G37" s="39">
        <v>51</v>
      </c>
      <c r="H37" s="143">
        <f t="shared" si="2"/>
        <v>5100</v>
      </c>
      <c r="I37" s="144"/>
      <c r="J37" s="14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1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15</v>
      </c>
      <c r="H38" s="143">
        <f t="shared" si="2"/>
        <v>750</v>
      </c>
      <c r="I38" s="144"/>
      <c r="J38" s="14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2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143">
        <f t="shared" si="2"/>
        <v>20</v>
      </c>
      <c r="I39" s="144"/>
      <c r="J39" s="14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43"/>
      <c r="I40" s="144"/>
      <c r="J40" s="14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43"/>
      <c r="I41" s="144"/>
      <c r="J41" s="14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2"/>
      <c r="B42" s="27" t="s">
        <v>70</v>
      </c>
      <c r="C42" s="11">
        <v>10</v>
      </c>
      <c r="D42" s="12">
        <f>C42*2.25</f>
        <v>22.5</v>
      </c>
      <c r="F42" s="39" t="s">
        <v>79</v>
      </c>
      <c r="G42" s="143">
        <v>127</v>
      </c>
      <c r="H42" s="144"/>
      <c r="I42" s="144"/>
      <c r="J42" s="14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3" t="s">
        <v>81</v>
      </c>
      <c r="C43" s="11"/>
      <c r="D43" s="12"/>
      <c r="F43" s="59" t="s">
        <v>82</v>
      </c>
      <c r="G43" s="90" t="s">
        <v>83</v>
      </c>
      <c r="H43" s="135" t="s">
        <v>13</v>
      </c>
      <c r="I43" s="136"/>
      <c r="J43" s="137"/>
      <c r="K43" s="21"/>
      <c r="P43" s="4"/>
      <c r="Q43" s="4"/>
      <c r="R43" s="5"/>
    </row>
    <row r="44" spans="1:18" ht="15.75" x14ac:dyDescent="0.25">
      <c r="A44" s="114"/>
      <c r="B44" s="27" t="s">
        <v>66</v>
      </c>
      <c r="C44" s="10">
        <v>3</v>
      </c>
      <c r="D44" s="12">
        <f>C44*120</f>
        <v>360</v>
      </c>
      <c r="F44" s="37" t="s">
        <v>145</v>
      </c>
      <c r="G44" s="76"/>
      <c r="H44" s="138">
        <v>3792</v>
      </c>
      <c r="I44" s="138"/>
      <c r="J44" s="138"/>
      <c r="K44" s="21"/>
      <c r="P44" s="4"/>
      <c r="Q44" s="4"/>
      <c r="R44" s="5"/>
    </row>
    <row r="45" spans="1:18" ht="15.75" x14ac:dyDescent="0.25">
      <c r="A45" s="114"/>
      <c r="B45" s="27" t="s">
        <v>68</v>
      </c>
      <c r="C45" s="33"/>
      <c r="D45" s="12">
        <f>C45*84</f>
        <v>0</v>
      </c>
      <c r="F45" s="37"/>
      <c r="G45" s="76"/>
      <c r="H45" s="138"/>
      <c r="I45" s="138"/>
      <c r="J45" s="138"/>
      <c r="K45" s="21"/>
      <c r="P45" s="4"/>
      <c r="Q45" s="4"/>
      <c r="R45" s="5"/>
    </row>
    <row r="46" spans="1:18" ht="15.75" x14ac:dyDescent="0.25">
      <c r="A46" s="114"/>
      <c r="B46" s="49" t="s">
        <v>70</v>
      </c>
      <c r="C46" s="81">
        <v>6</v>
      </c>
      <c r="D46" s="12">
        <f>C46*1.5</f>
        <v>9</v>
      </c>
      <c r="F46" s="37"/>
      <c r="G46" s="62"/>
      <c r="H46" s="139"/>
      <c r="I46" s="139"/>
      <c r="J46" s="139"/>
      <c r="K46" s="21"/>
      <c r="P46" s="4"/>
      <c r="Q46" s="4"/>
      <c r="R46" s="5"/>
    </row>
    <row r="47" spans="1:18" ht="15.75" x14ac:dyDescent="0.25">
      <c r="A47" s="115"/>
      <c r="B47" s="27"/>
      <c r="C47" s="11"/>
      <c r="D47" s="12"/>
      <c r="F47" s="59"/>
      <c r="G47" s="59"/>
      <c r="H47" s="116"/>
      <c r="I47" s="117"/>
      <c r="J47" s="118"/>
      <c r="K47" s="21"/>
      <c r="P47" s="4"/>
      <c r="Q47" s="4"/>
      <c r="R47" s="5"/>
    </row>
    <row r="48" spans="1:18" ht="15" customHeight="1" x14ac:dyDescent="0.25">
      <c r="A48" s="113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116"/>
      <c r="I48" s="117"/>
      <c r="J48" s="1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4"/>
      <c r="B49" s="29" t="s">
        <v>68</v>
      </c>
      <c r="C49" s="33">
        <v>1</v>
      </c>
      <c r="D49" s="12">
        <f>C49*42</f>
        <v>42</v>
      </c>
      <c r="F49" s="119" t="s">
        <v>86</v>
      </c>
      <c r="G49" s="121">
        <f>H34+H35+H36+H37+H38+H39+H40+H41+G42+H44+H45+H46</f>
        <v>141689</v>
      </c>
      <c r="H49" s="122"/>
      <c r="I49" s="122"/>
      <c r="J49" s="12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4"/>
      <c r="B50" s="32" t="s">
        <v>70</v>
      </c>
      <c r="C50" s="11">
        <v>12</v>
      </c>
      <c r="D50" s="12">
        <f>C50*1.5</f>
        <v>18</v>
      </c>
      <c r="F50" s="120"/>
      <c r="G50" s="124"/>
      <c r="H50" s="125"/>
      <c r="I50" s="125"/>
      <c r="J50" s="126"/>
      <c r="P50" s="4"/>
      <c r="Q50" s="4"/>
      <c r="R50" s="5"/>
    </row>
    <row r="51" spans="1:18" ht="15" customHeight="1" x14ac:dyDescent="0.25">
      <c r="A51" s="114"/>
      <c r="B51" s="27"/>
      <c r="C51" s="10"/>
      <c r="D51" s="31"/>
      <c r="F51" s="127" t="s">
        <v>140</v>
      </c>
      <c r="G51" s="232">
        <f>G49-H29</f>
        <v>-19</v>
      </c>
      <c r="H51" s="233"/>
      <c r="I51" s="233"/>
      <c r="J51" s="23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4"/>
      <c r="B52" s="29"/>
      <c r="C52" s="33"/>
      <c r="D52" s="45"/>
      <c r="F52" s="128"/>
      <c r="G52" s="235"/>
      <c r="H52" s="236"/>
      <c r="I52" s="236"/>
      <c r="J52" s="23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9" t="s">
        <v>90</v>
      </c>
      <c r="B54" s="100"/>
      <c r="C54" s="101"/>
      <c r="D54" s="105">
        <f>SUM(D34:D53)</f>
        <v>24198</v>
      </c>
      <c r="F54" s="21"/>
      <c r="J54" s="34"/>
    </row>
    <row r="55" spans="1:18" x14ac:dyDescent="0.25">
      <c r="A55" s="102"/>
      <c r="B55" s="103"/>
      <c r="C55" s="104"/>
      <c r="D55" s="10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07" t="s">
        <v>91</v>
      </c>
      <c r="B58" s="108"/>
      <c r="C58" s="108"/>
      <c r="D58" s="109"/>
      <c r="F58" s="107" t="s">
        <v>92</v>
      </c>
      <c r="G58" s="108"/>
      <c r="H58" s="108"/>
      <c r="I58" s="108"/>
      <c r="J58" s="109"/>
    </row>
    <row r="59" spans="1:18" x14ac:dyDescent="0.25">
      <c r="A59" s="110"/>
      <c r="B59" s="111"/>
      <c r="C59" s="111"/>
      <c r="D59" s="112"/>
      <c r="F59" s="110"/>
      <c r="G59" s="111"/>
      <c r="H59" s="111"/>
      <c r="I59" s="111"/>
      <c r="J59" s="11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702144-84CA-4F0C-8D6A-20F5884C869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5" t="s">
        <v>1</v>
      </c>
      <c r="O1" s="195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6" t="s">
        <v>7</v>
      </c>
      <c r="B4" s="147"/>
      <c r="C4" s="147"/>
      <c r="D4" s="148"/>
      <c r="F4" s="196" t="s">
        <v>8</v>
      </c>
      <c r="G4" s="198"/>
      <c r="H4" s="200" t="s">
        <v>9</v>
      </c>
      <c r="I4" s="202"/>
      <c r="J4" s="20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97"/>
      <c r="G5" s="199"/>
      <c r="H5" s="201"/>
      <c r="I5" s="204"/>
      <c r="J5" s="20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1"/>
      <c r="B6" s="16"/>
      <c r="C6" s="10"/>
      <c r="D6" s="13">
        <f t="shared" ref="D6:D28" si="1">C6*L6</f>
        <v>0</v>
      </c>
      <c r="F6" s="206" t="s">
        <v>16</v>
      </c>
      <c r="G6" s="208"/>
      <c r="H6" s="209"/>
      <c r="I6" s="209"/>
      <c r="J6" s="21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1"/>
      <c r="B7" s="16"/>
      <c r="C7" s="10"/>
      <c r="D7" s="13">
        <f t="shared" si="1"/>
        <v>0</v>
      </c>
      <c r="F7" s="207"/>
      <c r="G7" s="211"/>
      <c r="H7" s="212"/>
      <c r="I7" s="212"/>
      <c r="J7" s="21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1"/>
      <c r="B8" s="16"/>
      <c r="C8" s="10"/>
      <c r="D8" s="13">
        <f t="shared" si="1"/>
        <v>0</v>
      </c>
      <c r="F8" s="214" t="s">
        <v>21</v>
      </c>
      <c r="G8" s="215"/>
      <c r="H8" s="216"/>
      <c r="I8" s="216"/>
      <c r="J8" s="21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1"/>
      <c r="B9" s="16"/>
      <c r="C9" s="10"/>
      <c r="D9" s="13">
        <f t="shared" si="1"/>
        <v>0</v>
      </c>
      <c r="F9" s="207"/>
      <c r="G9" s="218"/>
      <c r="H9" s="219"/>
      <c r="I9" s="219"/>
      <c r="J9" s="22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1"/>
      <c r="C10" s="10"/>
      <c r="D10" s="13">
        <f t="shared" si="1"/>
        <v>0</v>
      </c>
      <c r="F10" s="206" t="s">
        <v>26</v>
      </c>
      <c r="G10" s="221"/>
      <c r="H10" s="222"/>
      <c r="I10" s="222"/>
      <c r="J10" s="223"/>
      <c r="K10" s="8"/>
      <c r="L10" s="6">
        <f>R36</f>
        <v>972</v>
      </c>
      <c r="P10" s="4"/>
      <c r="Q10" s="4"/>
      <c r="R10" s="5"/>
    </row>
    <row r="11" spans="1:19" ht="15.75" x14ac:dyDescent="0.25">
      <c r="A11" s="141"/>
      <c r="B11" s="17"/>
      <c r="C11" s="10"/>
      <c r="D11" s="13">
        <f t="shared" si="1"/>
        <v>0</v>
      </c>
      <c r="F11" s="207"/>
      <c r="G11" s="218"/>
      <c r="H11" s="219"/>
      <c r="I11" s="219"/>
      <c r="J11" s="22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1"/>
      <c r="B12" s="17"/>
      <c r="C12" s="10"/>
      <c r="D12" s="48">
        <f t="shared" si="1"/>
        <v>0</v>
      </c>
      <c r="F12" s="224" t="s">
        <v>33</v>
      </c>
      <c r="G12" s="225"/>
      <c r="H12" s="225"/>
      <c r="I12" s="225"/>
      <c r="J12" s="22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1"/>
      <c r="B13" s="17"/>
      <c r="C13" s="10"/>
      <c r="D13" s="48">
        <f t="shared" si="1"/>
        <v>0</v>
      </c>
      <c r="F13" s="227" t="s">
        <v>36</v>
      </c>
      <c r="G13" s="191"/>
      <c r="H13" s="182">
        <f>D29</f>
        <v>0</v>
      </c>
      <c r="I13" s="183"/>
      <c r="J13" s="18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1"/>
      <c r="B14" s="14"/>
      <c r="C14" s="10"/>
      <c r="D14" s="31">
        <f t="shared" si="1"/>
        <v>0</v>
      </c>
      <c r="F14" s="185" t="s">
        <v>39</v>
      </c>
      <c r="G14" s="186"/>
      <c r="H14" s="187">
        <f>D54</f>
        <v>0</v>
      </c>
      <c r="I14" s="188"/>
      <c r="J14" s="18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1"/>
      <c r="B15" s="14"/>
      <c r="C15" s="10"/>
      <c r="D15" s="31">
        <f t="shared" si="1"/>
        <v>0</v>
      </c>
      <c r="F15" s="190" t="s">
        <v>40</v>
      </c>
      <c r="G15" s="191"/>
      <c r="H15" s="192">
        <f>H13-H14</f>
        <v>0</v>
      </c>
      <c r="I15" s="193"/>
      <c r="J15" s="19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2"/>
      <c r="I16" s="152"/>
      <c r="J16" s="15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C17" s="10"/>
      <c r="D17" s="48">
        <f t="shared" si="1"/>
        <v>0</v>
      </c>
      <c r="F17" s="56"/>
      <c r="G17" s="66" t="s">
        <v>45</v>
      </c>
      <c r="H17" s="163"/>
      <c r="I17" s="163"/>
      <c r="J17" s="16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19"/>
      <c r="C18" s="10"/>
      <c r="D18" s="48">
        <f t="shared" si="1"/>
        <v>0</v>
      </c>
      <c r="F18" s="56"/>
      <c r="G18" s="66" t="s">
        <v>47</v>
      </c>
      <c r="H18" s="163"/>
      <c r="I18" s="163"/>
      <c r="J18" s="16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14"/>
      <c r="C19" s="10"/>
      <c r="D19" s="48">
        <f t="shared" si="1"/>
        <v>0</v>
      </c>
      <c r="F19" s="56"/>
      <c r="G19" s="68" t="s">
        <v>50</v>
      </c>
      <c r="H19" s="164"/>
      <c r="I19" s="164"/>
      <c r="J19" s="1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1"/>
      <c r="B20" s="46"/>
      <c r="C20" s="10"/>
      <c r="D20" s="13">
        <f t="shared" si="1"/>
        <v>0</v>
      </c>
      <c r="F20" s="57"/>
      <c r="G20" s="70" t="s">
        <v>120</v>
      </c>
      <c r="H20" s="152"/>
      <c r="I20" s="152"/>
      <c r="J20" s="15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5" t="s">
        <v>13</v>
      </c>
      <c r="I21" s="166"/>
      <c r="J21" s="16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1"/>
      <c r="B22" s="46"/>
      <c r="C22" s="10"/>
      <c r="D22" s="48">
        <f t="shared" si="1"/>
        <v>0</v>
      </c>
      <c r="F22" s="77"/>
      <c r="G22" s="73"/>
      <c r="H22" s="168"/>
      <c r="I22" s="168"/>
      <c r="J22" s="16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/>
      <c r="C23" s="10"/>
      <c r="D23" s="48">
        <f t="shared" si="1"/>
        <v>0</v>
      </c>
      <c r="F23" s="78"/>
      <c r="G23" s="79"/>
      <c r="H23" s="169"/>
      <c r="I23" s="138"/>
      <c r="J23" s="13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/>
      <c r="C24" s="10"/>
      <c r="D24" s="48">
        <f t="shared" si="1"/>
        <v>0</v>
      </c>
      <c r="F24" s="38"/>
      <c r="G24" s="37"/>
      <c r="H24" s="169"/>
      <c r="I24" s="138"/>
      <c r="J24" s="13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/>
      <c r="C26" s="10"/>
      <c r="D26" s="48">
        <f t="shared" si="1"/>
        <v>0</v>
      </c>
      <c r="F26" s="64"/>
      <c r="G26" s="59"/>
      <c r="H26" s="173"/>
      <c r="I26" s="174"/>
      <c r="J26" s="17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1"/>
      <c r="B27" s="14"/>
      <c r="C27" s="10"/>
      <c r="D27" s="44">
        <f t="shared" si="1"/>
        <v>0</v>
      </c>
      <c r="F27" s="25"/>
      <c r="G27" s="80"/>
      <c r="H27" s="176"/>
      <c r="I27" s="177"/>
      <c r="J27" s="17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/>
      <c r="C28" s="10"/>
      <c r="D28" s="48">
        <f t="shared" si="1"/>
        <v>0</v>
      </c>
      <c r="F28" s="93"/>
      <c r="G28" s="61"/>
      <c r="H28" s="179"/>
      <c r="I28" s="180"/>
      <c r="J28" s="18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3" t="s">
        <v>36</v>
      </c>
      <c r="B29" s="154"/>
      <c r="C29" s="155"/>
      <c r="D29" s="159">
        <f>SUM(D6:D28)</f>
        <v>0</v>
      </c>
      <c r="F29" s="99" t="s">
        <v>55</v>
      </c>
      <c r="G29" s="161"/>
      <c r="H29" s="121">
        <f>H15-H16-H17-H18-H19-H20-H22-H23-H24+H26+H27</f>
        <v>0</v>
      </c>
      <c r="I29" s="122"/>
      <c r="J29" s="12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6"/>
      <c r="B30" s="157"/>
      <c r="C30" s="158"/>
      <c r="D30" s="160"/>
      <c r="F30" s="102"/>
      <c r="G30" s="162"/>
      <c r="H30" s="124"/>
      <c r="I30" s="125"/>
      <c r="J30" s="12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6" t="s">
        <v>58</v>
      </c>
      <c r="B32" s="147"/>
      <c r="C32" s="147"/>
      <c r="D32" s="148"/>
      <c r="F32" s="149" t="s">
        <v>59</v>
      </c>
      <c r="G32" s="150"/>
      <c r="H32" s="150"/>
      <c r="I32" s="150"/>
      <c r="J32" s="15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49" t="s">
        <v>13</v>
      </c>
      <c r="I33" s="150"/>
      <c r="J33" s="15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3"/>
      <c r="I34" s="144"/>
      <c r="J34" s="14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1"/>
      <c r="B35" s="27" t="s">
        <v>68</v>
      </c>
      <c r="C35" s="52"/>
      <c r="D35" s="30">
        <f>C35*84</f>
        <v>0</v>
      </c>
      <c r="F35" s="58">
        <v>500</v>
      </c>
      <c r="G35" s="41"/>
      <c r="H35" s="143"/>
      <c r="I35" s="144"/>
      <c r="J35" s="14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70</v>
      </c>
      <c r="C36" s="10"/>
      <c r="D36" s="12">
        <f>C36*1.5</f>
        <v>0</v>
      </c>
      <c r="F36" s="12">
        <v>200</v>
      </c>
      <c r="G36" s="37"/>
      <c r="H36" s="143"/>
      <c r="I36" s="144"/>
      <c r="J36" s="14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3"/>
      <c r="I37" s="144"/>
      <c r="J37" s="14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1"/>
      <c r="B38" s="29" t="s">
        <v>68</v>
      </c>
      <c r="C38" s="54"/>
      <c r="D38" s="12">
        <f>C38*84</f>
        <v>0</v>
      </c>
      <c r="F38" s="30">
        <v>50</v>
      </c>
      <c r="G38" s="39"/>
      <c r="H38" s="143"/>
      <c r="I38" s="144"/>
      <c r="J38" s="14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2"/>
      <c r="B39" s="29" t="s">
        <v>70</v>
      </c>
      <c r="C39" s="52"/>
      <c r="D39" s="31">
        <f>C39*4.5</f>
        <v>0</v>
      </c>
      <c r="F39" s="12">
        <v>20</v>
      </c>
      <c r="G39" s="37"/>
      <c r="H39" s="143"/>
      <c r="I39" s="144"/>
      <c r="J39" s="14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3"/>
      <c r="I40" s="144"/>
      <c r="J40" s="14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1"/>
      <c r="B41" s="27" t="s">
        <v>68</v>
      </c>
      <c r="C41" s="10"/>
      <c r="D41" s="12">
        <f>C41*84</f>
        <v>0</v>
      </c>
      <c r="F41" s="12">
        <v>5</v>
      </c>
      <c r="G41" s="42"/>
      <c r="H41" s="143"/>
      <c r="I41" s="144"/>
      <c r="J41" s="14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2"/>
      <c r="B42" s="27" t="s">
        <v>70</v>
      </c>
      <c r="C42" s="11"/>
      <c r="D42" s="12">
        <f>C42*2.25</f>
        <v>0</v>
      </c>
      <c r="F42" s="39" t="s">
        <v>79</v>
      </c>
      <c r="G42" s="143"/>
      <c r="H42" s="144"/>
      <c r="I42" s="144"/>
      <c r="J42" s="14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3" t="s">
        <v>81</v>
      </c>
      <c r="C43" s="11"/>
      <c r="D43" s="12"/>
      <c r="F43" s="59" t="s">
        <v>82</v>
      </c>
      <c r="G43" s="90" t="s">
        <v>83</v>
      </c>
      <c r="H43" s="135" t="s">
        <v>13</v>
      </c>
      <c r="I43" s="136"/>
      <c r="J43" s="137"/>
      <c r="K43" s="21"/>
      <c r="P43" s="4"/>
      <c r="Q43" s="4"/>
      <c r="R43" s="5"/>
    </row>
    <row r="44" spans="1:18" ht="15.75" x14ac:dyDescent="0.25">
      <c r="A44" s="114"/>
      <c r="B44" s="27" t="s">
        <v>66</v>
      </c>
      <c r="C44" s="10"/>
      <c r="D44" s="12">
        <f>C44*120</f>
        <v>0</v>
      </c>
      <c r="F44" s="37"/>
      <c r="G44" s="76"/>
      <c r="H44" s="138"/>
      <c r="I44" s="138"/>
      <c r="J44" s="138"/>
      <c r="K44" s="21"/>
      <c r="P44" s="4"/>
      <c r="Q44" s="4"/>
      <c r="R44" s="5"/>
    </row>
    <row r="45" spans="1:18" ht="15.75" x14ac:dyDescent="0.25">
      <c r="A45" s="114"/>
      <c r="B45" s="27" t="s">
        <v>68</v>
      </c>
      <c r="C45" s="33"/>
      <c r="D45" s="12">
        <f>C45*84</f>
        <v>0</v>
      </c>
      <c r="F45" s="37"/>
      <c r="G45" s="76"/>
      <c r="H45" s="138"/>
      <c r="I45" s="138"/>
      <c r="J45" s="138"/>
      <c r="K45" s="21"/>
      <c r="P45" s="4"/>
      <c r="Q45" s="4"/>
      <c r="R45" s="5"/>
    </row>
    <row r="46" spans="1:18" ht="15.75" x14ac:dyDescent="0.25">
      <c r="A46" s="114"/>
      <c r="B46" s="49" t="s">
        <v>70</v>
      </c>
      <c r="C46" s="81"/>
      <c r="D46" s="12">
        <f>C46*1.5</f>
        <v>0</v>
      </c>
      <c r="F46" s="37"/>
      <c r="G46" s="62"/>
      <c r="H46" s="139"/>
      <c r="I46" s="139"/>
      <c r="J46" s="139"/>
      <c r="K46" s="21"/>
      <c r="P46" s="4"/>
      <c r="Q46" s="4"/>
      <c r="R46" s="5"/>
    </row>
    <row r="47" spans="1:18" ht="15.75" x14ac:dyDescent="0.25">
      <c r="A47" s="115"/>
      <c r="B47" s="27"/>
      <c r="C47" s="11"/>
      <c r="D47" s="12"/>
      <c r="F47" s="59"/>
      <c r="G47" s="59"/>
      <c r="H47" s="116"/>
      <c r="I47" s="117"/>
      <c r="J47" s="118"/>
      <c r="K47" s="21"/>
      <c r="P47" s="4"/>
      <c r="Q47" s="4"/>
      <c r="R47" s="5"/>
    </row>
    <row r="48" spans="1:18" ht="15" customHeight="1" x14ac:dyDescent="0.25">
      <c r="A48" s="113" t="s">
        <v>32</v>
      </c>
      <c r="B48" s="27" t="s">
        <v>66</v>
      </c>
      <c r="C48" s="10"/>
      <c r="D48" s="12">
        <f>C48*78</f>
        <v>0</v>
      </c>
      <c r="F48" s="59"/>
      <c r="G48" s="59"/>
      <c r="H48" s="116"/>
      <c r="I48" s="117"/>
      <c r="J48" s="1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4"/>
      <c r="B49" s="29" t="s">
        <v>68</v>
      </c>
      <c r="C49" s="33"/>
      <c r="D49" s="12">
        <f>C49*42</f>
        <v>0</v>
      </c>
      <c r="F49" s="119" t="s">
        <v>86</v>
      </c>
      <c r="G49" s="121">
        <f>H34+H35+H36+H37+H38+H39+H40+H41+G42+H44+H45+H46</f>
        <v>0</v>
      </c>
      <c r="H49" s="122"/>
      <c r="I49" s="122"/>
      <c r="J49" s="12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4"/>
      <c r="B50" s="32" t="s">
        <v>70</v>
      </c>
      <c r="C50" s="11"/>
      <c r="D50" s="12">
        <f>C50*1.5</f>
        <v>0</v>
      </c>
      <c r="F50" s="120"/>
      <c r="G50" s="124"/>
      <c r="H50" s="125"/>
      <c r="I50" s="125"/>
      <c r="J50" s="126"/>
      <c r="P50" s="4"/>
      <c r="Q50" s="4"/>
      <c r="R50" s="5"/>
    </row>
    <row r="51" spans="1:18" ht="15" customHeight="1" x14ac:dyDescent="0.25">
      <c r="A51" s="114"/>
      <c r="B51" s="27"/>
      <c r="C51" s="10"/>
      <c r="D51" s="31"/>
      <c r="F51" s="127" t="s">
        <v>128</v>
      </c>
      <c r="G51" s="129">
        <f>G49-H29</f>
        <v>0</v>
      </c>
      <c r="H51" s="130"/>
      <c r="I51" s="130"/>
      <c r="J51" s="13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4"/>
      <c r="B52" s="29"/>
      <c r="C52" s="33"/>
      <c r="D52" s="45"/>
      <c r="F52" s="128"/>
      <c r="G52" s="132"/>
      <c r="H52" s="133"/>
      <c r="I52" s="133"/>
      <c r="J52" s="1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9" t="s">
        <v>90</v>
      </c>
      <c r="B54" s="100"/>
      <c r="C54" s="101"/>
      <c r="D54" s="105">
        <f>SUM(D34:D53)</f>
        <v>0</v>
      </c>
      <c r="F54" s="21"/>
      <c r="J54" s="34"/>
    </row>
    <row r="55" spans="1:18" x14ac:dyDescent="0.25">
      <c r="A55" s="102"/>
      <c r="B55" s="103"/>
      <c r="C55" s="104"/>
      <c r="D55" s="10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7" t="s">
        <v>91</v>
      </c>
      <c r="B58" s="108"/>
      <c r="C58" s="108"/>
      <c r="D58" s="109"/>
      <c r="F58" s="107" t="s">
        <v>92</v>
      </c>
      <c r="G58" s="108"/>
      <c r="H58" s="108"/>
      <c r="I58" s="108"/>
      <c r="J58" s="109"/>
    </row>
    <row r="59" spans="1:18" x14ac:dyDescent="0.25">
      <c r="A59" s="110"/>
      <c r="B59" s="111"/>
      <c r="C59" s="111"/>
      <c r="D59" s="112"/>
      <c r="F59" s="110"/>
      <c r="G59" s="111"/>
      <c r="H59" s="111"/>
      <c r="I59" s="111"/>
      <c r="J59" s="11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088B4-3EC0-40DB-9955-A051FFE9D53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5" t="s">
        <v>1</v>
      </c>
      <c r="O1" s="19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6" t="s">
        <v>7</v>
      </c>
      <c r="B4" s="147"/>
      <c r="C4" s="147"/>
      <c r="D4" s="148"/>
      <c r="F4" s="196" t="s">
        <v>8</v>
      </c>
      <c r="G4" s="198">
        <v>1</v>
      </c>
      <c r="H4" s="200" t="s">
        <v>9</v>
      </c>
      <c r="I4" s="202">
        <v>45997</v>
      </c>
      <c r="J4" s="20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97"/>
      <c r="G5" s="199"/>
      <c r="H5" s="201"/>
      <c r="I5" s="204"/>
      <c r="J5" s="20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84"/>
      <c r="D6" s="13">
        <f t="shared" ref="D6:D28" si="1">C6*L6</f>
        <v>0</v>
      </c>
      <c r="F6" s="206" t="s">
        <v>16</v>
      </c>
      <c r="G6" s="208" t="s">
        <v>129</v>
      </c>
      <c r="H6" s="209"/>
      <c r="I6" s="209"/>
      <c r="J6" s="21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84"/>
      <c r="D7" s="13">
        <f t="shared" si="1"/>
        <v>0</v>
      </c>
      <c r="F7" s="207"/>
      <c r="G7" s="211"/>
      <c r="H7" s="212"/>
      <c r="I7" s="212"/>
      <c r="J7" s="21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84"/>
      <c r="D8" s="13">
        <f t="shared" si="1"/>
        <v>0</v>
      </c>
      <c r="F8" s="214" t="s">
        <v>21</v>
      </c>
      <c r="G8" s="215" t="s">
        <v>112</v>
      </c>
      <c r="H8" s="216"/>
      <c r="I8" s="216"/>
      <c r="J8" s="21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84"/>
      <c r="D9" s="13">
        <f t="shared" si="1"/>
        <v>0</v>
      </c>
      <c r="F9" s="207"/>
      <c r="G9" s="218"/>
      <c r="H9" s="219"/>
      <c r="I9" s="219"/>
      <c r="J9" s="22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84"/>
      <c r="D10" s="13">
        <f t="shared" si="1"/>
        <v>0</v>
      </c>
      <c r="F10" s="206" t="s">
        <v>26</v>
      </c>
      <c r="G10" s="221" t="s">
        <v>130</v>
      </c>
      <c r="H10" s="222"/>
      <c r="I10" s="222"/>
      <c r="J10" s="223"/>
      <c r="K10" s="8"/>
      <c r="L10" s="6">
        <f>R36</f>
        <v>972</v>
      </c>
      <c r="P10" s="4"/>
      <c r="Q10" s="4"/>
      <c r="R10" s="5"/>
    </row>
    <row r="11" spans="1:18" ht="15.75" x14ac:dyDescent="0.25">
      <c r="A11" s="141"/>
      <c r="B11" s="17" t="s">
        <v>28</v>
      </c>
      <c r="C11" s="84"/>
      <c r="D11" s="13">
        <f t="shared" si="1"/>
        <v>0</v>
      </c>
      <c r="F11" s="207"/>
      <c r="G11" s="218"/>
      <c r="H11" s="219"/>
      <c r="I11" s="219"/>
      <c r="J11" s="22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84"/>
      <c r="D12" s="48">
        <f t="shared" si="1"/>
        <v>0</v>
      </c>
      <c r="F12" s="224" t="s">
        <v>33</v>
      </c>
      <c r="G12" s="225"/>
      <c r="H12" s="225"/>
      <c r="I12" s="225"/>
      <c r="J12" s="22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84"/>
      <c r="D13" s="48">
        <f t="shared" si="1"/>
        <v>0</v>
      </c>
      <c r="F13" s="227" t="s">
        <v>36</v>
      </c>
      <c r="G13" s="191"/>
      <c r="H13" s="182">
        <f>D29</f>
        <v>0</v>
      </c>
      <c r="I13" s="183"/>
      <c r="J13" s="18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84"/>
      <c r="D14" s="31">
        <f t="shared" si="1"/>
        <v>0</v>
      </c>
      <c r="F14" s="185" t="s">
        <v>39</v>
      </c>
      <c r="G14" s="186"/>
      <c r="H14" s="187">
        <f>D54</f>
        <v>0</v>
      </c>
      <c r="I14" s="188"/>
      <c r="J14" s="18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38</v>
      </c>
      <c r="C15" s="84"/>
      <c r="D15" s="31">
        <f t="shared" si="1"/>
        <v>0</v>
      </c>
      <c r="F15" s="190" t="s">
        <v>40</v>
      </c>
      <c r="G15" s="191"/>
      <c r="H15" s="192">
        <f>H13-H14</f>
        <v>0</v>
      </c>
      <c r="I15" s="193"/>
      <c r="J15" s="19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2"/>
      <c r="I16" s="152"/>
      <c r="J16" s="15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t="s">
        <v>138</v>
      </c>
      <c r="C17" s="84"/>
      <c r="D17" s="48">
        <f t="shared" si="1"/>
        <v>0</v>
      </c>
      <c r="F17" s="56"/>
      <c r="G17" s="66" t="s">
        <v>45</v>
      </c>
      <c r="H17" s="163"/>
      <c r="I17" s="163"/>
      <c r="J17" s="16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3"/>
      <c r="I18" s="163"/>
      <c r="J18" s="16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63"/>
      <c r="I19" s="163"/>
      <c r="J19" s="163"/>
      <c r="L19" s="6">
        <v>1102</v>
      </c>
      <c r="Q19" s="4"/>
      <c r="R19" s="5">
        <f t="shared" si="0"/>
        <v>0</v>
      </c>
    </row>
    <row r="20" spans="1:18" ht="15.75" x14ac:dyDescent="0.25">
      <c r="A20" s="14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2"/>
      <c r="I20" s="152"/>
      <c r="J20" s="15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1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65" t="s">
        <v>13</v>
      </c>
      <c r="I21" s="166"/>
      <c r="J21" s="16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1"/>
      <c r="B22" s="46" t="s">
        <v>127</v>
      </c>
      <c r="C22" s="84"/>
      <c r="D22" s="48">
        <f t="shared" si="1"/>
        <v>0</v>
      </c>
      <c r="F22" s="77"/>
      <c r="G22" s="73"/>
      <c r="H22" s="168"/>
      <c r="I22" s="168"/>
      <c r="J22" s="16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101</v>
      </c>
      <c r="C23" s="84"/>
      <c r="D23" s="48">
        <f t="shared" si="1"/>
        <v>0</v>
      </c>
      <c r="F23" s="77"/>
      <c r="G23" s="79"/>
      <c r="H23" s="228"/>
      <c r="I23" s="229"/>
      <c r="J23" s="22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121</v>
      </c>
      <c r="C24" s="84"/>
      <c r="D24" s="48">
        <f t="shared" si="1"/>
        <v>0</v>
      </c>
      <c r="F24" s="77"/>
      <c r="G24" s="79"/>
      <c r="H24" s="228"/>
      <c r="I24" s="229"/>
      <c r="J24" s="22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137</v>
      </c>
      <c r="C26" s="84"/>
      <c r="D26" s="48">
        <f t="shared" si="1"/>
        <v>0</v>
      </c>
      <c r="F26" s="75"/>
      <c r="G26" s="65"/>
      <c r="H26" s="138"/>
      <c r="I26" s="138"/>
      <c r="J26" s="138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1"/>
      <c r="B27" s="14" t="s">
        <v>110</v>
      </c>
      <c r="C27" s="84"/>
      <c r="D27" s="44">
        <f t="shared" si="1"/>
        <v>0</v>
      </c>
      <c r="F27" s="71"/>
      <c r="G27" s="90"/>
      <c r="H27" s="230"/>
      <c r="I27" s="231"/>
      <c r="J27" s="23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97</v>
      </c>
      <c r="C28" s="84"/>
      <c r="D28" s="48">
        <f t="shared" si="1"/>
        <v>0</v>
      </c>
      <c r="F28" s="93"/>
      <c r="G28" s="61"/>
      <c r="H28" s="179"/>
      <c r="I28" s="180"/>
      <c r="J28" s="18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3" t="s">
        <v>36</v>
      </c>
      <c r="B29" s="154"/>
      <c r="C29" s="155"/>
      <c r="D29" s="159">
        <f>SUM(D6:D28)</f>
        <v>0</v>
      </c>
      <c r="F29" s="99" t="s">
        <v>55</v>
      </c>
      <c r="G29" s="161"/>
      <c r="H29" s="121">
        <f>H15-H16-H17-H18-H19-H20-H22-H23-H24+H26+H27+H28</f>
        <v>0</v>
      </c>
      <c r="I29" s="122"/>
      <c r="J29" s="12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6"/>
      <c r="B30" s="157"/>
      <c r="C30" s="158"/>
      <c r="D30" s="160"/>
      <c r="F30" s="102"/>
      <c r="G30" s="162"/>
      <c r="H30" s="124"/>
      <c r="I30" s="125"/>
      <c r="J30" s="12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6" t="s">
        <v>58</v>
      </c>
      <c r="B32" s="147"/>
      <c r="C32" s="147"/>
      <c r="D32" s="148"/>
      <c r="F32" s="149" t="s">
        <v>59</v>
      </c>
      <c r="G32" s="150"/>
      <c r="H32" s="150"/>
      <c r="I32" s="150"/>
      <c r="J32" s="15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49" t="s">
        <v>13</v>
      </c>
      <c r="I33" s="150"/>
      <c r="J33" s="15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43">
        <f t="shared" ref="H34:H39" si="2">F34*G34</f>
        <v>0</v>
      </c>
      <c r="I34" s="144"/>
      <c r="J34" s="14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1"/>
      <c r="B35" s="27" t="s">
        <v>68</v>
      </c>
      <c r="C35" s="52"/>
      <c r="D35" s="30">
        <f>C35*84</f>
        <v>0</v>
      </c>
      <c r="F35" s="58">
        <v>500</v>
      </c>
      <c r="G35" s="41"/>
      <c r="H35" s="143">
        <f t="shared" si="2"/>
        <v>0</v>
      </c>
      <c r="I35" s="144"/>
      <c r="J35" s="14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70</v>
      </c>
      <c r="C36" s="10"/>
      <c r="D36" s="12">
        <f>C36*1.5</f>
        <v>0</v>
      </c>
      <c r="F36" s="12">
        <v>200</v>
      </c>
      <c r="G36" s="37"/>
      <c r="H36" s="143">
        <f t="shared" si="2"/>
        <v>0</v>
      </c>
      <c r="I36" s="144"/>
      <c r="J36" s="14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3">
        <f t="shared" si="2"/>
        <v>0</v>
      </c>
      <c r="I37" s="144"/>
      <c r="J37" s="14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1"/>
      <c r="B38" s="29" t="s">
        <v>68</v>
      </c>
      <c r="C38" s="54"/>
      <c r="D38" s="12">
        <f>C38*84</f>
        <v>0</v>
      </c>
      <c r="F38" s="30">
        <v>50</v>
      </c>
      <c r="G38" s="39"/>
      <c r="H38" s="143">
        <f t="shared" si="2"/>
        <v>0</v>
      </c>
      <c r="I38" s="144"/>
      <c r="J38" s="14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2"/>
      <c r="B39" s="29" t="s">
        <v>70</v>
      </c>
      <c r="C39" s="52"/>
      <c r="D39" s="31">
        <f>C39*4.5</f>
        <v>0</v>
      </c>
      <c r="F39" s="12">
        <v>20</v>
      </c>
      <c r="G39" s="37"/>
      <c r="H39" s="143">
        <f t="shared" si="2"/>
        <v>0</v>
      </c>
      <c r="I39" s="144"/>
      <c r="J39" s="14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3"/>
      <c r="I40" s="144"/>
      <c r="J40" s="14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1"/>
      <c r="B41" s="27" t="s">
        <v>68</v>
      </c>
      <c r="C41" s="10"/>
      <c r="D41" s="12">
        <f>C41*84</f>
        <v>0</v>
      </c>
      <c r="F41" s="12">
        <v>5</v>
      </c>
      <c r="G41" s="42"/>
      <c r="H41" s="143"/>
      <c r="I41" s="144"/>
      <c r="J41" s="14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2"/>
      <c r="B42" s="27" t="s">
        <v>70</v>
      </c>
      <c r="C42" s="11"/>
      <c r="D42" s="12">
        <f>C42*2.25</f>
        <v>0</v>
      </c>
      <c r="F42" s="39" t="s">
        <v>79</v>
      </c>
      <c r="G42" s="143"/>
      <c r="H42" s="144"/>
      <c r="I42" s="144"/>
      <c r="J42" s="14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3" t="s">
        <v>81</v>
      </c>
      <c r="C43" s="11"/>
      <c r="D43" s="12"/>
      <c r="F43" s="59" t="s">
        <v>82</v>
      </c>
      <c r="G43" s="90" t="s">
        <v>83</v>
      </c>
      <c r="H43" s="135" t="s">
        <v>13</v>
      </c>
      <c r="I43" s="136"/>
      <c r="J43" s="13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4"/>
      <c r="B44" s="27" t="s">
        <v>66</v>
      </c>
      <c r="C44" s="10"/>
      <c r="D44" s="12">
        <f>C44*120</f>
        <v>0</v>
      </c>
      <c r="F44" s="37"/>
      <c r="G44" s="62"/>
      <c r="H44" s="138"/>
      <c r="I44" s="138"/>
      <c r="J44" s="13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14"/>
      <c r="B45" s="27" t="s">
        <v>68</v>
      </c>
      <c r="C45" s="33"/>
      <c r="D45" s="12">
        <f>C45*84</f>
        <v>0</v>
      </c>
      <c r="F45" s="37"/>
      <c r="G45" s="62"/>
      <c r="H45" s="138"/>
      <c r="I45" s="138"/>
      <c r="J45" s="138"/>
      <c r="K45" s="21"/>
      <c r="P45" s="4"/>
      <c r="Q45" s="4"/>
      <c r="R45" s="5"/>
    </row>
    <row r="46" spans="1:18" ht="15.75" x14ac:dyDescent="0.25">
      <c r="A46" s="114"/>
      <c r="B46" s="49" t="s">
        <v>70</v>
      </c>
      <c r="C46" s="81"/>
      <c r="D46" s="12">
        <f>C46*1.5</f>
        <v>0</v>
      </c>
      <c r="F46" s="37"/>
      <c r="G46" s="62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5"/>
      <c r="B47" s="27"/>
      <c r="C47" s="11"/>
      <c r="D47" s="12"/>
      <c r="F47" s="59"/>
      <c r="G47" s="59"/>
      <c r="H47" s="116"/>
      <c r="I47" s="117"/>
      <c r="J47" s="118"/>
      <c r="K47" s="21"/>
      <c r="P47" s="4"/>
      <c r="Q47" s="4"/>
      <c r="R47" s="5"/>
    </row>
    <row r="48" spans="1:18" ht="15" customHeight="1" x14ac:dyDescent="0.25">
      <c r="A48" s="113" t="s">
        <v>32</v>
      </c>
      <c r="B48" s="27" t="s">
        <v>66</v>
      </c>
      <c r="C48" s="10"/>
      <c r="D48" s="12">
        <f>C48*78</f>
        <v>0</v>
      </c>
      <c r="F48" s="59"/>
      <c r="G48" s="59"/>
      <c r="H48" s="116"/>
      <c r="I48" s="117"/>
      <c r="J48" s="1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4"/>
      <c r="B49" s="29" t="s">
        <v>68</v>
      </c>
      <c r="C49" s="33"/>
      <c r="D49" s="12">
        <f>C49*42</f>
        <v>0</v>
      </c>
      <c r="F49" s="119" t="s">
        <v>86</v>
      </c>
      <c r="G49" s="121">
        <f>H34+H35+H36+H37+H38+H39+H40+H41+G42+H44+H45+H46</f>
        <v>0</v>
      </c>
      <c r="H49" s="122"/>
      <c r="I49" s="122"/>
      <c r="J49" s="12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4"/>
      <c r="B50" s="32" t="s">
        <v>70</v>
      </c>
      <c r="C50" s="11"/>
      <c r="D50" s="12">
        <f>C50*1.5</f>
        <v>0</v>
      </c>
      <c r="F50" s="120"/>
      <c r="G50" s="124"/>
      <c r="H50" s="125"/>
      <c r="I50" s="125"/>
      <c r="J50" s="126"/>
      <c r="P50" s="4"/>
      <c r="Q50" s="4"/>
      <c r="R50" s="5"/>
    </row>
    <row r="51" spans="1:18" ht="15" customHeight="1" x14ac:dyDescent="0.25">
      <c r="A51" s="114"/>
      <c r="B51" s="27"/>
      <c r="C51" s="10"/>
      <c r="D51" s="31"/>
      <c r="F51" s="127" t="s">
        <v>131</v>
      </c>
      <c r="G51" s="232">
        <f>G49-H29</f>
        <v>0</v>
      </c>
      <c r="H51" s="233"/>
      <c r="I51" s="233"/>
      <c r="J51" s="23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4"/>
      <c r="B52" s="29"/>
      <c r="C52" s="33"/>
      <c r="D52" s="45"/>
      <c r="F52" s="128"/>
      <c r="G52" s="235"/>
      <c r="H52" s="236"/>
      <c r="I52" s="236"/>
      <c r="J52" s="23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9" t="s">
        <v>90</v>
      </c>
      <c r="B54" s="100"/>
      <c r="C54" s="101"/>
      <c r="D54" s="10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2"/>
      <c r="B55" s="103"/>
      <c r="C55" s="104"/>
      <c r="D55" s="10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07" t="s">
        <v>91</v>
      </c>
      <c r="B58" s="108"/>
      <c r="C58" s="108"/>
      <c r="D58" s="109"/>
      <c r="F58" s="107" t="s">
        <v>92</v>
      </c>
      <c r="G58" s="108"/>
      <c r="H58" s="108"/>
      <c r="I58" s="108"/>
      <c r="J58" s="109"/>
    </row>
    <row r="59" spans="1:18" x14ac:dyDescent="0.25">
      <c r="A59" s="110"/>
      <c r="B59" s="111"/>
      <c r="C59" s="111"/>
      <c r="D59" s="112"/>
      <c r="F59" s="110"/>
      <c r="G59" s="111"/>
      <c r="H59" s="111"/>
      <c r="I59" s="111"/>
      <c r="J59" s="11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3B5111-FC87-4E15-A519-7A3A6FF5456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5" t="s">
        <v>1</v>
      </c>
      <c r="O1" s="19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6" t="s">
        <v>7</v>
      </c>
      <c r="B4" s="147"/>
      <c r="C4" s="147"/>
      <c r="D4" s="148"/>
      <c r="F4" s="196" t="s">
        <v>8</v>
      </c>
      <c r="G4" s="198">
        <v>2</v>
      </c>
      <c r="H4" s="200" t="s">
        <v>9</v>
      </c>
      <c r="I4" s="202">
        <v>45997</v>
      </c>
      <c r="J4" s="20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97"/>
      <c r="G5" s="199"/>
      <c r="H5" s="201"/>
      <c r="I5" s="204"/>
      <c r="J5" s="20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10"/>
      <c r="D6" s="13">
        <f t="shared" ref="D6:D28" si="1">C6*L6</f>
        <v>0</v>
      </c>
      <c r="F6" s="206" t="s">
        <v>16</v>
      </c>
      <c r="G6" s="208" t="s">
        <v>141</v>
      </c>
      <c r="H6" s="209"/>
      <c r="I6" s="209"/>
      <c r="J6" s="21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10"/>
      <c r="D7" s="13">
        <f t="shared" si="1"/>
        <v>0</v>
      </c>
      <c r="F7" s="207"/>
      <c r="G7" s="211"/>
      <c r="H7" s="212"/>
      <c r="I7" s="212"/>
      <c r="J7" s="21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10"/>
      <c r="D8" s="13">
        <f t="shared" si="1"/>
        <v>0</v>
      </c>
      <c r="F8" s="214" t="s">
        <v>21</v>
      </c>
      <c r="G8" s="215" t="s">
        <v>114</v>
      </c>
      <c r="H8" s="216"/>
      <c r="I8" s="216"/>
      <c r="J8" s="21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10"/>
      <c r="D9" s="13">
        <f t="shared" si="1"/>
        <v>0</v>
      </c>
      <c r="F9" s="207"/>
      <c r="G9" s="218"/>
      <c r="H9" s="219"/>
      <c r="I9" s="219"/>
      <c r="J9" s="22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10"/>
      <c r="D10" s="13">
        <f t="shared" si="1"/>
        <v>0</v>
      </c>
      <c r="F10" s="206" t="s">
        <v>26</v>
      </c>
      <c r="G10" s="221" t="s">
        <v>115</v>
      </c>
      <c r="H10" s="222"/>
      <c r="I10" s="222"/>
      <c r="J10" s="223"/>
      <c r="K10" s="8"/>
      <c r="L10" s="6">
        <f>R36</f>
        <v>972</v>
      </c>
      <c r="P10" s="4"/>
      <c r="Q10" s="4"/>
      <c r="R10" s="5"/>
    </row>
    <row r="11" spans="1:18" ht="15.75" x14ac:dyDescent="0.25">
      <c r="A11" s="141"/>
      <c r="B11" s="17" t="s">
        <v>28</v>
      </c>
      <c r="C11" s="10"/>
      <c r="D11" s="13">
        <f t="shared" si="1"/>
        <v>0</v>
      </c>
      <c r="F11" s="207"/>
      <c r="G11" s="218"/>
      <c r="H11" s="219"/>
      <c r="I11" s="219"/>
      <c r="J11" s="22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10"/>
      <c r="D12" s="48">
        <f t="shared" si="1"/>
        <v>0</v>
      </c>
      <c r="F12" s="224" t="s">
        <v>33</v>
      </c>
      <c r="G12" s="225"/>
      <c r="H12" s="225"/>
      <c r="I12" s="225"/>
      <c r="J12" s="22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10"/>
      <c r="D13" s="48">
        <f t="shared" si="1"/>
        <v>0</v>
      </c>
      <c r="F13" s="227" t="s">
        <v>36</v>
      </c>
      <c r="G13" s="191"/>
      <c r="H13" s="182">
        <f>D29</f>
        <v>0</v>
      </c>
      <c r="I13" s="183"/>
      <c r="J13" s="18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10"/>
      <c r="D14" s="31">
        <f t="shared" si="1"/>
        <v>0</v>
      </c>
      <c r="F14" s="185" t="s">
        <v>39</v>
      </c>
      <c r="G14" s="186"/>
      <c r="H14" s="187">
        <f>D54</f>
        <v>0</v>
      </c>
      <c r="I14" s="188"/>
      <c r="J14" s="18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38</v>
      </c>
      <c r="C15" s="10"/>
      <c r="D15" s="31">
        <f t="shared" si="1"/>
        <v>0</v>
      </c>
      <c r="F15" s="190" t="s">
        <v>40</v>
      </c>
      <c r="G15" s="191"/>
      <c r="H15" s="192">
        <f>H13-H14</f>
        <v>0</v>
      </c>
      <c r="I15" s="193"/>
      <c r="J15" s="19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2"/>
      <c r="I16" s="152"/>
      <c r="J16" s="15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t="s">
        <v>93</v>
      </c>
      <c r="C17" s="10"/>
      <c r="D17" s="48">
        <f t="shared" si="1"/>
        <v>0</v>
      </c>
      <c r="F17" s="56"/>
      <c r="G17" s="66" t="s">
        <v>45</v>
      </c>
      <c r="H17" s="163"/>
      <c r="I17" s="163"/>
      <c r="J17" s="163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3"/>
      <c r="I18" s="163"/>
      <c r="J18" s="16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9"/>
      <c r="I19" s="239"/>
      <c r="J19" s="23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1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3"/>
      <c r="I20" s="163"/>
      <c r="J20" s="16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5" t="s">
        <v>13</v>
      </c>
      <c r="I21" s="166"/>
      <c r="J21" s="16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1"/>
      <c r="B22" s="46" t="s">
        <v>104</v>
      </c>
      <c r="C22" s="10"/>
      <c r="D22" s="48">
        <f t="shared" si="1"/>
        <v>0</v>
      </c>
      <c r="F22" s="72"/>
      <c r="G22" s="73"/>
      <c r="H22" s="168"/>
      <c r="I22" s="168"/>
      <c r="J22" s="16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107</v>
      </c>
      <c r="C23" s="10"/>
      <c r="D23" s="48">
        <f t="shared" si="1"/>
        <v>0</v>
      </c>
      <c r="F23" s="25"/>
      <c r="G23" s="37"/>
      <c r="H23" s="169"/>
      <c r="I23" s="138"/>
      <c r="J23" s="13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123</v>
      </c>
      <c r="C24" s="10"/>
      <c r="D24" s="48">
        <f t="shared" si="1"/>
        <v>0</v>
      </c>
      <c r="F24" s="38"/>
      <c r="G24" s="37"/>
      <c r="H24" s="169"/>
      <c r="I24" s="138"/>
      <c r="J24" s="13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105</v>
      </c>
      <c r="C26" s="10"/>
      <c r="D26" s="48">
        <f t="shared" si="1"/>
        <v>0</v>
      </c>
      <c r="F26" s="64"/>
      <c r="G26" s="10"/>
      <c r="H26" s="173"/>
      <c r="I26" s="174"/>
      <c r="J26" s="17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1"/>
      <c r="B27" s="14" t="s">
        <v>109</v>
      </c>
      <c r="C27" s="10"/>
      <c r="D27" s="44">
        <f t="shared" si="1"/>
        <v>0</v>
      </c>
      <c r="F27" s="14"/>
      <c r="G27" s="14"/>
      <c r="H27" s="176"/>
      <c r="I27" s="177"/>
      <c r="J27" s="17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97</v>
      </c>
      <c r="C28" s="10"/>
      <c r="D28" s="48">
        <f t="shared" si="1"/>
        <v>0</v>
      </c>
      <c r="F28" s="93"/>
      <c r="G28" s="61"/>
      <c r="H28" s="179"/>
      <c r="I28" s="180"/>
      <c r="J28" s="18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3" t="s">
        <v>36</v>
      </c>
      <c r="B29" s="154"/>
      <c r="C29" s="155"/>
      <c r="D29" s="159">
        <f>SUM(D6:D28)</f>
        <v>0</v>
      </c>
      <c r="F29" s="99" t="s">
        <v>55</v>
      </c>
      <c r="G29" s="161"/>
      <c r="H29" s="121">
        <f>H15-H16-H17-H18-H19-H20-H22-H23-H24+H26+H27</f>
        <v>0</v>
      </c>
      <c r="I29" s="122"/>
      <c r="J29" s="12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6"/>
      <c r="B30" s="157"/>
      <c r="C30" s="158"/>
      <c r="D30" s="160"/>
      <c r="F30" s="102"/>
      <c r="G30" s="162"/>
      <c r="H30" s="124"/>
      <c r="I30" s="125"/>
      <c r="J30" s="12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6" t="s">
        <v>58</v>
      </c>
      <c r="B32" s="147"/>
      <c r="C32" s="147"/>
      <c r="D32" s="148"/>
      <c r="F32" s="149" t="s">
        <v>59</v>
      </c>
      <c r="G32" s="150"/>
      <c r="H32" s="150"/>
      <c r="I32" s="150"/>
      <c r="J32" s="15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49" t="s">
        <v>13</v>
      </c>
      <c r="I33" s="150"/>
      <c r="J33" s="15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3">
        <f>F34*G34</f>
        <v>0</v>
      </c>
      <c r="I34" s="144"/>
      <c r="J34" s="14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1"/>
      <c r="B35" s="27" t="s">
        <v>68</v>
      </c>
      <c r="C35" s="52"/>
      <c r="D35" s="30">
        <f>C35*84</f>
        <v>0</v>
      </c>
      <c r="F35" s="58">
        <v>500</v>
      </c>
      <c r="G35" s="41"/>
      <c r="H35" s="143">
        <f t="shared" ref="H35:H39" si="2">F35*G35</f>
        <v>0</v>
      </c>
      <c r="I35" s="144"/>
      <c r="J35" s="14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70</v>
      </c>
      <c r="C36" s="10"/>
      <c r="D36" s="12">
        <f>C36*1.5</f>
        <v>0</v>
      </c>
      <c r="F36" s="12">
        <v>200</v>
      </c>
      <c r="G36" s="37"/>
      <c r="H36" s="143">
        <f>F36*G36</f>
        <v>0</v>
      </c>
      <c r="I36" s="144"/>
      <c r="J36" s="14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3">
        <f t="shared" si="2"/>
        <v>0</v>
      </c>
      <c r="I37" s="144"/>
      <c r="J37" s="14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1"/>
      <c r="B38" s="29" t="s">
        <v>68</v>
      </c>
      <c r="C38" s="54"/>
      <c r="D38" s="12">
        <f>C38*84</f>
        <v>0</v>
      </c>
      <c r="F38" s="30">
        <v>50</v>
      </c>
      <c r="G38" s="39"/>
      <c r="H38" s="143">
        <f t="shared" si="2"/>
        <v>0</v>
      </c>
      <c r="I38" s="144"/>
      <c r="J38" s="14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2"/>
      <c r="B39" s="29" t="s">
        <v>70</v>
      </c>
      <c r="C39" s="52"/>
      <c r="D39" s="31">
        <f>C39*4.5</f>
        <v>0</v>
      </c>
      <c r="F39" s="12">
        <v>20</v>
      </c>
      <c r="G39" s="37"/>
      <c r="H39" s="143">
        <f t="shared" si="2"/>
        <v>0</v>
      </c>
      <c r="I39" s="144"/>
      <c r="J39" s="14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3"/>
      <c r="I40" s="144"/>
      <c r="J40" s="14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1"/>
      <c r="B41" s="27" t="s">
        <v>68</v>
      </c>
      <c r="C41" s="10"/>
      <c r="D41" s="12">
        <f>C41*84</f>
        <v>0</v>
      </c>
      <c r="F41" s="12">
        <v>5</v>
      </c>
      <c r="G41" s="42"/>
      <c r="H41" s="143"/>
      <c r="I41" s="144"/>
      <c r="J41" s="14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2"/>
      <c r="B42" s="27" t="s">
        <v>70</v>
      </c>
      <c r="C42" s="11"/>
      <c r="D42" s="12">
        <f>C42*2.25</f>
        <v>0</v>
      </c>
      <c r="F42" s="39" t="s">
        <v>79</v>
      </c>
      <c r="G42" s="143"/>
      <c r="H42" s="144"/>
      <c r="I42" s="144"/>
      <c r="J42" s="14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3" t="s">
        <v>81</v>
      </c>
      <c r="C43" s="11"/>
      <c r="D43" s="12"/>
      <c r="F43" s="59" t="s">
        <v>82</v>
      </c>
      <c r="G43" s="90" t="s">
        <v>83</v>
      </c>
      <c r="H43" s="135" t="s">
        <v>13</v>
      </c>
      <c r="I43" s="136"/>
      <c r="J43" s="137"/>
      <c r="K43" s="21"/>
      <c r="P43" s="4"/>
      <c r="Q43" s="4"/>
      <c r="R43" s="5"/>
    </row>
    <row r="44" spans="1:18" ht="15.75" x14ac:dyDescent="0.25">
      <c r="A44" s="114"/>
      <c r="B44" s="27" t="s">
        <v>66</v>
      </c>
      <c r="C44" s="10"/>
      <c r="D44" s="12">
        <f>C44*120</f>
        <v>0</v>
      </c>
      <c r="F44" s="37"/>
      <c r="G44" s="62"/>
      <c r="H44" s="138"/>
      <c r="I44" s="138"/>
      <c r="J44" s="138"/>
      <c r="K44" s="21"/>
      <c r="P44" s="4"/>
      <c r="Q44" s="4"/>
      <c r="R44" s="5"/>
    </row>
    <row r="45" spans="1:18" ht="15.75" x14ac:dyDescent="0.25">
      <c r="A45" s="114"/>
      <c r="B45" s="27" t="s">
        <v>68</v>
      </c>
      <c r="C45" s="33"/>
      <c r="D45" s="12">
        <f>C45*84</f>
        <v>0</v>
      </c>
      <c r="F45" s="37"/>
      <c r="G45" s="62"/>
      <c r="H45" s="138"/>
      <c r="I45" s="138"/>
      <c r="J45" s="138"/>
      <c r="K45" s="21"/>
      <c r="P45" s="4"/>
      <c r="Q45" s="4"/>
      <c r="R45" s="5"/>
    </row>
    <row r="46" spans="1:18" ht="15.75" x14ac:dyDescent="0.25">
      <c r="A46" s="114"/>
      <c r="B46" s="49" t="s">
        <v>70</v>
      </c>
      <c r="C46" s="81"/>
      <c r="D46" s="12">
        <f>C46*1.5</f>
        <v>0</v>
      </c>
      <c r="F46" s="37"/>
      <c r="G46" s="91"/>
      <c r="H46" s="139"/>
      <c r="I46" s="139"/>
      <c r="J46" s="139"/>
      <c r="K46" s="21"/>
      <c r="P46" s="4"/>
      <c r="Q46" s="4"/>
      <c r="R46" s="5"/>
    </row>
    <row r="47" spans="1:18" ht="15.75" x14ac:dyDescent="0.25">
      <c r="A47" s="115"/>
      <c r="B47" s="27"/>
      <c r="C47" s="11"/>
      <c r="D47" s="12"/>
      <c r="F47" s="59"/>
      <c r="G47" s="59"/>
      <c r="H47" s="116"/>
      <c r="I47" s="117"/>
      <c r="J47" s="118"/>
      <c r="K47" s="21"/>
      <c r="P47" s="4"/>
      <c r="Q47" s="4"/>
      <c r="R47" s="5"/>
    </row>
    <row r="48" spans="1:18" ht="15" customHeight="1" x14ac:dyDescent="0.25">
      <c r="A48" s="113" t="s">
        <v>32</v>
      </c>
      <c r="B48" s="27" t="s">
        <v>66</v>
      </c>
      <c r="C48" s="10"/>
      <c r="D48" s="12">
        <f>C48*78</f>
        <v>0</v>
      </c>
      <c r="F48" s="59"/>
      <c r="G48" s="59"/>
      <c r="H48" s="116"/>
      <c r="I48" s="117"/>
      <c r="J48" s="1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4"/>
      <c r="B49" s="29" t="s">
        <v>68</v>
      </c>
      <c r="C49" s="33"/>
      <c r="D49" s="12">
        <f>C49*42</f>
        <v>0</v>
      </c>
      <c r="F49" s="119" t="s">
        <v>86</v>
      </c>
      <c r="G49" s="121">
        <f>H34+H35+H36+H37+H38+H39+H40+H41+G42+H44+H45+H46</f>
        <v>0</v>
      </c>
      <c r="H49" s="122"/>
      <c r="I49" s="122"/>
      <c r="J49" s="12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4"/>
      <c r="B50" s="32" t="s">
        <v>70</v>
      </c>
      <c r="C50" s="11"/>
      <c r="D50" s="12">
        <f>C50*1.5</f>
        <v>0</v>
      </c>
      <c r="F50" s="120"/>
      <c r="G50" s="124"/>
      <c r="H50" s="125"/>
      <c r="I50" s="125"/>
      <c r="J50" s="126"/>
      <c r="P50" s="4"/>
      <c r="Q50" s="4"/>
      <c r="R50" s="5"/>
    </row>
    <row r="51" spans="1:18" ht="15" customHeight="1" x14ac:dyDescent="0.25">
      <c r="A51" s="114"/>
      <c r="B51" s="27"/>
      <c r="C51" s="10"/>
      <c r="D51" s="31"/>
      <c r="F51" s="127" t="s">
        <v>132</v>
      </c>
      <c r="G51" s="232">
        <f>G49-H29</f>
        <v>0</v>
      </c>
      <c r="H51" s="233"/>
      <c r="I51" s="233"/>
      <c r="J51" s="23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4"/>
      <c r="B52" s="29"/>
      <c r="C52" s="33"/>
      <c r="D52" s="45"/>
      <c r="F52" s="128"/>
      <c r="G52" s="235"/>
      <c r="H52" s="236"/>
      <c r="I52" s="236"/>
      <c r="J52" s="23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9" t="s">
        <v>90</v>
      </c>
      <c r="B54" s="100"/>
      <c r="C54" s="101"/>
      <c r="D54" s="105">
        <f>SUM(D34:D53)</f>
        <v>0</v>
      </c>
      <c r="F54" s="21"/>
      <c r="J54" s="34"/>
    </row>
    <row r="55" spans="1:18" x14ac:dyDescent="0.25">
      <c r="A55" s="102"/>
      <c r="B55" s="103"/>
      <c r="C55" s="104"/>
      <c r="D55" s="10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7" t="s">
        <v>91</v>
      </c>
      <c r="B58" s="108"/>
      <c r="C58" s="108"/>
      <c r="D58" s="109"/>
      <c r="F58" s="107" t="s">
        <v>92</v>
      </c>
      <c r="G58" s="108"/>
      <c r="H58" s="108"/>
      <c r="I58" s="108"/>
      <c r="J58" s="109"/>
    </row>
    <row r="59" spans="1:18" x14ac:dyDescent="0.25">
      <c r="A59" s="110"/>
      <c r="B59" s="111"/>
      <c r="C59" s="111"/>
      <c r="D59" s="112"/>
      <c r="F59" s="110"/>
      <c r="G59" s="111"/>
      <c r="H59" s="111"/>
      <c r="I59" s="111"/>
      <c r="J59" s="11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D65E3-7877-4F77-80B7-F654C62AF0B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5" t="s">
        <v>1</v>
      </c>
      <c r="O1" s="19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6" t="s">
        <v>7</v>
      </c>
      <c r="B4" s="147"/>
      <c r="C4" s="147"/>
      <c r="D4" s="148"/>
      <c r="F4" s="196" t="s">
        <v>8</v>
      </c>
      <c r="G4" s="198">
        <v>3</v>
      </c>
      <c r="H4" s="200" t="s">
        <v>9</v>
      </c>
      <c r="I4" s="202">
        <v>45997</v>
      </c>
      <c r="J4" s="20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97"/>
      <c r="G5" s="199"/>
      <c r="H5" s="201"/>
      <c r="I5" s="204"/>
      <c r="J5" s="20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10"/>
      <c r="D6" s="13">
        <f t="shared" ref="D6:D28" si="1">C6*L6</f>
        <v>0</v>
      </c>
      <c r="F6" s="206" t="s">
        <v>16</v>
      </c>
      <c r="G6" s="208" t="s">
        <v>111</v>
      </c>
      <c r="H6" s="209"/>
      <c r="I6" s="209"/>
      <c r="J6" s="21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10"/>
      <c r="D7" s="13">
        <f t="shared" si="1"/>
        <v>0</v>
      </c>
      <c r="F7" s="207"/>
      <c r="G7" s="211"/>
      <c r="H7" s="212"/>
      <c r="I7" s="212"/>
      <c r="J7" s="21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10"/>
      <c r="D8" s="13">
        <f t="shared" si="1"/>
        <v>0</v>
      </c>
      <c r="F8" s="214" t="s">
        <v>21</v>
      </c>
      <c r="G8" s="215" t="s">
        <v>119</v>
      </c>
      <c r="H8" s="216"/>
      <c r="I8" s="216"/>
      <c r="J8" s="21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10"/>
      <c r="D9" s="13">
        <f t="shared" si="1"/>
        <v>0</v>
      </c>
      <c r="F9" s="207"/>
      <c r="G9" s="218"/>
      <c r="H9" s="219"/>
      <c r="I9" s="219"/>
      <c r="J9" s="22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10"/>
      <c r="D10" s="13">
        <f t="shared" si="1"/>
        <v>0</v>
      </c>
      <c r="F10" s="206" t="s">
        <v>26</v>
      </c>
      <c r="G10" s="221" t="s">
        <v>135</v>
      </c>
      <c r="H10" s="222"/>
      <c r="I10" s="222"/>
      <c r="J10" s="223"/>
      <c r="K10" s="8"/>
      <c r="L10" s="6">
        <f>R36</f>
        <v>972</v>
      </c>
      <c r="P10" s="4"/>
      <c r="Q10" s="4"/>
      <c r="R10" s="5"/>
    </row>
    <row r="11" spans="1:18" ht="15.75" x14ac:dyDescent="0.25">
      <c r="A11" s="141"/>
      <c r="B11" s="17" t="s">
        <v>28</v>
      </c>
      <c r="C11" s="10"/>
      <c r="D11" s="13">
        <f t="shared" si="1"/>
        <v>0</v>
      </c>
      <c r="F11" s="207"/>
      <c r="G11" s="218"/>
      <c r="H11" s="219"/>
      <c r="I11" s="219"/>
      <c r="J11" s="22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10"/>
      <c r="D12" s="48">
        <f t="shared" si="1"/>
        <v>0</v>
      </c>
      <c r="F12" s="224" t="s">
        <v>33</v>
      </c>
      <c r="G12" s="225"/>
      <c r="H12" s="225"/>
      <c r="I12" s="225"/>
      <c r="J12" s="22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10"/>
      <c r="D13" s="48">
        <f t="shared" si="1"/>
        <v>0</v>
      </c>
      <c r="F13" s="227" t="s">
        <v>36</v>
      </c>
      <c r="G13" s="191"/>
      <c r="H13" s="182">
        <f>D29</f>
        <v>0</v>
      </c>
      <c r="I13" s="183"/>
      <c r="J13" s="18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10"/>
      <c r="D14" s="31">
        <f t="shared" si="1"/>
        <v>0</v>
      </c>
      <c r="F14" s="185" t="s">
        <v>39</v>
      </c>
      <c r="G14" s="186"/>
      <c r="H14" s="187">
        <f>D54</f>
        <v>0</v>
      </c>
      <c r="I14" s="188"/>
      <c r="J14" s="18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38</v>
      </c>
      <c r="C15" s="10"/>
      <c r="D15" s="31">
        <f t="shared" si="1"/>
        <v>0</v>
      </c>
      <c r="F15" s="190" t="s">
        <v>40</v>
      </c>
      <c r="G15" s="191"/>
      <c r="H15" s="192">
        <f>H13-H14</f>
        <v>0</v>
      </c>
      <c r="I15" s="193"/>
      <c r="J15" s="19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2"/>
      <c r="I16" s="152"/>
      <c r="J16" s="15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t="s">
        <v>113</v>
      </c>
      <c r="C17" s="10"/>
      <c r="D17" s="48">
        <f t="shared" si="1"/>
        <v>0</v>
      </c>
      <c r="F17" s="56"/>
      <c r="G17" s="66" t="s">
        <v>45</v>
      </c>
      <c r="H17" s="163"/>
      <c r="I17" s="163"/>
      <c r="J17" s="16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3"/>
      <c r="I18" s="163"/>
      <c r="J18" s="16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2"/>
      <c r="I20" s="152"/>
      <c r="J20" s="15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5" t="s">
        <v>13</v>
      </c>
      <c r="I21" s="166"/>
      <c r="J21" s="16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1"/>
      <c r="B22" s="46" t="s">
        <v>104</v>
      </c>
      <c r="C22" s="10"/>
      <c r="D22" s="48">
        <f t="shared" si="1"/>
        <v>0</v>
      </c>
      <c r="F22" s="77"/>
      <c r="G22" s="73"/>
      <c r="H22" s="168"/>
      <c r="I22" s="168"/>
      <c r="J22" s="16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107</v>
      </c>
      <c r="C23" s="10"/>
      <c r="D23" s="48">
        <f t="shared" si="1"/>
        <v>0</v>
      </c>
      <c r="F23" s="78"/>
      <c r="G23" s="79"/>
      <c r="H23" s="169"/>
      <c r="I23" s="138"/>
      <c r="J23" s="13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101</v>
      </c>
      <c r="C24" s="10"/>
      <c r="D24" s="48">
        <f t="shared" si="1"/>
        <v>0</v>
      </c>
      <c r="F24" s="38"/>
      <c r="G24" s="37"/>
      <c r="H24" s="169"/>
      <c r="I24" s="138"/>
      <c r="J24" s="13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105</v>
      </c>
      <c r="C26" s="10"/>
      <c r="D26" s="48">
        <f t="shared" si="1"/>
        <v>0</v>
      </c>
      <c r="F26" s="64"/>
      <c r="G26" s="59"/>
      <c r="H26" s="173"/>
      <c r="I26" s="174"/>
      <c r="J26" s="17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1"/>
      <c r="B27" s="14" t="s">
        <v>109</v>
      </c>
      <c r="C27" s="10"/>
      <c r="D27" s="44">
        <f t="shared" si="1"/>
        <v>0</v>
      </c>
      <c r="F27" s="25"/>
      <c r="G27" s="80"/>
      <c r="H27" s="176"/>
      <c r="I27" s="177"/>
      <c r="J27" s="17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97</v>
      </c>
      <c r="C28" s="10"/>
      <c r="D28" s="48">
        <f t="shared" si="1"/>
        <v>0</v>
      </c>
      <c r="F28" s="93"/>
      <c r="G28" s="61"/>
      <c r="H28" s="179"/>
      <c r="I28" s="180"/>
      <c r="J28" s="18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3" t="s">
        <v>36</v>
      </c>
      <c r="B29" s="154"/>
      <c r="C29" s="155"/>
      <c r="D29" s="159">
        <f>SUM(D6:D28)</f>
        <v>0</v>
      </c>
      <c r="F29" s="99" t="s">
        <v>55</v>
      </c>
      <c r="G29" s="161"/>
      <c r="H29" s="121">
        <f>H15-H16-H17-H18-H19-H20-H22-H23-H24+H26+H27</f>
        <v>0</v>
      </c>
      <c r="I29" s="122"/>
      <c r="J29" s="12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6"/>
      <c r="B30" s="157"/>
      <c r="C30" s="158"/>
      <c r="D30" s="160"/>
      <c r="F30" s="102"/>
      <c r="G30" s="162"/>
      <c r="H30" s="124"/>
      <c r="I30" s="125"/>
      <c r="J30" s="12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6" t="s">
        <v>58</v>
      </c>
      <c r="B32" s="147"/>
      <c r="C32" s="147"/>
      <c r="D32" s="148"/>
      <c r="F32" s="149" t="s">
        <v>59</v>
      </c>
      <c r="G32" s="150"/>
      <c r="H32" s="150"/>
      <c r="I32" s="150"/>
      <c r="J32" s="15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49" t="s">
        <v>13</v>
      </c>
      <c r="I33" s="150"/>
      <c r="J33" s="15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3">
        <f>F34*G34</f>
        <v>0</v>
      </c>
      <c r="I34" s="144"/>
      <c r="J34" s="14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1"/>
      <c r="B35" s="27" t="s">
        <v>68</v>
      </c>
      <c r="C35" s="52"/>
      <c r="D35" s="30">
        <f>C35*84</f>
        <v>0</v>
      </c>
      <c r="F35" s="58">
        <v>500</v>
      </c>
      <c r="G35" s="41"/>
      <c r="H35" s="143">
        <f>F35*G35</f>
        <v>0</v>
      </c>
      <c r="I35" s="144"/>
      <c r="J35" s="14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70</v>
      </c>
      <c r="C36" s="10"/>
      <c r="D36" s="12">
        <f>C36*1.5</f>
        <v>0</v>
      </c>
      <c r="F36" s="12">
        <v>200</v>
      </c>
      <c r="G36" s="37"/>
      <c r="H36" s="143">
        <f t="shared" ref="H36:H39" si="2">F36*G36</f>
        <v>0</v>
      </c>
      <c r="I36" s="144"/>
      <c r="J36" s="14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3">
        <f t="shared" si="2"/>
        <v>0</v>
      </c>
      <c r="I37" s="144"/>
      <c r="J37" s="14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1"/>
      <c r="B38" s="29" t="s">
        <v>68</v>
      </c>
      <c r="C38" s="54"/>
      <c r="D38" s="12">
        <f>C38*84</f>
        <v>0</v>
      </c>
      <c r="F38" s="30">
        <v>50</v>
      </c>
      <c r="G38" s="39"/>
      <c r="H38" s="143">
        <f t="shared" si="2"/>
        <v>0</v>
      </c>
      <c r="I38" s="144"/>
      <c r="J38" s="14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2"/>
      <c r="B39" s="29" t="s">
        <v>70</v>
      </c>
      <c r="C39" s="52"/>
      <c r="D39" s="31">
        <f>C39*4.5</f>
        <v>0</v>
      </c>
      <c r="F39" s="12">
        <v>20</v>
      </c>
      <c r="G39" s="37"/>
      <c r="H39" s="143">
        <f t="shared" si="2"/>
        <v>0</v>
      </c>
      <c r="I39" s="144"/>
      <c r="J39" s="14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3"/>
      <c r="I40" s="144"/>
      <c r="J40" s="14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1"/>
      <c r="B41" s="27" t="s">
        <v>68</v>
      </c>
      <c r="C41" s="10"/>
      <c r="D41" s="12">
        <f>C41*84</f>
        <v>0</v>
      </c>
      <c r="F41" s="12">
        <v>5</v>
      </c>
      <c r="G41" s="42"/>
      <c r="H41" s="143"/>
      <c r="I41" s="144"/>
      <c r="J41" s="14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2"/>
      <c r="B42" s="27" t="s">
        <v>70</v>
      </c>
      <c r="C42" s="11"/>
      <c r="D42" s="12">
        <f>C42*2.25</f>
        <v>0</v>
      </c>
      <c r="F42" s="39" t="s">
        <v>79</v>
      </c>
      <c r="G42" s="143"/>
      <c r="H42" s="144"/>
      <c r="I42" s="144"/>
      <c r="J42" s="14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3" t="s">
        <v>81</v>
      </c>
      <c r="C43" s="11"/>
      <c r="D43" s="12"/>
      <c r="F43" s="59" t="s">
        <v>82</v>
      </c>
      <c r="G43" s="90" t="s">
        <v>83</v>
      </c>
      <c r="H43" s="135" t="s">
        <v>13</v>
      </c>
      <c r="I43" s="136"/>
      <c r="J43" s="137"/>
      <c r="K43" s="21"/>
      <c r="P43" s="4"/>
      <c r="Q43" s="4"/>
      <c r="R43" s="5"/>
    </row>
    <row r="44" spans="1:18" ht="15.75" x14ac:dyDescent="0.25">
      <c r="A44" s="114"/>
      <c r="B44" s="27" t="s">
        <v>66</v>
      </c>
      <c r="C44" s="10"/>
      <c r="D44" s="12">
        <f>C44*120</f>
        <v>0</v>
      </c>
      <c r="F44" s="37"/>
      <c r="G44" s="76"/>
      <c r="H44" s="138"/>
      <c r="I44" s="138"/>
      <c r="J44" s="138"/>
      <c r="K44" s="21"/>
      <c r="P44" s="4"/>
      <c r="Q44" s="4"/>
      <c r="R44" s="5"/>
    </row>
    <row r="45" spans="1:18" ht="15.75" x14ac:dyDescent="0.25">
      <c r="A45" s="114"/>
      <c r="B45" s="27" t="s">
        <v>68</v>
      </c>
      <c r="C45" s="33"/>
      <c r="D45" s="12">
        <f>C45*84</f>
        <v>0</v>
      </c>
      <c r="F45" s="37"/>
      <c r="G45" s="76"/>
      <c r="H45" s="138"/>
      <c r="I45" s="138"/>
      <c r="J45" s="138"/>
      <c r="K45" s="21"/>
      <c r="P45" s="4"/>
      <c r="Q45" s="4"/>
      <c r="R45" s="5"/>
    </row>
    <row r="46" spans="1:18" ht="15.75" x14ac:dyDescent="0.25">
      <c r="A46" s="114"/>
      <c r="B46" s="49" t="s">
        <v>70</v>
      </c>
      <c r="C46" s="81"/>
      <c r="D46" s="12">
        <f>C46*1.5</f>
        <v>0</v>
      </c>
      <c r="F46" s="37"/>
      <c r="G46" s="62"/>
      <c r="H46" s="139"/>
      <c r="I46" s="139"/>
      <c r="J46" s="139"/>
      <c r="K46" s="21"/>
      <c r="P46" s="4"/>
      <c r="Q46" s="4"/>
      <c r="R46" s="5"/>
    </row>
    <row r="47" spans="1:18" ht="15.75" x14ac:dyDescent="0.25">
      <c r="A47" s="115"/>
      <c r="B47" s="27"/>
      <c r="C47" s="11"/>
      <c r="D47" s="12"/>
      <c r="F47" s="59"/>
      <c r="G47" s="59"/>
      <c r="H47" s="116"/>
      <c r="I47" s="117"/>
      <c r="J47" s="118"/>
      <c r="K47" s="21"/>
      <c r="P47" s="4"/>
      <c r="Q47" s="4"/>
      <c r="R47" s="5"/>
    </row>
    <row r="48" spans="1:18" ht="15" customHeight="1" x14ac:dyDescent="0.25">
      <c r="A48" s="113" t="s">
        <v>32</v>
      </c>
      <c r="B48" s="27" t="s">
        <v>66</v>
      </c>
      <c r="C48" s="10"/>
      <c r="D48" s="12">
        <f>C48*78</f>
        <v>0</v>
      </c>
      <c r="F48" s="59"/>
      <c r="G48" s="59"/>
      <c r="H48" s="116"/>
      <c r="I48" s="117"/>
      <c r="J48" s="1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4"/>
      <c r="B49" s="29" t="s">
        <v>68</v>
      </c>
      <c r="C49" s="33"/>
      <c r="D49" s="12">
        <f>C49*42</f>
        <v>0</v>
      </c>
      <c r="F49" s="119" t="s">
        <v>86</v>
      </c>
      <c r="G49" s="121">
        <f>H34+H35+H36+H37+H38+H39+H40+H41+G42+H44+H45+H46</f>
        <v>0</v>
      </c>
      <c r="H49" s="122"/>
      <c r="I49" s="122"/>
      <c r="J49" s="12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4"/>
      <c r="B50" s="32" t="s">
        <v>70</v>
      </c>
      <c r="C50" s="11"/>
      <c r="D50" s="12">
        <f>C50*1.5</f>
        <v>0</v>
      </c>
      <c r="F50" s="120"/>
      <c r="G50" s="124"/>
      <c r="H50" s="125"/>
      <c r="I50" s="125"/>
      <c r="J50" s="126"/>
      <c r="P50" s="4"/>
      <c r="Q50" s="4"/>
      <c r="R50" s="5"/>
    </row>
    <row r="51" spans="1:18" ht="15" customHeight="1" x14ac:dyDescent="0.25">
      <c r="A51" s="114"/>
      <c r="B51" s="27"/>
      <c r="C51" s="10"/>
      <c r="D51" s="31"/>
      <c r="F51" s="127" t="s">
        <v>140</v>
      </c>
      <c r="G51" s="232">
        <f>G49-H29</f>
        <v>0</v>
      </c>
      <c r="H51" s="233"/>
      <c r="I51" s="233"/>
      <c r="J51" s="23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4"/>
      <c r="B52" s="29"/>
      <c r="C52" s="33"/>
      <c r="D52" s="45"/>
      <c r="F52" s="128"/>
      <c r="G52" s="235"/>
      <c r="H52" s="236"/>
      <c r="I52" s="236"/>
      <c r="J52" s="23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9" t="s">
        <v>90</v>
      </c>
      <c r="B54" s="100"/>
      <c r="C54" s="101"/>
      <c r="D54" s="105">
        <f>SUM(D34:D53)</f>
        <v>0</v>
      </c>
      <c r="F54" s="21"/>
      <c r="J54" s="34"/>
    </row>
    <row r="55" spans="1:18" x14ac:dyDescent="0.25">
      <c r="A55" s="102"/>
      <c r="B55" s="103"/>
      <c r="C55" s="104"/>
      <c r="D55" s="10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07" t="s">
        <v>91</v>
      </c>
      <c r="B58" s="108"/>
      <c r="C58" s="108"/>
      <c r="D58" s="109"/>
      <c r="F58" s="107" t="s">
        <v>92</v>
      </c>
      <c r="G58" s="108"/>
      <c r="H58" s="108"/>
      <c r="I58" s="108"/>
      <c r="J58" s="109"/>
    </row>
    <row r="59" spans="1:18" x14ac:dyDescent="0.25">
      <c r="A59" s="110"/>
      <c r="B59" s="111"/>
      <c r="C59" s="111"/>
      <c r="D59" s="112"/>
      <c r="F59" s="110"/>
      <c r="G59" s="111"/>
      <c r="H59" s="111"/>
      <c r="I59" s="111"/>
      <c r="J59" s="11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780764-0C27-42F4-8DF5-27E70BF7B77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5" t="s">
        <v>1</v>
      </c>
      <c r="O1" s="195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6" t="s">
        <v>7</v>
      </c>
      <c r="B4" s="147"/>
      <c r="C4" s="147"/>
      <c r="D4" s="148"/>
      <c r="F4" s="196" t="s">
        <v>8</v>
      </c>
      <c r="G4" s="198"/>
      <c r="H4" s="200" t="s">
        <v>9</v>
      </c>
      <c r="I4" s="202"/>
      <c r="J4" s="20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97"/>
      <c r="G5" s="199"/>
      <c r="H5" s="201"/>
      <c r="I5" s="204"/>
      <c r="J5" s="20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1"/>
      <c r="B6" s="16"/>
      <c r="C6" s="10"/>
      <c r="D6" s="13">
        <f t="shared" ref="D6:D28" si="1">C6*L6</f>
        <v>0</v>
      </c>
      <c r="F6" s="206" t="s">
        <v>16</v>
      </c>
      <c r="G6" s="208"/>
      <c r="H6" s="209"/>
      <c r="I6" s="209"/>
      <c r="J6" s="21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1"/>
      <c r="B7" s="16"/>
      <c r="C7" s="10"/>
      <c r="D7" s="13">
        <f t="shared" si="1"/>
        <v>0</v>
      </c>
      <c r="F7" s="207"/>
      <c r="G7" s="211"/>
      <c r="H7" s="212"/>
      <c r="I7" s="212"/>
      <c r="J7" s="21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1"/>
      <c r="B8" s="16"/>
      <c r="C8" s="10"/>
      <c r="D8" s="13">
        <f t="shared" si="1"/>
        <v>0</v>
      </c>
      <c r="F8" s="214" t="s">
        <v>21</v>
      </c>
      <c r="G8" s="215"/>
      <c r="H8" s="216"/>
      <c r="I8" s="216"/>
      <c r="J8" s="21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1"/>
      <c r="B9" s="16"/>
      <c r="C9" s="10"/>
      <c r="D9" s="13">
        <f t="shared" si="1"/>
        <v>0</v>
      </c>
      <c r="F9" s="207"/>
      <c r="G9" s="218"/>
      <c r="H9" s="219"/>
      <c r="I9" s="219"/>
      <c r="J9" s="22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1"/>
      <c r="C10" s="10"/>
      <c r="D10" s="13">
        <f t="shared" si="1"/>
        <v>0</v>
      </c>
      <c r="F10" s="206" t="s">
        <v>26</v>
      </c>
      <c r="G10" s="221"/>
      <c r="H10" s="222"/>
      <c r="I10" s="222"/>
      <c r="J10" s="223"/>
      <c r="K10" s="8"/>
      <c r="L10" s="6">
        <f>R36</f>
        <v>972</v>
      </c>
      <c r="P10" s="4"/>
      <c r="Q10" s="4"/>
      <c r="R10" s="5"/>
    </row>
    <row r="11" spans="1:19" ht="15.75" x14ac:dyDescent="0.25">
      <c r="A11" s="141"/>
      <c r="B11" s="17"/>
      <c r="C11" s="10"/>
      <c r="D11" s="13">
        <f t="shared" si="1"/>
        <v>0</v>
      </c>
      <c r="F11" s="207"/>
      <c r="G11" s="218"/>
      <c r="H11" s="219"/>
      <c r="I11" s="219"/>
      <c r="J11" s="22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1"/>
      <c r="B12" s="17"/>
      <c r="C12" s="10"/>
      <c r="D12" s="48">
        <f t="shared" si="1"/>
        <v>0</v>
      </c>
      <c r="F12" s="224" t="s">
        <v>33</v>
      </c>
      <c r="G12" s="225"/>
      <c r="H12" s="225"/>
      <c r="I12" s="225"/>
      <c r="J12" s="22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1"/>
      <c r="B13" s="17"/>
      <c r="C13" s="10"/>
      <c r="D13" s="48">
        <f t="shared" si="1"/>
        <v>0</v>
      </c>
      <c r="F13" s="227" t="s">
        <v>36</v>
      </c>
      <c r="G13" s="191"/>
      <c r="H13" s="182">
        <f>D29</f>
        <v>0</v>
      </c>
      <c r="I13" s="183"/>
      <c r="J13" s="18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1"/>
      <c r="B14" s="14"/>
      <c r="C14" s="10"/>
      <c r="D14" s="31">
        <f t="shared" si="1"/>
        <v>0</v>
      </c>
      <c r="F14" s="185" t="s">
        <v>39</v>
      </c>
      <c r="G14" s="186"/>
      <c r="H14" s="187">
        <f>D54</f>
        <v>0</v>
      </c>
      <c r="I14" s="188"/>
      <c r="J14" s="18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1"/>
      <c r="B15" s="14"/>
      <c r="C15" s="10"/>
      <c r="D15" s="31">
        <f t="shared" si="1"/>
        <v>0</v>
      </c>
      <c r="F15" s="190" t="s">
        <v>40</v>
      </c>
      <c r="G15" s="191"/>
      <c r="H15" s="192">
        <f>H13-H14</f>
        <v>0</v>
      </c>
      <c r="I15" s="193"/>
      <c r="J15" s="19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2"/>
      <c r="I16" s="152"/>
      <c r="J16" s="15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C17" s="10"/>
      <c r="D17" s="48">
        <f t="shared" si="1"/>
        <v>0</v>
      </c>
      <c r="F17" s="56"/>
      <c r="G17" s="66" t="s">
        <v>45</v>
      </c>
      <c r="H17" s="163"/>
      <c r="I17" s="163"/>
      <c r="J17" s="16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19"/>
      <c r="C18" s="10"/>
      <c r="D18" s="48">
        <f t="shared" si="1"/>
        <v>0</v>
      </c>
      <c r="F18" s="56"/>
      <c r="G18" s="66" t="s">
        <v>47</v>
      </c>
      <c r="H18" s="163"/>
      <c r="I18" s="163"/>
      <c r="J18" s="16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14"/>
      <c r="C19" s="10"/>
      <c r="D19" s="48">
        <f t="shared" si="1"/>
        <v>0</v>
      </c>
      <c r="F19" s="56"/>
      <c r="G19" s="68" t="s">
        <v>50</v>
      </c>
      <c r="H19" s="164"/>
      <c r="I19" s="164"/>
      <c r="J19" s="1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1"/>
      <c r="B20" s="46"/>
      <c r="C20" s="10"/>
      <c r="D20" s="13">
        <f t="shared" si="1"/>
        <v>0</v>
      </c>
      <c r="F20" s="57"/>
      <c r="G20" s="70" t="s">
        <v>120</v>
      </c>
      <c r="H20" s="152"/>
      <c r="I20" s="152"/>
      <c r="J20" s="15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5" t="s">
        <v>13</v>
      </c>
      <c r="I21" s="166"/>
      <c r="J21" s="16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1"/>
      <c r="B22" s="46"/>
      <c r="C22" s="10"/>
      <c r="D22" s="48">
        <f t="shared" si="1"/>
        <v>0</v>
      </c>
      <c r="F22" s="77"/>
      <c r="G22" s="73"/>
      <c r="H22" s="168"/>
      <c r="I22" s="168"/>
      <c r="J22" s="16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/>
      <c r="C23" s="10"/>
      <c r="D23" s="48">
        <f t="shared" si="1"/>
        <v>0</v>
      </c>
      <c r="F23" s="78"/>
      <c r="G23" s="79"/>
      <c r="H23" s="169"/>
      <c r="I23" s="138"/>
      <c r="J23" s="13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/>
      <c r="C24" s="10"/>
      <c r="D24" s="48">
        <f t="shared" si="1"/>
        <v>0</v>
      </c>
      <c r="F24" s="38"/>
      <c r="G24" s="37"/>
      <c r="H24" s="169"/>
      <c r="I24" s="138"/>
      <c r="J24" s="13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/>
      <c r="C26" s="10"/>
      <c r="D26" s="48">
        <f t="shared" si="1"/>
        <v>0</v>
      </c>
      <c r="F26" s="64"/>
      <c r="G26" s="59"/>
      <c r="H26" s="173"/>
      <c r="I26" s="174"/>
      <c r="J26" s="17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1"/>
      <c r="B27" s="14"/>
      <c r="C27" s="10"/>
      <c r="D27" s="44">
        <f t="shared" si="1"/>
        <v>0</v>
      </c>
      <c r="F27" s="25"/>
      <c r="G27" s="80"/>
      <c r="H27" s="176"/>
      <c r="I27" s="177"/>
      <c r="J27" s="17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/>
      <c r="C28" s="10"/>
      <c r="D28" s="48">
        <f t="shared" si="1"/>
        <v>0</v>
      </c>
      <c r="F28" s="93"/>
      <c r="G28" s="61"/>
      <c r="H28" s="179"/>
      <c r="I28" s="180"/>
      <c r="J28" s="18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3" t="s">
        <v>36</v>
      </c>
      <c r="B29" s="154"/>
      <c r="C29" s="155"/>
      <c r="D29" s="159">
        <f>SUM(D6:D28)</f>
        <v>0</v>
      </c>
      <c r="F29" s="99" t="s">
        <v>55</v>
      </c>
      <c r="G29" s="161"/>
      <c r="H29" s="121">
        <f>H15-H16-H17-H18-H19-H20-H22-H23-H24+H26+H27</f>
        <v>0</v>
      </c>
      <c r="I29" s="122"/>
      <c r="J29" s="12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6"/>
      <c r="B30" s="157"/>
      <c r="C30" s="158"/>
      <c r="D30" s="160"/>
      <c r="F30" s="102"/>
      <c r="G30" s="162"/>
      <c r="H30" s="124"/>
      <c r="I30" s="125"/>
      <c r="J30" s="12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6" t="s">
        <v>58</v>
      </c>
      <c r="B32" s="147"/>
      <c r="C32" s="147"/>
      <c r="D32" s="148"/>
      <c r="F32" s="149" t="s">
        <v>59</v>
      </c>
      <c r="G32" s="150"/>
      <c r="H32" s="150"/>
      <c r="I32" s="150"/>
      <c r="J32" s="15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49" t="s">
        <v>13</v>
      </c>
      <c r="I33" s="150"/>
      <c r="J33" s="15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3"/>
      <c r="I34" s="144"/>
      <c r="J34" s="14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1"/>
      <c r="B35" s="27" t="s">
        <v>68</v>
      </c>
      <c r="C35" s="52"/>
      <c r="D35" s="30">
        <f>C35*84</f>
        <v>0</v>
      </c>
      <c r="F35" s="58">
        <v>500</v>
      </c>
      <c r="G35" s="41"/>
      <c r="H35" s="143"/>
      <c r="I35" s="144"/>
      <c r="J35" s="14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70</v>
      </c>
      <c r="C36" s="10"/>
      <c r="D36" s="12">
        <f>C36*1.5</f>
        <v>0</v>
      </c>
      <c r="F36" s="12">
        <v>200</v>
      </c>
      <c r="G36" s="37"/>
      <c r="H36" s="143"/>
      <c r="I36" s="144"/>
      <c r="J36" s="14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3"/>
      <c r="I37" s="144"/>
      <c r="J37" s="14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1"/>
      <c r="B38" s="29" t="s">
        <v>68</v>
      </c>
      <c r="C38" s="54"/>
      <c r="D38" s="12">
        <f>C38*84</f>
        <v>0</v>
      </c>
      <c r="F38" s="30">
        <v>50</v>
      </c>
      <c r="G38" s="39"/>
      <c r="H38" s="143"/>
      <c r="I38" s="144"/>
      <c r="J38" s="14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2"/>
      <c r="B39" s="29" t="s">
        <v>70</v>
      </c>
      <c r="C39" s="52"/>
      <c r="D39" s="31">
        <f>C39*4.5</f>
        <v>0</v>
      </c>
      <c r="F39" s="12">
        <v>20</v>
      </c>
      <c r="G39" s="37"/>
      <c r="H39" s="143"/>
      <c r="I39" s="144"/>
      <c r="J39" s="14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3"/>
      <c r="I40" s="144"/>
      <c r="J40" s="14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1"/>
      <c r="B41" s="27" t="s">
        <v>68</v>
      </c>
      <c r="C41" s="10"/>
      <c r="D41" s="12">
        <f>C41*84</f>
        <v>0</v>
      </c>
      <c r="F41" s="12">
        <v>5</v>
      </c>
      <c r="G41" s="42"/>
      <c r="H41" s="143"/>
      <c r="I41" s="144"/>
      <c r="J41" s="14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2"/>
      <c r="B42" s="27" t="s">
        <v>70</v>
      </c>
      <c r="C42" s="11"/>
      <c r="D42" s="12">
        <f>C42*2.25</f>
        <v>0</v>
      </c>
      <c r="F42" s="39" t="s">
        <v>79</v>
      </c>
      <c r="G42" s="143"/>
      <c r="H42" s="144"/>
      <c r="I42" s="144"/>
      <c r="J42" s="14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3" t="s">
        <v>81</v>
      </c>
      <c r="C43" s="11"/>
      <c r="D43" s="12"/>
      <c r="F43" s="59" t="s">
        <v>82</v>
      </c>
      <c r="G43" s="90" t="s">
        <v>83</v>
      </c>
      <c r="H43" s="135" t="s">
        <v>13</v>
      </c>
      <c r="I43" s="136"/>
      <c r="J43" s="137"/>
      <c r="K43" s="21"/>
      <c r="P43" s="4"/>
      <c r="Q43" s="4"/>
      <c r="R43" s="5"/>
    </row>
    <row r="44" spans="1:18" ht="15.75" x14ac:dyDescent="0.25">
      <c r="A44" s="114"/>
      <c r="B44" s="27" t="s">
        <v>66</v>
      </c>
      <c r="C44" s="10"/>
      <c r="D44" s="12">
        <f>C44*120</f>
        <v>0</v>
      </c>
      <c r="F44" s="37"/>
      <c r="G44" s="76"/>
      <c r="H44" s="138"/>
      <c r="I44" s="138"/>
      <c r="J44" s="138"/>
      <c r="K44" s="21"/>
      <c r="P44" s="4"/>
      <c r="Q44" s="4"/>
      <c r="R44" s="5"/>
    </row>
    <row r="45" spans="1:18" ht="15.75" x14ac:dyDescent="0.25">
      <c r="A45" s="114"/>
      <c r="B45" s="27" t="s">
        <v>68</v>
      </c>
      <c r="C45" s="33"/>
      <c r="D45" s="12">
        <f>C45*84</f>
        <v>0</v>
      </c>
      <c r="F45" s="37"/>
      <c r="G45" s="76"/>
      <c r="H45" s="138"/>
      <c r="I45" s="138"/>
      <c r="J45" s="138"/>
      <c r="K45" s="21"/>
      <c r="P45" s="4"/>
      <c r="Q45" s="4"/>
      <c r="R45" s="5"/>
    </row>
    <row r="46" spans="1:18" ht="15.75" x14ac:dyDescent="0.25">
      <c r="A46" s="114"/>
      <c r="B46" s="49" t="s">
        <v>70</v>
      </c>
      <c r="C46" s="81"/>
      <c r="D46" s="12">
        <f>C46*1.5</f>
        <v>0</v>
      </c>
      <c r="F46" s="37"/>
      <c r="G46" s="62"/>
      <c r="H46" s="139"/>
      <c r="I46" s="139"/>
      <c r="J46" s="139"/>
      <c r="K46" s="21"/>
      <c r="P46" s="4"/>
      <c r="Q46" s="4"/>
      <c r="R46" s="5"/>
    </row>
    <row r="47" spans="1:18" ht="15.75" x14ac:dyDescent="0.25">
      <c r="A47" s="115"/>
      <c r="B47" s="27"/>
      <c r="C47" s="11"/>
      <c r="D47" s="12"/>
      <c r="F47" s="59"/>
      <c r="G47" s="59"/>
      <c r="H47" s="116"/>
      <c r="I47" s="117"/>
      <c r="J47" s="118"/>
      <c r="K47" s="21"/>
      <c r="P47" s="4"/>
      <c r="Q47" s="4"/>
      <c r="R47" s="5"/>
    </row>
    <row r="48" spans="1:18" ht="15" customHeight="1" x14ac:dyDescent="0.25">
      <c r="A48" s="113" t="s">
        <v>32</v>
      </c>
      <c r="B48" s="27" t="s">
        <v>66</v>
      </c>
      <c r="C48" s="10"/>
      <c r="D48" s="12">
        <f>C48*78</f>
        <v>0</v>
      </c>
      <c r="F48" s="59"/>
      <c r="G48" s="59"/>
      <c r="H48" s="116"/>
      <c r="I48" s="117"/>
      <c r="J48" s="1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4"/>
      <c r="B49" s="29" t="s">
        <v>68</v>
      </c>
      <c r="C49" s="33"/>
      <c r="D49" s="12">
        <f>C49*42</f>
        <v>0</v>
      </c>
      <c r="F49" s="119" t="s">
        <v>86</v>
      </c>
      <c r="G49" s="121">
        <f>H34+H35+H36+H37+H38+H39+H40+H41+G42+H44+H45+H46</f>
        <v>0</v>
      </c>
      <c r="H49" s="122"/>
      <c r="I49" s="122"/>
      <c r="J49" s="12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4"/>
      <c r="B50" s="32" t="s">
        <v>70</v>
      </c>
      <c r="C50" s="11"/>
      <c r="D50" s="12">
        <f>C50*1.5</f>
        <v>0</v>
      </c>
      <c r="F50" s="120"/>
      <c r="G50" s="124"/>
      <c r="H50" s="125"/>
      <c r="I50" s="125"/>
      <c r="J50" s="126"/>
      <c r="P50" s="4"/>
      <c r="Q50" s="4"/>
      <c r="R50" s="5"/>
    </row>
    <row r="51" spans="1:18" ht="15" customHeight="1" x14ac:dyDescent="0.25">
      <c r="A51" s="114"/>
      <c r="B51" s="27"/>
      <c r="C51" s="10"/>
      <c r="D51" s="31"/>
      <c r="F51" s="127" t="s">
        <v>128</v>
      </c>
      <c r="G51" s="129">
        <f>G49-H29</f>
        <v>0</v>
      </c>
      <c r="H51" s="130"/>
      <c r="I51" s="130"/>
      <c r="J51" s="13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4"/>
      <c r="B52" s="29"/>
      <c r="C52" s="33"/>
      <c r="D52" s="45"/>
      <c r="F52" s="128"/>
      <c r="G52" s="132"/>
      <c r="H52" s="133"/>
      <c r="I52" s="133"/>
      <c r="J52" s="1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9" t="s">
        <v>90</v>
      </c>
      <c r="B54" s="100"/>
      <c r="C54" s="101"/>
      <c r="D54" s="105">
        <f>SUM(D34:D53)</f>
        <v>0</v>
      </c>
      <c r="F54" s="21"/>
      <c r="J54" s="34"/>
    </row>
    <row r="55" spans="1:18" x14ac:dyDescent="0.25">
      <c r="A55" s="102"/>
      <c r="B55" s="103"/>
      <c r="C55" s="104"/>
      <c r="D55" s="10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7" t="s">
        <v>91</v>
      </c>
      <c r="B58" s="108"/>
      <c r="C58" s="108"/>
      <c r="D58" s="109"/>
      <c r="F58" s="107" t="s">
        <v>92</v>
      </c>
      <c r="G58" s="108"/>
      <c r="H58" s="108"/>
      <c r="I58" s="108"/>
      <c r="J58" s="109"/>
    </row>
    <row r="59" spans="1:18" x14ac:dyDescent="0.25">
      <c r="A59" s="110"/>
      <c r="B59" s="111"/>
      <c r="C59" s="111"/>
      <c r="D59" s="112"/>
      <c r="F59" s="110"/>
      <c r="G59" s="111"/>
      <c r="H59" s="111"/>
      <c r="I59" s="111"/>
      <c r="J59" s="11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FEED22-7B7E-4DC0-84A5-4A216B52F52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5" t="s">
        <v>1</v>
      </c>
      <c r="O1" s="19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6" t="s">
        <v>7</v>
      </c>
      <c r="B4" s="147"/>
      <c r="C4" s="147"/>
      <c r="D4" s="148"/>
      <c r="F4" s="196" t="s">
        <v>8</v>
      </c>
      <c r="G4" s="198">
        <v>1</v>
      </c>
      <c r="H4" s="200" t="s">
        <v>9</v>
      </c>
      <c r="I4" s="202">
        <v>45999</v>
      </c>
      <c r="J4" s="20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97"/>
      <c r="G5" s="199"/>
      <c r="H5" s="201"/>
      <c r="I5" s="204"/>
      <c r="J5" s="20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84"/>
      <c r="D6" s="13">
        <f t="shared" ref="D6:D28" si="1">C6*L6</f>
        <v>0</v>
      </c>
      <c r="F6" s="206" t="s">
        <v>16</v>
      </c>
      <c r="G6" s="208" t="s">
        <v>129</v>
      </c>
      <c r="H6" s="209"/>
      <c r="I6" s="209"/>
      <c r="J6" s="21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84"/>
      <c r="D7" s="13">
        <f t="shared" si="1"/>
        <v>0</v>
      </c>
      <c r="F7" s="207"/>
      <c r="G7" s="211"/>
      <c r="H7" s="212"/>
      <c r="I7" s="212"/>
      <c r="J7" s="21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84"/>
      <c r="D8" s="13">
        <f t="shared" si="1"/>
        <v>0</v>
      </c>
      <c r="F8" s="214" t="s">
        <v>21</v>
      </c>
      <c r="G8" s="215" t="s">
        <v>112</v>
      </c>
      <c r="H8" s="216"/>
      <c r="I8" s="216"/>
      <c r="J8" s="21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84"/>
      <c r="D9" s="13">
        <f t="shared" si="1"/>
        <v>0</v>
      </c>
      <c r="F9" s="207"/>
      <c r="G9" s="218"/>
      <c r="H9" s="219"/>
      <c r="I9" s="219"/>
      <c r="J9" s="22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84"/>
      <c r="D10" s="13">
        <f t="shared" si="1"/>
        <v>0</v>
      </c>
      <c r="F10" s="206" t="s">
        <v>26</v>
      </c>
      <c r="G10" s="221" t="s">
        <v>130</v>
      </c>
      <c r="H10" s="222"/>
      <c r="I10" s="222"/>
      <c r="J10" s="223"/>
      <c r="K10" s="8"/>
      <c r="L10" s="6">
        <f>R36</f>
        <v>972</v>
      </c>
      <c r="P10" s="4"/>
      <c r="Q10" s="4"/>
      <c r="R10" s="5"/>
    </row>
    <row r="11" spans="1:18" ht="15.75" x14ac:dyDescent="0.25">
      <c r="A11" s="141"/>
      <c r="B11" s="17" t="s">
        <v>28</v>
      </c>
      <c r="C11" s="84"/>
      <c r="D11" s="13">
        <f t="shared" si="1"/>
        <v>0</v>
      </c>
      <c r="F11" s="207"/>
      <c r="G11" s="218"/>
      <c r="H11" s="219"/>
      <c r="I11" s="219"/>
      <c r="J11" s="22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84"/>
      <c r="D12" s="48">
        <f t="shared" si="1"/>
        <v>0</v>
      </c>
      <c r="F12" s="224" t="s">
        <v>33</v>
      </c>
      <c r="G12" s="225"/>
      <c r="H12" s="225"/>
      <c r="I12" s="225"/>
      <c r="J12" s="22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84"/>
      <c r="D13" s="48">
        <f t="shared" si="1"/>
        <v>0</v>
      </c>
      <c r="F13" s="227" t="s">
        <v>36</v>
      </c>
      <c r="G13" s="191"/>
      <c r="H13" s="182">
        <f>D29</f>
        <v>0</v>
      </c>
      <c r="I13" s="183"/>
      <c r="J13" s="18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84"/>
      <c r="D14" s="31">
        <f t="shared" si="1"/>
        <v>0</v>
      </c>
      <c r="F14" s="185" t="s">
        <v>39</v>
      </c>
      <c r="G14" s="186"/>
      <c r="H14" s="187">
        <f>D54</f>
        <v>0</v>
      </c>
      <c r="I14" s="188"/>
      <c r="J14" s="18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38</v>
      </c>
      <c r="C15" s="84"/>
      <c r="D15" s="31">
        <f t="shared" si="1"/>
        <v>0</v>
      </c>
      <c r="F15" s="190" t="s">
        <v>40</v>
      </c>
      <c r="G15" s="191"/>
      <c r="H15" s="192">
        <f>H13-H14</f>
        <v>0</v>
      </c>
      <c r="I15" s="193"/>
      <c r="J15" s="19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2"/>
      <c r="I16" s="152"/>
      <c r="J16" s="15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t="s">
        <v>138</v>
      </c>
      <c r="C17" s="84"/>
      <c r="D17" s="48">
        <f t="shared" si="1"/>
        <v>0</v>
      </c>
      <c r="F17" s="56"/>
      <c r="G17" s="66" t="s">
        <v>45</v>
      </c>
      <c r="H17" s="163"/>
      <c r="I17" s="163"/>
      <c r="J17" s="16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3"/>
      <c r="I18" s="163"/>
      <c r="J18" s="16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63"/>
      <c r="I19" s="163"/>
      <c r="J19" s="163"/>
      <c r="L19" s="6">
        <v>1102</v>
      </c>
      <c r="Q19" s="4"/>
      <c r="R19" s="5">
        <f t="shared" si="0"/>
        <v>0</v>
      </c>
    </row>
    <row r="20" spans="1:18" ht="15.75" x14ac:dyDescent="0.25">
      <c r="A20" s="14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2"/>
      <c r="I20" s="152"/>
      <c r="J20" s="15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1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65" t="s">
        <v>13</v>
      </c>
      <c r="I21" s="166"/>
      <c r="J21" s="16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1"/>
      <c r="B22" s="46" t="s">
        <v>127</v>
      </c>
      <c r="C22" s="84"/>
      <c r="D22" s="48">
        <f t="shared" si="1"/>
        <v>0</v>
      </c>
      <c r="F22" s="77"/>
      <c r="G22" s="73"/>
      <c r="H22" s="168"/>
      <c r="I22" s="168"/>
      <c r="J22" s="16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101</v>
      </c>
      <c r="C23" s="84"/>
      <c r="D23" s="48">
        <f t="shared" si="1"/>
        <v>0</v>
      </c>
      <c r="F23" s="77"/>
      <c r="G23" s="79"/>
      <c r="H23" s="228"/>
      <c r="I23" s="229"/>
      <c r="J23" s="22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121</v>
      </c>
      <c r="C24" s="84"/>
      <c r="D24" s="48">
        <f t="shared" si="1"/>
        <v>0</v>
      </c>
      <c r="F24" s="77"/>
      <c r="G24" s="79"/>
      <c r="H24" s="228"/>
      <c r="I24" s="229"/>
      <c r="J24" s="22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137</v>
      </c>
      <c r="C26" s="84"/>
      <c r="D26" s="48">
        <f t="shared" si="1"/>
        <v>0</v>
      </c>
      <c r="F26" s="75"/>
      <c r="G26" s="65"/>
      <c r="H26" s="138"/>
      <c r="I26" s="138"/>
      <c r="J26" s="138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1"/>
      <c r="B27" s="14" t="s">
        <v>110</v>
      </c>
      <c r="C27" s="84"/>
      <c r="D27" s="44">
        <f t="shared" si="1"/>
        <v>0</v>
      </c>
      <c r="F27" s="71"/>
      <c r="G27" s="90"/>
      <c r="H27" s="230"/>
      <c r="I27" s="231"/>
      <c r="J27" s="23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97</v>
      </c>
      <c r="C28" s="84"/>
      <c r="D28" s="48">
        <f t="shared" si="1"/>
        <v>0</v>
      </c>
      <c r="F28" s="93"/>
      <c r="G28" s="61"/>
      <c r="H28" s="179"/>
      <c r="I28" s="180"/>
      <c r="J28" s="18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3" t="s">
        <v>36</v>
      </c>
      <c r="B29" s="154"/>
      <c r="C29" s="155"/>
      <c r="D29" s="159">
        <f>SUM(D6:D28)</f>
        <v>0</v>
      </c>
      <c r="F29" s="99" t="s">
        <v>55</v>
      </c>
      <c r="G29" s="161"/>
      <c r="H29" s="121">
        <f>H15-H16-H17-H18-H19-H20-H22-H23-H24+H26+H27+H28</f>
        <v>0</v>
      </c>
      <c r="I29" s="122"/>
      <c r="J29" s="12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6"/>
      <c r="B30" s="157"/>
      <c r="C30" s="158"/>
      <c r="D30" s="160"/>
      <c r="F30" s="102"/>
      <c r="G30" s="162"/>
      <c r="H30" s="124"/>
      <c r="I30" s="125"/>
      <c r="J30" s="12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6" t="s">
        <v>58</v>
      </c>
      <c r="B32" s="147"/>
      <c r="C32" s="147"/>
      <c r="D32" s="148"/>
      <c r="F32" s="149" t="s">
        <v>59</v>
      </c>
      <c r="G32" s="150"/>
      <c r="H32" s="150"/>
      <c r="I32" s="150"/>
      <c r="J32" s="15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49" t="s">
        <v>13</v>
      </c>
      <c r="I33" s="150"/>
      <c r="J33" s="15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43">
        <f t="shared" ref="H34:H39" si="2">F34*G34</f>
        <v>0</v>
      </c>
      <c r="I34" s="144"/>
      <c r="J34" s="14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1"/>
      <c r="B35" s="27" t="s">
        <v>68</v>
      </c>
      <c r="C35" s="52"/>
      <c r="D35" s="30">
        <f>C35*84</f>
        <v>0</v>
      </c>
      <c r="F35" s="58">
        <v>500</v>
      </c>
      <c r="G35" s="41"/>
      <c r="H35" s="143">
        <f t="shared" si="2"/>
        <v>0</v>
      </c>
      <c r="I35" s="144"/>
      <c r="J35" s="14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70</v>
      </c>
      <c r="C36" s="10"/>
      <c r="D36" s="12">
        <f>C36*1.5</f>
        <v>0</v>
      </c>
      <c r="F36" s="12">
        <v>200</v>
      </c>
      <c r="G36" s="37"/>
      <c r="H36" s="143">
        <f t="shared" si="2"/>
        <v>0</v>
      </c>
      <c r="I36" s="144"/>
      <c r="J36" s="14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3">
        <f t="shared" si="2"/>
        <v>0</v>
      </c>
      <c r="I37" s="144"/>
      <c r="J37" s="14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1"/>
      <c r="B38" s="29" t="s">
        <v>68</v>
      </c>
      <c r="C38" s="54"/>
      <c r="D38" s="12">
        <f>C38*84</f>
        <v>0</v>
      </c>
      <c r="F38" s="30">
        <v>50</v>
      </c>
      <c r="G38" s="39"/>
      <c r="H38" s="143">
        <f t="shared" si="2"/>
        <v>0</v>
      </c>
      <c r="I38" s="144"/>
      <c r="J38" s="14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2"/>
      <c r="B39" s="29" t="s">
        <v>70</v>
      </c>
      <c r="C39" s="52"/>
      <c r="D39" s="31">
        <f>C39*4.5</f>
        <v>0</v>
      </c>
      <c r="F39" s="12">
        <v>20</v>
      </c>
      <c r="G39" s="37"/>
      <c r="H39" s="143">
        <f t="shared" si="2"/>
        <v>0</v>
      </c>
      <c r="I39" s="144"/>
      <c r="J39" s="14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3"/>
      <c r="I40" s="144"/>
      <c r="J40" s="14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1"/>
      <c r="B41" s="27" t="s">
        <v>68</v>
      </c>
      <c r="C41" s="10"/>
      <c r="D41" s="12">
        <f>C41*84</f>
        <v>0</v>
      </c>
      <c r="F41" s="12">
        <v>5</v>
      </c>
      <c r="G41" s="42"/>
      <c r="H41" s="143"/>
      <c r="I41" s="144"/>
      <c r="J41" s="14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2"/>
      <c r="B42" s="27" t="s">
        <v>70</v>
      </c>
      <c r="C42" s="11"/>
      <c r="D42" s="12">
        <f>C42*2.25</f>
        <v>0</v>
      </c>
      <c r="F42" s="39" t="s">
        <v>79</v>
      </c>
      <c r="G42" s="143"/>
      <c r="H42" s="144"/>
      <c r="I42" s="144"/>
      <c r="J42" s="14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3" t="s">
        <v>81</v>
      </c>
      <c r="C43" s="11"/>
      <c r="D43" s="12"/>
      <c r="F43" s="59" t="s">
        <v>82</v>
      </c>
      <c r="G43" s="90" t="s">
        <v>83</v>
      </c>
      <c r="H43" s="135" t="s">
        <v>13</v>
      </c>
      <c r="I43" s="136"/>
      <c r="J43" s="13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4"/>
      <c r="B44" s="27" t="s">
        <v>66</v>
      </c>
      <c r="C44" s="10"/>
      <c r="D44" s="12">
        <f>C44*120</f>
        <v>0</v>
      </c>
      <c r="F44" s="37"/>
      <c r="G44" s="62"/>
      <c r="H44" s="138"/>
      <c r="I44" s="138"/>
      <c r="J44" s="13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14"/>
      <c r="B45" s="27" t="s">
        <v>68</v>
      </c>
      <c r="C45" s="33"/>
      <c r="D45" s="12">
        <f>C45*84</f>
        <v>0</v>
      </c>
      <c r="F45" s="37"/>
      <c r="G45" s="62"/>
      <c r="H45" s="138"/>
      <c r="I45" s="138"/>
      <c r="J45" s="138"/>
      <c r="K45" s="21"/>
      <c r="P45" s="4"/>
      <c r="Q45" s="4"/>
      <c r="R45" s="5"/>
    </row>
    <row r="46" spans="1:18" ht="15.75" x14ac:dyDescent="0.25">
      <c r="A46" s="114"/>
      <c r="B46" s="49" t="s">
        <v>70</v>
      </c>
      <c r="C46" s="81"/>
      <c r="D46" s="12">
        <f>C46*1.5</f>
        <v>0</v>
      </c>
      <c r="F46" s="37"/>
      <c r="G46" s="62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5"/>
      <c r="B47" s="27"/>
      <c r="C47" s="11"/>
      <c r="D47" s="12"/>
      <c r="F47" s="59"/>
      <c r="G47" s="59"/>
      <c r="H47" s="116"/>
      <c r="I47" s="117"/>
      <c r="J47" s="118"/>
      <c r="K47" s="21"/>
      <c r="P47" s="4"/>
      <c r="Q47" s="4"/>
      <c r="R47" s="5"/>
    </row>
    <row r="48" spans="1:18" ht="15" customHeight="1" x14ac:dyDescent="0.25">
      <c r="A48" s="113" t="s">
        <v>32</v>
      </c>
      <c r="B48" s="27" t="s">
        <v>66</v>
      </c>
      <c r="C48" s="10"/>
      <c r="D48" s="12">
        <f>C48*78</f>
        <v>0</v>
      </c>
      <c r="F48" s="59"/>
      <c r="G48" s="59"/>
      <c r="H48" s="116"/>
      <c r="I48" s="117"/>
      <c r="J48" s="1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4"/>
      <c r="B49" s="29" t="s">
        <v>68</v>
      </c>
      <c r="C49" s="33"/>
      <c r="D49" s="12">
        <f>C49*42</f>
        <v>0</v>
      </c>
      <c r="F49" s="119" t="s">
        <v>86</v>
      </c>
      <c r="G49" s="121">
        <f>H34+H35+H36+H37+H38+H39+H40+H41+G42+H44+H45+H46</f>
        <v>0</v>
      </c>
      <c r="H49" s="122"/>
      <c r="I49" s="122"/>
      <c r="J49" s="12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4"/>
      <c r="B50" s="32" t="s">
        <v>70</v>
      </c>
      <c r="C50" s="11"/>
      <c r="D50" s="12">
        <f>C50*1.5</f>
        <v>0</v>
      </c>
      <c r="F50" s="120"/>
      <c r="G50" s="124"/>
      <c r="H50" s="125"/>
      <c r="I50" s="125"/>
      <c r="J50" s="126"/>
      <c r="P50" s="4"/>
      <c r="Q50" s="4"/>
      <c r="R50" s="5"/>
    </row>
    <row r="51" spans="1:18" ht="15" customHeight="1" x14ac:dyDescent="0.25">
      <c r="A51" s="114"/>
      <c r="B51" s="27"/>
      <c r="C51" s="10"/>
      <c r="D51" s="31"/>
      <c r="F51" s="127" t="s">
        <v>131</v>
      </c>
      <c r="G51" s="232">
        <f>G49-H29</f>
        <v>0</v>
      </c>
      <c r="H51" s="233"/>
      <c r="I51" s="233"/>
      <c r="J51" s="23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4"/>
      <c r="B52" s="29"/>
      <c r="C52" s="33"/>
      <c r="D52" s="45"/>
      <c r="F52" s="128"/>
      <c r="G52" s="235"/>
      <c r="H52" s="236"/>
      <c r="I52" s="236"/>
      <c r="J52" s="23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9" t="s">
        <v>90</v>
      </c>
      <c r="B54" s="100"/>
      <c r="C54" s="101"/>
      <c r="D54" s="10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2"/>
      <c r="B55" s="103"/>
      <c r="C55" s="104"/>
      <c r="D55" s="10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07" t="s">
        <v>91</v>
      </c>
      <c r="B58" s="108"/>
      <c r="C58" s="108"/>
      <c r="D58" s="109"/>
      <c r="F58" s="107" t="s">
        <v>92</v>
      </c>
      <c r="G58" s="108"/>
      <c r="H58" s="108"/>
      <c r="I58" s="108"/>
      <c r="J58" s="109"/>
    </row>
    <row r="59" spans="1:18" x14ac:dyDescent="0.25">
      <c r="A59" s="110"/>
      <c r="B59" s="111"/>
      <c r="C59" s="111"/>
      <c r="D59" s="112"/>
      <c r="F59" s="110"/>
      <c r="G59" s="111"/>
      <c r="H59" s="111"/>
      <c r="I59" s="111"/>
      <c r="J59" s="11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44C58-F673-46DD-8B88-9E574B8DD65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5" t="s">
        <v>1</v>
      </c>
      <c r="O1" s="19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6" t="s">
        <v>7</v>
      </c>
      <c r="B4" s="147"/>
      <c r="C4" s="147"/>
      <c r="D4" s="148"/>
      <c r="F4" s="196" t="s">
        <v>8</v>
      </c>
      <c r="G4" s="198">
        <v>2</v>
      </c>
      <c r="H4" s="200" t="s">
        <v>9</v>
      </c>
      <c r="I4" s="202">
        <v>45999</v>
      </c>
      <c r="J4" s="20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97"/>
      <c r="G5" s="199"/>
      <c r="H5" s="201"/>
      <c r="I5" s="204"/>
      <c r="J5" s="20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10"/>
      <c r="D6" s="13">
        <f t="shared" ref="D6:D28" si="1">C6*L6</f>
        <v>0</v>
      </c>
      <c r="F6" s="206" t="s">
        <v>16</v>
      </c>
      <c r="G6" s="208" t="s">
        <v>141</v>
      </c>
      <c r="H6" s="209"/>
      <c r="I6" s="209"/>
      <c r="J6" s="21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10"/>
      <c r="D7" s="13">
        <f t="shared" si="1"/>
        <v>0</v>
      </c>
      <c r="F7" s="207"/>
      <c r="G7" s="211"/>
      <c r="H7" s="212"/>
      <c r="I7" s="212"/>
      <c r="J7" s="21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10"/>
      <c r="D8" s="13">
        <f t="shared" si="1"/>
        <v>0</v>
      </c>
      <c r="F8" s="214" t="s">
        <v>21</v>
      </c>
      <c r="G8" s="215" t="s">
        <v>114</v>
      </c>
      <c r="H8" s="216"/>
      <c r="I8" s="216"/>
      <c r="J8" s="21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10"/>
      <c r="D9" s="13">
        <f t="shared" si="1"/>
        <v>0</v>
      </c>
      <c r="F9" s="207"/>
      <c r="G9" s="218"/>
      <c r="H9" s="219"/>
      <c r="I9" s="219"/>
      <c r="J9" s="22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10"/>
      <c r="D10" s="13">
        <f t="shared" si="1"/>
        <v>0</v>
      </c>
      <c r="F10" s="206" t="s">
        <v>26</v>
      </c>
      <c r="G10" s="221" t="s">
        <v>115</v>
      </c>
      <c r="H10" s="222"/>
      <c r="I10" s="222"/>
      <c r="J10" s="223"/>
      <c r="K10" s="8"/>
      <c r="L10" s="6">
        <f>R36</f>
        <v>972</v>
      </c>
      <c r="P10" s="4"/>
      <c r="Q10" s="4"/>
      <c r="R10" s="5"/>
    </row>
    <row r="11" spans="1:18" ht="15.75" x14ac:dyDescent="0.25">
      <c r="A11" s="141"/>
      <c r="B11" s="17" t="s">
        <v>28</v>
      </c>
      <c r="C11" s="10"/>
      <c r="D11" s="13">
        <f t="shared" si="1"/>
        <v>0</v>
      </c>
      <c r="F11" s="207"/>
      <c r="G11" s="218"/>
      <c r="H11" s="219"/>
      <c r="I11" s="219"/>
      <c r="J11" s="22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10"/>
      <c r="D12" s="48">
        <f t="shared" si="1"/>
        <v>0</v>
      </c>
      <c r="F12" s="224" t="s">
        <v>33</v>
      </c>
      <c r="G12" s="225"/>
      <c r="H12" s="225"/>
      <c r="I12" s="225"/>
      <c r="J12" s="22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10"/>
      <c r="D13" s="48">
        <f t="shared" si="1"/>
        <v>0</v>
      </c>
      <c r="F13" s="227" t="s">
        <v>36</v>
      </c>
      <c r="G13" s="191"/>
      <c r="H13" s="182">
        <f>D29</f>
        <v>0</v>
      </c>
      <c r="I13" s="183"/>
      <c r="J13" s="18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10"/>
      <c r="D14" s="31">
        <f t="shared" si="1"/>
        <v>0</v>
      </c>
      <c r="F14" s="185" t="s">
        <v>39</v>
      </c>
      <c r="G14" s="186"/>
      <c r="H14" s="187">
        <f>D54</f>
        <v>0</v>
      </c>
      <c r="I14" s="188"/>
      <c r="J14" s="18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38</v>
      </c>
      <c r="C15" s="10"/>
      <c r="D15" s="31">
        <f t="shared" si="1"/>
        <v>0</v>
      </c>
      <c r="F15" s="190" t="s">
        <v>40</v>
      </c>
      <c r="G15" s="191"/>
      <c r="H15" s="192">
        <f>H13-H14</f>
        <v>0</v>
      </c>
      <c r="I15" s="193"/>
      <c r="J15" s="19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2"/>
      <c r="I16" s="152"/>
      <c r="J16" s="15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t="s">
        <v>93</v>
      </c>
      <c r="C17" s="10"/>
      <c r="D17" s="48">
        <f t="shared" si="1"/>
        <v>0</v>
      </c>
      <c r="F17" s="56"/>
      <c r="G17" s="66" t="s">
        <v>45</v>
      </c>
      <c r="H17" s="163"/>
      <c r="I17" s="163"/>
      <c r="J17" s="163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3"/>
      <c r="I18" s="163"/>
      <c r="J18" s="16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9"/>
      <c r="I19" s="239"/>
      <c r="J19" s="23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1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3"/>
      <c r="I20" s="163"/>
      <c r="J20" s="16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5" t="s">
        <v>13</v>
      </c>
      <c r="I21" s="166"/>
      <c r="J21" s="16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1"/>
      <c r="B22" s="46" t="s">
        <v>104</v>
      </c>
      <c r="C22" s="10"/>
      <c r="D22" s="48">
        <f t="shared" si="1"/>
        <v>0</v>
      </c>
      <c r="F22" s="72"/>
      <c r="G22" s="73"/>
      <c r="H22" s="168"/>
      <c r="I22" s="168"/>
      <c r="J22" s="16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107</v>
      </c>
      <c r="C23" s="10"/>
      <c r="D23" s="48">
        <f t="shared" si="1"/>
        <v>0</v>
      </c>
      <c r="F23" s="25"/>
      <c r="G23" s="37"/>
      <c r="H23" s="169"/>
      <c r="I23" s="138"/>
      <c r="J23" s="13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123</v>
      </c>
      <c r="C24" s="10"/>
      <c r="D24" s="48">
        <f t="shared" si="1"/>
        <v>0</v>
      </c>
      <c r="F24" s="38"/>
      <c r="G24" s="37"/>
      <c r="H24" s="169"/>
      <c r="I24" s="138"/>
      <c r="J24" s="13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105</v>
      </c>
      <c r="C26" s="10"/>
      <c r="D26" s="48">
        <f t="shared" si="1"/>
        <v>0</v>
      </c>
      <c r="F26" s="64"/>
      <c r="G26" s="10"/>
      <c r="H26" s="173"/>
      <c r="I26" s="174"/>
      <c r="J26" s="17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1"/>
      <c r="B27" s="14" t="s">
        <v>109</v>
      </c>
      <c r="C27" s="10"/>
      <c r="D27" s="44">
        <f t="shared" si="1"/>
        <v>0</v>
      </c>
      <c r="F27" s="14"/>
      <c r="G27" s="14"/>
      <c r="H27" s="176"/>
      <c r="I27" s="177"/>
      <c r="J27" s="17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97</v>
      </c>
      <c r="C28" s="10"/>
      <c r="D28" s="48">
        <f t="shared" si="1"/>
        <v>0</v>
      </c>
      <c r="F28" s="93"/>
      <c r="G28" s="61"/>
      <c r="H28" s="179"/>
      <c r="I28" s="180"/>
      <c r="J28" s="18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3" t="s">
        <v>36</v>
      </c>
      <c r="B29" s="154"/>
      <c r="C29" s="155"/>
      <c r="D29" s="159">
        <f>SUM(D6:D28)</f>
        <v>0</v>
      </c>
      <c r="F29" s="99" t="s">
        <v>55</v>
      </c>
      <c r="G29" s="161"/>
      <c r="H29" s="121">
        <f>H15-H16-H17-H18-H19-H20-H22-H23-H24+H26+H27</f>
        <v>0</v>
      </c>
      <c r="I29" s="122"/>
      <c r="J29" s="12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6"/>
      <c r="B30" s="157"/>
      <c r="C30" s="158"/>
      <c r="D30" s="160"/>
      <c r="F30" s="102"/>
      <c r="G30" s="162"/>
      <c r="H30" s="124"/>
      <c r="I30" s="125"/>
      <c r="J30" s="12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6" t="s">
        <v>58</v>
      </c>
      <c r="B32" s="147"/>
      <c r="C32" s="147"/>
      <c r="D32" s="148"/>
      <c r="F32" s="149" t="s">
        <v>59</v>
      </c>
      <c r="G32" s="150"/>
      <c r="H32" s="150"/>
      <c r="I32" s="150"/>
      <c r="J32" s="15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49" t="s">
        <v>13</v>
      </c>
      <c r="I33" s="150"/>
      <c r="J33" s="15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3">
        <f>F34*G34</f>
        <v>0</v>
      </c>
      <c r="I34" s="144"/>
      <c r="J34" s="14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1"/>
      <c r="B35" s="27" t="s">
        <v>68</v>
      </c>
      <c r="C35" s="52"/>
      <c r="D35" s="30">
        <f>C35*84</f>
        <v>0</v>
      </c>
      <c r="F35" s="58">
        <v>500</v>
      </c>
      <c r="G35" s="41"/>
      <c r="H35" s="143">
        <f t="shared" ref="H35:H39" si="2">F35*G35</f>
        <v>0</v>
      </c>
      <c r="I35" s="144"/>
      <c r="J35" s="14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70</v>
      </c>
      <c r="C36" s="10"/>
      <c r="D36" s="12">
        <f>C36*1.5</f>
        <v>0</v>
      </c>
      <c r="F36" s="12">
        <v>200</v>
      </c>
      <c r="G36" s="37"/>
      <c r="H36" s="143">
        <f>F36*G36</f>
        <v>0</v>
      </c>
      <c r="I36" s="144"/>
      <c r="J36" s="14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3">
        <f t="shared" si="2"/>
        <v>0</v>
      </c>
      <c r="I37" s="144"/>
      <c r="J37" s="14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1"/>
      <c r="B38" s="29" t="s">
        <v>68</v>
      </c>
      <c r="C38" s="54"/>
      <c r="D38" s="12">
        <f>C38*84</f>
        <v>0</v>
      </c>
      <c r="F38" s="30">
        <v>50</v>
      </c>
      <c r="G38" s="39"/>
      <c r="H38" s="143">
        <f t="shared" si="2"/>
        <v>0</v>
      </c>
      <c r="I38" s="144"/>
      <c r="J38" s="14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2"/>
      <c r="B39" s="29" t="s">
        <v>70</v>
      </c>
      <c r="C39" s="52"/>
      <c r="D39" s="31">
        <f>C39*4.5</f>
        <v>0</v>
      </c>
      <c r="F39" s="12">
        <v>20</v>
      </c>
      <c r="G39" s="37"/>
      <c r="H39" s="143">
        <f t="shared" si="2"/>
        <v>0</v>
      </c>
      <c r="I39" s="144"/>
      <c r="J39" s="14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3"/>
      <c r="I40" s="144"/>
      <c r="J40" s="14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1"/>
      <c r="B41" s="27" t="s">
        <v>68</v>
      </c>
      <c r="C41" s="10"/>
      <c r="D41" s="12">
        <f>C41*84</f>
        <v>0</v>
      </c>
      <c r="F41" s="12">
        <v>5</v>
      </c>
      <c r="G41" s="42"/>
      <c r="H41" s="143"/>
      <c r="I41" s="144"/>
      <c r="J41" s="14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2"/>
      <c r="B42" s="27" t="s">
        <v>70</v>
      </c>
      <c r="C42" s="11"/>
      <c r="D42" s="12">
        <f>C42*2.25</f>
        <v>0</v>
      </c>
      <c r="F42" s="39" t="s">
        <v>79</v>
      </c>
      <c r="G42" s="143"/>
      <c r="H42" s="144"/>
      <c r="I42" s="144"/>
      <c r="J42" s="14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3" t="s">
        <v>81</v>
      </c>
      <c r="C43" s="11"/>
      <c r="D43" s="12"/>
      <c r="F43" s="59" t="s">
        <v>82</v>
      </c>
      <c r="G43" s="90" t="s">
        <v>83</v>
      </c>
      <c r="H43" s="135" t="s">
        <v>13</v>
      </c>
      <c r="I43" s="136"/>
      <c r="J43" s="137"/>
      <c r="K43" s="21"/>
      <c r="P43" s="4"/>
      <c r="Q43" s="4"/>
      <c r="R43" s="5"/>
    </row>
    <row r="44" spans="1:18" ht="15.75" x14ac:dyDescent="0.25">
      <c r="A44" s="114"/>
      <c r="B44" s="27" t="s">
        <v>66</v>
      </c>
      <c r="C44" s="10"/>
      <c r="D44" s="12">
        <f>C44*120</f>
        <v>0</v>
      </c>
      <c r="F44" s="37"/>
      <c r="G44" s="62"/>
      <c r="H44" s="138"/>
      <c r="I44" s="138"/>
      <c r="J44" s="138"/>
      <c r="K44" s="21"/>
      <c r="P44" s="4"/>
      <c r="Q44" s="4"/>
      <c r="R44" s="5"/>
    </row>
    <row r="45" spans="1:18" ht="15.75" x14ac:dyDescent="0.25">
      <c r="A45" s="114"/>
      <c r="B45" s="27" t="s">
        <v>68</v>
      </c>
      <c r="C45" s="33"/>
      <c r="D45" s="12">
        <f>C45*84</f>
        <v>0</v>
      </c>
      <c r="F45" s="37"/>
      <c r="G45" s="62"/>
      <c r="H45" s="138"/>
      <c r="I45" s="138"/>
      <c r="J45" s="138"/>
      <c r="K45" s="21"/>
      <c r="P45" s="4"/>
      <c r="Q45" s="4"/>
      <c r="R45" s="5"/>
    </row>
    <row r="46" spans="1:18" ht="15.75" x14ac:dyDescent="0.25">
      <c r="A46" s="114"/>
      <c r="B46" s="49" t="s">
        <v>70</v>
      </c>
      <c r="C46" s="81"/>
      <c r="D46" s="12">
        <f>C46*1.5</f>
        <v>0</v>
      </c>
      <c r="F46" s="37"/>
      <c r="G46" s="91"/>
      <c r="H46" s="139"/>
      <c r="I46" s="139"/>
      <c r="J46" s="139"/>
      <c r="K46" s="21"/>
      <c r="P46" s="4"/>
      <c r="Q46" s="4"/>
      <c r="R46" s="5"/>
    </row>
    <row r="47" spans="1:18" ht="15.75" x14ac:dyDescent="0.25">
      <c r="A47" s="115"/>
      <c r="B47" s="27"/>
      <c r="C47" s="11"/>
      <c r="D47" s="12"/>
      <c r="F47" s="59"/>
      <c r="G47" s="59"/>
      <c r="H47" s="116"/>
      <c r="I47" s="117"/>
      <c r="J47" s="118"/>
      <c r="K47" s="21"/>
      <c r="P47" s="4"/>
      <c r="Q47" s="4"/>
      <c r="R47" s="5"/>
    </row>
    <row r="48" spans="1:18" ht="15" customHeight="1" x14ac:dyDescent="0.25">
      <c r="A48" s="113" t="s">
        <v>32</v>
      </c>
      <c r="B48" s="27" t="s">
        <v>66</v>
      </c>
      <c r="C48" s="10"/>
      <c r="D48" s="12">
        <f>C48*78</f>
        <v>0</v>
      </c>
      <c r="F48" s="59"/>
      <c r="G48" s="59"/>
      <c r="H48" s="116"/>
      <c r="I48" s="117"/>
      <c r="J48" s="1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4"/>
      <c r="B49" s="29" t="s">
        <v>68</v>
      </c>
      <c r="C49" s="33"/>
      <c r="D49" s="12">
        <f>C49*42</f>
        <v>0</v>
      </c>
      <c r="F49" s="119" t="s">
        <v>86</v>
      </c>
      <c r="G49" s="121">
        <f>H34+H35+H36+H37+H38+H39+H40+H41+G42+H44+H45+H46</f>
        <v>0</v>
      </c>
      <c r="H49" s="122"/>
      <c r="I49" s="122"/>
      <c r="J49" s="12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4"/>
      <c r="B50" s="32" t="s">
        <v>70</v>
      </c>
      <c r="C50" s="11"/>
      <c r="D50" s="12">
        <f>C50*1.5</f>
        <v>0</v>
      </c>
      <c r="F50" s="120"/>
      <c r="G50" s="124"/>
      <c r="H50" s="125"/>
      <c r="I50" s="125"/>
      <c r="J50" s="126"/>
      <c r="P50" s="4"/>
      <c r="Q50" s="4"/>
      <c r="R50" s="5"/>
    </row>
    <row r="51" spans="1:18" ht="15" customHeight="1" x14ac:dyDescent="0.25">
      <c r="A51" s="114"/>
      <c r="B51" s="27"/>
      <c r="C51" s="10"/>
      <c r="D51" s="31"/>
      <c r="F51" s="127" t="s">
        <v>132</v>
      </c>
      <c r="G51" s="232">
        <f>G49-H29</f>
        <v>0</v>
      </c>
      <c r="H51" s="233"/>
      <c r="I51" s="233"/>
      <c r="J51" s="23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4"/>
      <c r="B52" s="29"/>
      <c r="C52" s="33"/>
      <c r="D52" s="45"/>
      <c r="F52" s="128"/>
      <c r="G52" s="235"/>
      <c r="H52" s="236"/>
      <c r="I52" s="236"/>
      <c r="J52" s="23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9" t="s">
        <v>90</v>
      </c>
      <c r="B54" s="100"/>
      <c r="C54" s="101"/>
      <c r="D54" s="105">
        <f>SUM(D34:D53)</f>
        <v>0</v>
      </c>
      <c r="F54" s="21"/>
      <c r="J54" s="34"/>
    </row>
    <row r="55" spans="1:18" x14ac:dyDescent="0.25">
      <c r="A55" s="102"/>
      <c r="B55" s="103"/>
      <c r="C55" s="104"/>
      <c r="D55" s="10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7" t="s">
        <v>91</v>
      </c>
      <c r="B58" s="108"/>
      <c r="C58" s="108"/>
      <c r="D58" s="109"/>
      <c r="F58" s="107" t="s">
        <v>92</v>
      </c>
      <c r="G58" s="108"/>
      <c r="H58" s="108"/>
      <c r="I58" s="108"/>
      <c r="J58" s="109"/>
    </row>
    <row r="59" spans="1:18" x14ac:dyDescent="0.25">
      <c r="A59" s="110"/>
      <c r="B59" s="111"/>
      <c r="C59" s="111"/>
      <c r="D59" s="112"/>
      <c r="F59" s="110"/>
      <c r="G59" s="111"/>
      <c r="H59" s="111"/>
      <c r="I59" s="111"/>
      <c r="J59" s="11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E99B3-7E03-4098-9747-FAA0D0E9AE7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5" t="s">
        <v>1</v>
      </c>
      <c r="O1" s="19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6" t="s">
        <v>7</v>
      </c>
      <c r="B4" s="147"/>
      <c r="C4" s="147"/>
      <c r="D4" s="148"/>
      <c r="F4" s="196" t="s">
        <v>8</v>
      </c>
      <c r="G4" s="198">
        <v>3</v>
      </c>
      <c r="H4" s="200" t="s">
        <v>9</v>
      </c>
      <c r="I4" s="202">
        <v>45999</v>
      </c>
      <c r="J4" s="20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97"/>
      <c r="G5" s="199"/>
      <c r="H5" s="201"/>
      <c r="I5" s="204"/>
      <c r="J5" s="20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10"/>
      <c r="D6" s="13">
        <f t="shared" ref="D6:D28" si="1">C6*L6</f>
        <v>0</v>
      </c>
      <c r="F6" s="206" t="s">
        <v>16</v>
      </c>
      <c r="G6" s="208" t="s">
        <v>111</v>
      </c>
      <c r="H6" s="209"/>
      <c r="I6" s="209"/>
      <c r="J6" s="21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10"/>
      <c r="D7" s="13">
        <f t="shared" si="1"/>
        <v>0</v>
      </c>
      <c r="F7" s="207"/>
      <c r="G7" s="211"/>
      <c r="H7" s="212"/>
      <c r="I7" s="212"/>
      <c r="J7" s="21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10"/>
      <c r="D8" s="13">
        <f t="shared" si="1"/>
        <v>0</v>
      </c>
      <c r="F8" s="214" t="s">
        <v>21</v>
      </c>
      <c r="G8" s="215" t="s">
        <v>119</v>
      </c>
      <c r="H8" s="216"/>
      <c r="I8" s="216"/>
      <c r="J8" s="21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10"/>
      <c r="D9" s="13">
        <f t="shared" si="1"/>
        <v>0</v>
      </c>
      <c r="F9" s="207"/>
      <c r="G9" s="218"/>
      <c r="H9" s="219"/>
      <c r="I9" s="219"/>
      <c r="J9" s="22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10"/>
      <c r="D10" s="13">
        <f t="shared" si="1"/>
        <v>0</v>
      </c>
      <c r="F10" s="206" t="s">
        <v>26</v>
      </c>
      <c r="G10" s="221" t="s">
        <v>135</v>
      </c>
      <c r="H10" s="222"/>
      <c r="I10" s="222"/>
      <c r="J10" s="223"/>
      <c r="K10" s="8"/>
      <c r="L10" s="6">
        <f>R36</f>
        <v>972</v>
      </c>
      <c r="P10" s="4"/>
      <c r="Q10" s="4"/>
      <c r="R10" s="5"/>
    </row>
    <row r="11" spans="1:18" ht="15.75" x14ac:dyDescent="0.25">
      <c r="A11" s="141"/>
      <c r="B11" s="17" t="s">
        <v>28</v>
      </c>
      <c r="C11" s="10"/>
      <c r="D11" s="13">
        <f t="shared" si="1"/>
        <v>0</v>
      </c>
      <c r="F11" s="207"/>
      <c r="G11" s="218"/>
      <c r="H11" s="219"/>
      <c r="I11" s="219"/>
      <c r="J11" s="22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10"/>
      <c r="D12" s="48">
        <f t="shared" si="1"/>
        <v>0</v>
      </c>
      <c r="F12" s="224" t="s">
        <v>33</v>
      </c>
      <c r="G12" s="225"/>
      <c r="H12" s="225"/>
      <c r="I12" s="225"/>
      <c r="J12" s="22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10"/>
      <c r="D13" s="48">
        <f t="shared" si="1"/>
        <v>0</v>
      </c>
      <c r="F13" s="227" t="s">
        <v>36</v>
      </c>
      <c r="G13" s="191"/>
      <c r="H13" s="182">
        <f>D29</f>
        <v>0</v>
      </c>
      <c r="I13" s="183"/>
      <c r="J13" s="18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10"/>
      <c r="D14" s="31">
        <f t="shared" si="1"/>
        <v>0</v>
      </c>
      <c r="F14" s="185" t="s">
        <v>39</v>
      </c>
      <c r="G14" s="186"/>
      <c r="H14" s="187">
        <f>D54</f>
        <v>0</v>
      </c>
      <c r="I14" s="188"/>
      <c r="J14" s="18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38</v>
      </c>
      <c r="C15" s="10"/>
      <c r="D15" s="31">
        <f t="shared" si="1"/>
        <v>0</v>
      </c>
      <c r="F15" s="190" t="s">
        <v>40</v>
      </c>
      <c r="G15" s="191"/>
      <c r="H15" s="192">
        <f>H13-H14</f>
        <v>0</v>
      </c>
      <c r="I15" s="193"/>
      <c r="J15" s="19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2"/>
      <c r="I16" s="152"/>
      <c r="J16" s="15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t="s">
        <v>113</v>
      </c>
      <c r="C17" s="10"/>
      <c r="D17" s="48">
        <f t="shared" si="1"/>
        <v>0</v>
      </c>
      <c r="F17" s="56"/>
      <c r="G17" s="66" t="s">
        <v>45</v>
      </c>
      <c r="H17" s="163"/>
      <c r="I17" s="163"/>
      <c r="J17" s="16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3"/>
      <c r="I18" s="163"/>
      <c r="J18" s="16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2"/>
      <c r="I20" s="152"/>
      <c r="J20" s="15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5" t="s">
        <v>13</v>
      </c>
      <c r="I21" s="166"/>
      <c r="J21" s="16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1"/>
      <c r="B22" s="46" t="s">
        <v>104</v>
      </c>
      <c r="C22" s="10"/>
      <c r="D22" s="48">
        <f t="shared" si="1"/>
        <v>0</v>
      </c>
      <c r="F22" s="77"/>
      <c r="G22" s="73"/>
      <c r="H22" s="168"/>
      <c r="I22" s="168"/>
      <c r="J22" s="16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107</v>
      </c>
      <c r="C23" s="10"/>
      <c r="D23" s="48">
        <f t="shared" si="1"/>
        <v>0</v>
      </c>
      <c r="F23" s="78"/>
      <c r="G23" s="79"/>
      <c r="H23" s="169"/>
      <c r="I23" s="138"/>
      <c r="J23" s="13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101</v>
      </c>
      <c r="C24" s="10"/>
      <c r="D24" s="48">
        <f t="shared" si="1"/>
        <v>0</v>
      </c>
      <c r="F24" s="38"/>
      <c r="G24" s="37"/>
      <c r="H24" s="169"/>
      <c r="I24" s="138"/>
      <c r="J24" s="13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105</v>
      </c>
      <c r="C26" s="10"/>
      <c r="D26" s="48">
        <f t="shared" si="1"/>
        <v>0</v>
      </c>
      <c r="F26" s="64"/>
      <c r="G26" s="59"/>
      <c r="H26" s="173"/>
      <c r="I26" s="174"/>
      <c r="J26" s="17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1"/>
      <c r="B27" s="14" t="s">
        <v>109</v>
      </c>
      <c r="C27" s="10"/>
      <c r="D27" s="44">
        <f t="shared" si="1"/>
        <v>0</v>
      </c>
      <c r="F27" s="25"/>
      <c r="G27" s="80"/>
      <c r="H27" s="176"/>
      <c r="I27" s="177"/>
      <c r="J27" s="17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97</v>
      </c>
      <c r="C28" s="10"/>
      <c r="D28" s="48">
        <f t="shared" si="1"/>
        <v>0</v>
      </c>
      <c r="F28" s="93"/>
      <c r="G28" s="61"/>
      <c r="H28" s="179"/>
      <c r="I28" s="180"/>
      <c r="J28" s="18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3" t="s">
        <v>36</v>
      </c>
      <c r="B29" s="154"/>
      <c r="C29" s="155"/>
      <c r="D29" s="159">
        <f>SUM(D6:D28)</f>
        <v>0</v>
      </c>
      <c r="F29" s="99" t="s">
        <v>55</v>
      </c>
      <c r="G29" s="161"/>
      <c r="H29" s="121">
        <f>H15-H16-H17-H18-H19-H20-H22-H23-H24+H26+H27</f>
        <v>0</v>
      </c>
      <c r="I29" s="122"/>
      <c r="J29" s="12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6"/>
      <c r="B30" s="157"/>
      <c r="C30" s="158"/>
      <c r="D30" s="160"/>
      <c r="F30" s="102"/>
      <c r="G30" s="162"/>
      <c r="H30" s="124"/>
      <c r="I30" s="125"/>
      <c r="J30" s="12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6" t="s">
        <v>58</v>
      </c>
      <c r="B32" s="147"/>
      <c r="C32" s="147"/>
      <c r="D32" s="148"/>
      <c r="F32" s="149" t="s">
        <v>59</v>
      </c>
      <c r="G32" s="150"/>
      <c r="H32" s="150"/>
      <c r="I32" s="150"/>
      <c r="J32" s="15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49" t="s">
        <v>13</v>
      </c>
      <c r="I33" s="150"/>
      <c r="J33" s="15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3">
        <f>F34*G34</f>
        <v>0</v>
      </c>
      <c r="I34" s="144"/>
      <c r="J34" s="14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1"/>
      <c r="B35" s="27" t="s">
        <v>68</v>
      </c>
      <c r="C35" s="52"/>
      <c r="D35" s="30">
        <f>C35*84</f>
        <v>0</v>
      </c>
      <c r="F35" s="58">
        <v>500</v>
      </c>
      <c r="G35" s="41"/>
      <c r="H35" s="143">
        <f>F35*G35</f>
        <v>0</v>
      </c>
      <c r="I35" s="144"/>
      <c r="J35" s="14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70</v>
      </c>
      <c r="C36" s="10"/>
      <c r="D36" s="12">
        <f>C36*1.5</f>
        <v>0</v>
      </c>
      <c r="F36" s="12">
        <v>200</v>
      </c>
      <c r="G36" s="37"/>
      <c r="H36" s="143">
        <f t="shared" ref="H36:H39" si="2">F36*G36</f>
        <v>0</v>
      </c>
      <c r="I36" s="144"/>
      <c r="J36" s="14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3">
        <f t="shared" si="2"/>
        <v>0</v>
      </c>
      <c r="I37" s="144"/>
      <c r="J37" s="14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1"/>
      <c r="B38" s="29" t="s">
        <v>68</v>
      </c>
      <c r="C38" s="54"/>
      <c r="D38" s="12">
        <f>C38*84</f>
        <v>0</v>
      </c>
      <c r="F38" s="30">
        <v>50</v>
      </c>
      <c r="G38" s="39"/>
      <c r="H38" s="143">
        <f t="shared" si="2"/>
        <v>0</v>
      </c>
      <c r="I38" s="144"/>
      <c r="J38" s="14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2"/>
      <c r="B39" s="29" t="s">
        <v>70</v>
      </c>
      <c r="C39" s="52"/>
      <c r="D39" s="31">
        <f>C39*4.5</f>
        <v>0</v>
      </c>
      <c r="F39" s="12">
        <v>20</v>
      </c>
      <c r="G39" s="37"/>
      <c r="H39" s="143">
        <f t="shared" si="2"/>
        <v>0</v>
      </c>
      <c r="I39" s="144"/>
      <c r="J39" s="14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3"/>
      <c r="I40" s="144"/>
      <c r="J40" s="14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1"/>
      <c r="B41" s="27" t="s">
        <v>68</v>
      </c>
      <c r="C41" s="10"/>
      <c r="D41" s="12">
        <f>C41*84</f>
        <v>0</v>
      </c>
      <c r="F41" s="12">
        <v>5</v>
      </c>
      <c r="G41" s="42"/>
      <c r="H41" s="143"/>
      <c r="I41" s="144"/>
      <c r="J41" s="14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2"/>
      <c r="B42" s="27" t="s">
        <v>70</v>
      </c>
      <c r="C42" s="11"/>
      <c r="D42" s="12">
        <f>C42*2.25</f>
        <v>0</v>
      </c>
      <c r="F42" s="39" t="s">
        <v>79</v>
      </c>
      <c r="G42" s="143"/>
      <c r="H42" s="144"/>
      <c r="I42" s="144"/>
      <c r="J42" s="14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3" t="s">
        <v>81</v>
      </c>
      <c r="C43" s="11"/>
      <c r="D43" s="12"/>
      <c r="F43" s="59" t="s">
        <v>82</v>
      </c>
      <c r="G43" s="90" t="s">
        <v>83</v>
      </c>
      <c r="H43" s="135" t="s">
        <v>13</v>
      </c>
      <c r="I43" s="136"/>
      <c r="J43" s="137"/>
      <c r="K43" s="21"/>
      <c r="P43" s="4"/>
      <c r="Q43" s="4"/>
      <c r="R43" s="5"/>
    </row>
    <row r="44" spans="1:18" ht="15.75" x14ac:dyDescent="0.25">
      <c r="A44" s="114"/>
      <c r="B44" s="27" t="s">
        <v>66</v>
      </c>
      <c r="C44" s="10"/>
      <c r="D44" s="12">
        <f>C44*120</f>
        <v>0</v>
      </c>
      <c r="F44" s="37"/>
      <c r="G44" s="76"/>
      <c r="H44" s="138"/>
      <c r="I44" s="138"/>
      <c r="J44" s="138"/>
      <c r="K44" s="21"/>
      <c r="P44" s="4"/>
      <c r="Q44" s="4"/>
      <c r="R44" s="5"/>
    </row>
    <row r="45" spans="1:18" ht="15.75" x14ac:dyDescent="0.25">
      <c r="A45" s="114"/>
      <c r="B45" s="27" t="s">
        <v>68</v>
      </c>
      <c r="C45" s="33"/>
      <c r="D45" s="12">
        <f>C45*84</f>
        <v>0</v>
      </c>
      <c r="F45" s="37"/>
      <c r="G45" s="76"/>
      <c r="H45" s="138"/>
      <c r="I45" s="138"/>
      <c r="J45" s="138"/>
      <c r="K45" s="21"/>
      <c r="P45" s="4"/>
      <c r="Q45" s="4"/>
      <c r="R45" s="5"/>
    </row>
    <row r="46" spans="1:18" ht="15.75" x14ac:dyDescent="0.25">
      <c r="A46" s="114"/>
      <c r="B46" s="49" t="s">
        <v>70</v>
      </c>
      <c r="C46" s="81"/>
      <c r="D46" s="12">
        <f>C46*1.5</f>
        <v>0</v>
      </c>
      <c r="F46" s="37"/>
      <c r="G46" s="62"/>
      <c r="H46" s="139"/>
      <c r="I46" s="139"/>
      <c r="J46" s="139"/>
      <c r="K46" s="21"/>
      <c r="P46" s="4"/>
      <c r="Q46" s="4"/>
      <c r="R46" s="5"/>
    </row>
    <row r="47" spans="1:18" ht="15.75" x14ac:dyDescent="0.25">
      <c r="A47" s="115"/>
      <c r="B47" s="27"/>
      <c r="C47" s="11"/>
      <c r="D47" s="12"/>
      <c r="F47" s="59"/>
      <c r="G47" s="59"/>
      <c r="H47" s="116"/>
      <c r="I47" s="117"/>
      <c r="J47" s="118"/>
      <c r="K47" s="21"/>
      <c r="P47" s="4"/>
      <c r="Q47" s="4"/>
      <c r="R47" s="5"/>
    </row>
    <row r="48" spans="1:18" ht="15" customHeight="1" x14ac:dyDescent="0.25">
      <c r="A48" s="113" t="s">
        <v>32</v>
      </c>
      <c r="B48" s="27" t="s">
        <v>66</v>
      </c>
      <c r="C48" s="10"/>
      <c r="D48" s="12">
        <f>C48*78</f>
        <v>0</v>
      </c>
      <c r="F48" s="59"/>
      <c r="G48" s="59"/>
      <c r="H48" s="116"/>
      <c r="I48" s="117"/>
      <c r="J48" s="1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4"/>
      <c r="B49" s="29" t="s">
        <v>68</v>
      </c>
      <c r="C49" s="33"/>
      <c r="D49" s="12">
        <f>C49*42</f>
        <v>0</v>
      </c>
      <c r="F49" s="119" t="s">
        <v>86</v>
      </c>
      <c r="G49" s="121">
        <f>H34+H35+H36+H37+H38+H39+H40+H41+G42+H44+H45+H46</f>
        <v>0</v>
      </c>
      <c r="H49" s="122"/>
      <c r="I49" s="122"/>
      <c r="J49" s="12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4"/>
      <c r="B50" s="32" t="s">
        <v>70</v>
      </c>
      <c r="C50" s="11"/>
      <c r="D50" s="12">
        <f>C50*1.5</f>
        <v>0</v>
      </c>
      <c r="F50" s="120"/>
      <c r="G50" s="124"/>
      <c r="H50" s="125"/>
      <c r="I50" s="125"/>
      <c r="J50" s="126"/>
      <c r="P50" s="4"/>
      <c r="Q50" s="4"/>
      <c r="R50" s="5"/>
    </row>
    <row r="51" spans="1:18" ht="15" customHeight="1" x14ac:dyDescent="0.25">
      <c r="A51" s="114"/>
      <c r="B51" s="27"/>
      <c r="C51" s="10"/>
      <c r="D51" s="31"/>
      <c r="F51" s="127" t="s">
        <v>140</v>
      </c>
      <c r="G51" s="232">
        <f>G49-H29</f>
        <v>0</v>
      </c>
      <c r="H51" s="233"/>
      <c r="I51" s="233"/>
      <c r="J51" s="23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4"/>
      <c r="B52" s="29"/>
      <c r="C52" s="33"/>
      <c r="D52" s="45"/>
      <c r="F52" s="128"/>
      <c r="G52" s="235"/>
      <c r="H52" s="236"/>
      <c r="I52" s="236"/>
      <c r="J52" s="23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9" t="s">
        <v>90</v>
      </c>
      <c r="B54" s="100"/>
      <c r="C54" s="101"/>
      <c r="D54" s="105">
        <f>SUM(D34:D53)</f>
        <v>0</v>
      </c>
      <c r="F54" s="21"/>
      <c r="J54" s="34"/>
    </row>
    <row r="55" spans="1:18" x14ac:dyDescent="0.25">
      <c r="A55" s="102"/>
      <c r="B55" s="103"/>
      <c r="C55" s="104"/>
      <c r="D55" s="10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07" t="s">
        <v>91</v>
      </c>
      <c r="B58" s="108"/>
      <c r="C58" s="108"/>
      <c r="D58" s="109"/>
      <c r="F58" s="107" t="s">
        <v>92</v>
      </c>
      <c r="G58" s="108"/>
      <c r="H58" s="108"/>
      <c r="I58" s="108"/>
      <c r="J58" s="109"/>
    </row>
    <row r="59" spans="1:18" x14ac:dyDescent="0.25">
      <c r="A59" s="110"/>
      <c r="B59" s="111"/>
      <c r="C59" s="111"/>
      <c r="D59" s="112"/>
      <c r="F59" s="110"/>
      <c r="G59" s="111"/>
      <c r="H59" s="111"/>
      <c r="I59" s="111"/>
      <c r="J59" s="11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29</vt:i4>
      </vt:variant>
      <vt:variant>
        <vt:lpstr>Named Ranges</vt:lpstr>
      </vt:variant>
      <vt:variant>
        <vt:i4>28</vt:i4>
      </vt:variant>
    </vt:vector>
  </HeadingPairs>
  <TitlesOfParts>
    <vt:vector size="57" baseType="lpstr">
      <vt:lpstr>(December 2025)</vt:lpstr>
      <vt:lpstr>(01)</vt:lpstr>
      <vt:lpstr>01,12 R1</vt:lpstr>
      <vt:lpstr>01,12 R2</vt:lpstr>
      <vt:lpstr>01,12 R3</vt:lpstr>
      <vt:lpstr>(2)</vt:lpstr>
      <vt:lpstr>02,12 R1</vt:lpstr>
      <vt:lpstr>02,12 R2</vt:lpstr>
      <vt:lpstr>02,12 R3</vt:lpstr>
      <vt:lpstr>(3)</vt:lpstr>
      <vt:lpstr>03,12 R1</vt:lpstr>
      <vt:lpstr>03,12 R2</vt:lpstr>
      <vt:lpstr>03,12 R3</vt:lpstr>
      <vt:lpstr>(4)</vt:lpstr>
      <vt:lpstr>04,12 R1</vt:lpstr>
      <vt:lpstr>04,12 R2</vt:lpstr>
      <vt:lpstr>04,12 R3</vt:lpstr>
      <vt:lpstr>(5)</vt:lpstr>
      <vt:lpstr>05,12 R1</vt:lpstr>
      <vt:lpstr>05,12 R2</vt:lpstr>
      <vt:lpstr>05,12 R3</vt:lpstr>
      <vt:lpstr>(6)</vt:lpstr>
      <vt:lpstr>06,12 R1</vt:lpstr>
      <vt:lpstr>06,12 R2</vt:lpstr>
      <vt:lpstr>06,12 R3</vt:lpstr>
      <vt:lpstr>(8)</vt:lpstr>
      <vt:lpstr>08,12 R1</vt:lpstr>
      <vt:lpstr>08,12 R2</vt:lpstr>
      <vt:lpstr>08,12 R3</vt:lpstr>
      <vt:lpstr>'(01)'!Print_Area</vt:lpstr>
      <vt:lpstr>'(2)'!Print_Area</vt:lpstr>
      <vt:lpstr>'(3)'!Print_Area</vt:lpstr>
      <vt:lpstr>'(4)'!Print_Area</vt:lpstr>
      <vt:lpstr>'(5)'!Print_Area</vt:lpstr>
      <vt:lpstr>'(6)'!Print_Area</vt:lpstr>
      <vt:lpstr>'(8)'!Print_Area</vt:lpstr>
      <vt:lpstr>'01,12 R1'!Print_Area</vt:lpstr>
      <vt:lpstr>'01,12 R2'!Print_Area</vt:lpstr>
      <vt:lpstr>'01,12 R3'!Print_Area</vt:lpstr>
      <vt:lpstr>'02,12 R1'!Print_Area</vt:lpstr>
      <vt:lpstr>'02,12 R2'!Print_Area</vt:lpstr>
      <vt:lpstr>'02,12 R3'!Print_Area</vt:lpstr>
      <vt:lpstr>'03,12 R1'!Print_Area</vt:lpstr>
      <vt:lpstr>'03,12 R2'!Print_Area</vt:lpstr>
      <vt:lpstr>'03,12 R3'!Print_Area</vt:lpstr>
      <vt:lpstr>'04,12 R1'!Print_Area</vt:lpstr>
      <vt:lpstr>'04,12 R2'!Print_Area</vt:lpstr>
      <vt:lpstr>'04,12 R3'!Print_Area</vt:lpstr>
      <vt:lpstr>'05,12 R1'!Print_Area</vt:lpstr>
      <vt:lpstr>'05,12 R2'!Print_Area</vt:lpstr>
      <vt:lpstr>'05,12 R3'!Print_Area</vt:lpstr>
      <vt:lpstr>'06,12 R1'!Print_Area</vt:lpstr>
      <vt:lpstr>'06,12 R2'!Print_Area</vt:lpstr>
      <vt:lpstr>'06,12 R3'!Print_Area</vt:lpstr>
      <vt:lpstr>'08,12 R1'!Print_Area</vt:lpstr>
      <vt:lpstr>'08,12 R2'!Print_Area</vt:lpstr>
      <vt:lpstr>'08,12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2025-12-06T00:31:57Z</cp:lastPrinted>
  <dcterms:created xsi:type="dcterms:W3CDTF">2024-09-01T23:36:50Z</dcterms:created>
  <dcterms:modified xsi:type="dcterms:W3CDTF">2025-12-06T00:32:30Z</dcterms:modified>
</cp:coreProperties>
</file>