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DB379643-EFFA-4C14-A955-7076896A70C5}" xr6:coauthVersionLast="45" xr6:coauthVersionMax="47" xr10:uidLastSave="{00000000-0000-0000-0000-000000000000}"/>
  <bookViews>
    <workbookView xWindow="-120" yWindow="-120" windowWidth="29040" windowHeight="15840" firstSheet="8" activeTab="15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52" l="1"/>
  <c r="H16" i="1551"/>
  <c r="C12" i="1552" l="1"/>
  <c r="L25" i="1551"/>
  <c r="L22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29" i="1560" s="1"/>
  <c r="H13" i="1560" s="1"/>
  <c r="H15" i="1560" s="1"/>
  <c r="H29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G49" i="1560" s="1"/>
  <c r="G51" i="1560" s="1"/>
  <c r="D36" i="1560"/>
  <c r="R35" i="1560"/>
  <c r="L19" i="1560" s="1"/>
  <c r="D19" i="1560" s="1"/>
  <c r="H35" i="1560"/>
  <c r="D35" i="1560"/>
  <c r="R34" i="1560"/>
  <c r="H34" i="1560"/>
  <c r="D34" i="1560"/>
  <c r="D54" i="1560" s="1"/>
  <c r="H14" i="1560" s="1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G49" i="1559" s="1"/>
  <c r="D34" i="1559"/>
  <c r="D54" i="1559" s="1"/>
  <c r="H14" i="1559" s="1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L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D29" i="1559" s="1"/>
  <c r="H13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D54" i="1558" s="1"/>
  <c r="H14" i="1558" s="1"/>
  <c r="R35" i="1558"/>
  <c r="H35" i="1558"/>
  <c r="D35" i="1558"/>
  <c r="R34" i="1558"/>
  <c r="H34" i="1558"/>
  <c r="G49" i="1558" s="1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G49" i="1556" s="1"/>
  <c r="D34" i="1556"/>
  <c r="D54" i="1556" s="1"/>
  <c r="H14" i="1556" s="1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D54" i="1555" s="1"/>
  <c r="H14" i="1555" s="1"/>
  <c r="R34" i="1555"/>
  <c r="L12" i="1555" s="1"/>
  <c r="D12" i="1555" s="1"/>
  <c r="H34" i="1555"/>
  <c r="G49" i="1555" s="1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L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D54" i="1554" s="1"/>
  <c r="H14" i="1554" s="1"/>
  <c r="R35" i="1554"/>
  <c r="H35" i="1554"/>
  <c r="D35" i="1554"/>
  <c r="R34" i="1554"/>
  <c r="H34" i="1554"/>
  <c r="G49" i="1554" s="1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D54" i="1552" l="1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H15" i="1559"/>
  <c r="H29" i="1559" s="1"/>
  <c r="G51" i="1559"/>
  <c r="D29" i="1558"/>
  <c r="H13" i="1558" s="1"/>
  <c r="H15" i="1558" s="1"/>
  <c r="H29" i="1558" s="1"/>
  <c r="G51" i="1558" s="1"/>
  <c r="D29" i="1557"/>
  <c r="H13" i="1557" s="1"/>
  <c r="H15" i="1557" s="1"/>
  <c r="H29" i="1557" s="1"/>
  <c r="G51" i="1557" s="1"/>
  <c r="D29" i="1556"/>
  <c r="H13" i="1556" s="1"/>
  <c r="H15" i="1556" s="1"/>
  <c r="H29" i="1556" s="1"/>
  <c r="G51" i="1556" s="1"/>
  <c r="D29" i="1555"/>
  <c r="H13" i="1555" s="1"/>
  <c r="H15" i="1555" s="1"/>
  <c r="H29" i="1555" s="1"/>
  <c r="G51" i="1555" s="1"/>
  <c r="D29" i="1554"/>
  <c r="H13" i="1554" s="1"/>
  <c r="H15" i="1554" s="1"/>
  <c r="H29" i="1554" s="1"/>
  <c r="G51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52" l="1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<sst xmlns="http://schemas.openxmlformats.org/spreadsheetml/2006/main" count="3694" uniqueCount="166">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</sst>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262</v>
      </c>
      <c r="D6" s="13">
        <f t="shared" ref="D6:D28" si="1">C6*L6</f>
        <v>193094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16</v>
      </c>
      <c r="D7" s="13">
        <f t="shared" si="1"/>
        <v>11600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>
        <v>1</v>
      </c>
      <c r="D8" s="13">
        <f t="shared" si="1"/>
        <v>1033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20</v>
      </c>
      <c r="D9" s="13">
        <f t="shared" si="1"/>
        <v>14140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>
        <v>2</v>
      </c>
      <c r="D10" s="13">
        <f t="shared" si="1"/>
        <v>1944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>
        <v>1</v>
      </c>
      <c r="D11" s="13">
        <f t="shared" si="1"/>
        <v>1125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>
        <f>2</f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9</v>
      </c>
      <c r="D13" s="48">
        <f t="shared" si="1"/>
        <v>2763</v>
      </c>
      <c r="F13" s="227" t="s">
        <v>36</v>
      </c>
      <c r="G13" s="191"/>
      <c r="H13" s="182">
        <f>D29</f>
        <v>240783.5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3</v>
      </c>
      <c r="D14" s="31">
        <f t="shared" si="1"/>
        <v>33</v>
      </c>
      <c r="F14" s="185" t="s">
        <v>39</v>
      </c>
      <c r="G14" s="186"/>
      <c r="H14" s="187">
        <f>D54</f>
        <v>35187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205596.5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68">
        <v>79918</v>
      </c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38">
        <v>87410</v>
      </c>
      <c r="I26" s="138"/>
      <c r="J26" s="13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8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>
        <v>11</v>
      </c>
      <c r="D28" s="48">
        <f t="shared" si="1"/>
        <v>8635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240783.5</v>
      </c>
      <c r="F29" s="99" t="s">
        <v>55</v>
      </c>
      <c r="G29" s="161"/>
      <c r="H29" s="121">
        <f>H15-H16-H17-H18-H19-H20-H22-H23-H24+H26+H27+H28</f>
        <v>213088.5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43">
        <f t="shared" ref="H34:H39" si="2">F34*G34</f>
        <v>77000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43">
        <f t="shared" si="2"/>
        <v>19000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3">
        <f t="shared" si="2"/>
        <v>400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43">
        <f t="shared" si="2"/>
        <v>600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43">
        <f t="shared" si="2"/>
        <v>350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43">
        <f t="shared" si="2"/>
        <v>20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4</v>
      </c>
      <c r="D42" s="12">
        <f>C42*2.25</f>
        <v>9</v>
      </c>
      <c r="F42" s="39" t="s">
        <v>79</v>
      </c>
      <c r="G42" s="143">
        <v>25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38">
        <v>15213</v>
      </c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38">
        <v>13245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38">
        <v>87410</v>
      </c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213263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12</v>
      </c>
      <c r="D50" s="12">
        <f>C50*1.5</f>
        <v>18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148</v>
      </c>
      <c r="G51" s="129">
        <f>G49-H29</f>
        <v>174.5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168</v>
      </c>
      <c r="D6" s="13">
        <f t="shared" ref="D6:D28" si="1">C6*L6</f>
        <v>123816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1450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39</v>
      </c>
      <c r="D9" s="13">
        <f t="shared" si="1"/>
        <v>27573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4</v>
      </c>
      <c r="D13" s="48">
        <f t="shared" si="1"/>
        <v>1228</v>
      </c>
      <c r="F13" s="227" t="s">
        <v>36</v>
      </c>
      <c r="G13" s="191"/>
      <c r="H13" s="182">
        <f>D29</f>
        <v>154078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</v>
      </c>
      <c r="D14" s="31">
        <f t="shared" si="1"/>
        <v>11</v>
      </c>
      <c r="F14" s="185" t="s">
        <v>39</v>
      </c>
      <c r="G14" s="186"/>
      <c r="H14" s="187">
        <f>D54</f>
        <v>24060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130018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v>1314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154078</v>
      </c>
      <c r="F29" s="99" t="s">
        <v>55</v>
      </c>
      <c r="G29" s="161"/>
      <c r="H29" s="121">
        <f>H15-H16-H17-H18-H19-H20-H22-H23-H24+H26+H27</f>
        <v>128654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43">
        <f>F34*G34</f>
        <v>101000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43">
        <f t="shared" ref="H35:H39" si="2">F35*G35</f>
        <v>26500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43">
        <f t="shared" si="2"/>
        <v>400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3">
        <f t="shared" si="2"/>
        <v>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8</v>
      </c>
      <c r="D42" s="12">
        <f>C42*2.25</f>
        <v>18</v>
      </c>
      <c r="F42" s="39" t="s">
        <v>79</v>
      </c>
      <c r="G42" s="143">
        <v>35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</v>
      </c>
      <c r="D46" s="12">
        <f>C46*1.5</f>
        <v>1.5</v>
      </c>
      <c r="F46" s="37"/>
      <c r="G46" s="86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127985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22</v>
      </c>
      <c r="D50" s="12">
        <f>C50*1.5</f>
        <v>33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-669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24060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211</v>
      </c>
      <c r="D6" s="13">
        <f t="shared" ref="D6:D28" si="1">C6*L6</f>
        <v>155507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11</v>
      </c>
      <c r="D7" s="13">
        <f t="shared" si="1"/>
        <v>7975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1</v>
      </c>
      <c r="D8" s="13">
        <f t="shared" si="1"/>
        <v>1033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18</v>
      </c>
      <c r="D9" s="13">
        <f t="shared" si="1"/>
        <v>12726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2</v>
      </c>
      <c r="D10" s="13">
        <f t="shared" si="1"/>
        <v>1944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2856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5</v>
      </c>
      <c r="D13" s="48">
        <f t="shared" si="1"/>
        <v>1535</v>
      </c>
      <c r="F13" s="227" t="s">
        <v>36</v>
      </c>
      <c r="G13" s="191"/>
      <c r="H13" s="182">
        <f>D29</f>
        <v>197825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</v>
      </c>
      <c r="D14" s="31">
        <f t="shared" si="1"/>
        <v>11</v>
      </c>
      <c r="F14" s="185" t="s">
        <v>39</v>
      </c>
      <c r="G14" s="186"/>
      <c r="H14" s="187">
        <f>D54</f>
        <v>31160.25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166664.75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300</f>
        <v>300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197825</v>
      </c>
      <c r="F29" s="99" t="s">
        <v>55</v>
      </c>
      <c r="G29" s="161"/>
      <c r="H29" s="121">
        <f>H15-H16-H17-H18-H19-H20-H22-H23-H24+H26+H27</f>
        <v>166364.75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43">
        <f>F34*G34</f>
        <v>131000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3">
        <f>F35*G35</f>
        <v>21000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3">
        <v>86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38">
        <v>14238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>
        <v>1</v>
      </c>
      <c r="D45" s="12">
        <f>C45*84</f>
        <v>84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11</v>
      </c>
      <c r="D46" s="12">
        <f>C46*1.5</f>
        <v>16.5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166324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6</v>
      </c>
      <c r="D50" s="12">
        <f>C50*1.5</f>
        <v>9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-40.75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31160.25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261</v>
      </c>
      <c r="D6" s="13">
        <f t="shared" ref="D6:D28" si="1">C6*L6</f>
        <v>192357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3</v>
      </c>
      <c r="D7" s="13">
        <f t="shared" si="1"/>
        <v>2175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20</v>
      </c>
      <c r="D9" s="13">
        <f t="shared" si="1"/>
        <v>14140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>
        <v>1</v>
      </c>
      <c r="D10" s="13">
        <f t="shared" si="1"/>
        <v>972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>
        <v>1</v>
      </c>
      <c r="D12" s="48">
        <f t="shared" si="1"/>
        <v>952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4</v>
      </c>
      <c r="D13" s="48">
        <f t="shared" si="1"/>
        <v>1228</v>
      </c>
      <c r="F13" s="227" t="s">
        <v>36</v>
      </c>
      <c r="G13" s="191"/>
      <c r="H13" s="182">
        <f>D29</f>
        <v>220448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22</v>
      </c>
      <c r="D14" s="31">
        <f t="shared" si="1"/>
        <v>242</v>
      </c>
      <c r="F14" s="185" t="s">
        <v>39</v>
      </c>
      <c r="G14" s="186"/>
      <c r="H14" s="187">
        <f>D54</f>
        <v>32962.5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187485.5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>
        <v>6</v>
      </c>
      <c r="D28" s="48">
        <f t="shared" si="1"/>
        <v>4710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220448</v>
      </c>
      <c r="F29" s="99" t="s">
        <v>55</v>
      </c>
      <c r="G29" s="161"/>
      <c r="H29" s="121">
        <f>H15-H16-H17-H18-H19-H20-H22-H23-H24+H26+H27+H28</f>
        <v>187485.5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43">
        <f t="shared" ref="H34:H39" si="2">F34*G34</f>
        <v>124000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43">
        <f t="shared" si="2"/>
        <v>52000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3">
        <f t="shared" si="2"/>
        <v>400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43">
        <f t="shared" si="2"/>
        <v>2600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12</v>
      </c>
      <c r="D42" s="12">
        <f>C42*2.25</f>
        <v>27</v>
      </c>
      <c r="F42" s="39" t="s">
        <v>79</v>
      </c>
      <c r="G42" s="143">
        <v>69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38">
        <v>7978</v>
      </c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5</v>
      </c>
      <c r="D46" s="12">
        <f>C46*1.5</f>
        <v>7.5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187047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20</v>
      </c>
      <c r="D50" s="12">
        <f>C50*1.5</f>
        <v>30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-438.5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230</v>
      </c>
      <c r="D6" s="13">
        <f t="shared" ref="D6:D28" si="1">C6*L6</f>
        <v>169510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5075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20</v>
      </c>
      <c r="D9" s="13">
        <f t="shared" si="1"/>
        <v>14140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227" t="s">
        <v>36</v>
      </c>
      <c r="G13" s="191"/>
      <c r="H13" s="182">
        <f>D29</f>
        <v>196676.66666666666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13</v>
      </c>
      <c r="D14" s="31">
        <f t="shared" si="1"/>
        <v>143</v>
      </c>
      <c r="F14" s="185" t="s">
        <v>39</v>
      </c>
      <c r="G14" s="186"/>
      <c r="H14" s="187">
        <f>D54</f>
        <v>36855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159821.66666666666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1899</f>
        <v>1899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196676.66666666666</v>
      </c>
      <c r="F29" s="99" t="s">
        <v>55</v>
      </c>
      <c r="G29" s="161"/>
      <c r="H29" s="121">
        <f>H15-H16-H17-H18-H19-H20-H22-H23-H24+H26+H27</f>
        <v>157922.66666666666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43">
        <f>F34*G34</f>
        <v>34000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43">
        <f t="shared" ref="H35:H39" si="2">F35*G35</f>
        <v>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43">
        <f t="shared" si="2"/>
        <v>400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2</v>
      </c>
      <c r="D42" s="12">
        <f>C42*2.25</f>
        <v>4.5</v>
      </c>
      <c r="F42" s="39" t="s">
        <v>79</v>
      </c>
      <c r="G42" s="143">
        <v>2460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38">
        <v>119875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>
        <v>1</v>
      </c>
      <c r="D45" s="12">
        <f>C45*84</f>
        <v>84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5</v>
      </c>
      <c r="D46" s="12">
        <f>C46*1.5</f>
        <v>7.5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157735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20</v>
      </c>
      <c r="D50" s="12">
        <f>C50*1.5</f>
        <v>30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-187.66666666665697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36855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194</v>
      </c>
      <c r="D6" s="13">
        <f t="shared" ref="D6:D28" si="1">C6*L6</f>
        <v>142978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17</v>
      </c>
      <c r="D7" s="13">
        <f t="shared" si="1"/>
        <v>12325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13</v>
      </c>
      <c r="D9" s="13">
        <f t="shared" si="1"/>
        <v>9191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2</v>
      </c>
      <c r="D10" s="13">
        <f t="shared" si="1"/>
        <v>1944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</v>
      </c>
      <c r="D11" s="13">
        <f t="shared" si="1"/>
        <v>2250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5</v>
      </c>
      <c r="D13" s="48">
        <f t="shared" si="1"/>
        <v>1535</v>
      </c>
      <c r="F13" s="227" t="s">
        <v>36</v>
      </c>
      <c r="G13" s="191"/>
      <c r="H13" s="182">
        <f>D29</f>
        <v>173906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19</v>
      </c>
      <c r="D14" s="31">
        <f t="shared" si="1"/>
        <v>209</v>
      </c>
      <c r="F14" s="185" t="s">
        <v>39</v>
      </c>
      <c r="G14" s="186"/>
      <c r="H14" s="187">
        <f>D54</f>
        <v>39246.75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134659.25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336</f>
        <v>336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73">
        <v>85842</v>
      </c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2</v>
      </c>
      <c r="D28" s="48">
        <f t="shared" si="1"/>
        <v>1570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173906</v>
      </c>
      <c r="F29" s="99" t="s">
        <v>55</v>
      </c>
      <c r="G29" s="161"/>
      <c r="H29" s="121">
        <f>H15-H16-H17-H18-H19-H20-H22-H23-H24+H26+H27</f>
        <v>220165.25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3">
        <f>F34*G34</f>
        <v>133000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3">
        <f>F35*G35</f>
        <v>11000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43">
        <f t="shared" si="2"/>
        <v>300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43">
        <f t="shared" si="2"/>
        <v>100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1</v>
      </c>
      <c r="D42" s="12">
        <f>C42*2.25</f>
        <v>2.25</v>
      </c>
      <c r="F42" s="39" t="s">
        <v>79</v>
      </c>
      <c r="G42" s="143">
        <v>61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38">
        <v>85842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3</v>
      </c>
      <c r="D46" s="12">
        <f>C46*1.5</f>
        <v>4.5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230303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5</v>
      </c>
      <c r="D50" s="12">
        <f>C50*1.5</f>
        <v>7.5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148</v>
      </c>
      <c r="G51" s="129">
        <f>G49-H29</f>
        <v>10137.75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39246.75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150</v>
      </c>
      <c r="D6" s="13">
        <f t="shared" ref="D6:D28" si="1">C6*L6</f>
        <v>110550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5</v>
      </c>
      <c r="D7" s="13">
        <f t="shared" si="1"/>
        <v>3625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10</v>
      </c>
      <c r="D9" s="13">
        <f t="shared" si="1"/>
        <v>7070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4</v>
      </c>
      <c r="D13" s="48">
        <f t="shared" si="1"/>
        <v>1228</v>
      </c>
      <c r="F13" s="227" t="s">
        <v>36</v>
      </c>
      <c r="G13" s="191"/>
      <c r="H13" s="182">
        <f>D29</f>
        <v>124676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23</v>
      </c>
      <c r="D14" s="31">
        <f t="shared" si="1"/>
        <v>253</v>
      </c>
      <c r="F14" s="185" t="s">
        <v>39</v>
      </c>
      <c r="G14" s="186"/>
      <c r="H14" s="187">
        <f>D54</f>
        <v>17744.25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106931.75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124676</v>
      </c>
      <c r="F29" s="99" t="s">
        <v>55</v>
      </c>
      <c r="G29" s="161"/>
      <c r="H29" s="121">
        <f>H15-H16-H17-H18-H19-H20-H22-H23-H24+H26+H27+H28</f>
        <v>106931.75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43">
        <f t="shared" ref="H34:H39" si="2">F34*G34</f>
        <v>89000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3">
        <f t="shared" si="2"/>
        <v>15500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3">
        <f t="shared" si="2"/>
        <v>200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43">
        <f t="shared" si="2"/>
        <v>2500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3">
        <f t="shared" si="2"/>
        <v>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3">
        <v>395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107645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20</v>
      </c>
      <c r="D50" s="12">
        <f>C50*1.5</f>
        <v>30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148</v>
      </c>
      <c r="G51" s="129">
        <f>G49-H29</f>
        <v>713.25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f>440-99</f>
        <v>341</v>
      </c>
      <c r="D6" s="13">
        <f t="shared" ref="D6:D28" si="1">C6*L6</f>
        <v>251317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1450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</v>
      </c>
      <c r="D9" s="13">
        <f t="shared" si="1"/>
        <v>3535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14</v>
      </c>
      <c r="D13" s="48">
        <f t="shared" si="1"/>
        <v>4298</v>
      </c>
      <c r="F13" s="227" t="s">
        <v>36</v>
      </c>
      <c r="G13" s="191"/>
      <c r="H13" s="182">
        <f>D29</f>
        <v>261506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11</v>
      </c>
      <c r="D14" s="31">
        <f t="shared" si="1"/>
        <v>121</v>
      </c>
      <c r="F14" s="185" t="s">
        <v>39</v>
      </c>
      <c r="G14" s="186"/>
      <c r="H14" s="187">
        <f>D54</f>
        <v>40169.25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221336.75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337*9</f>
        <v>3033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1</v>
      </c>
      <c r="D28" s="48">
        <f t="shared" si="1"/>
        <v>785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261506</v>
      </c>
      <c r="F29" s="99" t="s">
        <v>55</v>
      </c>
      <c r="G29" s="161"/>
      <c r="H29" s="121">
        <f>H15-H16-H17-H18-H19-H20-H22-H23-H24+H26+H27</f>
        <v>218303.75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43">
        <f>F34*G34</f>
        <v>216000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43">
        <f t="shared" ref="H35:H39" si="2">F35*G35</f>
        <v>2000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3">
        <f t="shared" si="2"/>
        <v>200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3">
        <f t="shared" si="2"/>
        <v>150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3">
        <v>8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</v>
      </c>
      <c r="D46" s="12">
        <f>C46*1.5</f>
        <v>1.5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17</v>
      </c>
      <c r="D49" s="12">
        <f>C49*42</f>
        <v>714</v>
      </c>
      <c r="F49" s="119" t="s">
        <v>86</v>
      </c>
      <c r="G49" s="121">
        <f>H34+H35+H36+H37+H38+H39+H40+H41+G42+H44+H45+H46</f>
        <v>218358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21</v>
      </c>
      <c r="D50" s="12">
        <f>C50*1.5</f>
        <v>31.5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155</v>
      </c>
      <c r="G51" s="129">
        <f>G49-H29</f>
        <v>54.25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40169.25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536</v>
      </c>
      <c r="D6" s="13">
        <f t="shared" ref="D6:D28" si="1">C6*L6</f>
        <v>395032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15</v>
      </c>
      <c r="D7" s="13">
        <f t="shared" si="1"/>
        <v>10875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129</v>
      </c>
      <c r="D9" s="13">
        <f t="shared" si="1"/>
        <v>91203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1+1</f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227" t="s">
        <v>36</v>
      </c>
      <c r="G13" s="191"/>
      <c r="H13" s="182">
        <f>D29</f>
        <v>505571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16</v>
      </c>
      <c r="D14" s="31">
        <f t="shared" si="1"/>
        <v>176</v>
      </c>
      <c r="F14" s="185" t="s">
        <v>39</v>
      </c>
      <c r="G14" s="186"/>
      <c r="H14" s="187">
        <f>D54</f>
        <v>38012.25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467558.75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2610+330</f>
        <v>2940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98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5</v>
      </c>
      <c r="D28" s="48">
        <f t="shared" si="1"/>
        <v>3925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505571</v>
      </c>
      <c r="F29" s="99" t="s">
        <v>55</v>
      </c>
      <c r="G29" s="161"/>
      <c r="H29" s="121">
        <f>H15-H16-H17-H18-H19-H20-H22-H23-H24+H26+H27+H28</f>
        <v>464568.75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3">
        <f>F34*G34</f>
        <v>12000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43">
        <f t="shared" si="2"/>
        <v>400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3">
        <v>45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38">
        <v>283894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38">
        <v>34498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38">
        <v>19009</v>
      </c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37" t="s">
        <v>152</v>
      </c>
      <c r="G47" s="76" t="s">
        <v>160</v>
      </c>
      <c r="H47" s="138">
        <v>102341</v>
      </c>
      <c r="I47" s="138"/>
      <c r="J47" s="13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H34+H35+H36+H37+H38+H39+H40+H41+G42+H44+H45+H46+H47</f>
        <v>452187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</v>
      </c>
      <c r="D50" s="12">
        <f>C50*1.5</f>
        <v>3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-12381.75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38012.25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124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207</v>
      </c>
      <c r="D6" s="13">
        <f t="shared" ref="D6:D28" si="1">C6*L6</f>
        <v>152559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4</v>
      </c>
      <c r="D7" s="13">
        <f t="shared" si="1"/>
        <v>2900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13</v>
      </c>
      <c r="D9" s="13">
        <f t="shared" si="1"/>
        <v>9191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4</v>
      </c>
      <c r="D13" s="48">
        <f t="shared" si="1"/>
        <v>1228</v>
      </c>
      <c r="F13" s="227" t="s">
        <v>36</v>
      </c>
      <c r="G13" s="191"/>
      <c r="H13" s="182">
        <f>D29</f>
        <v>182957.33333333334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15</v>
      </c>
      <c r="D14" s="31">
        <f t="shared" si="1"/>
        <v>165</v>
      </c>
      <c r="F14" s="185" t="s">
        <v>39</v>
      </c>
      <c r="G14" s="186"/>
      <c r="H14" s="187">
        <f>D54</f>
        <v>13236.75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169720.58333333334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1620</f>
        <v>1620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101</v>
      </c>
      <c r="C22" s="10">
        <v>3</v>
      </c>
      <c r="D22" s="48">
        <f t="shared" si="1"/>
        <v>350.5</v>
      </c>
      <c r="F22" s="72"/>
      <c r="G22" s="73"/>
      <c r="H22" s="168"/>
      <c r="I22" s="168"/>
      <c r="J22" s="168"/>
      <c r="L22" s="7">
        <f>674/6+4.5</f>
        <v>116.83333333333333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182957.33333333334</v>
      </c>
      <c r="F29" s="99" t="s">
        <v>55</v>
      </c>
      <c r="G29" s="161"/>
      <c r="H29" s="121">
        <f>H15-H16-H17-H18-H19-H20-H22-H23-H24+H26+H27</f>
        <v>168100.58333333334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43">
        <f>F34*G34</f>
        <v>21000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3">
        <f t="shared" ref="H35:H39" si="2">F35*G35</f>
        <v>6500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43">
        <f t="shared" si="2"/>
        <v>100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3">
        <v>477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38">
        <v>144167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>
        <v>2</v>
      </c>
      <c r="D45" s="12">
        <f>C45*84</f>
        <v>168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13</v>
      </c>
      <c r="D46" s="12">
        <f>C46*1.5</f>
        <v>19.5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6</v>
      </c>
      <c r="D49" s="12">
        <f>C49*42</f>
        <v>252</v>
      </c>
      <c r="F49" s="119" t="s">
        <v>86</v>
      </c>
      <c r="G49" s="121">
        <f>H34+H35+H36+H37+H38+H39+H40+H41+G42+H44+H45+H46</f>
        <v>172244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22</v>
      </c>
      <c r="D50" s="12">
        <f>C50*1.5</f>
        <v>33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155</v>
      </c>
      <c r="G51" s="129">
        <f>G49-H29</f>
        <v>4143.416666666657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13236.75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429</v>
      </c>
      <c r="D6" s="13">
        <f t="shared" ref="D6:D28" si="1">C6*L6</f>
        <v>316173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70</v>
      </c>
      <c r="D9" s="13">
        <f t="shared" si="1"/>
        <v>49490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972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3808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18</v>
      </c>
      <c r="D13" s="48">
        <f t="shared" si="1"/>
        <v>5526</v>
      </c>
      <c r="F13" s="227" t="s">
        <v>36</v>
      </c>
      <c r="G13" s="191"/>
      <c r="H13" s="182">
        <f>D29</f>
        <v>378246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50790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327456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912+1824+300</f>
        <v>3036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>
        <v>1</v>
      </c>
      <c r="D23" s="48">
        <f t="shared" si="1"/>
        <v>1175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378246</v>
      </c>
      <c r="F29" s="99" t="s">
        <v>55</v>
      </c>
      <c r="G29" s="161"/>
      <c r="H29" s="121">
        <f>H15-H16-H17-H18-H19-H20-H22-H23-H24+H26+H27</f>
        <v>324420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43">
        <f>F34*G34</f>
        <v>31000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>
        <v>2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38">
        <v>101868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38">
        <v>191152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11</v>
      </c>
      <c r="D49" s="12">
        <f>C49*42</f>
        <v>462</v>
      </c>
      <c r="F49" s="119" t="s">
        <v>86</v>
      </c>
      <c r="G49" s="121">
        <f>H34+H35+H36+H37+H38+H39+H40+H41+G42+H44+H45+H46</f>
        <v>324022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-398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50790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2025-12-05T00:29:44Z</cp:lastPrinted>
  <dcterms:created xsi:type="dcterms:W3CDTF">2024-09-01T23:36:50Z</dcterms:created>
  <dcterms:modified xsi:type="dcterms:W3CDTF">2025-12-05T00:29:51Z</dcterms:modified>
</cp:coreProperties>
</file>