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E3CA9EF8-73DC-41B2-87D8-D530FBD00E88}" xr6:coauthVersionLast="45" xr6:coauthVersionMax="47" xr10:uidLastSave="{00000000-0000-0000-0000-000000000000}"/>
  <bookViews>
    <workbookView xWindow="-120" yWindow="-120" windowWidth="29040" windowHeight="15840" firstSheet="47" activeTab="56" xr2:uid="{00000000-000D-0000-FFFF-FFFF00000000}"/>
  </bookViews>
  <sheets>
    <sheet name="(December 2025)" sheetId="814" r:id="rId1"/>
    <sheet name="(01)" sheetId="1536" r:id="rId2"/>
    <sheet name="01,12 R1" sheetId="1537" r:id="rId3"/>
    <sheet name="01,12 R2" sheetId="1538" r:id="rId4"/>
    <sheet name="01,12 R3" sheetId="1539" r:id="rId5"/>
    <sheet name="(2)" sheetId="1541" r:id="rId6"/>
    <sheet name="02,12 R1" sheetId="1542" r:id="rId7"/>
    <sheet name="02,12 R2" sheetId="1543" r:id="rId8"/>
    <sheet name="02,12 R3" sheetId="1544" r:id="rId9"/>
    <sheet name="(3)" sheetId="1545" r:id="rId10"/>
    <sheet name="03,12 R1" sheetId="1546" r:id="rId11"/>
    <sheet name="03,12 R2" sheetId="1547" r:id="rId12"/>
    <sheet name="03,12 R3" sheetId="1548" r:id="rId13"/>
    <sheet name="(4)" sheetId="1549" r:id="rId14"/>
    <sheet name="04,12 R1" sheetId="1550" r:id="rId15"/>
    <sheet name="04,12 R2" sheetId="1551" r:id="rId16"/>
    <sheet name="04,12 R3" sheetId="1552" r:id="rId17"/>
    <sheet name="(5)" sheetId="1553" r:id="rId18"/>
    <sheet name="05,12 R1" sheetId="1554" r:id="rId19"/>
    <sheet name="05,12 R2" sheetId="1555" r:id="rId20"/>
    <sheet name="05,12 R3" sheetId="1556" r:id="rId21"/>
    <sheet name="(6)" sheetId="1557" r:id="rId22"/>
    <sheet name="06,12 R1" sheetId="1558" r:id="rId23"/>
    <sheet name="06,12 R2" sheetId="1559" r:id="rId24"/>
    <sheet name="06,12 R3" sheetId="1560" r:id="rId25"/>
    <sheet name="(8)" sheetId="1561" r:id="rId26"/>
    <sheet name="08,12 R1" sheetId="1562" r:id="rId27"/>
    <sheet name="08,12 R2" sheetId="1563" r:id="rId28"/>
    <sheet name="08,12 R3" sheetId="1564" r:id="rId29"/>
    <sheet name="(9)" sheetId="1565" r:id="rId30"/>
    <sheet name="09,12 R1" sheetId="1566" r:id="rId31"/>
    <sheet name="09,12 R2" sheetId="1567" r:id="rId32"/>
    <sheet name="09,12 R3" sheetId="1568" r:id="rId33"/>
    <sheet name="(10)" sheetId="1569" r:id="rId34"/>
    <sheet name="10,12 R1 No Trip" sheetId="1570" r:id="rId35"/>
    <sheet name="10,12 R2" sheetId="1571" r:id="rId36"/>
    <sheet name="10,12 R3" sheetId="1572" r:id="rId37"/>
    <sheet name="(11)" sheetId="1573" r:id="rId38"/>
    <sheet name="11,12 R1" sheetId="1574" r:id="rId39"/>
    <sheet name="11,12 R2" sheetId="1575" r:id="rId40"/>
    <sheet name="11,12 R3" sheetId="1576" r:id="rId41"/>
    <sheet name="(12)" sheetId="1577" r:id="rId42"/>
    <sheet name="12,12 R1" sheetId="1578" r:id="rId43"/>
    <sheet name="12,12 R2" sheetId="1579" r:id="rId44"/>
    <sheet name="12,12 R3" sheetId="1580" r:id="rId45"/>
    <sheet name="(13)" sheetId="1581" r:id="rId46"/>
    <sheet name="13,12 R1" sheetId="1582" r:id="rId47"/>
    <sheet name="13,12 R2" sheetId="1583" r:id="rId48"/>
    <sheet name="13,12 R3" sheetId="1584" r:id="rId49"/>
    <sheet name="(15)" sheetId="1585" r:id="rId50"/>
    <sheet name="15,12 R1" sheetId="1586" r:id="rId51"/>
    <sheet name="15,12 R2" sheetId="1587" r:id="rId52"/>
    <sheet name="15,12 R3" sheetId="1588" r:id="rId53"/>
    <sheet name="(16)" sheetId="1589" r:id="rId54"/>
    <sheet name="16,12 R1" sheetId="1590" r:id="rId55"/>
    <sheet name="16,12 R2" sheetId="1591" r:id="rId56"/>
    <sheet name="16,12 R3" sheetId="1592" r:id="rId57"/>
    <sheet name="(17)" sheetId="1593" r:id="rId58"/>
    <sheet name="17,12 R1" sheetId="1594" r:id="rId59"/>
    <sheet name="17,12 R2" sheetId="1595" r:id="rId60"/>
    <sheet name="17,12 R3" sheetId="1596" r:id="rId61"/>
    <sheet name="(18)" sheetId="1597" r:id="rId62"/>
    <sheet name="18,12 R1" sheetId="1598" r:id="rId63"/>
    <sheet name="18,12 R2" sheetId="1599" r:id="rId64"/>
    <sheet name="18,12 R3" sheetId="1600" r:id="rId65"/>
    <sheet name="(19)" sheetId="1601" r:id="rId66"/>
    <sheet name="19,12 R1" sheetId="1602" r:id="rId67"/>
    <sheet name="19,12 R2" sheetId="1603" r:id="rId68"/>
    <sheet name="19,12 R3" sheetId="1604" r:id="rId69"/>
    <sheet name="(20)" sheetId="1605" r:id="rId70"/>
    <sheet name="20,12 R1" sheetId="1606" r:id="rId71"/>
    <sheet name="20,12 R2" sheetId="1607" r:id="rId72"/>
    <sheet name="20,12 R3" sheetId="1608" r:id="rId73"/>
    <sheet name="(22)" sheetId="1609" r:id="rId74"/>
    <sheet name="22,12 R1" sheetId="1610" r:id="rId75"/>
    <sheet name="22,12 R2" sheetId="1611" r:id="rId76"/>
    <sheet name="22,12 R3" sheetId="1612" r:id="rId77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9">'(15)'!$A$1:$J$60</definedName>
    <definedName name="_xlnm.Print_Area" localSheetId="53">'(16)'!$A$1:$J$60</definedName>
    <definedName name="_xlnm.Print_Area" localSheetId="57">'(17)'!$A$1:$J$60</definedName>
    <definedName name="_xlnm.Print_Area" localSheetId="61">'(18)'!$A$1:$J$60</definedName>
    <definedName name="_xlnm.Print_Area" localSheetId="65">'(19)'!$A$1:$J$60</definedName>
    <definedName name="_xlnm.Print_Area" localSheetId="5">'(2)'!$A$1:$J$60</definedName>
    <definedName name="_xlnm.Print_Area" localSheetId="69">'(20)'!$A$1:$J$60</definedName>
    <definedName name="_xlnm.Print_Area" localSheetId="73">'(22)'!$A$1:$J$60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'01,12 R1'!$A$1:$J$60</definedName>
    <definedName name="_xlnm.Print_Area" localSheetId="3">'01,12 R2'!$A$1:$J$60</definedName>
    <definedName name="_xlnm.Print_Area" localSheetId="4">'01,12 R3'!$A$1:$J$60</definedName>
    <definedName name="_xlnm.Print_Area" localSheetId="6">'02,12 R1'!$A$1:$J$60</definedName>
    <definedName name="_xlnm.Print_Area" localSheetId="7">'02,12 R2'!$A$1:$J$60</definedName>
    <definedName name="_xlnm.Print_Area" localSheetId="8">'02,12 R3'!$A$1:$J$60</definedName>
    <definedName name="_xlnm.Print_Area" localSheetId="10">'03,12 R1'!$A$1:$J$60</definedName>
    <definedName name="_xlnm.Print_Area" localSheetId="11">'03,12 R2'!$A$1:$J$60</definedName>
    <definedName name="_xlnm.Print_Area" localSheetId="12">'03,12 R3'!$A$1:$J$60</definedName>
    <definedName name="_xlnm.Print_Area" localSheetId="14">'04,12 R1'!$A$1:$J$60</definedName>
    <definedName name="_xlnm.Print_Area" localSheetId="15">'04,12 R2'!$A$1:$J$60</definedName>
    <definedName name="_xlnm.Print_Area" localSheetId="16">'04,12 R3'!$A$1:$J$60</definedName>
    <definedName name="_xlnm.Print_Area" localSheetId="18">'05,12 R1'!$A$1:$J$60</definedName>
    <definedName name="_xlnm.Print_Area" localSheetId="19">'05,12 R2'!$A$1:$J$60</definedName>
    <definedName name="_xlnm.Print_Area" localSheetId="20">'05,12 R3'!$A$1:$J$60</definedName>
    <definedName name="_xlnm.Print_Area" localSheetId="22">'06,12 R1'!$A$1:$J$60</definedName>
    <definedName name="_xlnm.Print_Area" localSheetId="23">'06,12 R2'!$A$1:$J$60</definedName>
    <definedName name="_xlnm.Print_Area" localSheetId="24">'06,12 R3'!$A$1:$J$60</definedName>
    <definedName name="_xlnm.Print_Area" localSheetId="26">'08,12 R1'!$A$1:$J$60</definedName>
    <definedName name="_xlnm.Print_Area" localSheetId="27">'08,12 R2'!$A$1:$J$60</definedName>
    <definedName name="_xlnm.Print_Area" localSheetId="28">'08,12 R3'!$A$1:$J$60</definedName>
    <definedName name="_xlnm.Print_Area" localSheetId="30">'09,12 R1'!$A$1:$J$60</definedName>
    <definedName name="_xlnm.Print_Area" localSheetId="31">'09,12 R2'!$A$1:$J$60</definedName>
    <definedName name="_xlnm.Print_Area" localSheetId="32">'09,12 R3'!$A$1:$J$60</definedName>
    <definedName name="_xlnm.Print_Area" localSheetId="34">'10,12 R1 No Trip'!$A$1:$J$60</definedName>
    <definedName name="_xlnm.Print_Area" localSheetId="35">'10,12 R2'!$A$1:$J$60</definedName>
    <definedName name="_xlnm.Print_Area" localSheetId="36">'10,12 R3'!$A$1:$J$60</definedName>
    <definedName name="_xlnm.Print_Area" localSheetId="38">'11,12 R1'!$A$1:$J$60</definedName>
    <definedName name="_xlnm.Print_Area" localSheetId="39">'11,12 R2'!$A$1:$J$60</definedName>
    <definedName name="_xlnm.Print_Area" localSheetId="40">'11,12 R3'!$A$1:$J$60</definedName>
    <definedName name="_xlnm.Print_Area" localSheetId="42">'12,12 R1'!$A$1:$J$60</definedName>
    <definedName name="_xlnm.Print_Area" localSheetId="43">'12,12 R2'!$A$1:$J$60</definedName>
    <definedName name="_xlnm.Print_Area" localSheetId="44">'12,12 R3'!$A$1:$J$60</definedName>
    <definedName name="_xlnm.Print_Area" localSheetId="46">'13,12 R1'!$A$1:$J$60</definedName>
    <definedName name="_xlnm.Print_Area" localSheetId="47">'13,12 R2'!$A$1:$J$60</definedName>
    <definedName name="_xlnm.Print_Area" localSheetId="48">'13,12 R3'!$A$1:$J$60</definedName>
    <definedName name="_xlnm.Print_Area" localSheetId="50">'15,12 R1'!$A$1:$J$60</definedName>
    <definedName name="_xlnm.Print_Area" localSheetId="51">'15,12 R2'!$A$1:$J$60</definedName>
    <definedName name="_xlnm.Print_Area" localSheetId="52">'15,12 R3'!$A$1:$J$60</definedName>
    <definedName name="_xlnm.Print_Area" localSheetId="54">'16,12 R1'!$A$1:$J$60</definedName>
    <definedName name="_xlnm.Print_Area" localSheetId="55">'16,12 R2'!$A$1:$J$60</definedName>
    <definedName name="_xlnm.Print_Area" localSheetId="56">'16,12 R3'!$A$1:$J$60</definedName>
    <definedName name="_xlnm.Print_Area" localSheetId="58">'17,12 R1'!$A$1:$J$60</definedName>
    <definedName name="_xlnm.Print_Area" localSheetId="59">'17,12 R2'!$A$1:$J$60</definedName>
    <definedName name="_xlnm.Print_Area" localSheetId="60">'17,12 R3'!$A$1:$J$60</definedName>
    <definedName name="_xlnm.Print_Area" localSheetId="62">'18,12 R1'!$A$1:$J$60</definedName>
    <definedName name="_xlnm.Print_Area" localSheetId="63">'18,12 R2'!$A$1:$J$60</definedName>
    <definedName name="_xlnm.Print_Area" localSheetId="64">'18,12 R3'!$A$1:$J$60</definedName>
    <definedName name="_xlnm.Print_Area" localSheetId="66">'19,12 R1'!$A$1:$J$60</definedName>
    <definedName name="_xlnm.Print_Area" localSheetId="67">'19,12 R2'!$A$1:$J$60</definedName>
    <definedName name="_xlnm.Print_Area" localSheetId="68">'19,12 R3'!$A$1:$J$60</definedName>
    <definedName name="_xlnm.Print_Area" localSheetId="70">'20,12 R1'!$A$1:$J$60</definedName>
    <definedName name="_xlnm.Print_Area" localSheetId="71">'20,12 R2'!$A$1:$J$60</definedName>
    <definedName name="_xlnm.Print_Area" localSheetId="72">'20,12 R3'!$A$1:$J$60</definedName>
    <definedName name="_xlnm.Print_Area" localSheetId="74">'22,12 R1'!$A$1:$J$60</definedName>
    <definedName name="_xlnm.Print_Area" localSheetId="75">'22,12 R2'!$A$1:$J$60</definedName>
    <definedName name="_xlnm.Print_Area" localSheetId="76">'22,12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591" l="1"/>
  <c r="H16" i="1592"/>
  <c r="C20" i="1591"/>
  <c r="L26" i="1590"/>
  <c r="L25" i="1590"/>
  <c r="C21" i="1590"/>
  <c r="H16" i="1588" l="1"/>
  <c r="H16" i="1587" l="1"/>
  <c r="H16" i="1586"/>
  <c r="R52" i="1612" l="1"/>
  <c r="R51" i="1612"/>
  <c r="D50" i="1612"/>
  <c r="R49" i="1612"/>
  <c r="D49" i="1612"/>
  <c r="R48" i="1612"/>
  <c r="D48" i="1612"/>
  <c r="D46" i="1612"/>
  <c r="D45" i="1612"/>
  <c r="D44" i="1612"/>
  <c r="R42" i="1612"/>
  <c r="D42" i="1612"/>
  <c r="R41" i="1612"/>
  <c r="L7" i="1612" s="1"/>
  <c r="D7" i="1612" s="1"/>
  <c r="D41" i="1612"/>
  <c r="R40" i="1612"/>
  <c r="D40" i="1612"/>
  <c r="R39" i="1612"/>
  <c r="H39" i="1612"/>
  <c r="D39" i="1612"/>
  <c r="R38" i="1612"/>
  <c r="H38" i="1612"/>
  <c r="D38" i="1612"/>
  <c r="R37" i="1612"/>
  <c r="H37" i="1612"/>
  <c r="D37" i="1612"/>
  <c r="R36" i="1612"/>
  <c r="H36" i="1612"/>
  <c r="D36" i="1612"/>
  <c r="R35" i="1612"/>
  <c r="H35" i="1612"/>
  <c r="D35" i="1612"/>
  <c r="R34" i="1612"/>
  <c r="H34" i="1612"/>
  <c r="G49" i="1612" s="1"/>
  <c r="D34" i="1612"/>
  <c r="D54" i="1612" s="1"/>
  <c r="H14" i="1612" s="1"/>
  <c r="R33" i="1612"/>
  <c r="L23" i="1612" s="1"/>
  <c r="D23" i="1612" s="1"/>
  <c r="R32" i="1612"/>
  <c r="R31" i="1612"/>
  <c r="R30" i="1612"/>
  <c r="R29" i="1612"/>
  <c r="R28" i="1612"/>
  <c r="D28" i="1612"/>
  <c r="R27" i="1612"/>
  <c r="D27" i="1612"/>
  <c r="R26" i="1612"/>
  <c r="L26" i="1612"/>
  <c r="D26" i="1612"/>
  <c r="R25" i="1612"/>
  <c r="L25" i="1612"/>
  <c r="D25" i="1612"/>
  <c r="R24" i="1612"/>
  <c r="D24" i="1612"/>
  <c r="R23" i="1612"/>
  <c r="R22" i="1612"/>
  <c r="L22" i="1612"/>
  <c r="D22" i="1612"/>
  <c r="R21" i="1612"/>
  <c r="D21" i="1612"/>
  <c r="R20" i="1612"/>
  <c r="L20" i="1612"/>
  <c r="D20" i="1612"/>
  <c r="R19" i="1612"/>
  <c r="L19" i="1612"/>
  <c r="D19" i="1612"/>
  <c r="R18" i="1612"/>
  <c r="D18" i="1612"/>
  <c r="R17" i="1612"/>
  <c r="D17" i="1612"/>
  <c r="R16" i="1612"/>
  <c r="L16" i="1612"/>
  <c r="D16" i="1612" s="1"/>
  <c r="R15" i="1612"/>
  <c r="D15" i="1612"/>
  <c r="R14" i="1612"/>
  <c r="D14" i="1612"/>
  <c r="R13" i="1612"/>
  <c r="D13" i="1612"/>
  <c r="R12" i="1612"/>
  <c r="L12" i="1612"/>
  <c r="D12" i="1612" s="1"/>
  <c r="R11" i="1612"/>
  <c r="L11" i="1612"/>
  <c r="D11" i="1612"/>
  <c r="L10" i="1612"/>
  <c r="D10" i="1612"/>
  <c r="L9" i="1612"/>
  <c r="D9" i="1612"/>
  <c r="L8" i="1612"/>
  <c r="D8" i="1612" s="1"/>
  <c r="R6" i="1612"/>
  <c r="L6" i="1612"/>
  <c r="D6" i="1612" s="1"/>
  <c r="R5" i="1612"/>
  <c r="R4" i="1612"/>
  <c r="R52" i="1611"/>
  <c r="R51" i="1611"/>
  <c r="D50" i="1611"/>
  <c r="R49" i="1611"/>
  <c r="D49" i="1611"/>
  <c r="R48" i="1611"/>
  <c r="D48" i="1611"/>
  <c r="D46" i="1611"/>
  <c r="D45" i="1611"/>
  <c r="D44" i="1611"/>
  <c r="R42" i="1611"/>
  <c r="L6" i="1611" s="1"/>
  <c r="D6" i="1611" s="1"/>
  <c r="D42" i="1611"/>
  <c r="R41" i="1611"/>
  <c r="L7" i="1611" s="1"/>
  <c r="D7" i="1611" s="1"/>
  <c r="D41" i="1611"/>
  <c r="R40" i="1611"/>
  <c r="D40" i="1611"/>
  <c r="R39" i="1611"/>
  <c r="H39" i="1611"/>
  <c r="D39" i="1611"/>
  <c r="R38" i="1611"/>
  <c r="H38" i="1611"/>
  <c r="D38" i="1611"/>
  <c r="R37" i="1611"/>
  <c r="H37" i="1611"/>
  <c r="D37" i="1611"/>
  <c r="R36" i="1611"/>
  <c r="H36" i="1611"/>
  <c r="D36" i="1611"/>
  <c r="R35" i="1611"/>
  <c r="L19" i="1611" s="1"/>
  <c r="D19" i="1611" s="1"/>
  <c r="H35" i="1611"/>
  <c r="G49" i="1611" s="1"/>
  <c r="D35" i="1611"/>
  <c r="D54" i="1611" s="1"/>
  <c r="H14" i="1611" s="1"/>
  <c r="R34" i="1611"/>
  <c r="H34" i="1611"/>
  <c r="D34" i="1611"/>
  <c r="R33" i="1611"/>
  <c r="R32" i="1611"/>
  <c r="L11" i="1611" s="1"/>
  <c r="D11" i="1611" s="1"/>
  <c r="R31" i="1611"/>
  <c r="R30" i="1611"/>
  <c r="R29" i="1611"/>
  <c r="R28" i="1611"/>
  <c r="D28" i="1611"/>
  <c r="R27" i="1611"/>
  <c r="D27" i="1611"/>
  <c r="R26" i="1611"/>
  <c r="L26" i="1611"/>
  <c r="D26" i="1611" s="1"/>
  <c r="R25" i="1611"/>
  <c r="L25" i="1611"/>
  <c r="D25" i="1611"/>
  <c r="R24" i="1611"/>
  <c r="L24" i="1611"/>
  <c r="D24" i="1611"/>
  <c r="R23" i="1611"/>
  <c r="L23" i="1611"/>
  <c r="D23" i="1611" s="1"/>
  <c r="R22" i="1611"/>
  <c r="L22" i="1611"/>
  <c r="D22" i="1611" s="1"/>
  <c r="R21" i="1611"/>
  <c r="L17" i="1611" s="1"/>
  <c r="D17" i="1611" s="1"/>
  <c r="D21" i="1611"/>
  <c r="R20" i="1611"/>
  <c r="L20" i="1611"/>
  <c r="D20" i="1611" s="1"/>
  <c r="R19" i="1611"/>
  <c r="R18" i="1611"/>
  <c r="D18" i="1611"/>
  <c r="R17" i="1611"/>
  <c r="R16" i="1611"/>
  <c r="L16" i="1611"/>
  <c r="D16" i="1611"/>
  <c r="R15" i="1611"/>
  <c r="D15" i="1611"/>
  <c r="R14" i="1611"/>
  <c r="D14" i="1611"/>
  <c r="R13" i="1611"/>
  <c r="D13" i="1611"/>
  <c r="R12" i="1611"/>
  <c r="L12" i="1611"/>
  <c r="D12" i="1611" s="1"/>
  <c r="R11" i="1611"/>
  <c r="L10" i="1611"/>
  <c r="D10" i="1611"/>
  <c r="L9" i="1611"/>
  <c r="D9" i="1611" s="1"/>
  <c r="L8" i="1611"/>
  <c r="D8" i="1611" s="1"/>
  <c r="R6" i="1611"/>
  <c r="R5" i="1611"/>
  <c r="R4" i="1611"/>
  <c r="D54" i="1610"/>
  <c r="H14" i="1610" s="1"/>
  <c r="R52" i="1610"/>
  <c r="R51" i="1610"/>
  <c r="D50" i="1610"/>
  <c r="R49" i="1610"/>
  <c r="D49" i="1610"/>
  <c r="R48" i="1610"/>
  <c r="D48" i="1610"/>
  <c r="D46" i="1610"/>
  <c r="D45" i="1610"/>
  <c r="P44" i="1610"/>
  <c r="R44" i="1610" s="1"/>
  <c r="D44" i="1610"/>
  <c r="R42" i="1610"/>
  <c r="L6" i="1610" s="1"/>
  <c r="D6" i="1610" s="1"/>
  <c r="D42" i="1610"/>
  <c r="R41" i="1610"/>
  <c r="D41" i="1610"/>
  <c r="R40" i="1610"/>
  <c r="D40" i="1610"/>
  <c r="R39" i="1610"/>
  <c r="H39" i="1610"/>
  <c r="D39" i="1610"/>
  <c r="R38" i="1610"/>
  <c r="H38" i="1610"/>
  <c r="D38" i="1610"/>
  <c r="R37" i="1610"/>
  <c r="H37" i="1610"/>
  <c r="D37" i="1610"/>
  <c r="R36" i="1610"/>
  <c r="L10" i="1610" s="1"/>
  <c r="D10" i="1610" s="1"/>
  <c r="H36" i="1610"/>
  <c r="D36" i="1610"/>
  <c r="R35" i="1610"/>
  <c r="H35" i="1610"/>
  <c r="D35" i="1610"/>
  <c r="R34" i="1610"/>
  <c r="L12" i="1610" s="1"/>
  <c r="D12" i="1610" s="1"/>
  <c r="H34" i="1610"/>
  <c r="G49" i="1610" s="1"/>
  <c r="D34" i="1610"/>
  <c r="R33" i="1610"/>
  <c r="R32" i="1610"/>
  <c r="R31" i="1610"/>
  <c r="R30" i="1610"/>
  <c r="R29" i="1610"/>
  <c r="R28" i="1610"/>
  <c r="L16" i="1610" s="1"/>
  <c r="D16" i="1610" s="1"/>
  <c r="D28" i="1610"/>
  <c r="R27" i="1610"/>
  <c r="D27" i="1610"/>
  <c r="R26" i="1610"/>
  <c r="L26" i="1610"/>
  <c r="D26" i="1610" s="1"/>
  <c r="R25" i="1610"/>
  <c r="L25" i="1610"/>
  <c r="D25" i="1610" s="1"/>
  <c r="R24" i="1610"/>
  <c r="L24" i="1610"/>
  <c r="D24" i="1610" s="1"/>
  <c r="R23" i="1610"/>
  <c r="D23" i="1610"/>
  <c r="R22" i="1610"/>
  <c r="D22" i="1610"/>
  <c r="R21" i="1610"/>
  <c r="D21" i="1610"/>
  <c r="R20" i="1610"/>
  <c r="L20" i="1610"/>
  <c r="D20" i="1610"/>
  <c r="R19" i="1610"/>
  <c r="D19" i="1610"/>
  <c r="R18" i="1610"/>
  <c r="D18" i="1610"/>
  <c r="R17" i="1610"/>
  <c r="L17" i="1610"/>
  <c r="D17" i="1610"/>
  <c r="R16" i="1610"/>
  <c r="R15" i="1610"/>
  <c r="D15" i="1610"/>
  <c r="R14" i="1610"/>
  <c r="D14" i="1610"/>
  <c r="R13" i="1610"/>
  <c r="D13" i="1610"/>
  <c r="R12" i="1610"/>
  <c r="R11" i="1610"/>
  <c r="L11" i="1610"/>
  <c r="D11" i="1610" s="1"/>
  <c r="L9" i="1610"/>
  <c r="D9" i="1610"/>
  <c r="L8" i="1610"/>
  <c r="D8" i="1610" s="1"/>
  <c r="L7" i="1610"/>
  <c r="D7" i="1610" s="1"/>
  <c r="R6" i="1610"/>
  <c r="R5" i="1610"/>
  <c r="R4" i="1610"/>
  <c r="R52" i="1609"/>
  <c r="R51" i="1609"/>
  <c r="D50" i="1609"/>
  <c r="R49" i="1609"/>
  <c r="G49" i="1609"/>
  <c r="D49" i="1609"/>
  <c r="R48" i="1609"/>
  <c r="D48" i="1609"/>
  <c r="D46" i="1609"/>
  <c r="D45" i="1609"/>
  <c r="D44" i="1609"/>
  <c r="R42" i="1609"/>
  <c r="L6" i="1609" s="1"/>
  <c r="D6" i="1609" s="1"/>
  <c r="D42" i="1609"/>
  <c r="R41" i="1609"/>
  <c r="L7" i="1609" s="1"/>
  <c r="D7" i="1609" s="1"/>
  <c r="D41" i="1609"/>
  <c r="R40" i="1609"/>
  <c r="D40" i="1609"/>
  <c r="R39" i="1609"/>
  <c r="D39" i="1609"/>
  <c r="R38" i="1609"/>
  <c r="D38" i="1609"/>
  <c r="R37" i="1609"/>
  <c r="D37" i="1609"/>
  <c r="R36" i="1609"/>
  <c r="D36" i="1609"/>
  <c r="R35" i="1609"/>
  <c r="D35" i="1609"/>
  <c r="R34" i="1609"/>
  <c r="D34" i="1609"/>
  <c r="D54" i="1609" s="1"/>
  <c r="H14" i="1609" s="1"/>
  <c r="R33" i="1609"/>
  <c r="L23" i="1609" s="1"/>
  <c r="D23" i="1609" s="1"/>
  <c r="R32" i="1609"/>
  <c r="R31" i="1609"/>
  <c r="R30" i="1609"/>
  <c r="R29" i="1609"/>
  <c r="R28" i="1609"/>
  <c r="D28" i="1609"/>
  <c r="R27" i="1609"/>
  <c r="D27" i="1609"/>
  <c r="R26" i="1609"/>
  <c r="L26" i="1609"/>
  <c r="D26" i="1609"/>
  <c r="R25" i="1609"/>
  <c r="L25" i="1609"/>
  <c r="D25" i="1609"/>
  <c r="R24" i="1609"/>
  <c r="D24" i="1609"/>
  <c r="R23" i="1609"/>
  <c r="R22" i="1609"/>
  <c r="L22" i="1609"/>
  <c r="D22" i="1609"/>
  <c r="R21" i="1609"/>
  <c r="D21" i="1609"/>
  <c r="R20" i="1609"/>
  <c r="L20" i="1609"/>
  <c r="D20" i="1609"/>
  <c r="R19" i="1609"/>
  <c r="L19" i="1609"/>
  <c r="D19" i="1609"/>
  <c r="R18" i="1609"/>
  <c r="D18" i="1609"/>
  <c r="R17" i="1609"/>
  <c r="D17" i="1609"/>
  <c r="R16" i="1609"/>
  <c r="L16" i="1609"/>
  <c r="D16" i="1609" s="1"/>
  <c r="S15" i="1609"/>
  <c r="R15" i="1609"/>
  <c r="D15" i="1609"/>
  <c r="S14" i="1609"/>
  <c r="R14" i="1609"/>
  <c r="D14" i="1609"/>
  <c r="R13" i="1609"/>
  <c r="D13" i="1609"/>
  <c r="R12" i="1609"/>
  <c r="L12" i="1609"/>
  <c r="D12" i="1609" s="1"/>
  <c r="R11" i="1609"/>
  <c r="L11" i="1609"/>
  <c r="D11" i="1609"/>
  <c r="L10" i="1609"/>
  <c r="D10" i="1609" s="1"/>
  <c r="L9" i="1609"/>
  <c r="D9" i="1609"/>
  <c r="L8" i="1609"/>
  <c r="D8" i="1609" s="1"/>
  <c r="R6" i="1609"/>
  <c r="R5" i="1609"/>
  <c r="R4" i="1609"/>
  <c r="R52" i="1608"/>
  <c r="R51" i="1608"/>
  <c r="D50" i="1608"/>
  <c r="R49" i="1608"/>
  <c r="D49" i="1608"/>
  <c r="R48" i="1608"/>
  <c r="D48" i="1608"/>
  <c r="D46" i="1608"/>
  <c r="D45" i="1608"/>
  <c r="D44" i="1608"/>
  <c r="R42" i="1608"/>
  <c r="L6" i="1608" s="1"/>
  <c r="D6" i="1608" s="1"/>
  <c r="D42" i="1608"/>
  <c r="R41" i="1608"/>
  <c r="L7" i="1608" s="1"/>
  <c r="D7" i="1608" s="1"/>
  <c r="D41" i="1608"/>
  <c r="R40" i="1608"/>
  <c r="D40" i="1608"/>
  <c r="R39" i="1608"/>
  <c r="H39" i="1608"/>
  <c r="D39" i="1608"/>
  <c r="R38" i="1608"/>
  <c r="H38" i="1608"/>
  <c r="D38" i="1608"/>
  <c r="R37" i="1608"/>
  <c r="H37" i="1608"/>
  <c r="D37" i="1608"/>
  <c r="R36" i="1608"/>
  <c r="H36" i="1608"/>
  <c r="G49" i="1608" s="1"/>
  <c r="D36" i="1608"/>
  <c r="R35" i="1608"/>
  <c r="L19" i="1608" s="1"/>
  <c r="D19" i="1608" s="1"/>
  <c r="H35" i="1608"/>
  <c r="D35" i="1608"/>
  <c r="R34" i="1608"/>
  <c r="H34" i="1608"/>
  <c r="D34" i="1608"/>
  <c r="D54" i="1608" s="1"/>
  <c r="H14" i="1608" s="1"/>
  <c r="R33" i="1608"/>
  <c r="R32" i="1608"/>
  <c r="R31" i="1608"/>
  <c r="R30" i="1608"/>
  <c r="R29" i="1608"/>
  <c r="R28" i="1608"/>
  <c r="D28" i="1608"/>
  <c r="R27" i="1608"/>
  <c r="D27" i="1608"/>
  <c r="R26" i="1608"/>
  <c r="L26" i="1608"/>
  <c r="D26" i="1608"/>
  <c r="R25" i="1608"/>
  <c r="L25" i="1608"/>
  <c r="D25" i="1608" s="1"/>
  <c r="R24" i="1608"/>
  <c r="D24" i="1608"/>
  <c r="R23" i="1608"/>
  <c r="L23" i="1608"/>
  <c r="D23" i="1608"/>
  <c r="R22" i="1608"/>
  <c r="L22" i="1608"/>
  <c r="D22" i="1608" s="1"/>
  <c r="R21" i="1608"/>
  <c r="D21" i="1608"/>
  <c r="R20" i="1608"/>
  <c r="L20" i="1608"/>
  <c r="D20" i="1608"/>
  <c r="R19" i="1608"/>
  <c r="R18" i="1608"/>
  <c r="D18" i="1608"/>
  <c r="R17" i="1608"/>
  <c r="D17" i="1608"/>
  <c r="R16" i="1608"/>
  <c r="L16" i="1608"/>
  <c r="D16" i="1608" s="1"/>
  <c r="R15" i="1608"/>
  <c r="D15" i="1608"/>
  <c r="R14" i="1608"/>
  <c r="D14" i="1608"/>
  <c r="R13" i="1608"/>
  <c r="D13" i="1608"/>
  <c r="R12" i="1608"/>
  <c r="L12" i="1608"/>
  <c r="D12" i="1608"/>
  <c r="R11" i="1608"/>
  <c r="L11" i="1608"/>
  <c r="D11" i="1608"/>
  <c r="L10" i="1608"/>
  <c r="D10" i="1608" s="1"/>
  <c r="L9" i="1608"/>
  <c r="D9" i="1608"/>
  <c r="L8" i="1608"/>
  <c r="D8" i="1608" s="1"/>
  <c r="R6" i="1608"/>
  <c r="R5" i="1608"/>
  <c r="R4" i="1608"/>
  <c r="R52" i="1607"/>
  <c r="R51" i="1607"/>
  <c r="D50" i="1607"/>
  <c r="R49" i="1607"/>
  <c r="D49" i="1607"/>
  <c r="R48" i="1607"/>
  <c r="D48" i="1607"/>
  <c r="D46" i="1607"/>
  <c r="D45" i="1607"/>
  <c r="D44" i="1607"/>
  <c r="R42" i="1607"/>
  <c r="L6" i="1607" s="1"/>
  <c r="D6" i="1607" s="1"/>
  <c r="D42" i="1607"/>
  <c r="R41" i="1607"/>
  <c r="L7" i="1607" s="1"/>
  <c r="D7" i="1607" s="1"/>
  <c r="D41" i="1607"/>
  <c r="R40" i="1607"/>
  <c r="D40" i="1607"/>
  <c r="R39" i="1607"/>
  <c r="H39" i="1607"/>
  <c r="D39" i="1607"/>
  <c r="R38" i="1607"/>
  <c r="H38" i="1607"/>
  <c r="D38" i="1607"/>
  <c r="R37" i="1607"/>
  <c r="H37" i="1607"/>
  <c r="D37" i="1607"/>
  <c r="R36" i="1607"/>
  <c r="H36" i="1607"/>
  <c r="D36" i="1607"/>
  <c r="R35" i="1607"/>
  <c r="L19" i="1607" s="1"/>
  <c r="D19" i="1607" s="1"/>
  <c r="H35" i="1607"/>
  <c r="D35" i="1607"/>
  <c r="R34" i="1607"/>
  <c r="L12" i="1607" s="1"/>
  <c r="D12" i="1607" s="1"/>
  <c r="H34" i="1607"/>
  <c r="G49" i="1607" s="1"/>
  <c r="D34" i="1607"/>
  <c r="D54" i="1607" s="1"/>
  <c r="H14" i="1607" s="1"/>
  <c r="R33" i="1607"/>
  <c r="R32" i="1607"/>
  <c r="R31" i="1607"/>
  <c r="R30" i="1607"/>
  <c r="R29" i="1607"/>
  <c r="R28" i="1607"/>
  <c r="D28" i="1607"/>
  <c r="R27" i="1607"/>
  <c r="D27" i="1607"/>
  <c r="R26" i="1607"/>
  <c r="L26" i="1607"/>
  <c r="D26" i="1607"/>
  <c r="R25" i="1607"/>
  <c r="L25" i="1607"/>
  <c r="D25" i="1607"/>
  <c r="R24" i="1607"/>
  <c r="L24" i="1607"/>
  <c r="D24" i="1607"/>
  <c r="R23" i="1607"/>
  <c r="L23" i="1607"/>
  <c r="D23" i="1607" s="1"/>
  <c r="R22" i="1607"/>
  <c r="L22" i="1607"/>
  <c r="D22" i="1607"/>
  <c r="R21" i="1607"/>
  <c r="L17" i="1607" s="1"/>
  <c r="D17" i="1607" s="1"/>
  <c r="D21" i="1607"/>
  <c r="R20" i="1607"/>
  <c r="L20" i="1607"/>
  <c r="D20" i="1607" s="1"/>
  <c r="R19" i="1607"/>
  <c r="R18" i="1607"/>
  <c r="D18" i="1607"/>
  <c r="R17" i="1607"/>
  <c r="R16" i="1607"/>
  <c r="L16" i="1607"/>
  <c r="D16" i="1607"/>
  <c r="R15" i="1607"/>
  <c r="D15" i="1607"/>
  <c r="R14" i="1607"/>
  <c r="D14" i="1607"/>
  <c r="R13" i="1607"/>
  <c r="D13" i="1607"/>
  <c r="R12" i="1607"/>
  <c r="R11" i="1607"/>
  <c r="L11" i="1607"/>
  <c r="D11" i="1607"/>
  <c r="L10" i="1607"/>
  <c r="D10" i="1607"/>
  <c r="L9" i="1607"/>
  <c r="D9" i="1607" s="1"/>
  <c r="L8" i="1607"/>
  <c r="D8" i="1607" s="1"/>
  <c r="R6" i="1607"/>
  <c r="R5" i="1607"/>
  <c r="R4" i="1607"/>
  <c r="R52" i="1606"/>
  <c r="R51" i="1606"/>
  <c r="D50" i="1606"/>
  <c r="R49" i="1606"/>
  <c r="D49" i="1606"/>
  <c r="R48" i="1606"/>
  <c r="D48" i="1606"/>
  <c r="D46" i="1606"/>
  <c r="D45" i="1606"/>
  <c r="P44" i="1606"/>
  <c r="R44" i="1606" s="1"/>
  <c r="D44" i="1606"/>
  <c r="R42" i="1606"/>
  <c r="D42" i="1606"/>
  <c r="R41" i="1606"/>
  <c r="D41" i="1606"/>
  <c r="R40" i="1606"/>
  <c r="L8" i="1606" s="1"/>
  <c r="D8" i="1606" s="1"/>
  <c r="D40" i="1606"/>
  <c r="R39" i="1606"/>
  <c r="L20" i="1606" s="1"/>
  <c r="D20" i="1606" s="1"/>
  <c r="H39" i="1606"/>
  <c r="D39" i="1606"/>
  <c r="R38" i="1606"/>
  <c r="H38" i="1606"/>
  <c r="D38" i="1606"/>
  <c r="R37" i="1606"/>
  <c r="H37" i="1606"/>
  <c r="D37" i="1606"/>
  <c r="R36" i="1606"/>
  <c r="H36" i="1606"/>
  <c r="D36" i="1606"/>
  <c r="R35" i="1606"/>
  <c r="H35" i="1606"/>
  <c r="D35" i="1606"/>
  <c r="R34" i="1606"/>
  <c r="L12" i="1606" s="1"/>
  <c r="D12" i="1606" s="1"/>
  <c r="H34" i="1606"/>
  <c r="G49" i="1606" s="1"/>
  <c r="D34" i="1606"/>
  <c r="D54" i="1606" s="1"/>
  <c r="H14" i="1606" s="1"/>
  <c r="R33" i="1606"/>
  <c r="R32" i="1606"/>
  <c r="R31" i="1606"/>
  <c r="R30" i="1606"/>
  <c r="R29" i="1606"/>
  <c r="R28" i="1606"/>
  <c r="D28" i="1606"/>
  <c r="R27" i="1606"/>
  <c r="D27" i="1606"/>
  <c r="R26" i="1606"/>
  <c r="L26" i="1606"/>
  <c r="D26" i="1606"/>
  <c r="R25" i="1606"/>
  <c r="L25" i="1606"/>
  <c r="D25" i="1606" s="1"/>
  <c r="R24" i="1606"/>
  <c r="L24" i="1606"/>
  <c r="D24" i="1606" s="1"/>
  <c r="R23" i="1606"/>
  <c r="D23" i="1606"/>
  <c r="R22" i="1606"/>
  <c r="D22" i="1606"/>
  <c r="R21" i="1606"/>
  <c r="D21" i="1606"/>
  <c r="R20" i="1606"/>
  <c r="R19" i="1606"/>
  <c r="D19" i="1606"/>
  <c r="R18" i="1606"/>
  <c r="D18" i="1606"/>
  <c r="R17" i="1606"/>
  <c r="L17" i="1606"/>
  <c r="D17" i="1606" s="1"/>
  <c r="R16" i="1606"/>
  <c r="L16" i="1606"/>
  <c r="D16" i="1606"/>
  <c r="R15" i="1606"/>
  <c r="D15" i="1606"/>
  <c r="R14" i="1606"/>
  <c r="D14" i="1606"/>
  <c r="R13" i="1606"/>
  <c r="D13" i="1606"/>
  <c r="R12" i="1606"/>
  <c r="R11" i="1606"/>
  <c r="L11" i="1606"/>
  <c r="D11" i="1606"/>
  <c r="L10" i="1606"/>
  <c r="D10" i="1606" s="1"/>
  <c r="L9" i="1606"/>
  <c r="D9" i="1606" s="1"/>
  <c r="L7" i="1606"/>
  <c r="D7" i="1606"/>
  <c r="R6" i="1606"/>
  <c r="L6" i="1606"/>
  <c r="D6" i="1606" s="1"/>
  <c r="R5" i="1606"/>
  <c r="R4" i="1606"/>
  <c r="R52" i="1605"/>
  <c r="R51" i="1605"/>
  <c r="D50" i="1605"/>
  <c r="R49" i="1605"/>
  <c r="G49" i="1605"/>
  <c r="D49" i="1605"/>
  <c r="R48" i="1605"/>
  <c r="D48" i="1605"/>
  <c r="D46" i="1605"/>
  <c r="D45" i="1605"/>
  <c r="D44" i="1605"/>
  <c r="R42" i="1605"/>
  <c r="D42" i="1605"/>
  <c r="R41" i="1605"/>
  <c r="L7" i="1605" s="1"/>
  <c r="D7" i="1605" s="1"/>
  <c r="D41" i="1605"/>
  <c r="R40" i="1605"/>
  <c r="L8" i="1605" s="1"/>
  <c r="D8" i="1605" s="1"/>
  <c r="D40" i="1605"/>
  <c r="R39" i="1605"/>
  <c r="D39" i="1605"/>
  <c r="R38" i="1605"/>
  <c r="L9" i="1605" s="1"/>
  <c r="D9" i="1605" s="1"/>
  <c r="D38" i="1605"/>
  <c r="R37" i="1605"/>
  <c r="D37" i="1605"/>
  <c r="D54" i="1605" s="1"/>
  <c r="H14" i="1605" s="1"/>
  <c r="R36" i="1605"/>
  <c r="D36" i="1605"/>
  <c r="R35" i="1605"/>
  <c r="D35" i="1605"/>
  <c r="R34" i="1605"/>
  <c r="D34" i="1605"/>
  <c r="R33" i="1605"/>
  <c r="L23" i="1605" s="1"/>
  <c r="D23" i="1605" s="1"/>
  <c r="R32" i="1605"/>
  <c r="R31" i="1605"/>
  <c r="R30" i="1605"/>
  <c r="R29" i="1605"/>
  <c r="R28" i="1605"/>
  <c r="D28" i="1605"/>
  <c r="R27" i="1605"/>
  <c r="D27" i="1605"/>
  <c r="R26" i="1605"/>
  <c r="L26" i="1605"/>
  <c r="D26" i="1605"/>
  <c r="R25" i="1605"/>
  <c r="L25" i="1605"/>
  <c r="D25" i="1605"/>
  <c r="R24" i="1605"/>
  <c r="D24" i="1605"/>
  <c r="R23" i="1605"/>
  <c r="R22" i="1605"/>
  <c r="L22" i="1605"/>
  <c r="D22" i="1605" s="1"/>
  <c r="R21" i="1605"/>
  <c r="D21" i="1605"/>
  <c r="R20" i="1605"/>
  <c r="L20" i="1605"/>
  <c r="D20" i="1605"/>
  <c r="R19" i="1605"/>
  <c r="L19" i="1605"/>
  <c r="D19" i="1605"/>
  <c r="R18" i="1605"/>
  <c r="D18" i="1605"/>
  <c r="R17" i="1605"/>
  <c r="D17" i="1605"/>
  <c r="R16" i="1605"/>
  <c r="L16" i="1605"/>
  <c r="D16" i="1605" s="1"/>
  <c r="S15" i="1605"/>
  <c r="R15" i="1605"/>
  <c r="D15" i="1605"/>
  <c r="S14" i="1605"/>
  <c r="R14" i="1605"/>
  <c r="D14" i="1605"/>
  <c r="R13" i="1605"/>
  <c r="D13" i="1605"/>
  <c r="R12" i="1605"/>
  <c r="L12" i="1605"/>
  <c r="D12" i="1605"/>
  <c r="R11" i="1605"/>
  <c r="L11" i="1605"/>
  <c r="D11" i="1605" s="1"/>
  <c r="L10" i="1605"/>
  <c r="D10" i="1605" s="1"/>
  <c r="R6" i="1605"/>
  <c r="L6" i="1605"/>
  <c r="D6" i="1605"/>
  <c r="R5" i="1605"/>
  <c r="R4" i="1605"/>
  <c r="R52" i="1604"/>
  <c r="R51" i="1604"/>
  <c r="D50" i="1604"/>
  <c r="R49" i="1604"/>
  <c r="D49" i="1604"/>
  <c r="R48" i="1604"/>
  <c r="D48" i="1604"/>
  <c r="D46" i="1604"/>
  <c r="D45" i="1604"/>
  <c r="D44" i="1604"/>
  <c r="R42" i="1604"/>
  <c r="L6" i="1604" s="1"/>
  <c r="D6" i="1604" s="1"/>
  <c r="D42" i="1604"/>
  <c r="R41" i="1604"/>
  <c r="L7" i="1604" s="1"/>
  <c r="D7" i="1604" s="1"/>
  <c r="D41" i="1604"/>
  <c r="R40" i="1604"/>
  <c r="D40" i="1604"/>
  <c r="R39" i="1604"/>
  <c r="H39" i="1604"/>
  <c r="D39" i="1604"/>
  <c r="R38" i="1604"/>
  <c r="H38" i="1604"/>
  <c r="D38" i="1604"/>
  <c r="R37" i="1604"/>
  <c r="H37" i="1604"/>
  <c r="D37" i="1604"/>
  <c r="R36" i="1604"/>
  <c r="H36" i="1604"/>
  <c r="D36" i="1604"/>
  <c r="R35" i="1604"/>
  <c r="L19" i="1604" s="1"/>
  <c r="D19" i="1604" s="1"/>
  <c r="H35" i="1604"/>
  <c r="D35" i="1604"/>
  <c r="R34" i="1604"/>
  <c r="H34" i="1604"/>
  <c r="G49" i="1604" s="1"/>
  <c r="D34" i="1604"/>
  <c r="D54" i="1604" s="1"/>
  <c r="H14" i="1604" s="1"/>
  <c r="R33" i="1604"/>
  <c r="R32" i="1604"/>
  <c r="R31" i="1604"/>
  <c r="R30" i="1604"/>
  <c r="R29" i="1604"/>
  <c r="R28" i="1604"/>
  <c r="D28" i="1604"/>
  <c r="R27" i="1604"/>
  <c r="D27" i="1604"/>
  <c r="R26" i="1604"/>
  <c r="L26" i="1604"/>
  <c r="D26" i="1604" s="1"/>
  <c r="R25" i="1604"/>
  <c r="L25" i="1604"/>
  <c r="D25" i="1604" s="1"/>
  <c r="R24" i="1604"/>
  <c r="D24" i="1604"/>
  <c r="R23" i="1604"/>
  <c r="L23" i="1604"/>
  <c r="D23" i="1604" s="1"/>
  <c r="R22" i="1604"/>
  <c r="L22" i="1604"/>
  <c r="D22" i="1604"/>
  <c r="R21" i="1604"/>
  <c r="D21" i="1604"/>
  <c r="R20" i="1604"/>
  <c r="L20" i="1604"/>
  <c r="D20" i="1604" s="1"/>
  <c r="R19" i="1604"/>
  <c r="R18" i="1604"/>
  <c r="D18" i="1604"/>
  <c r="R17" i="1604"/>
  <c r="D17" i="1604"/>
  <c r="R16" i="1604"/>
  <c r="L16" i="1604"/>
  <c r="D16" i="1604"/>
  <c r="R15" i="1604"/>
  <c r="D15" i="1604"/>
  <c r="R14" i="1604"/>
  <c r="D14" i="1604"/>
  <c r="R13" i="1604"/>
  <c r="D13" i="1604"/>
  <c r="R12" i="1604"/>
  <c r="L12" i="1604"/>
  <c r="D12" i="1604"/>
  <c r="R11" i="1604"/>
  <c r="L11" i="1604"/>
  <c r="D11" i="1604"/>
  <c r="L10" i="1604"/>
  <c r="D10" i="1604"/>
  <c r="L9" i="1604"/>
  <c r="D9" i="1604"/>
  <c r="L8" i="1604"/>
  <c r="D8" i="1604" s="1"/>
  <c r="R6" i="1604"/>
  <c r="R5" i="1604"/>
  <c r="R4" i="1604"/>
  <c r="R52" i="1603"/>
  <c r="R51" i="1603"/>
  <c r="D50" i="1603"/>
  <c r="R49" i="1603"/>
  <c r="D49" i="1603"/>
  <c r="R48" i="1603"/>
  <c r="D48" i="1603"/>
  <c r="D46" i="1603"/>
  <c r="D45" i="1603"/>
  <c r="D44" i="1603"/>
  <c r="R42" i="1603"/>
  <c r="D42" i="1603"/>
  <c r="R41" i="1603"/>
  <c r="D41" i="1603"/>
  <c r="R40" i="1603"/>
  <c r="D40" i="1603"/>
  <c r="R39" i="1603"/>
  <c r="L20" i="1603" s="1"/>
  <c r="D20" i="1603" s="1"/>
  <c r="H39" i="1603"/>
  <c r="D39" i="1603"/>
  <c r="R38" i="1603"/>
  <c r="H38" i="1603"/>
  <c r="D38" i="1603"/>
  <c r="R37" i="1603"/>
  <c r="H37" i="1603"/>
  <c r="D37" i="1603"/>
  <c r="R36" i="1603"/>
  <c r="L10" i="1603" s="1"/>
  <c r="D10" i="1603" s="1"/>
  <c r="H36" i="1603"/>
  <c r="D36" i="1603"/>
  <c r="R35" i="1603"/>
  <c r="L19" i="1603" s="1"/>
  <c r="D19" i="1603" s="1"/>
  <c r="H35" i="1603"/>
  <c r="D35" i="1603"/>
  <c r="R34" i="1603"/>
  <c r="H34" i="1603"/>
  <c r="G49" i="1603" s="1"/>
  <c r="D34" i="1603"/>
  <c r="D54" i="1603" s="1"/>
  <c r="H14" i="1603" s="1"/>
  <c r="R33" i="1603"/>
  <c r="R32" i="1603"/>
  <c r="R31" i="1603"/>
  <c r="R30" i="1603"/>
  <c r="R29" i="1603"/>
  <c r="R28" i="1603"/>
  <c r="L16" i="1603" s="1"/>
  <c r="D16" i="1603" s="1"/>
  <c r="D28" i="1603"/>
  <c r="R27" i="1603"/>
  <c r="D27" i="1603"/>
  <c r="R26" i="1603"/>
  <c r="L26" i="1603"/>
  <c r="D26" i="1603"/>
  <c r="R25" i="1603"/>
  <c r="L25" i="1603"/>
  <c r="D25" i="1603" s="1"/>
  <c r="R24" i="1603"/>
  <c r="L24" i="1603"/>
  <c r="D24" i="1603" s="1"/>
  <c r="R23" i="1603"/>
  <c r="L23" i="1603"/>
  <c r="D23" i="1603" s="1"/>
  <c r="R22" i="1603"/>
  <c r="L22" i="1603"/>
  <c r="D22" i="1603"/>
  <c r="R21" i="1603"/>
  <c r="L17" i="1603" s="1"/>
  <c r="D17" i="1603" s="1"/>
  <c r="D21" i="1603"/>
  <c r="R20" i="1603"/>
  <c r="R19" i="1603"/>
  <c r="R18" i="1603"/>
  <c r="D18" i="1603"/>
  <c r="R17" i="1603"/>
  <c r="R16" i="1603"/>
  <c r="R15" i="1603"/>
  <c r="D15" i="1603"/>
  <c r="R14" i="1603"/>
  <c r="D14" i="1603"/>
  <c r="R13" i="1603"/>
  <c r="D13" i="1603"/>
  <c r="R12" i="1603"/>
  <c r="L12" i="1603"/>
  <c r="D12" i="1603"/>
  <c r="R11" i="1603"/>
  <c r="L11" i="1603"/>
  <c r="D11" i="1603" s="1"/>
  <c r="L9" i="1603"/>
  <c r="D9" i="1603" s="1"/>
  <c r="L8" i="1603"/>
  <c r="D8" i="1603"/>
  <c r="L7" i="1603"/>
  <c r="D7" i="1603" s="1"/>
  <c r="R6" i="1603"/>
  <c r="L6" i="1603"/>
  <c r="D6" i="1603" s="1"/>
  <c r="R5" i="1603"/>
  <c r="R4" i="1603"/>
  <c r="R52" i="1602"/>
  <c r="R51" i="1602"/>
  <c r="D50" i="1602"/>
  <c r="R49" i="1602"/>
  <c r="D49" i="1602"/>
  <c r="R48" i="1602"/>
  <c r="D48" i="1602"/>
  <c r="D46" i="1602"/>
  <c r="D45" i="1602"/>
  <c r="P44" i="1602"/>
  <c r="R44" i="1602" s="1"/>
  <c r="D44" i="1602"/>
  <c r="R42" i="1602"/>
  <c r="L6" i="1602" s="1"/>
  <c r="D6" i="1602" s="1"/>
  <c r="D42" i="1602"/>
  <c r="R41" i="1602"/>
  <c r="L7" i="1602" s="1"/>
  <c r="D7" i="1602" s="1"/>
  <c r="D41" i="1602"/>
  <c r="R40" i="1602"/>
  <c r="D40" i="1602"/>
  <c r="R39" i="1602"/>
  <c r="H39" i="1602"/>
  <c r="D39" i="1602"/>
  <c r="R38" i="1602"/>
  <c r="H38" i="1602"/>
  <c r="D38" i="1602"/>
  <c r="R37" i="1602"/>
  <c r="H37" i="1602"/>
  <c r="D37" i="1602"/>
  <c r="R36" i="1602"/>
  <c r="H36" i="1602"/>
  <c r="D36" i="1602"/>
  <c r="D54" i="1602" s="1"/>
  <c r="H14" i="1602" s="1"/>
  <c r="R35" i="1602"/>
  <c r="H35" i="1602"/>
  <c r="D35" i="1602"/>
  <c r="R34" i="1602"/>
  <c r="H34" i="1602"/>
  <c r="G49" i="1602" s="1"/>
  <c r="D34" i="1602"/>
  <c r="R33" i="1602"/>
  <c r="R32" i="1602"/>
  <c r="R31" i="1602"/>
  <c r="R30" i="1602"/>
  <c r="R29" i="1602"/>
  <c r="R28" i="1602"/>
  <c r="D28" i="1602"/>
  <c r="R27" i="1602"/>
  <c r="D27" i="1602"/>
  <c r="R26" i="1602"/>
  <c r="L26" i="1602"/>
  <c r="D26" i="1602" s="1"/>
  <c r="R25" i="1602"/>
  <c r="L25" i="1602"/>
  <c r="D25" i="1602"/>
  <c r="R24" i="1602"/>
  <c r="L24" i="1602"/>
  <c r="D24" i="1602"/>
  <c r="R23" i="1602"/>
  <c r="D23" i="1602"/>
  <c r="R22" i="1602"/>
  <c r="D22" i="1602"/>
  <c r="R21" i="1602"/>
  <c r="D21" i="1602"/>
  <c r="R20" i="1602"/>
  <c r="L20" i="1602"/>
  <c r="D20" i="1602" s="1"/>
  <c r="R19" i="1602"/>
  <c r="D19" i="1602"/>
  <c r="R18" i="1602"/>
  <c r="D18" i="1602"/>
  <c r="R17" i="1602"/>
  <c r="L17" i="1602"/>
  <c r="D17" i="1602"/>
  <c r="R16" i="1602"/>
  <c r="L16" i="1602"/>
  <c r="D16" i="1602"/>
  <c r="R15" i="1602"/>
  <c r="D15" i="1602"/>
  <c r="R14" i="1602"/>
  <c r="D14" i="1602"/>
  <c r="R13" i="1602"/>
  <c r="D13" i="1602"/>
  <c r="R12" i="1602"/>
  <c r="L12" i="1602"/>
  <c r="D12" i="1602"/>
  <c r="R11" i="1602"/>
  <c r="L11" i="1602"/>
  <c r="D11" i="1602"/>
  <c r="L10" i="1602"/>
  <c r="D10" i="1602" s="1"/>
  <c r="L9" i="1602"/>
  <c r="D9" i="1602" s="1"/>
  <c r="L8" i="1602"/>
  <c r="D8" i="1602"/>
  <c r="R6" i="1602"/>
  <c r="R5" i="1602"/>
  <c r="R4" i="1602"/>
  <c r="R52" i="1601"/>
  <c r="R51" i="1601"/>
  <c r="D50" i="1601"/>
  <c r="R49" i="1601"/>
  <c r="G49" i="1601"/>
  <c r="D49" i="1601"/>
  <c r="R48" i="1601"/>
  <c r="D48" i="1601"/>
  <c r="D46" i="1601"/>
  <c r="D45" i="1601"/>
  <c r="D44" i="1601"/>
  <c r="R42" i="1601"/>
  <c r="L6" i="1601" s="1"/>
  <c r="D6" i="1601" s="1"/>
  <c r="D42" i="1601"/>
  <c r="R41" i="1601"/>
  <c r="L7" i="1601" s="1"/>
  <c r="D7" i="1601" s="1"/>
  <c r="D41" i="1601"/>
  <c r="R40" i="1601"/>
  <c r="D40" i="1601"/>
  <c r="R39" i="1601"/>
  <c r="D39" i="1601"/>
  <c r="R38" i="1601"/>
  <c r="D38" i="1601"/>
  <c r="R37" i="1601"/>
  <c r="D37" i="1601"/>
  <c r="R36" i="1601"/>
  <c r="L10" i="1601" s="1"/>
  <c r="D10" i="1601" s="1"/>
  <c r="D36" i="1601"/>
  <c r="R35" i="1601"/>
  <c r="D35" i="1601"/>
  <c r="R34" i="1601"/>
  <c r="L12" i="1601" s="1"/>
  <c r="D12" i="1601" s="1"/>
  <c r="D34" i="1601"/>
  <c r="D54" i="1601" s="1"/>
  <c r="H14" i="1601" s="1"/>
  <c r="R33" i="1601"/>
  <c r="L23" i="1601" s="1"/>
  <c r="D23" i="1601" s="1"/>
  <c r="R32" i="1601"/>
  <c r="R31" i="1601"/>
  <c r="R30" i="1601"/>
  <c r="R29" i="1601"/>
  <c r="R28" i="1601"/>
  <c r="L16" i="1601" s="1"/>
  <c r="D16" i="1601" s="1"/>
  <c r="D28" i="1601"/>
  <c r="R27" i="1601"/>
  <c r="D27" i="1601"/>
  <c r="R26" i="1601"/>
  <c r="L26" i="1601"/>
  <c r="D26" i="1601"/>
  <c r="R25" i="1601"/>
  <c r="L25" i="1601"/>
  <c r="D25" i="1601"/>
  <c r="R24" i="1601"/>
  <c r="D24" i="1601"/>
  <c r="R23" i="1601"/>
  <c r="R22" i="1601"/>
  <c r="L22" i="1601"/>
  <c r="D22" i="1601"/>
  <c r="R21" i="1601"/>
  <c r="D21" i="1601"/>
  <c r="R20" i="1601"/>
  <c r="L20" i="1601"/>
  <c r="D20" i="1601"/>
  <c r="R19" i="1601"/>
  <c r="L19" i="1601"/>
  <c r="D19" i="1601"/>
  <c r="R18" i="1601"/>
  <c r="D18" i="1601"/>
  <c r="R17" i="1601"/>
  <c r="D17" i="1601"/>
  <c r="R16" i="1601"/>
  <c r="S15" i="1601"/>
  <c r="R15" i="1601"/>
  <c r="D15" i="1601"/>
  <c r="S14" i="1601"/>
  <c r="R14" i="1601"/>
  <c r="D14" i="1601"/>
  <c r="R13" i="1601"/>
  <c r="D13" i="1601"/>
  <c r="R12" i="1601"/>
  <c r="R11" i="1601"/>
  <c r="L11" i="1601"/>
  <c r="D11" i="1601"/>
  <c r="L9" i="1601"/>
  <c r="D9" i="1601"/>
  <c r="L8" i="1601"/>
  <c r="D8" i="1601"/>
  <c r="R6" i="1601"/>
  <c r="R5" i="1601"/>
  <c r="R4" i="1601"/>
  <c r="R52" i="1600"/>
  <c r="R51" i="1600"/>
  <c r="D50" i="1600"/>
  <c r="R49" i="1600"/>
  <c r="G49" i="1600"/>
  <c r="D49" i="1600"/>
  <c r="R48" i="1600"/>
  <c r="D48" i="1600"/>
  <c r="D46" i="1600"/>
  <c r="D45" i="1600"/>
  <c r="D44" i="1600"/>
  <c r="R42" i="1600"/>
  <c r="D42" i="1600"/>
  <c r="R41" i="1600"/>
  <c r="L7" i="1600" s="1"/>
  <c r="D7" i="1600" s="1"/>
  <c r="D41" i="1600"/>
  <c r="R40" i="1600"/>
  <c r="L8" i="1600" s="1"/>
  <c r="D8" i="1600" s="1"/>
  <c r="D40" i="1600"/>
  <c r="R39" i="1600"/>
  <c r="H39" i="1600"/>
  <c r="D39" i="1600"/>
  <c r="R38" i="1600"/>
  <c r="L9" i="1600" s="1"/>
  <c r="D9" i="1600" s="1"/>
  <c r="H38" i="1600"/>
  <c r="D38" i="1600"/>
  <c r="R37" i="1600"/>
  <c r="H37" i="1600"/>
  <c r="D37" i="1600"/>
  <c r="R36" i="1600"/>
  <c r="H36" i="1600"/>
  <c r="D36" i="1600"/>
  <c r="R35" i="1600"/>
  <c r="H35" i="1600"/>
  <c r="D35" i="1600"/>
  <c r="D54" i="1600" s="1"/>
  <c r="H14" i="1600" s="1"/>
  <c r="R34" i="1600"/>
  <c r="H34" i="1600"/>
  <c r="D34" i="1600"/>
  <c r="R33" i="1600"/>
  <c r="L23" i="1600" s="1"/>
  <c r="D23" i="1600" s="1"/>
  <c r="R32" i="1600"/>
  <c r="L11" i="1600" s="1"/>
  <c r="D11" i="1600" s="1"/>
  <c r="R31" i="1600"/>
  <c r="R30" i="1600"/>
  <c r="R29" i="1600"/>
  <c r="R28" i="1600"/>
  <c r="L16" i="1600" s="1"/>
  <c r="D16" i="1600" s="1"/>
  <c r="D28" i="1600"/>
  <c r="R27" i="1600"/>
  <c r="D27" i="1600"/>
  <c r="R26" i="1600"/>
  <c r="L26" i="1600"/>
  <c r="D26" i="1600" s="1"/>
  <c r="R25" i="1600"/>
  <c r="L25" i="1600"/>
  <c r="D25" i="1600"/>
  <c r="R24" i="1600"/>
  <c r="D24" i="1600"/>
  <c r="R23" i="1600"/>
  <c r="R22" i="1600"/>
  <c r="L22" i="1600"/>
  <c r="D22" i="1600" s="1"/>
  <c r="R21" i="1600"/>
  <c r="D21" i="1600"/>
  <c r="R20" i="1600"/>
  <c r="L20" i="1600"/>
  <c r="D20" i="1600" s="1"/>
  <c r="R19" i="1600"/>
  <c r="L19" i="1600"/>
  <c r="D19" i="1600"/>
  <c r="R18" i="1600"/>
  <c r="D18" i="1600"/>
  <c r="R17" i="1600"/>
  <c r="D17" i="1600"/>
  <c r="R16" i="1600"/>
  <c r="R15" i="1600"/>
  <c r="D15" i="1600"/>
  <c r="R14" i="1600"/>
  <c r="D14" i="1600"/>
  <c r="R13" i="1600"/>
  <c r="D13" i="1600"/>
  <c r="R12" i="1600"/>
  <c r="L12" i="1600"/>
  <c r="D12" i="1600"/>
  <c r="R11" i="1600"/>
  <c r="L10" i="1600"/>
  <c r="D10" i="1600" s="1"/>
  <c r="R6" i="1600"/>
  <c r="L6" i="1600"/>
  <c r="D6" i="1600"/>
  <c r="R5" i="1600"/>
  <c r="R4" i="1600"/>
  <c r="R52" i="1599"/>
  <c r="R51" i="1599"/>
  <c r="D50" i="1599"/>
  <c r="R49" i="1599"/>
  <c r="D49" i="1599"/>
  <c r="R48" i="1599"/>
  <c r="D48" i="1599"/>
  <c r="D46" i="1599"/>
  <c r="D45" i="1599"/>
  <c r="D44" i="1599"/>
  <c r="R42" i="1599"/>
  <c r="L6" i="1599" s="1"/>
  <c r="D6" i="1599" s="1"/>
  <c r="D42" i="1599"/>
  <c r="R41" i="1599"/>
  <c r="L7" i="1599" s="1"/>
  <c r="D7" i="1599" s="1"/>
  <c r="D41" i="1599"/>
  <c r="R40" i="1599"/>
  <c r="L8" i="1599" s="1"/>
  <c r="D8" i="1599" s="1"/>
  <c r="D40" i="1599"/>
  <c r="R39" i="1599"/>
  <c r="L20" i="1599" s="1"/>
  <c r="D20" i="1599" s="1"/>
  <c r="H39" i="1599"/>
  <c r="D39" i="1599"/>
  <c r="R38" i="1599"/>
  <c r="L9" i="1599" s="1"/>
  <c r="D9" i="1599" s="1"/>
  <c r="H38" i="1599"/>
  <c r="D38" i="1599"/>
  <c r="R37" i="1599"/>
  <c r="H37" i="1599"/>
  <c r="D37" i="1599"/>
  <c r="R36" i="1599"/>
  <c r="L10" i="1599" s="1"/>
  <c r="D10" i="1599" s="1"/>
  <c r="H36" i="1599"/>
  <c r="D36" i="1599"/>
  <c r="R35" i="1599"/>
  <c r="L19" i="1599" s="1"/>
  <c r="D19" i="1599" s="1"/>
  <c r="H35" i="1599"/>
  <c r="D35" i="1599"/>
  <c r="R34" i="1599"/>
  <c r="H34" i="1599"/>
  <c r="G49" i="1599" s="1"/>
  <c r="D34" i="1599"/>
  <c r="D54" i="1599" s="1"/>
  <c r="H14" i="1599" s="1"/>
  <c r="R33" i="1599"/>
  <c r="R32" i="1599"/>
  <c r="R31" i="1599"/>
  <c r="R30" i="1599"/>
  <c r="R29" i="1599"/>
  <c r="R28" i="1599"/>
  <c r="L16" i="1599" s="1"/>
  <c r="D16" i="1599" s="1"/>
  <c r="D28" i="1599"/>
  <c r="R27" i="1599"/>
  <c r="D27" i="1599"/>
  <c r="R26" i="1599"/>
  <c r="L26" i="1599"/>
  <c r="D26" i="1599" s="1"/>
  <c r="R25" i="1599"/>
  <c r="L25" i="1599"/>
  <c r="D25" i="1599" s="1"/>
  <c r="R24" i="1599"/>
  <c r="L24" i="1599"/>
  <c r="D24" i="1599" s="1"/>
  <c r="R23" i="1599"/>
  <c r="L23" i="1599"/>
  <c r="D23" i="1599"/>
  <c r="R22" i="1599"/>
  <c r="L22" i="1599"/>
  <c r="D22" i="1599" s="1"/>
  <c r="R21" i="1599"/>
  <c r="L17" i="1599" s="1"/>
  <c r="D17" i="1599" s="1"/>
  <c r="D21" i="1599"/>
  <c r="R20" i="1599"/>
  <c r="R19" i="1599"/>
  <c r="R18" i="1599"/>
  <c r="D18" i="1599"/>
  <c r="R17" i="1599"/>
  <c r="R16" i="1599"/>
  <c r="R15" i="1599"/>
  <c r="D15" i="1599"/>
  <c r="R14" i="1599"/>
  <c r="D14" i="1599"/>
  <c r="R13" i="1599"/>
  <c r="D13" i="1599"/>
  <c r="R12" i="1599"/>
  <c r="L12" i="1599"/>
  <c r="D12" i="1599" s="1"/>
  <c r="R11" i="1599"/>
  <c r="L11" i="1599"/>
  <c r="D11" i="1599" s="1"/>
  <c r="R6" i="1599"/>
  <c r="R5" i="1599"/>
  <c r="R4" i="1599"/>
  <c r="R52" i="1598"/>
  <c r="R51" i="1598"/>
  <c r="D50" i="1598"/>
  <c r="R49" i="1598"/>
  <c r="D49" i="1598"/>
  <c r="R48" i="1598"/>
  <c r="D48" i="1598"/>
  <c r="D46" i="1598"/>
  <c r="D45" i="1598"/>
  <c r="R44" i="1598"/>
  <c r="P44" i="1598"/>
  <c r="D44" i="1598"/>
  <c r="R42" i="1598"/>
  <c r="L6" i="1598" s="1"/>
  <c r="D6" i="1598" s="1"/>
  <c r="D42" i="1598"/>
  <c r="R41" i="1598"/>
  <c r="D41" i="1598"/>
  <c r="R40" i="1598"/>
  <c r="D40" i="1598"/>
  <c r="R39" i="1598"/>
  <c r="L20" i="1598" s="1"/>
  <c r="D20" i="1598" s="1"/>
  <c r="H39" i="1598"/>
  <c r="D39" i="1598"/>
  <c r="R38" i="1598"/>
  <c r="H38" i="1598"/>
  <c r="D38" i="1598"/>
  <c r="R37" i="1598"/>
  <c r="H37" i="1598"/>
  <c r="D37" i="1598"/>
  <c r="R36" i="1598"/>
  <c r="L10" i="1598" s="1"/>
  <c r="D10" i="1598" s="1"/>
  <c r="H36" i="1598"/>
  <c r="G49" i="1598" s="1"/>
  <c r="D36" i="1598"/>
  <c r="R35" i="1598"/>
  <c r="H35" i="1598"/>
  <c r="D35" i="1598"/>
  <c r="R34" i="1598"/>
  <c r="L12" i="1598" s="1"/>
  <c r="D12" i="1598" s="1"/>
  <c r="H34" i="1598"/>
  <c r="D34" i="1598"/>
  <c r="D54" i="1598" s="1"/>
  <c r="H14" i="1598" s="1"/>
  <c r="R33" i="1598"/>
  <c r="R32" i="1598"/>
  <c r="R31" i="1598"/>
  <c r="R30" i="1598"/>
  <c r="R29" i="1598"/>
  <c r="R28" i="1598"/>
  <c r="L16" i="1598" s="1"/>
  <c r="D16" i="1598" s="1"/>
  <c r="D28" i="1598"/>
  <c r="R27" i="1598"/>
  <c r="D27" i="1598"/>
  <c r="R26" i="1598"/>
  <c r="L26" i="1598"/>
  <c r="D26" i="1598"/>
  <c r="R25" i="1598"/>
  <c r="L25" i="1598"/>
  <c r="D25" i="1598" s="1"/>
  <c r="R24" i="1598"/>
  <c r="L24" i="1598"/>
  <c r="D24" i="1598"/>
  <c r="R23" i="1598"/>
  <c r="D23" i="1598"/>
  <c r="R22" i="1598"/>
  <c r="D22" i="1598"/>
  <c r="R21" i="1598"/>
  <c r="D21" i="1598"/>
  <c r="R20" i="1598"/>
  <c r="R19" i="1598"/>
  <c r="D19" i="1598"/>
  <c r="R18" i="1598"/>
  <c r="D18" i="1598"/>
  <c r="R17" i="1598"/>
  <c r="L17" i="1598"/>
  <c r="D17" i="1598"/>
  <c r="R16" i="1598"/>
  <c r="R15" i="1598"/>
  <c r="D15" i="1598"/>
  <c r="R14" i="1598"/>
  <c r="D14" i="1598"/>
  <c r="R13" i="1598"/>
  <c r="D13" i="1598"/>
  <c r="R12" i="1598"/>
  <c r="R11" i="1598"/>
  <c r="L11" i="1598"/>
  <c r="D11" i="1598"/>
  <c r="L9" i="1598"/>
  <c r="D9" i="1598" s="1"/>
  <c r="L8" i="1598"/>
  <c r="D8" i="1598" s="1"/>
  <c r="L7" i="1598"/>
  <c r="D7" i="1598"/>
  <c r="R6" i="1598"/>
  <c r="R5" i="1598"/>
  <c r="R4" i="1598"/>
  <c r="R52" i="1597"/>
  <c r="R51" i="1597"/>
  <c r="D50" i="1597"/>
  <c r="R49" i="1597"/>
  <c r="G49" i="1597"/>
  <c r="D49" i="1597"/>
  <c r="R48" i="1597"/>
  <c r="D48" i="1597"/>
  <c r="D46" i="1597"/>
  <c r="D45" i="1597"/>
  <c r="D44" i="1597"/>
  <c r="R42" i="1597"/>
  <c r="D42" i="1597"/>
  <c r="R41" i="1597"/>
  <c r="L7" i="1597" s="1"/>
  <c r="D7" i="1597" s="1"/>
  <c r="D41" i="1597"/>
  <c r="R40" i="1597"/>
  <c r="D40" i="1597"/>
  <c r="R39" i="1597"/>
  <c r="D39" i="1597"/>
  <c r="R38" i="1597"/>
  <c r="D38" i="1597"/>
  <c r="R37" i="1597"/>
  <c r="D37" i="1597"/>
  <c r="R36" i="1597"/>
  <c r="L10" i="1597" s="1"/>
  <c r="D10" i="1597" s="1"/>
  <c r="D36" i="1597"/>
  <c r="R35" i="1597"/>
  <c r="D35" i="1597"/>
  <c r="R34" i="1597"/>
  <c r="D34" i="1597"/>
  <c r="D54" i="1597" s="1"/>
  <c r="H14" i="1597" s="1"/>
  <c r="R33" i="1597"/>
  <c r="L23" i="1597" s="1"/>
  <c r="D23" i="1597" s="1"/>
  <c r="R32" i="1597"/>
  <c r="R31" i="1597"/>
  <c r="R30" i="1597"/>
  <c r="R29" i="1597"/>
  <c r="R28" i="1597"/>
  <c r="D28" i="1597"/>
  <c r="R27" i="1597"/>
  <c r="D27" i="1597"/>
  <c r="R26" i="1597"/>
  <c r="L26" i="1597"/>
  <c r="D26" i="1597" s="1"/>
  <c r="R25" i="1597"/>
  <c r="L25" i="1597"/>
  <c r="D25" i="1597"/>
  <c r="R24" i="1597"/>
  <c r="D24" i="1597"/>
  <c r="R23" i="1597"/>
  <c r="R22" i="1597"/>
  <c r="L22" i="1597"/>
  <c r="D22" i="1597" s="1"/>
  <c r="R21" i="1597"/>
  <c r="D21" i="1597"/>
  <c r="R20" i="1597"/>
  <c r="L20" i="1597"/>
  <c r="D20" i="1597" s="1"/>
  <c r="R19" i="1597"/>
  <c r="L19" i="1597"/>
  <c r="D19" i="1597"/>
  <c r="R18" i="1597"/>
  <c r="D18" i="1597"/>
  <c r="R17" i="1597"/>
  <c r="D17" i="1597"/>
  <c r="R16" i="1597"/>
  <c r="L16" i="1597"/>
  <c r="D16" i="1597" s="1"/>
  <c r="S15" i="1597"/>
  <c r="R15" i="1597"/>
  <c r="D15" i="1597"/>
  <c r="S14" i="1597"/>
  <c r="R14" i="1597"/>
  <c r="D14" i="1597"/>
  <c r="R13" i="1597"/>
  <c r="D13" i="1597"/>
  <c r="R12" i="1597"/>
  <c r="L12" i="1597"/>
  <c r="D12" i="1597" s="1"/>
  <c r="R11" i="1597"/>
  <c r="L11" i="1597"/>
  <c r="D11" i="1597" s="1"/>
  <c r="L9" i="1597"/>
  <c r="D9" i="1597" s="1"/>
  <c r="L8" i="1597"/>
  <c r="D8" i="1597" s="1"/>
  <c r="R6" i="1597"/>
  <c r="L6" i="1597"/>
  <c r="D6" i="1597"/>
  <c r="R5" i="1597"/>
  <c r="R4" i="1597"/>
  <c r="D54" i="1596"/>
  <c r="H14" i="1596" s="1"/>
  <c r="R52" i="1596"/>
  <c r="R51" i="1596"/>
  <c r="D50" i="1596"/>
  <c r="R49" i="1596"/>
  <c r="D49" i="1596"/>
  <c r="R48" i="1596"/>
  <c r="D48" i="1596"/>
  <c r="D46" i="1596"/>
  <c r="D45" i="1596"/>
  <c r="D44" i="1596"/>
  <c r="R42" i="1596"/>
  <c r="D42" i="1596"/>
  <c r="R41" i="1596"/>
  <c r="L7" i="1596" s="1"/>
  <c r="D7" i="1596" s="1"/>
  <c r="D41" i="1596"/>
  <c r="R40" i="1596"/>
  <c r="D40" i="1596"/>
  <c r="R39" i="1596"/>
  <c r="H39" i="1596"/>
  <c r="D39" i="1596"/>
  <c r="R38" i="1596"/>
  <c r="L9" i="1596" s="1"/>
  <c r="D9" i="1596" s="1"/>
  <c r="H38" i="1596"/>
  <c r="D38" i="1596"/>
  <c r="R37" i="1596"/>
  <c r="H37" i="1596"/>
  <c r="D37" i="1596"/>
  <c r="R36" i="1596"/>
  <c r="H36" i="1596"/>
  <c r="D36" i="1596"/>
  <c r="R35" i="1596"/>
  <c r="L19" i="1596" s="1"/>
  <c r="D19" i="1596" s="1"/>
  <c r="H35" i="1596"/>
  <c r="G49" i="1596" s="1"/>
  <c r="D35" i="1596"/>
  <c r="R34" i="1596"/>
  <c r="H34" i="1596"/>
  <c r="D34" i="1596"/>
  <c r="R33" i="1596"/>
  <c r="L23" i="1596" s="1"/>
  <c r="D23" i="1596" s="1"/>
  <c r="R32" i="1596"/>
  <c r="L11" i="1596" s="1"/>
  <c r="D11" i="1596" s="1"/>
  <c r="R31" i="1596"/>
  <c r="R30" i="1596"/>
  <c r="R29" i="1596"/>
  <c r="R28" i="1596"/>
  <c r="L16" i="1596" s="1"/>
  <c r="D16" i="1596" s="1"/>
  <c r="D28" i="1596"/>
  <c r="R27" i="1596"/>
  <c r="D27" i="1596"/>
  <c r="R26" i="1596"/>
  <c r="L26" i="1596"/>
  <c r="D26" i="1596" s="1"/>
  <c r="R25" i="1596"/>
  <c r="L25" i="1596"/>
  <c r="D25" i="1596"/>
  <c r="R24" i="1596"/>
  <c r="D24" i="1596"/>
  <c r="R23" i="1596"/>
  <c r="R22" i="1596"/>
  <c r="L22" i="1596"/>
  <c r="D22" i="1596"/>
  <c r="R21" i="1596"/>
  <c r="D21" i="1596"/>
  <c r="R20" i="1596"/>
  <c r="L20" i="1596"/>
  <c r="D20" i="1596"/>
  <c r="R19" i="1596"/>
  <c r="R18" i="1596"/>
  <c r="D18" i="1596"/>
  <c r="R17" i="1596"/>
  <c r="D17" i="1596"/>
  <c r="R16" i="1596"/>
  <c r="R15" i="1596"/>
  <c r="D15" i="1596"/>
  <c r="R14" i="1596"/>
  <c r="D14" i="1596"/>
  <c r="R13" i="1596"/>
  <c r="D13" i="1596"/>
  <c r="R12" i="1596"/>
  <c r="L12" i="1596"/>
  <c r="D12" i="1596"/>
  <c r="R11" i="1596"/>
  <c r="L10" i="1596"/>
  <c r="D10" i="1596"/>
  <c r="L8" i="1596"/>
  <c r="D8" i="1596" s="1"/>
  <c r="R6" i="1596"/>
  <c r="L6" i="1596"/>
  <c r="D6" i="1596"/>
  <c r="D29" i="1596" s="1"/>
  <c r="H13" i="1596" s="1"/>
  <c r="H15" i="1596" s="1"/>
  <c r="H29" i="1596" s="1"/>
  <c r="R5" i="1596"/>
  <c r="R4" i="1596"/>
  <c r="R52" i="1595"/>
  <c r="R51" i="1595"/>
  <c r="D50" i="1595"/>
  <c r="R49" i="1595"/>
  <c r="D49" i="1595"/>
  <c r="R48" i="1595"/>
  <c r="D48" i="1595"/>
  <c r="D46" i="1595"/>
  <c r="D45" i="1595"/>
  <c r="D44" i="1595"/>
  <c r="R42" i="1595"/>
  <c r="L6" i="1595" s="1"/>
  <c r="D6" i="1595" s="1"/>
  <c r="D42" i="1595"/>
  <c r="R41" i="1595"/>
  <c r="L7" i="1595" s="1"/>
  <c r="D7" i="1595" s="1"/>
  <c r="D41" i="1595"/>
  <c r="R40" i="1595"/>
  <c r="L8" i="1595" s="1"/>
  <c r="D8" i="1595" s="1"/>
  <c r="D40" i="1595"/>
  <c r="R39" i="1595"/>
  <c r="L20" i="1595" s="1"/>
  <c r="D20" i="1595" s="1"/>
  <c r="H39" i="1595"/>
  <c r="D39" i="1595"/>
  <c r="R38" i="1595"/>
  <c r="L9" i="1595" s="1"/>
  <c r="D9" i="1595" s="1"/>
  <c r="H38" i="1595"/>
  <c r="D38" i="1595"/>
  <c r="R37" i="1595"/>
  <c r="H37" i="1595"/>
  <c r="D37" i="1595"/>
  <c r="R36" i="1595"/>
  <c r="L10" i="1595" s="1"/>
  <c r="D10" i="1595" s="1"/>
  <c r="H36" i="1595"/>
  <c r="G49" i="1595" s="1"/>
  <c r="D36" i="1595"/>
  <c r="R35" i="1595"/>
  <c r="L19" i="1595" s="1"/>
  <c r="D19" i="1595" s="1"/>
  <c r="H35" i="1595"/>
  <c r="D35" i="1595"/>
  <c r="R34" i="1595"/>
  <c r="H34" i="1595"/>
  <c r="D34" i="1595"/>
  <c r="D54" i="1595" s="1"/>
  <c r="H14" i="1595" s="1"/>
  <c r="R33" i="1595"/>
  <c r="R32" i="1595"/>
  <c r="R31" i="1595"/>
  <c r="R30" i="1595"/>
  <c r="R29" i="1595"/>
  <c r="R28" i="1595"/>
  <c r="D28" i="1595"/>
  <c r="R27" i="1595"/>
  <c r="D27" i="1595"/>
  <c r="R26" i="1595"/>
  <c r="L26" i="1595"/>
  <c r="D26" i="1595" s="1"/>
  <c r="R25" i="1595"/>
  <c r="L25" i="1595"/>
  <c r="D25" i="1595" s="1"/>
  <c r="R24" i="1595"/>
  <c r="L24" i="1595"/>
  <c r="D24" i="1595"/>
  <c r="R23" i="1595"/>
  <c r="L23" i="1595"/>
  <c r="D23" i="1595"/>
  <c r="R22" i="1595"/>
  <c r="L22" i="1595"/>
  <c r="D22" i="1595" s="1"/>
  <c r="R21" i="1595"/>
  <c r="L17" i="1595" s="1"/>
  <c r="D17" i="1595" s="1"/>
  <c r="D21" i="1595"/>
  <c r="R20" i="1595"/>
  <c r="R19" i="1595"/>
  <c r="R18" i="1595"/>
  <c r="D18" i="1595"/>
  <c r="R17" i="1595"/>
  <c r="R16" i="1595"/>
  <c r="L16" i="1595"/>
  <c r="D16" i="1595" s="1"/>
  <c r="R15" i="1595"/>
  <c r="D15" i="1595"/>
  <c r="R14" i="1595"/>
  <c r="D14" i="1595"/>
  <c r="R13" i="1595"/>
  <c r="D13" i="1595"/>
  <c r="R12" i="1595"/>
  <c r="L12" i="1595"/>
  <c r="D12" i="1595"/>
  <c r="R11" i="1595"/>
  <c r="L11" i="1595"/>
  <c r="D11" i="1595"/>
  <c r="R6" i="1595"/>
  <c r="R5" i="1595"/>
  <c r="R4" i="1595"/>
  <c r="D54" i="1594"/>
  <c r="H14" i="1594" s="1"/>
  <c r="R52" i="1594"/>
  <c r="R51" i="1594"/>
  <c r="D50" i="1594"/>
  <c r="R49" i="1594"/>
  <c r="D49" i="1594"/>
  <c r="R48" i="1594"/>
  <c r="D48" i="1594"/>
  <c r="D46" i="1594"/>
  <c r="D45" i="1594"/>
  <c r="P44" i="1594"/>
  <c r="R44" i="1594" s="1"/>
  <c r="D44" i="1594"/>
  <c r="R42" i="1594"/>
  <c r="L6" i="1594" s="1"/>
  <c r="D6" i="1594" s="1"/>
  <c r="D42" i="1594"/>
  <c r="R41" i="1594"/>
  <c r="D41" i="1594"/>
  <c r="R40" i="1594"/>
  <c r="D40" i="1594"/>
  <c r="R39" i="1594"/>
  <c r="H39" i="1594"/>
  <c r="D39" i="1594"/>
  <c r="R38" i="1594"/>
  <c r="H38" i="1594"/>
  <c r="D38" i="1594"/>
  <c r="R37" i="1594"/>
  <c r="H37" i="1594"/>
  <c r="D37" i="1594"/>
  <c r="R36" i="1594"/>
  <c r="H36" i="1594"/>
  <c r="G49" i="1594" s="1"/>
  <c r="D36" i="1594"/>
  <c r="R35" i="1594"/>
  <c r="H35" i="1594"/>
  <c r="D35" i="1594"/>
  <c r="R34" i="1594"/>
  <c r="H34" i="1594"/>
  <c r="D34" i="1594"/>
  <c r="R33" i="1594"/>
  <c r="R32" i="1594"/>
  <c r="R31" i="1594"/>
  <c r="R30" i="1594"/>
  <c r="R29" i="1594"/>
  <c r="R28" i="1594"/>
  <c r="L16" i="1594" s="1"/>
  <c r="D16" i="1594" s="1"/>
  <c r="D28" i="1594"/>
  <c r="R27" i="1594"/>
  <c r="D27" i="1594"/>
  <c r="R26" i="1594"/>
  <c r="L26" i="1594"/>
  <c r="D26" i="1594"/>
  <c r="R25" i="1594"/>
  <c r="L25" i="1594"/>
  <c r="D25" i="1594"/>
  <c r="R24" i="1594"/>
  <c r="L24" i="1594"/>
  <c r="D24" i="1594" s="1"/>
  <c r="R23" i="1594"/>
  <c r="D23" i="1594"/>
  <c r="R22" i="1594"/>
  <c r="D22" i="1594"/>
  <c r="R21" i="1594"/>
  <c r="D21" i="1594"/>
  <c r="R20" i="1594"/>
  <c r="L20" i="1594"/>
  <c r="D20" i="1594" s="1"/>
  <c r="R19" i="1594"/>
  <c r="D19" i="1594"/>
  <c r="R18" i="1594"/>
  <c r="D18" i="1594"/>
  <c r="R17" i="1594"/>
  <c r="L17" i="1594"/>
  <c r="D17" i="1594" s="1"/>
  <c r="R16" i="1594"/>
  <c r="R15" i="1594"/>
  <c r="D15" i="1594"/>
  <c r="R14" i="1594"/>
  <c r="D14" i="1594"/>
  <c r="R13" i="1594"/>
  <c r="D13" i="1594"/>
  <c r="R12" i="1594"/>
  <c r="L12" i="1594"/>
  <c r="D12" i="1594" s="1"/>
  <c r="R11" i="1594"/>
  <c r="L11" i="1594"/>
  <c r="D11" i="1594" s="1"/>
  <c r="L10" i="1594"/>
  <c r="D10" i="1594" s="1"/>
  <c r="L9" i="1594"/>
  <c r="D9" i="1594"/>
  <c r="L8" i="1594"/>
  <c r="D8" i="1594"/>
  <c r="L7" i="1594"/>
  <c r="D7" i="1594"/>
  <c r="R6" i="1594"/>
  <c r="R5" i="1594"/>
  <c r="R4" i="1594"/>
  <c r="R52" i="1593"/>
  <c r="R51" i="1593"/>
  <c r="D50" i="1593"/>
  <c r="R49" i="1593"/>
  <c r="G49" i="1593"/>
  <c r="D49" i="1593"/>
  <c r="R48" i="1593"/>
  <c r="D48" i="1593"/>
  <c r="D46" i="1593"/>
  <c r="D45" i="1593"/>
  <c r="D44" i="1593"/>
  <c r="R42" i="1593"/>
  <c r="L6" i="1593" s="1"/>
  <c r="D6" i="1593" s="1"/>
  <c r="D42" i="1593"/>
  <c r="R41" i="1593"/>
  <c r="L7" i="1593" s="1"/>
  <c r="D7" i="1593" s="1"/>
  <c r="D41" i="1593"/>
  <c r="R40" i="1593"/>
  <c r="D40" i="1593"/>
  <c r="R39" i="1593"/>
  <c r="D39" i="1593"/>
  <c r="R38" i="1593"/>
  <c r="D38" i="1593"/>
  <c r="R37" i="1593"/>
  <c r="D37" i="1593"/>
  <c r="R36" i="1593"/>
  <c r="D36" i="1593"/>
  <c r="R35" i="1593"/>
  <c r="D35" i="1593"/>
  <c r="R34" i="1593"/>
  <c r="L12" i="1593" s="1"/>
  <c r="D12" i="1593" s="1"/>
  <c r="D34" i="1593"/>
  <c r="D54" i="1593" s="1"/>
  <c r="H14" i="1593" s="1"/>
  <c r="R33" i="1593"/>
  <c r="L23" i="1593" s="1"/>
  <c r="D23" i="1593" s="1"/>
  <c r="R32" i="1593"/>
  <c r="R31" i="1593"/>
  <c r="R30" i="1593"/>
  <c r="R29" i="1593"/>
  <c r="R28" i="1593"/>
  <c r="L16" i="1593" s="1"/>
  <c r="D16" i="1593" s="1"/>
  <c r="D28" i="1593"/>
  <c r="R27" i="1593"/>
  <c r="D27" i="1593"/>
  <c r="R26" i="1593"/>
  <c r="L26" i="1593"/>
  <c r="D26" i="1593"/>
  <c r="R25" i="1593"/>
  <c r="L25" i="1593"/>
  <c r="D25" i="1593"/>
  <c r="R24" i="1593"/>
  <c r="D24" i="1593"/>
  <c r="R23" i="1593"/>
  <c r="R22" i="1593"/>
  <c r="L22" i="1593"/>
  <c r="D22" i="1593"/>
  <c r="R21" i="1593"/>
  <c r="D21" i="1593"/>
  <c r="R20" i="1593"/>
  <c r="L20" i="1593"/>
  <c r="D20" i="1593"/>
  <c r="R19" i="1593"/>
  <c r="L19" i="1593"/>
  <c r="D19" i="1593"/>
  <c r="R18" i="1593"/>
  <c r="D18" i="1593"/>
  <c r="R17" i="1593"/>
  <c r="D17" i="1593"/>
  <c r="R16" i="1593"/>
  <c r="S15" i="1593"/>
  <c r="R15" i="1593"/>
  <c r="D15" i="1593"/>
  <c r="S14" i="1593"/>
  <c r="R14" i="1593"/>
  <c r="D14" i="1593"/>
  <c r="R13" i="1593"/>
  <c r="D13" i="1593"/>
  <c r="R12" i="1593"/>
  <c r="R11" i="1593"/>
  <c r="L11" i="1593"/>
  <c r="D11" i="1593"/>
  <c r="L10" i="1593"/>
  <c r="D10" i="1593" s="1"/>
  <c r="L9" i="1593"/>
  <c r="D9" i="1593"/>
  <c r="L8" i="1593"/>
  <c r="D8" i="1593"/>
  <c r="R6" i="1593"/>
  <c r="R5" i="1593"/>
  <c r="R4" i="1593"/>
  <c r="R52" i="1592"/>
  <c r="R51" i="1592"/>
  <c r="D50" i="1592"/>
  <c r="R49" i="1592"/>
  <c r="D49" i="1592"/>
  <c r="R48" i="1592"/>
  <c r="D48" i="1592"/>
  <c r="D46" i="1592"/>
  <c r="D45" i="1592"/>
  <c r="D44" i="1592"/>
  <c r="R42" i="1592"/>
  <c r="D42" i="1592"/>
  <c r="R41" i="1592"/>
  <c r="L7" i="1592" s="1"/>
  <c r="D7" i="1592" s="1"/>
  <c r="D41" i="1592"/>
  <c r="R40" i="1592"/>
  <c r="L8" i="1592" s="1"/>
  <c r="D8" i="1592" s="1"/>
  <c r="D40" i="1592"/>
  <c r="R39" i="1592"/>
  <c r="H39" i="1592"/>
  <c r="D39" i="1592"/>
  <c r="R38" i="1592"/>
  <c r="L9" i="1592" s="1"/>
  <c r="D9" i="1592" s="1"/>
  <c r="H38" i="1592"/>
  <c r="D38" i="1592"/>
  <c r="R37" i="1592"/>
  <c r="H37" i="1592"/>
  <c r="D37" i="1592"/>
  <c r="R36" i="1592"/>
  <c r="H36" i="1592"/>
  <c r="D36" i="1592"/>
  <c r="R35" i="1592"/>
  <c r="L19" i="1592" s="1"/>
  <c r="D19" i="1592" s="1"/>
  <c r="H35" i="1592"/>
  <c r="D35" i="1592"/>
  <c r="R34" i="1592"/>
  <c r="H34" i="1592"/>
  <c r="D34" i="1592"/>
  <c r="R33" i="1592"/>
  <c r="L23" i="1592" s="1"/>
  <c r="D23" i="1592" s="1"/>
  <c r="R32" i="1592"/>
  <c r="L11" i="1592" s="1"/>
  <c r="D11" i="1592" s="1"/>
  <c r="R31" i="1592"/>
  <c r="R30" i="1592"/>
  <c r="R29" i="1592"/>
  <c r="R28" i="1592"/>
  <c r="D28" i="1592"/>
  <c r="R27" i="1592"/>
  <c r="D27" i="1592"/>
  <c r="R26" i="1592"/>
  <c r="L26" i="1592"/>
  <c r="D26" i="1592" s="1"/>
  <c r="R25" i="1592"/>
  <c r="L25" i="1592"/>
  <c r="D25" i="1592"/>
  <c r="R24" i="1592"/>
  <c r="D24" i="1592"/>
  <c r="R23" i="1592"/>
  <c r="R22" i="1592"/>
  <c r="L22" i="1592"/>
  <c r="D22" i="1592"/>
  <c r="R21" i="1592"/>
  <c r="D21" i="1592"/>
  <c r="R20" i="1592"/>
  <c r="L20" i="1592"/>
  <c r="D20" i="1592" s="1"/>
  <c r="R19" i="1592"/>
  <c r="R18" i="1592"/>
  <c r="D18" i="1592"/>
  <c r="R17" i="1592"/>
  <c r="D17" i="1592"/>
  <c r="R16" i="1592"/>
  <c r="L16" i="1592"/>
  <c r="D16" i="1592" s="1"/>
  <c r="R15" i="1592"/>
  <c r="D15" i="1592"/>
  <c r="R14" i="1592"/>
  <c r="D14" i="1592"/>
  <c r="R13" i="1592"/>
  <c r="D13" i="1592"/>
  <c r="R12" i="1592"/>
  <c r="L12" i="1592"/>
  <c r="D12" i="1592" s="1"/>
  <c r="R11" i="1592"/>
  <c r="L10" i="1592"/>
  <c r="D10" i="1592"/>
  <c r="R6" i="1592"/>
  <c r="L6" i="1592"/>
  <c r="D6" i="1592"/>
  <c r="R5" i="1592"/>
  <c r="R4" i="1592"/>
  <c r="R52" i="1591"/>
  <c r="R51" i="1591"/>
  <c r="D50" i="1591"/>
  <c r="R49" i="1591"/>
  <c r="D49" i="1591"/>
  <c r="R48" i="1591"/>
  <c r="D48" i="1591"/>
  <c r="D46" i="1591"/>
  <c r="D45" i="1591"/>
  <c r="D44" i="1591"/>
  <c r="R42" i="1591"/>
  <c r="D42" i="1591"/>
  <c r="R41" i="1591"/>
  <c r="L7" i="1591" s="1"/>
  <c r="D7" i="1591" s="1"/>
  <c r="D41" i="1591"/>
  <c r="R40" i="1591"/>
  <c r="D40" i="1591"/>
  <c r="R39" i="1591"/>
  <c r="L20" i="1591" s="1"/>
  <c r="D20" i="1591" s="1"/>
  <c r="H39" i="1591"/>
  <c r="D39" i="1591"/>
  <c r="R38" i="1591"/>
  <c r="L9" i="1591" s="1"/>
  <c r="D9" i="1591" s="1"/>
  <c r="H38" i="1591"/>
  <c r="D38" i="1591"/>
  <c r="R37" i="1591"/>
  <c r="H37" i="1591"/>
  <c r="D37" i="1591"/>
  <c r="R36" i="1591"/>
  <c r="H36" i="1591"/>
  <c r="D36" i="1591"/>
  <c r="R35" i="1591"/>
  <c r="L19" i="1591" s="1"/>
  <c r="D19" i="1591" s="1"/>
  <c r="H35" i="1591"/>
  <c r="D35" i="1591"/>
  <c r="R34" i="1591"/>
  <c r="H34" i="1591"/>
  <c r="D34" i="1591"/>
  <c r="R33" i="1591"/>
  <c r="L23" i="1591" s="1"/>
  <c r="D23" i="1591" s="1"/>
  <c r="R32" i="1591"/>
  <c r="R31" i="1591"/>
  <c r="R30" i="1591"/>
  <c r="R29" i="1591"/>
  <c r="R28" i="1591"/>
  <c r="D28" i="1591"/>
  <c r="R27" i="1591"/>
  <c r="D27" i="1591"/>
  <c r="R26" i="1591"/>
  <c r="L26" i="1591"/>
  <c r="D26" i="1591"/>
  <c r="R25" i="1591"/>
  <c r="L25" i="1591"/>
  <c r="D25" i="1591"/>
  <c r="R24" i="1591"/>
  <c r="L24" i="1591"/>
  <c r="D24" i="1591" s="1"/>
  <c r="R23" i="1591"/>
  <c r="R22" i="1591"/>
  <c r="L22" i="1591"/>
  <c r="D22" i="1591" s="1"/>
  <c r="R21" i="1591"/>
  <c r="L17" i="1591" s="1"/>
  <c r="D17" i="1591" s="1"/>
  <c r="D21" i="1591"/>
  <c r="R20" i="1591"/>
  <c r="R19" i="1591"/>
  <c r="R18" i="1591"/>
  <c r="D18" i="1591"/>
  <c r="R17" i="1591"/>
  <c r="R16" i="1591"/>
  <c r="L16" i="1591"/>
  <c r="D16" i="1591" s="1"/>
  <c r="R15" i="1591"/>
  <c r="D15" i="1591"/>
  <c r="R14" i="1591"/>
  <c r="D14" i="1591"/>
  <c r="R13" i="1591"/>
  <c r="D13" i="1591"/>
  <c r="R12" i="1591"/>
  <c r="L12" i="1591"/>
  <c r="D12" i="1591"/>
  <c r="R11" i="1591"/>
  <c r="L11" i="1591"/>
  <c r="D11" i="1591"/>
  <c r="L10" i="1591"/>
  <c r="D10" i="1591"/>
  <c r="L8" i="1591"/>
  <c r="D8" i="1591"/>
  <c r="R6" i="1591"/>
  <c r="L6" i="1591"/>
  <c r="D6" i="1591" s="1"/>
  <c r="R5" i="1591"/>
  <c r="R4" i="1591"/>
  <c r="R52" i="1590"/>
  <c r="R51" i="1590"/>
  <c r="D50" i="1590"/>
  <c r="R49" i="1590"/>
  <c r="D49" i="1590"/>
  <c r="R48" i="1590"/>
  <c r="D48" i="1590"/>
  <c r="D46" i="1590"/>
  <c r="D45" i="1590"/>
  <c r="P44" i="1590"/>
  <c r="R44" i="1590" s="1"/>
  <c r="D44" i="1590"/>
  <c r="R42" i="1590"/>
  <c r="L6" i="1590" s="1"/>
  <c r="D6" i="1590" s="1"/>
  <c r="D42" i="1590"/>
  <c r="R41" i="1590"/>
  <c r="D41" i="1590"/>
  <c r="R40" i="1590"/>
  <c r="L8" i="1590" s="1"/>
  <c r="D8" i="1590" s="1"/>
  <c r="D40" i="1590"/>
  <c r="R39" i="1590"/>
  <c r="L20" i="1590" s="1"/>
  <c r="D20" i="1590" s="1"/>
  <c r="H39" i="1590"/>
  <c r="D39" i="1590"/>
  <c r="R38" i="1590"/>
  <c r="H38" i="1590"/>
  <c r="D38" i="1590"/>
  <c r="R37" i="1590"/>
  <c r="H37" i="1590"/>
  <c r="D37" i="1590"/>
  <c r="R36" i="1590"/>
  <c r="L10" i="1590" s="1"/>
  <c r="D10" i="1590" s="1"/>
  <c r="H36" i="1590"/>
  <c r="D36" i="1590"/>
  <c r="R35" i="1590"/>
  <c r="H35" i="1590"/>
  <c r="D35" i="1590"/>
  <c r="R34" i="1590"/>
  <c r="H34" i="1590"/>
  <c r="D34" i="1590"/>
  <c r="R33" i="1590"/>
  <c r="R32" i="1590"/>
  <c r="R31" i="1590"/>
  <c r="R30" i="1590"/>
  <c r="R29" i="1590"/>
  <c r="R28" i="1590"/>
  <c r="L16" i="1590" s="1"/>
  <c r="D16" i="1590" s="1"/>
  <c r="D28" i="1590"/>
  <c r="R27" i="1590"/>
  <c r="D27" i="1590"/>
  <c r="R26" i="1590"/>
  <c r="D26" i="1590"/>
  <c r="R25" i="1590"/>
  <c r="D25" i="1590"/>
  <c r="R24" i="1590"/>
  <c r="L24" i="1590"/>
  <c r="D24" i="1590"/>
  <c r="R23" i="1590"/>
  <c r="D23" i="1590"/>
  <c r="R22" i="1590"/>
  <c r="D22" i="1590"/>
  <c r="R21" i="1590"/>
  <c r="D21" i="1590"/>
  <c r="R20" i="1590"/>
  <c r="R19" i="1590"/>
  <c r="D19" i="1590"/>
  <c r="R18" i="1590"/>
  <c r="D18" i="1590"/>
  <c r="R17" i="1590"/>
  <c r="L17" i="1590"/>
  <c r="D17" i="1590"/>
  <c r="R16" i="1590"/>
  <c r="R15" i="1590"/>
  <c r="D15" i="1590"/>
  <c r="R14" i="1590"/>
  <c r="D14" i="1590"/>
  <c r="R13" i="1590"/>
  <c r="D13" i="1590"/>
  <c r="R12" i="1590"/>
  <c r="L12" i="1590"/>
  <c r="D12" i="1590"/>
  <c r="R11" i="1590"/>
  <c r="L11" i="1590"/>
  <c r="D11" i="1590"/>
  <c r="L9" i="1590"/>
  <c r="D9" i="1590"/>
  <c r="L7" i="1590"/>
  <c r="D7" i="1590" s="1"/>
  <c r="R6" i="1590"/>
  <c r="R5" i="1590"/>
  <c r="R4" i="1590"/>
  <c r="R52" i="1589"/>
  <c r="R51" i="1589"/>
  <c r="D50" i="1589"/>
  <c r="R49" i="1589"/>
  <c r="G49" i="1589"/>
  <c r="D49" i="1589"/>
  <c r="R48" i="1589"/>
  <c r="D48" i="1589"/>
  <c r="D46" i="1589"/>
  <c r="D45" i="1589"/>
  <c r="D44" i="1589"/>
  <c r="R42" i="1589"/>
  <c r="L6" i="1589" s="1"/>
  <c r="D6" i="1589" s="1"/>
  <c r="D42" i="1589"/>
  <c r="R41" i="1589"/>
  <c r="L7" i="1589" s="1"/>
  <c r="D7" i="1589" s="1"/>
  <c r="D41" i="1589"/>
  <c r="R40" i="1589"/>
  <c r="D40" i="1589"/>
  <c r="R39" i="1589"/>
  <c r="D39" i="1589"/>
  <c r="R38" i="1589"/>
  <c r="D38" i="1589"/>
  <c r="R37" i="1589"/>
  <c r="D37" i="1589"/>
  <c r="R36" i="1589"/>
  <c r="L10" i="1589" s="1"/>
  <c r="D10" i="1589" s="1"/>
  <c r="D36" i="1589"/>
  <c r="R35" i="1589"/>
  <c r="D35" i="1589"/>
  <c r="R34" i="1589"/>
  <c r="L12" i="1589" s="1"/>
  <c r="D12" i="1589" s="1"/>
  <c r="D34" i="1589"/>
  <c r="D54" i="1589" s="1"/>
  <c r="H14" i="1589" s="1"/>
  <c r="R33" i="1589"/>
  <c r="L23" i="1589" s="1"/>
  <c r="D23" i="1589" s="1"/>
  <c r="R32" i="1589"/>
  <c r="R31" i="1589"/>
  <c r="R30" i="1589"/>
  <c r="R29" i="1589"/>
  <c r="R28" i="1589"/>
  <c r="L16" i="1589" s="1"/>
  <c r="D16" i="1589" s="1"/>
  <c r="D28" i="1589"/>
  <c r="R27" i="1589"/>
  <c r="D27" i="1589"/>
  <c r="R26" i="1589"/>
  <c r="L26" i="1589"/>
  <c r="D26" i="1589"/>
  <c r="R25" i="1589"/>
  <c r="L25" i="1589"/>
  <c r="D25" i="1589"/>
  <c r="R24" i="1589"/>
  <c r="D24" i="1589"/>
  <c r="R23" i="1589"/>
  <c r="R22" i="1589"/>
  <c r="L22" i="1589"/>
  <c r="D22" i="1589"/>
  <c r="R21" i="1589"/>
  <c r="D21" i="1589"/>
  <c r="R20" i="1589"/>
  <c r="L20" i="1589"/>
  <c r="D20" i="1589"/>
  <c r="R19" i="1589"/>
  <c r="L19" i="1589"/>
  <c r="D19" i="1589"/>
  <c r="R18" i="1589"/>
  <c r="D18" i="1589"/>
  <c r="R17" i="1589"/>
  <c r="D17" i="1589"/>
  <c r="R16" i="1589"/>
  <c r="S15" i="1589"/>
  <c r="R15" i="1589"/>
  <c r="D15" i="1589"/>
  <c r="S14" i="1589"/>
  <c r="R14" i="1589"/>
  <c r="D14" i="1589"/>
  <c r="R13" i="1589"/>
  <c r="D13" i="1589"/>
  <c r="R12" i="1589"/>
  <c r="R11" i="1589"/>
  <c r="L11" i="1589"/>
  <c r="D11" i="1589"/>
  <c r="L9" i="1589"/>
  <c r="D9" i="1589"/>
  <c r="L8" i="1589"/>
  <c r="D8" i="1589"/>
  <c r="R6" i="1589"/>
  <c r="R5" i="1589"/>
  <c r="R4" i="1589"/>
  <c r="G49" i="1591" l="1"/>
  <c r="G49" i="1592"/>
  <c r="G49" i="1590"/>
  <c r="D54" i="1592"/>
  <c r="H14" i="1592" s="1"/>
  <c r="D54" i="1591"/>
  <c r="H14" i="1591" s="1"/>
  <c r="D54" i="1590"/>
  <c r="H14" i="1590" s="1"/>
  <c r="D29" i="1612"/>
  <c r="H13" i="1612" s="1"/>
  <c r="H15" i="1612" s="1"/>
  <c r="H29" i="1612" s="1"/>
  <c r="G51" i="1612" s="1"/>
  <c r="D29" i="1611"/>
  <c r="H13" i="1611" s="1"/>
  <c r="H15" i="1611" s="1"/>
  <c r="H29" i="1611" s="1"/>
  <c r="G51" i="1611" s="1"/>
  <c r="D29" i="1610"/>
  <c r="H13" i="1610" s="1"/>
  <c r="H15" i="1610" s="1"/>
  <c r="H29" i="1610" s="1"/>
  <c r="G51" i="1610"/>
  <c r="D29" i="1609"/>
  <c r="H13" i="1609" s="1"/>
  <c r="H15" i="1609" s="1"/>
  <c r="H29" i="1609" s="1"/>
  <c r="G51" i="1609" s="1"/>
  <c r="D29" i="1608"/>
  <c r="H13" i="1608" s="1"/>
  <c r="H15" i="1608" s="1"/>
  <c r="H29" i="1608" s="1"/>
  <c r="G51" i="1608" s="1"/>
  <c r="D29" i="1607"/>
  <c r="H13" i="1607" s="1"/>
  <c r="H15" i="1607" s="1"/>
  <c r="H29" i="1607" s="1"/>
  <c r="G51" i="1607" s="1"/>
  <c r="D29" i="1606"/>
  <c r="H13" i="1606" s="1"/>
  <c r="H15" i="1606" s="1"/>
  <c r="H29" i="1606" s="1"/>
  <c r="G51" i="1606" s="1"/>
  <c r="D29" i="1605"/>
  <c r="H13" i="1605" s="1"/>
  <c r="H15" i="1605" s="1"/>
  <c r="H29" i="1605" s="1"/>
  <c r="G51" i="1605"/>
  <c r="D29" i="1604"/>
  <c r="H13" i="1604" s="1"/>
  <c r="H15" i="1604" s="1"/>
  <c r="H29" i="1604" s="1"/>
  <c r="G51" i="1604" s="1"/>
  <c r="D29" i="1603"/>
  <c r="H13" i="1603" s="1"/>
  <c r="H15" i="1603" s="1"/>
  <c r="H29" i="1603" s="1"/>
  <c r="G51" i="1603" s="1"/>
  <c r="D29" i="1602"/>
  <c r="H13" i="1602" s="1"/>
  <c r="H15" i="1602" s="1"/>
  <c r="H29" i="1602" s="1"/>
  <c r="G51" i="1602" s="1"/>
  <c r="D29" i="1601"/>
  <c r="H13" i="1601" s="1"/>
  <c r="H15" i="1601" s="1"/>
  <c r="H29" i="1601" s="1"/>
  <c r="G51" i="1601" s="1"/>
  <c r="D29" i="1600"/>
  <c r="H13" i="1600" s="1"/>
  <c r="H15" i="1600" s="1"/>
  <c r="H29" i="1600" s="1"/>
  <c r="G51" i="1600" s="1"/>
  <c r="D29" i="1599"/>
  <c r="H13" i="1599" s="1"/>
  <c r="H15" i="1599" s="1"/>
  <c r="H29" i="1599" s="1"/>
  <c r="G51" i="1599" s="1"/>
  <c r="D29" i="1598"/>
  <c r="H13" i="1598" s="1"/>
  <c r="H15" i="1598" s="1"/>
  <c r="H29" i="1598" s="1"/>
  <c r="G51" i="1598" s="1"/>
  <c r="D29" i="1597"/>
  <c r="H13" i="1597" s="1"/>
  <c r="H15" i="1597" s="1"/>
  <c r="H29" i="1597" s="1"/>
  <c r="G51" i="1597" s="1"/>
  <c r="G51" i="1596"/>
  <c r="D29" i="1595"/>
  <c r="H13" i="1595" s="1"/>
  <c r="H15" i="1595" s="1"/>
  <c r="H29" i="1595" s="1"/>
  <c r="G51" i="1595" s="1"/>
  <c r="D29" i="1594"/>
  <c r="H13" i="1594" s="1"/>
  <c r="H15" i="1594" s="1"/>
  <c r="H29" i="1594" s="1"/>
  <c r="G51" i="1594" s="1"/>
  <c r="D29" i="1593"/>
  <c r="H13" i="1593" s="1"/>
  <c r="H15" i="1593" s="1"/>
  <c r="H29" i="1593" s="1"/>
  <c r="G51" i="1593"/>
  <c r="D29" i="1592"/>
  <c r="H13" i="1592" s="1"/>
  <c r="D29" i="1591"/>
  <c r="H13" i="1591" s="1"/>
  <c r="D29" i="1590"/>
  <c r="H13" i="1590" s="1"/>
  <c r="D29" i="1589"/>
  <c r="H13" i="1589" s="1"/>
  <c r="H15" i="1589" s="1"/>
  <c r="H29" i="1589" s="1"/>
  <c r="G51" i="1589"/>
  <c r="C12" i="1584"/>
  <c r="C21" i="1583"/>
  <c r="H16" i="1584"/>
  <c r="H16" i="1583"/>
  <c r="H15" i="1592" l="1"/>
  <c r="H29" i="1592" s="1"/>
  <c r="G51" i="1592" s="1"/>
  <c r="H15" i="1591"/>
  <c r="H29" i="1591" s="1"/>
  <c r="G51" i="1591" s="1"/>
  <c r="H15" i="1590"/>
  <c r="H29" i="1590" s="1"/>
  <c r="G51" i="1590" s="1"/>
  <c r="L25" i="1579"/>
  <c r="G37" i="1580" l="1"/>
  <c r="G35" i="1580"/>
  <c r="G34" i="1580"/>
  <c r="H16" i="1580" l="1"/>
  <c r="C12" i="1580"/>
  <c r="L25" i="1575" l="1"/>
  <c r="L27" i="1574"/>
  <c r="L26" i="1574"/>
  <c r="L25" i="1574"/>
  <c r="H16" i="1574"/>
  <c r="L24" i="1543" l="1"/>
  <c r="H16" i="1571" l="1"/>
  <c r="C12" i="1571"/>
  <c r="C12" i="1566" l="1"/>
  <c r="H16" i="1568"/>
  <c r="H16" i="1567"/>
  <c r="L25" i="1563" l="1"/>
  <c r="G49" i="1562"/>
  <c r="C12" i="1563" l="1"/>
  <c r="L25" i="1559" l="1"/>
  <c r="R52" i="1588" l="1"/>
  <c r="R51" i="1588"/>
  <c r="D50" i="1588"/>
  <c r="R49" i="1588"/>
  <c r="D49" i="1588"/>
  <c r="R48" i="1588"/>
  <c r="D48" i="1588"/>
  <c r="D46" i="1588"/>
  <c r="D45" i="1588"/>
  <c r="D44" i="1588"/>
  <c r="R42" i="1588"/>
  <c r="L6" i="1588" s="1"/>
  <c r="D6" i="1588" s="1"/>
  <c r="D42" i="1588"/>
  <c r="R41" i="1588"/>
  <c r="L7" i="1588" s="1"/>
  <c r="D7" i="1588" s="1"/>
  <c r="D41" i="1588"/>
  <c r="R40" i="1588"/>
  <c r="D40" i="1588"/>
  <c r="R39" i="1588"/>
  <c r="H39" i="1588"/>
  <c r="D39" i="1588"/>
  <c r="R38" i="1588"/>
  <c r="H38" i="1588"/>
  <c r="D38" i="1588"/>
  <c r="R37" i="1588"/>
  <c r="H37" i="1588"/>
  <c r="D37" i="1588"/>
  <c r="R36" i="1588"/>
  <c r="H36" i="1588"/>
  <c r="D36" i="1588"/>
  <c r="R35" i="1588"/>
  <c r="L19" i="1588" s="1"/>
  <c r="D19" i="1588" s="1"/>
  <c r="H35" i="1588"/>
  <c r="D35" i="1588"/>
  <c r="R34" i="1588"/>
  <c r="L12" i="1588" s="1"/>
  <c r="D12" i="1588" s="1"/>
  <c r="H34" i="1588"/>
  <c r="D34" i="1588"/>
  <c r="R33" i="1588"/>
  <c r="R32" i="1588"/>
  <c r="L11" i="1588" s="1"/>
  <c r="D11" i="1588" s="1"/>
  <c r="R31" i="1588"/>
  <c r="R30" i="1588"/>
  <c r="R29" i="1588"/>
  <c r="R28" i="1588"/>
  <c r="L16" i="1588" s="1"/>
  <c r="D16" i="1588" s="1"/>
  <c r="D28" i="1588"/>
  <c r="R27" i="1588"/>
  <c r="D27" i="1588"/>
  <c r="R26" i="1588"/>
  <c r="L26" i="1588"/>
  <c r="D26" i="1588"/>
  <c r="R25" i="1588"/>
  <c r="L25" i="1588"/>
  <c r="D25" i="1588" s="1"/>
  <c r="R24" i="1588"/>
  <c r="D24" i="1588"/>
  <c r="R23" i="1588"/>
  <c r="L23" i="1588"/>
  <c r="D23" i="1588" s="1"/>
  <c r="R22" i="1588"/>
  <c r="L22" i="1588"/>
  <c r="D22" i="1588"/>
  <c r="R21" i="1588"/>
  <c r="D21" i="1588"/>
  <c r="R20" i="1588"/>
  <c r="L20" i="1588"/>
  <c r="D20" i="1588"/>
  <c r="R19" i="1588"/>
  <c r="R18" i="1588"/>
  <c r="D18" i="1588"/>
  <c r="R17" i="1588"/>
  <c r="D17" i="1588"/>
  <c r="R16" i="1588"/>
  <c r="R15" i="1588"/>
  <c r="D15" i="1588"/>
  <c r="R14" i="1588"/>
  <c r="D14" i="1588"/>
  <c r="R13" i="1588"/>
  <c r="D13" i="1588"/>
  <c r="R12" i="1588"/>
  <c r="R11" i="1588"/>
  <c r="L10" i="1588"/>
  <c r="D10" i="1588"/>
  <c r="L9" i="1588"/>
  <c r="D9" i="1588"/>
  <c r="L8" i="1588"/>
  <c r="D8" i="1588" s="1"/>
  <c r="R6" i="1588"/>
  <c r="R5" i="1588"/>
  <c r="R4" i="1588"/>
  <c r="R52" i="1587"/>
  <c r="R51" i="1587"/>
  <c r="D50" i="1587"/>
  <c r="R49" i="1587"/>
  <c r="D49" i="1587"/>
  <c r="R48" i="1587"/>
  <c r="D48" i="1587"/>
  <c r="D46" i="1587"/>
  <c r="D45" i="1587"/>
  <c r="D44" i="1587"/>
  <c r="R42" i="1587"/>
  <c r="L6" i="1587" s="1"/>
  <c r="D6" i="1587" s="1"/>
  <c r="D29" i="1587" s="1"/>
  <c r="H13" i="1587" s="1"/>
  <c r="D42" i="1587"/>
  <c r="R41" i="1587"/>
  <c r="L7" i="1587" s="1"/>
  <c r="D7" i="1587" s="1"/>
  <c r="D41" i="1587"/>
  <c r="R40" i="1587"/>
  <c r="L8" i="1587" s="1"/>
  <c r="D8" i="1587" s="1"/>
  <c r="D40" i="1587"/>
  <c r="R39" i="1587"/>
  <c r="H39" i="1587"/>
  <c r="D39" i="1587"/>
  <c r="R38" i="1587"/>
  <c r="L9" i="1587" s="1"/>
  <c r="D9" i="1587" s="1"/>
  <c r="H38" i="1587"/>
  <c r="D38" i="1587"/>
  <c r="R37" i="1587"/>
  <c r="H37" i="1587"/>
  <c r="D37" i="1587"/>
  <c r="R36" i="1587"/>
  <c r="L10" i="1587" s="1"/>
  <c r="D10" i="1587" s="1"/>
  <c r="H36" i="1587"/>
  <c r="D36" i="1587"/>
  <c r="R35" i="1587"/>
  <c r="L19" i="1587" s="1"/>
  <c r="D19" i="1587" s="1"/>
  <c r="H35" i="1587"/>
  <c r="D35" i="1587"/>
  <c r="R34" i="1587"/>
  <c r="H34" i="1587"/>
  <c r="D34" i="1587"/>
  <c r="R33" i="1587"/>
  <c r="R32" i="1587"/>
  <c r="R31" i="1587"/>
  <c r="R30" i="1587"/>
  <c r="R29" i="1587"/>
  <c r="R28" i="1587"/>
  <c r="D28" i="1587"/>
  <c r="R27" i="1587"/>
  <c r="D27" i="1587"/>
  <c r="R26" i="1587"/>
  <c r="L26" i="1587"/>
  <c r="D26" i="1587" s="1"/>
  <c r="R25" i="1587"/>
  <c r="L25" i="1587"/>
  <c r="D25" i="1587" s="1"/>
  <c r="R24" i="1587"/>
  <c r="L24" i="1587"/>
  <c r="D24" i="1587" s="1"/>
  <c r="R23" i="1587"/>
  <c r="L23" i="1587"/>
  <c r="D23" i="1587"/>
  <c r="R22" i="1587"/>
  <c r="L22" i="1587"/>
  <c r="D22" i="1587" s="1"/>
  <c r="R21" i="1587"/>
  <c r="L17" i="1587" s="1"/>
  <c r="D17" i="1587" s="1"/>
  <c r="D21" i="1587"/>
  <c r="R20" i="1587"/>
  <c r="L20" i="1587"/>
  <c r="D20" i="1587" s="1"/>
  <c r="R19" i="1587"/>
  <c r="R18" i="1587"/>
  <c r="D18" i="1587"/>
  <c r="R17" i="1587"/>
  <c r="R16" i="1587"/>
  <c r="L16" i="1587"/>
  <c r="D16" i="1587" s="1"/>
  <c r="R15" i="1587"/>
  <c r="D15" i="1587"/>
  <c r="R14" i="1587"/>
  <c r="D14" i="1587"/>
  <c r="R13" i="1587"/>
  <c r="D13" i="1587"/>
  <c r="R12" i="1587"/>
  <c r="L12" i="1587"/>
  <c r="D12" i="1587" s="1"/>
  <c r="R11" i="1587"/>
  <c r="L11" i="1587"/>
  <c r="D11" i="1587"/>
  <c r="R6" i="1587"/>
  <c r="R5" i="1587"/>
  <c r="R4" i="1587"/>
  <c r="R52" i="1586"/>
  <c r="R51" i="1586"/>
  <c r="D50" i="1586"/>
  <c r="R49" i="1586"/>
  <c r="D49" i="1586"/>
  <c r="R48" i="1586"/>
  <c r="D48" i="1586"/>
  <c r="D46" i="1586"/>
  <c r="D45" i="1586"/>
  <c r="P44" i="1586"/>
  <c r="R44" i="1586" s="1"/>
  <c r="D44" i="1586"/>
  <c r="R42" i="1586"/>
  <c r="L6" i="1586" s="1"/>
  <c r="D6" i="1586" s="1"/>
  <c r="D42" i="1586"/>
  <c r="R41" i="1586"/>
  <c r="L7" i="1586" s="1"/>
  <c r="D7" i="1586" s="1"/>
  <c r="D41" i="1586"/>
  <c r="R40" i="1586"/>
  <c r="D40" i="1586"/>
  <c r="R39" i="1586"/>
  <c r="H39" i="1586"/>
  <c r="D39" i="1586"/>
  <c r="R38" i="1586"/>
  <c r="H38" i="1586"/>
  <c r="D38" i="1586"/>
  <c r="R37" i="1586"/>
  <c r="H37" i="1586"/>
  <c r="D37" i="1586"/>
  <c r="R36" i="1586"/>
  <c r="L10" i="1586" s="1"/>
  <c r="D10" i="1586" s="1"/>
  <c r="H36" i="1586"/>
  <c r="D36" i="1586"/>
  <c r="R35" i="1586"/>
  <c r="H35" i="1586"/>
  <c r="D35" i="1586"/>
  <c r="R34" i="1586"/>
  <c r="H34" i="1586"/>
  <c r="D34" i="1586"/>
  <c r="R33" i="1586"/>
  <c r="R32" i="1586"/>
  <c r="R31" i="1586"/>
  <c r="R30" i="1586"/>
  <c r="R29" i="1586"/>
  <c r="R28" i="1586"/>
  <c r="L16" i="1586" s="1"/>
  <c r="D16" i="1586" s="1"/>
  <c r="D28" i="1586"/>
  <c r="R27" i="1586"/>
  <c r="D27" i="1586"/>
  <c r="R26" i="1586"/>
  <c r="L26" i="1586"/>
  <c r="D26" i="1586"/>
  <c r="R25" i="1586"/>
  <c r="L25" i="1586"/>
  <c r="D25" i="1586"/>
  <c r="R24" i="1586"/>
  <c r="L24" i="1586"/>
  <c r="D24" i="1586"/>
  <c r="R23" i="1586"/>
  <c r="D23" i="1586"/>
  <c r="R22" i="1586"/>
  <c r="D22" i="1586"/>
  <c r="R21" i="1586"/>
  <c r="D21" i="1586"/>
  <c r="R20" i="1586"/>
  <c r="L20" i="1586"/>
  <c r="D20" i="1586" s="1"/>
  <c r="R19" i="1586"/>
  <c r="D19" i="1586"/>
  <c r="R18" i="1586"/>
  <c r="D18" i="1586"/>
  <c r="R17" i="1586"/>
  <c r="L17" i="1586"/>
  <c r="D17" i="1586"/>
  <c r="R16" i="1586"/>
  <c r="R15" i="1586"/>
  <c r="D15" i="1586"/>
  <c r="R14" i="1586"/>
  <c r="D14" i="1586"/>
  <c r="R13" i="1586"/>
  <c r="D13" i="1586"/>
  <c r="R12" i="1586"/>
  <c r="L12" i="1586"/>
  <c r="D12" i="1586" s="1"/>
  <c r="R11" i="1586"/>
  <c r="L11" i="1586"/>
  <c r="D11" i="1586"/>
  <c r="L9" i="1586"/>
  <c r="D9" i="1586" s="1"/>
  <c r="L8" i="1586"/>
  <c r="D8" i="1586" s="1"/>
  <c r="R6" i="1586"/>
  <c r="R5" i="1586"/>
  <c r="R4" i="1586"/>
  <c r="R52" i="1585"/>
  <c r="R51" i="1585"/>
  <c r="D50" i="1585"/>
  <c r="R49" i="1585"/>
  <c r="G49" i="1585"/>
  <c r="D49" i="1585"/>
  <c r="R48" i="1585"/>
  <c r="D48" i="1585"/>
  <c r="D46" i="1585"/>
  <c r="D45" i="1585"/>
  <c r="D44" i="1585"/>
  <c r="R42" i="1585"/>
  <c r="L6" i="1585" s="1"/>
  <c r="D6" i="1585" s="1"/>
  <c r="D42" i="1585"/>
  <c r="R41" i="1585"/>
  <c r="D41" i="1585"/>
  <c r="R40" i="1585"/>
  <c r="D40" i="1585"/>
  <c r="R39" i="1585"/>
  <c r="D39" i="1585"/>
  <c r="R38" i="1585"/>
  <c r="D38" i="1585"/>
  <c r="R37" i="1585"/>
  <c r="D37" i="1585"/>
  <c r="R36" i="1585"/>
  <c r="L10" i="1585" s="1"/>
  <c r="D10" i="1585" s="1"/>
  <c r="D36" i="1585"/>
  <c r="R35" i="1585"/>
  <c r="L19" i="1585" s="1"/>
  <c r="D19" i="1585" s="1"/>
  <c r="D35" i="1585"/>
  <c r="R34" i="1585"/>
  <c r="L12" i="1585" s="1"/>
  <c r="D12" i="1585" s="1"/>
  <c r="D34" i="1585"/>
  <c r="D54" i="1585" s="1"/>
  <c r="H14" i="1585" s="1"/>
  <c r="R33" i="1585"/>
  <c r="L23" i="1585" s="1"/>
  <c r="D23" i="1585" s="1"/>
  <c r="R32" i="1585"/>
  <c r="R31" i="1585"/>
  <c r="R30" i="1585"/>
  <c r="R29" i="1585"/>
  <c r="R28" i="1585"/>
  <c r="L16" i="1585" s="1"/>
  <c r="D16" i="1585" s="1"/>
  <c r="D28" i="1585"/>
  <c r="R27" i="1585"/>
  <c r="D27" i="1585"/>
  <c r="R26" i="1585"/>
  <c r="L26" i="1585"/>
  <c r="D26" i="1585" s="1"/>
  <c r="R25" i="1585"/>
  <c r="L25" i="1585"/>
  <c r="D25" i="1585" s="1"/>
  <c r="R24" i="1585"/>
  <c r="D24" i="1585"/>
  <c r="R23" i="1585"/>
  <c r="R22" i="1585"/>
  <c r="L22" i="1585"/>
  <c r="D22" i="1585" s="1"/>
  <c r="R21" i="1585"/>
  <c r="D21" i="1585"/>
  <c r="R20" i="1585"/>
  <c r="L20" i="1585"/>
  <c r="D20" i="1585" s="1"/>
  <c r="R19" i="1585"/>
  <c r="R18" i="1585"/>
  <c r="D18" i="1585"/>
  <c r="R17" i="1585"/>
  <c r="D17" i="1585"/>
  <c r="R16" i="1585"/>
  <c r="S15" i="1585"/>
  <c r="R15" i="1585"/>
  <c r="D15" i="1585"/>
  <c r="S14" i="1585"/>
  <c r="R14" i="1585"/>
  <c r="D14" i="1585"/>
  <c r="R13" i="1585"/>
  <c r="D13" i="1585"/>
  <c r="R12" i="1585"/>
  <c r="R11" i="1585"/>
  <c r="L11" i="1585"/>
  <c r="D11" i="1585" s="1"/>
  <c r="L9" i="1585"/>
  <c r="D9" i="1585"/>
  <c r="L8" i="1585"/>
  <c r="D8" i="1585"/>
  <c r="L7" i="1585"/>
  <c r="D7" i="1585" s="1"/>
  <c r="R6" i="1585"/>
  <c r="R5" i="1585"/>
  <c r="R4" i="1585"/>
  <c r="R52" i="1584"/>
  <c r="R51" i="1584"/>
  <c r="D50" i="1584"/>
  <c r="R49" i="1584"/>
  <c r="D49" i="1584"/>
  <c r="R48" i="1584"/>
  <c r="D48" i="1584"/>
  <c r="D46" i="1584"/>
  <c r="D45" i="1584"/>
  <c r="D44" i="1584"/>
  <c r="R42" i="1584"/>
  <c r="L6" i="1584" s="1"/>
  <c r="D6" i="1584" s="1"/>
  <c r="D42" i="1584"/>
  <c r="R41" i="1584"/>
  <c r="L7" i="1584" s="1"/>
  <c r="D7" i="1584" s="1"/>
  <c r="D41" i="1584"/>
  <c r="R40" i="1584"/>
  <c r="D40" i="1584"/>
  <c r="R39" i="1584"/>
  <c r="H39" i="1584"/>
  <c r="D39" i="1584"/>
  <c r="R38" i="1584"/>
  <c r="H38" i="1584"/>
  <c r="D38" i="1584"/>
  <c r="R37" i="1584"/>
  <c r="H37" i="1584"/>
  <c r="D37" i="1584"/>
  <c r="R36" i="1584"/>
  <c r="H36" i="1584"/>
  <c r="D36" i="1584"/>
  <c r="R35" i="1584"/>
  <c r="L19" i="1584" s="1"/>
  <c r="D19" i="1584" s="1"/>
  <c r="H35" i="1584"/>
  <c r="D35" i="1584"/>
  <c r="R34" i="1584"/>
  <c r="H34" i="1584"/>
  <c r="D34" i="1584"/>
  <c r="R33" i="1584"/>
  <c r="R32" i="1584"/>
  <c r="R31" i="1584"/>
  <c r="R30" i="1584"/>
  <c r="R29" i="1584"/>
  <c r="R28" i="1584"/>
  <c r="L16" i="1584" s="1"/>
  <c r="D16" i="1584" s="1"/>
  <c r="D28" i="1584"/>
  <c r="R27" i="1584"/>
  <c r="D27" i="1584"/>
  <c r="R26" i="1584"/>
  <c r="L26" i="1584"/>
  <c r="D26" i="1584" s="1"/>
  <c r="R25" i="1584"/>
  <c r="L25" i="1584"/>
  <c r="D25" i="1584" s="1"/>
  <c r="R24" i="1584"/>
  <c r="D24" i="1584"/>
  <c r="R23" i="1584"/>
  <c r="L23" i="1584"/>
  <c r="D23" i="1584"/>
  <c r="R22" i="1584"/>
  <c r="L22" i="1584"/>
  <c r="D22" i="1584"/>
  <c r="R21" i="1584"/>
  <c r="D21" i="1584"/>
  <c r="R20" i="1584"/>
  <c r="L20" i="1584"/>
  <c r="D20" i="1584" s="1"/>
  <c r="R19" i="1584"/>
  <c r="R18" i="1584"/>
  <c r="D18" i="1584"/>
  <c r="R17" i="1584"/>
  <c r="D17" i="1584"/>
  <c r="R16" i="1584"/>
  <c r="R15" i="1584"/>
  <c r="D15" i="1584"/>
  <c r="R14" i="1584"/>
  <c r="D14" i="1584"/>
  <c r="R13" i="1584"/>
  <c r="D13" i="1584"/>
  <c r="R12" i="1584"/>
  <c r="L12" i="1584"/>
  <c r="D12" i="1584" s="1"/>
  <c r="R11" i="1584"/>
  <c r="L11" i="1584"/>
  <c r="D11" i="1584" s="1"/>
  <c r="L10" i="1584"/>
  <c r="D10" i="1584"/>
  <c r="L9" i="1584"/>
  <c r="D9" i="1584"/>
  <c r="L8" i="1584"/>
  <c r="D8" i="1584"/>
  <c r="R6" i="1584"/>
  <c r="R5" i="1584"/>
  <c r="R4" i="1584"/>
  <c r="R52" i="1583"/>
  <c r="R51" i="1583"/>
  <c r="D50" i="1583"/>
  <c r="R49" i="1583"/>
  <c r="D49" i="1583"/>
  <c r="R48" i="1583"/>
  <c r="D48" i="1583"/>
  <c r="D46" i="1583"/>
  <c r="D45" i="1583"/>
  <c r="D44" i="1583"/>
  <c r="R42" i="1583"/>
  <c r="L6" i="1583" s="1"/>
  <c r="D6" i="1583" s="1"/>
  <c r="D42" i="1583"/>
  <c r="R41" i="1583"/>
  <c r="D41" i="1583"/>
  <c r="R40" i="1583"/>
  <c r="D40" i="1583"/>
  <c r="R39" i="1583"/>
  <c r="H39" i="1583"/>
  <c r="D39" i="1583"/>
  <c r="R38" i="1583"/>
  <c r="H38" i="1583"/>
  <c r="D38" i="1583"/>
  <c r="R37" i="1583"/>
  <c r="H37" i="1583"/>
  <c r="D37" i="1583"/>
  <c r="R36" i="1583"/>
  <c r="H36" i="1583"/>
  <c r="D36" i="1583"/>
  <c r="R35" i="1583"/>
  <c r="H35" i="1583"/>
  <c r="D35" i="1583"/>
  <c r="R34" i="1583"/>
  <c r="L12" i="1583" s="1"/>
  <c r="D12" i="1583" s="1"/>
  <c r="H34" i="1583"/>
  <c r="D34" i="1583"/>
  <c r="R33" i="1583"/>
  <c r="L23" i="1583" s="1"/>
  <c r="D23" i="1583" s="1"/>
  <c r="R32" i="1583"/>
  <c r="R31" i="1583"/>
  <c r="R30" i="1583"/>
  <c r="R29" i="1583"/>
  <c r="R28" i="1583"/>
  <c r="D28" i="1583"/>
  <c r="R27" i="1583"/>
  <c r="D27" i="1583"/>
  <c r="R26" i="1583"/>
  <c r="L26" i="1583"/>
  <c r="D26" i="1583"/>
  <c r="R25" i="1583"/>
  <c r="L25" i="1583"/>
  <c r="D25" i="1583"/>
  <c r="R24" i="1583"/>
  <c r="L24" i="1583"/>
  <c r="D24" i="1583" s="1"/>
  <c r="R23" i="1583"/>
  <c r="R22" i="1583"/>
  <c r="L22" i="1583"/>
  <c r="D22" i="1583"/>
  <c r="R21" i="1583"/>
  <c r="D21" i="1583"/>
  <c r="R20" i="1583"/>
  <c r="L20" i="1583"/>
  <c r="D20" i="1583" s="1"/>
  <c r="R19" i="1583"/>
  <c r="L19" i="1583"/>
  <c r="D19" i="1583" s="1"/>
  <c r="R18" i="1583"/>
  <c r="D18" i="1583"/>
  <c r="R17" i="1583"/>
  <c r="L17" i="1583"/>
  <c r="D17" i="1583"/>
  <c r="R16" i="1583"/>
  <c r="L16" i="1583"/>
  <c r="D16" i="1583"/>
  <c r="R15" i="1583"/>
  <c r="D15" i="1583"/>
  <c r="R14" i="1583"/>
  <c r="D14" i="1583"/>
  <c r="R13" i="1583"/>
  <c r="D13" i="1583"/>
  <c r="R12" i="1583"/>
  <c r="R11" i="1583"/>
  <c r="L11" i="1583"/>
  <c r="D11" i="1583" s="1"/>
  <c r="L10" i="1583"/>
  <c r="D10" i="1583"/>
  <c r="L9" i="1583"/>
  <c r="D9" i="1583"/>
  <c r="L8" i="1583"/>
  <c r="D8" i="1583" s="1"/>
  <c r="L7" i="1583"/>
  <c r="D7" i="1583"/>
  <c r="R6" i="1583"/>
  <c r="R5" i="1583"/>
  <c r="R4" i="1583"/>
  <c r="R52" i="1582"/>
  <c r="R51" i="1582"/>
  <c r="D50" i="1582"/>
  <c r="R49" i="1582"/>
  <c r="D49" i="1582"/>
  <c r="R48" i="1582"/>
  <c r="D48" i="1582"/>
  <c r="D46" i="1582"/>
  <c r="D45" i="1582"/>
  <c r="P44" i="1582"/>
  <c r="R44" i="1582" s="1"/>
  <c r="D44" i="1582"/>
  <c r="R42" i="1582"/>
  <c r="L6" i="1582" s="1"/>
  <c r="D6" i="1582" s="1"/>
  <c r="D42" i="1582"/>
  <c r="R41" i="1582"/>
  <c r="L7" i="1582" s="1"/>
  <c r="D7" i="1582" s="1"/>
  <c r="D41" i="1582"/>
  <c r="R40" i="1582"/>
  <c r="D40" i="1582"/>
  <c r="R39" i="1582"/>
  <c r="L20" i="1582" s="1"/>
  <c r="D20" i="1582" s="1"/>
  <c r="H39" i="1582"/>
  <c r="D39" i="1582"/>
  <c r="R38" i="1582"/>
  <c r="H38" i="1582"/>
  <c r="D38" i="1582"/>
  <c r="R37" i="1582"/>
  <c r="H37" i="1582"/>
  <c r="D37" i="1582"/>
  <c r="R36" i="1582"/>
  <c r="L10" i="1582" s="1"/>
  <c r="D10" i="1582" s="1"/>
  <c r="H36" i="1582"/>
  <c r="D36" i="1582"/>
  <c r="R35" i="1582"/>
  <c r="H35" i="1582"/>
  <c r="D35" i="1582"/>
  <c r="R34" i="1582"/>
  <c r="H34" i="1582"/>
  <c r="G49" i="1582" s="1"/>
  <c r="D34" i="1582"/>
  <c r="R33" i="1582"/>
  <c r="R32" i="1582"/>
  <c r="R31" i="1582"/>
  <c r="R30" i="1582"/>
  <c r="R29" i="1582"/>
  <c r="R28" i="1582"/>
  <c r="L16" i="1582" s="1"/>
  <c r="D16" i="1582" s="1"/>
  <c r="D28" i="1582"/>
  <c r="R27" i="1582"/>
  <c r="D27" i="1582"/>
  <c r="R26" i="1582"/>
  <c r="L26" i="1582"/>
  <c r="D26" i="1582"/>
  <c r="R25" i="1582"/>
  <c r="L25" i="1582"/>
  <c r="D25" i="1582"/>
  <c r="R24" i="1582"/>
  <c r="L24" i="1582"/>
  <c r="D24" i="1582"/>
  <c r="R23" i="1582"/>
  <c r="D23" i="1582"/>
  <c r="R22" i="1582"/>
  <c r="D22" i="1582"/>
  <c r="R21" i="1582"/>
  <c r="D21" i="1582"/>
  <c r="R20" i="1582"/>
  <c r="R19" i="1582"/>
  <c r="D19" i="1582"/>
  <c r="R18" i="1582"/>
  <c r="D18" i="1582"/>
  <c r="R17" i="1582"/>
  <c r="L17" i="1582"/>
  <c r="D17" i="1582"/>
  <c r="R16" i="1582"/>
  <c r="R15" i="1582"/>
  <c r="D15" i="1582"/>
  <c r="R14" i="1582"/>
  <c r="D14" i="1582"/>
  <c r="R13" i="1582"/>
  <c r="D13" i="1582"/>
  <c r="R12" i="1582"/>
  <c r="L12" i="1582"/>
  <c r="D12" i="1582" s="1"/>
  <c r="R11" i="1582"/>
  <c r="L11" i="1582"/>
  <c r="D11" i="1582" s="1"/>
  <c r="L9" i="1582"/>
  <c r="D9" i="1582" s="1"/>
  <c r="L8" i="1582"/>
  <c r="D8" i="1582" s="1"/>
  <c r="R6" i="1582"/>
  <c r="R5" i="1582"/>
  <c r="R4" i="1582"/>
  <c r="R52" i="1581"/>
  <c r="R51" i="1581"/>
  <c r="D50" i="1581"/>
  <c r="R49" i="1581"/>
  <c r="G49" i="1581"/>
  <c r="D49" i="1581"/>
  <c r="R48" i="1581"/>
  <c r="D48" i="1581"/>
  <c r="D46" i="1581"/>
  <c r="D45" i="1581"/>
  <c r="D44" i="1581"/>
  <c r="R42" i="1581"/>
  <c r="D42" i="1581"/>
  <c r="R41" i="1581"/>
  <c r="L7" i="1581" s="1"/>
  <c r="D7" i="1581" s="1"/>
  <c r="D41" i="1581"/>
  <c r="R40" i="1581"/>
  <c r="L8" i="1581" s="1"/>
  <c r="D8" i="1581" s="1"/>
  <c r="D40" i="1581"/>
  <c r="R39" i="1581"/>
  <c r="D39" i="1581"/>
  <c r="R38" i="1581"/>
  <c r="L9" i="1581" s="1"/>
  <c r="D9" i="1581" s="1"/>
  <c r="D38" i="1581"/>
  <c r="R37" i="1581"/>
  <c r="D37" i="1581"/>
  <c r="R36" i="1581"/>
  <c r="L10" i="1581" s="1"/>
  <c r="D10" i="1581" s="1"/>
  <c r="D36" i="1581"/>
  <c r="R35" i="1581"/>
  <c r="L19" i="1581" s="1"/>
  <c r="D19" i="1581" s="1"/>
  <c r="D35" i="1581"/>
  <c r="R34" i="1581"/>
  <c r="L12" i="1581" s="1"/>
  <c r="D12" i="1581" s="1"/>
  <c r="D34" i="1581"/>
  <c r="D54" i="1581" s="1"/>
  <c r="H14" i="1581" s="1"/>
  <c r="R33" i="1581"/>
  <c r="L23" i="1581" s="1"/>
  <c r="D23" i="1581" s="1"/>
  <c r="R32" i="1581"/>
  <c r="R31" i="1581"/>
  <c r="R30" i="1581"/>
  <c r="R29" i="1581"/>
  <c r="R28" i="1581"/>
  <c r="D28" i="1581"/>
  <c r="R27" i="1581"/>
  <c r="D27" i="1581"/>
  <c r="R26" i="1581"/>
  <c r="L26" i="1581"/>
  <c r="D26" i="1581" s="1"/>
  <c r="R25" i="1581"/>
  <c r="L25" i="1581"/>
  <c r="D25" i="1581"/>
  <c r="R24" i="1581"/>
  <c r="D24" i="1581"/>
  <c r="R23" i="1581"/>
  <c r="R22" i="1581"/>
  <c r="L22" i="1581"/>
  <c r="D22" i="1581"/>
  <c r="R21" i="1581"/>
  <c r="D21" i="1581"/>
  <c r="R20" i="1581"/>
  <c r="L20" i="1581"/>
  <c r="D20" i="1581" s="1"/>
  <c r="R19" i="1581"/>
  <c r="R18" i="1581"/>
  <c r="D18" i="1581"/>
  <c r="R17" i="1581"/>
  <c r="D17" i="1581"/>
  <c r="R16" i="1581"/>
  <c r="L16" i="1581"/>
  <c r="D16" i="1581" s="1"/>
  <c r="S15" i="1581"/>
  <c r="R15" i="1581"/>
  <c r="D15" i="1581"/>
  <c r="S14" i="1581"/>
  <c r="R14" i="1581"/>
  <c r="D14" i="1581"/>
  <c r="R13" i="1581"/>
  <c r="D13" i="1581"/>
  <c r="R12" i="1581"/>
  <c r="R11" i="1581"/>
  <c r="L11" i="1581"/>
  <c r="D11" i="1581"/>
  <c r="R6" i="1581"/>
  <c r="L6" i="1581"/>
  <c r="D6" i="1581" s="1"/>
  <c r="R5" i="1581"/>
  <c r="R4" i="1581"/>
  <c r="R52" i="1580"/>
  <c r="R51" i="1580"/>
  <c r="D50" i="1580"/>
  <c r="R49" i="1580"/>
  <c r="D49" i="1580"/>
  <c r="R48" i="1580"/>
  <c r="D48" i="1580"/>
  <c r="D46" i="1580"/>
  <c r="D45" i="1580"/>
  <c r="D44" i="1580"/>
  <c r="R42" i="1580"/>
  <c r="D42" i="1580"/>
  <c r="R41" i="1580"/>
  <c r="D41" i="1580"/>
  <c r="R40" i="1580"/>
  <c r="D40" i="1580"/>
  <c r="R39" i="1580"/>
  <c r="H39" i="1580"/>
  <c r="D39" i="1580"/>
  <c r="R38" i="1580"/>
  <c r="H38" i="1580"/>
  <c r="D38" i="1580"/>
  <c r="R37" i="1580"/>
  <c r="H37" i="1580"/>
  <c r="D37" i="1580"/>
  <c r="R36" i="1580"/>
  <c r="H36" i="1580"/>
  <c r="D36" i="1580"/>
  <c r="R35" i="1580"/>
  <c r="H35" i="1580"/>
  <c r="D35" i="1580"/>
  <c r="R34" i="1580"/>
  <c r="L12" i="1580" s="1"/>
  <c r="D12" i="1580" s="1"/>
  <c r="H34" i="1580"/>
  <c r="D34" i="1580"/>
  <c r="R33" i="1580"/>
  <c r="R32" i="1580"/>
  <c r="R31" i="1580"/>
  <c r="R30" i="1580"/>
  <c r="R29" i="1580"/>
  <c r="R28" i="1580"/>
  <c r="L16" i="1580" s="1"/>
  <c r="D16" i="1580" s="1"/>
  <c r="D28" i="1580"/>
  <c r="R27" i="1580"/>
  <c r="D27" i="1580"/>
  <c r="R26" i="1580"/>
  <c r="L26" i="1580"/>
  <c r="D26" i="1580" s="1"/>
  <c r="R25" i="1580"/>
  <c r="L25" i="1580"/>
  <c r="D25" i="1580" s="1"/>
  <c r="R24" i="1580"/>
  <c r="D24" i="1580"/>
  <c r="R23" i="1580"/>
  <c r="L23" i="1580"/>
  <c r="D23" i="1580" s="1"/>
  <c r="R22" i="1580"/>
  <c r="L22" i="1580"/>
  <c r="D22" i="1580"/>
  <c r="R21" i="1580"/>
  <c r="D21" i="1580"/>
  <c r="R20" i="1580"/>
  <c r="L20" i="1580"/>
  <c r="D20" i="1580" s="1"/>
  <c r="R19" i="1580"/>
  <c r="L19" i="1580"/>
  <c r="D19" i="1580" s="1"/>
  <c r="R18" i="1580"/>
  <c r="D18" i="1580"/>
  <c r="R17" i="1580"/>
  <c r="D17" i="1580"/>
  <c r="R16" i="1580"/>
  <c r="R15" i="1580"/>
  <c r="D15" i="1580"/>
  <c r="R14" i="1580"/>
  <c r="D14" i="1580"/>
  <c r="R13" i="1580"/>
  <c r="D13" i="1580"/>
  <c r="R12" i="1580"/>
  <c r="R11" i="1580"/>
  <c r="L11" i="1580"/>
  <c r="D11" i="1580" s="1"/>
  <c r="L10" i="1580"/>
  <c r="D10" i="1580"/>
  <c r="L9" i="1580"/>
  <c r="D9" i="1580"/>
  <c r="L8" i="1580"/>
  <c r="D8" i="1580"/>
  <c r="L7" i="1580"/>
  <c r="D7" i="1580" s="1"/>
  <c r="R6" i="1580"/>
  <c r="L6" i="1580"/>
  <c r="D6" i="1580" s="1"/>
  <c r="R5" i="1580"/>
  <c r="R4" i="1580"/>
  <c r="R52" i="1579"/>
  <c r="R51" i="1579"/>
  <c r="D50" i="1579"/>
  <c r="R49" i="1579"/>
  <c r="D49" i="1579"/>
  <c r="R48" i="1579"/>
  <c r="D48" i="1579"/>
  <c r="D46" i="1579"/>
  <c r="D45" i="1579"/>
  <c r="D44" i="1579"/>
  <c r="R42" i="1579"/>
  <c r="D42" i="1579"/>
  <c r="R41" i="1579"/>
  <c r="L7" i="1579" s="1"/>
  <c r="D7" i="1579" s="1"/>
  <c r="D41" i="1579"/>
  <c r="R40" i="1579"/>
  <c r="L8" i="1579" s="1"/>
  <c r="D8" i="1579" s="1"/>
  <c r="D40" i="1579"/>
  <c r="R39" i="1579"/>
  <c r="L20" i="1579" s="1"/>
  <c r="D20" i="1579" s="1"/>
  <c r="H39" i="1579"/>
  <c r="D39" i="1579"/>
  <c r="R38" i="1579"/>
  <c r="L9" i="1579" s="1"/>
  <c r="D9" i="1579" s="1"/>
  <c r="H38" i="1579"/>
  <c r="D38" i="1579"/>
  <c r="R37" i="1579"/>
  <c r="H37" i="1579"/>
  <c r="D37" i="1579"/>
  <c r="R36" i="1579"/>
  <c r="H36" i="1579"/>
  <c r="D36" i="1579"/>
  <c r="R35" i="1579"/>
  <c r="H35" i="1579"/>
  <c r="D35" i="1579"/>
  <c r="R34" i="1579"/>
  <c r="L12" i="1579" s="1"/>
  <c r="D12" i="1579" s="1"/>
  <c r="H34" i="1579"/>
  <c r="D34" i="1579"/>
  <c r="R33" i="1579"/>
  <c r="L23" i="1579" s="1"/>
  <c r="D23" i="1579" s="1"/>
  <c r="R32" i="1579"/>
  <c r="L11" i="1579" s="1"/>
  <c r="D11" i="1579" s="1"/>
  <c r="R31" i="1579"/>
  <c r="R30" i="1579"/>
  <c r="R29" i="1579"/>
  <c r="R28" i="1579"/>
  <c r="L16" i="1579" s="1"/>
  <c r="D16" i="1579" s="1"/>
  <c r="D28" i="1579"/>
  <c r="R27" i="1579"/>
  <c r="D27" i="1579"/>
  <c r="R26" i="1579"/>
  <c r="L26" i="1579"/>
  <c r="D26" i="1579" s="1"/>
  <c r="R25" i="1579"/>
  <c r="D25" i="1579"/>
  <c r="R24" i="1579"/>
  <c r="L24" i="1579"/>
  <c r="D24" i="1579" s="1"/>
  <c r="R23" i="1579"/>
  <c r="R22" i="1579"/>
  <c r="L22" i="1579"/>
  <c r="D22" i="1579"/>
  <c r="R21" i="1579"/>
  <c r="L17" i="1579" s="1"/>
  <c r="D17" i="1579" s="1"/>
  <c r="D21" i="1579"/>
  <c r="R20" i="1579"/>
  <c r="R19" i="1579"/>
  <c r="L19" i="1579"/>
  <c r="D19" i="1579"/>
  <c r="R18" i="1579"/>
  <c r="D18" i="1579"/>
  <c r="R17" i="1579"/>
  <c r="R16" i="1579"/>
  <c r="R15" i="1579"/>
  <c r="D15" i="1579"/>
  <c r="R14" i="1579"/>
  <c r="D14" i="1579"/>
  <c r="R13" i="1579"/>
  <c r="D13" i="1579"/>
  <c r="R12" i="1579"/>
  <c r="R11" i="1579"/>
  <c r="L10" i="1579"/>
  <c r="D10" i="1579"/>
  <c r="R6" i="1579"/>
  <c r="L6" i="1579"/>
  <c r="D6" i="1579" s="1"/>
  <c r="R5" i="1579"/>
  <c r="R4" i="1579"/>
  <c r="R52" i="1578"/>
  <c r="R51" i="1578"/>
  <c r="D50" i="1578"/>
  <c r="R49" i="1578"/>
  <c r="D49" i="1578"/>
  <c r="R48" i="1578"/>
  <c r="D48" i="1578"/>
  <c r="D46" i="1578"/>
  <c r="D45" i="1578"/>
  <c r="R44" i="1578"/>
  <c r="P44" i="1578"/>
  <c r="D44" i="1578"/>
  <c r="R42" i="1578"/>
  <c r="L6" i="1578" s="1"/>
  <c r="D6" i="1578" s="1"/>
  <c r="D42" i="1578"/>
  <c r="R41" i="1578"/>
  <c r="D41" i="1578"/>
  <c r="R40" i="1578"/>
  <c r="L8" i="1578" s="1"/>
  <c r="D8" i="1578" s="1"/>
  <c r="D40" i="1578"/>
  <c r="R39" i="1578"/>
  <c r="H39" i="1578"/>
  <c r="D39" i="1578"/>
  <c r="R38" i="1578"/>
  <c r="L9" i="1578" s="1"/>
  <c r="D9" i="1578" s="1"/>
  <c r="H38" i="1578"/>
  <c r="D38" i="1578"/>
  <c r="R37" i="1578"/>
  <c r="H37" i="1578"/>
  <c r="D37" i="1578"/>
  <c r="R36" i="1578"/>
  <c r="H36" i="1578"/>
  <c r="D36" i="1578"/>
  <c r="R35" i="1578"/>
  <c r="H35" i="1578"/>
  <c r="D35" i="1578"/>
  <c r="R34" i="1578"/>
  <c r="H34" i="1578"/>
  <c r="G49" i="1578" s="1"/>
  <c r="D34" i="1578"/>
  <c r="R33" i="1578"/>
  <c r="R32" i="1578"/>
  <c r="L11" i="1578" s="1"/>
  <c r="D11" i="1578" s="1"/>
  <c r="R31" i="1578"/>
  <c r="R30" i="1578"/>
  <c r="R29" i="1578"/>
  <c r="R28" i="1578"/>
  <c r="D28" i="1578"/>
  <c r="R27" i="1578"/>
  <c r="D27" i="1578"/>
  <c r="R26" i="1578"/>
  <c r="L26" i="1578"/>
  <c r="D26" i="1578" s="1"/>
  <c r="R25" i="1578"/>
  <c r="L25" i="1578"/>
  <c r="D25" i="1578"/>
  <c r="R24" i="1578"/>
  <c r="L24" i="1578"/>
  <c r="D24" i="1578" s="1"/>
  <c r="R23" i="1578"/>
  <c r="D23" i="1578"/>
  <c r="R22" i="1578"/>
  <c r="D22" i="1578"/>
  <c r="R21" i="1578"/>
  <c r="D21" i="1578"/>
  <c r="R20" i="1578"/>
  <c r="L20" i="1578"/>
  <c r="D20" i="1578"/>
  <c r="R19" i="1578"/>
  <c r="D19" i="1578"/>
  <c r="R18" i="1578"/>
  <c r="D18" i="1578"/>
  <c r="R17" i="1578"/>
  <c r="L17" i="1578"/>
  <c r="D17" i="1578" s="1"/>
  <c r="R16" i="1578"/>
  <c r="L16" i="1578"/>
  <c r="D16" i="1578" s="1"/>
  <c r="R15" i="1578"/>
  <c r="D15" i="1578"/>
  <c r="R14" i="1578"/>
  <c r="D14" i="1578"/>
  <c r="R13" i="1578"/>
  <c r="D13" i="1578"/>
  <c r="R12" i="1578"/>
  <c r="L12" i="1578"/>
  <c r="D12" i="1578"/>
  <c r="R11" i="1578"/>
  <c r="L10" i="1578"/>
  <c r="D10" i="1578" s="1"/>
  <c r="L7" i="1578"/>
  <c r="D7" i="1578" s="1"/>
  <c r="R6" i="1578"/>
  <c r="R5" i="1578"/>
  <c r="R4" i="1578"/>
  <c r="R52" i="1577"/>
  <c r="R51" i="1577"/>
  <c r="D50" i="1577"/>
  <c r="R49" i="1577"/>
  <c r="G49" i="1577"/>
  <c r="D49" i="1577"/>
  <c r="R48" i="1577"/>
  <c r="D48" i="1577"/>
  <c r="D46" i="1577"/>
  <c r="D45" i="1577"/>
  <c r="D44" i="1577"/>
  <c r="R42" i="1577"/>
  <c r="L6" i="1577" s="1"/>
  <c r="D6" i="1577" s="1"/>
  <c r="D42" i="1577"/>
  <c r="R41" i="1577"/>
  <c r="L7" i="1577" s="1"/>
  <c r="D7" i="1577" s="1"/>
  <c r="D41" i="1577"/>
  <c r="R40" i="1577"/>
  <c r="D40" i="1577"/>
  <c r="R39" i="1577"/>
  <c r="D39" i="1577"/>
  <c r="R38" i="1577"/>
  <c r="L9" i="1577" s="1"/>
  <c r="D9" i="1577" s="1"/>
  <c r="D38" i="1577"/>
  <c r="R37" i="1577"/>
  <c r="D37" i="1577"/>
  <c r="R36" i="1577"/>
  <c r="L10" i="1577" s="1"/>
  <c r="D10" i="1577" s="1"/>
  <c r="D36" i="1577"/>
  <c r="R35" i="1577"/>
  <c r="L19" i="1577" s="1"/>
  <c r="D19" i="1577" s="1"/>
  <c r="D35" i="1577"/>
  <c r="R34" i="1577"/>
  <c r="L12" i="1577" s="1"/>
  <c r="D12" i="1577" s="1"/>
  <c r="D34" i="1577"/>
  <c r="D54" i="1577" s="1"/>
  <c r="H14" i="1577" s="1"/>
  <c r="R33" i="1577"/>
  <c r="L23" i="1577" s="1"/>
  <c r="D23" i="1577" s="1"/>
  <c r="R32" i="1577"/>
  <c r="R31" i="1577"/>
  <c r="R30" i="1577"/>
  <c r="R29" i="1577"/>
  <c r="R28" i="1577"/>
  <c r="D28" i="1577"/>
  <c r="R27" i="1577"/>
  <c r="D27" i="1577"/>
  <c r="R26" i="1577"/>
  <c r="L26" i="1577"/>
  <c r="D26" i="1577"/>
  <c r="R25" i="1577"/>
  <c r="L25" i="1577"/>
  <c r="D25" i="1577"/>
  <c r="R24" i="1577"/>
  <c r="D24" i="1577"/>
  <c r="R23" i="1577"/>
  <c r="R22" i="1577"/>
  <c r="L22" i="1577"/>
  <c r="D22" i="1577"/>
  <c r="R21" i="1577"/>
  <c r="D21" i="1577"/>
  <c r="R20" i="1577"/>
  <c r="L20" i="1577"/>
  <c r="D20" i="1577"/>
  <c r="R19" i="1577"/>
  <c r="R18" i="1577"/>
  <c r="D18" i="1577"/>
  <c r="R17" i="1577"/>
  <c r="D17" i="1577"/>
  <c r="R16" i="1577"/>
  <c r="L16" i="1577"/>
  <c r="D16" i="1577" s="1"/>
  <c r="S15" i="1577"/>
  <c r="R15" i="1577"/>
  <c r="D15" i="1577"/>
  <c r="S14" i="1577"/>
  <c r="R14" i="1577"/>
  <c r="D14" i="1577"/>
  <c r="R13" i="1577"/>
  <c r="D13" i="1577"/>
  <c r="R12" i="1577"/>
  <c r="R11" i="1577"/>
  <c r="L11" i="1577"/>
  <c r="D11" i="1577"/>
  <c r="L8" i="1577"/>
  <c r="D8" i="1577"/>
  <c r="R6" i="1577"/>
  <c r="R5" i="1577"/>
  <c r="R4" i="1577"/>
  <c r="R52" i="1576"/>
  <c r="R51" i="1576"/>
  <c r="D50" i="1576"/>
  <c r="R49" i="1576"/>
  <c r="D49" i="1576"/>
  <c r="R48" i="1576"/>
  <c r="D48" i="1576"/>
  <c r="D46" i="1576"/>
  <c r="D45" i="1576"/>
  <c r="D44" i="1576"/>
  <c r="R42" i="1576"/>
  <c r="L6" i="1576" s="1"/>
  <c r="D6" i="1576" s="1"/>
  <c r="D42" i="1576"/>
  <c r="R41" i="1576"/>
  <c r="L7" i="1576" s="1"/>
  <c r="D7" i="1576" s="1"/>
  <c r="D41" i="1576"/>
  <c r="R40" i="1576"/>
  <c r="D40" i="1576"/>
  <c r="R39" i="1576"/>
  <c r="H39" i="1576"/>
  <c r="D39" i="1576"/>
  <c r="R38" i="1576"/>
  <c r="H38" i="1576"/>
  <c r="D38" i="1576"/>
  <c r="R37" i="1576"/>
  <c r="H37" i="1576"/>
  <c r="D37" i="1576"/>
  <c r="R36" i="1576"/>
  <c r="H36" i="1576"/>
  <c r="D36" i="1576"/>
  <c r="R35" i="1576"/>
  <c r="L19" i="1576" s="1"/>
  <c r="D19" i="1576" s="1"/>
  <c r="H35" i="1576"/>
  <c r="D35" i="1576"/>
  <c r="R34" i="1576"/>
  <c r="H34" i="1576"/>
  <c r="D34" i="1576"/>
  <c r="R33" i="1576"/>
  <c r="R32" i="1576"/>
  <c r="R31" i="1576"/>
  <c r="R30" i="1576"/>
  <c r="R29" i="1576"/>
  <c r="R28" i="1576"/>
  <c r="L16" i="1576" s="1"/>
  <c r="D16" i="1576" s="1"/>
  <c r="D28" i="1576"/>
  <c r="R27" i="1576"/>
  <c r="D27" i="1576"/>
  <c r="R26" i="1576"/>
  <c r="L26" i="1576"/>
  <c r="D26" i="1576"/>
  <c r="R25" i="1576"/>
  <c r="L25" i="1576"/>
  <c r="D25" i="1576"/>
  <c r="R24" i="1576"/>
  <c r="D24" i="1576"/>
  <c r="R23" i="1576"/>
  <c r="L23" i="1576"/>
  <c r="D23" i="1576" s="1"/>
  <c r="R22" i="1576"/>
  <c r="L22" i="1576"/>
  <c r="D22" i="1576"/>
  <c r="R21" i="1576"/>
  <c r="D21" i="1576"/>
  <c r="R20" i="1576"/>
  <c r="L20" i="1576"/>
  <c r="D20" i="1576"/>
  <c r="R19" i="1576"/>
  <c r="R18" i="1576"/>
  <c r="D18" i="1576"/>
  <c r="R17" i="1576"/>
  <c r="D17" i="1576"/>
  <c r="R16" i="1576"/>
  <c r="R15" i="1576"/>
  <c r="D15" i="1576"/>
  <c r="R14" i="1576"/>
  <c r="D14" i="1576"/>
  <c r="R13" i="1576"/>
  <c r="D13" i="1576"/>
  <c r="R12" i="1576"/>
  <c r="L12" i="1576"/>
  <c r="D12" i="1576"/>
  <c r="R11" i="1576"/>
  <c r="L11" i="1576"/>
  <c r="D11" i="1576" s="1"/>
  <c r="L10" i="1576"/>
  <c r="D10" i="1576"/>
  <c r="L9" i="1576"/>
  <c r="D9" i="1576"/>
  <c r="L8" i="1576"/>
  <c r="D8" i="1576" s="1"/>
  <c r="R6" i="1576"/>
  <c r="R5" i="1576"/>
  <c r="R4" i="1576"/>
  <c r="R52" i="1575"/>
  <c r="R51" i="1575"/>
  <c r="D50" i="1575"/>
  <c r="R49" i="1575"/>
  <c r="D49" i="1575"/>
  <c r="R48" i="1575"/>
  <c r="D48" i="1575"/>
  <c r="D46" i="1575"/>
  <c r="D45" i="1575"/>
  <c r="D44" i="1575"/>
  <c r="R42" i="1575"/>
  <c r="L6" i="1575" s="1"/>
  <c r="D6" i="1575" s="1"/>
  <c r="D42" i="1575"/>
  <c r="R41" i="1575"/>
  <c r="D41" i="1575"/>
  <c r="R40" i="1575"/>
  <c r="D40" i="1575"/>
  <c r="R39" i="1575"/>
  <c r="H39" i="1575"/>
  <c r="D39" i="1575"/>
  <c r="R38" i="1575"/>
  <c r="H38" i="1575"/>
  <c r="D38" i="1575"/>
  <c r="R37" i="1575"/>
  <c r="H37" i="1575"/>
  <c r="D37" i="1575"/>
  <c r="R36" i="1575"/>
  <c r="L10" i="1575" s="1"/>
  <c r="D10" i="1575" s="1"/>
  <c r="H36" i="1575"/>
  <c r="D36" i="1575"/>
  <c r="R35" i="1575"/>
  <c r="H35" i="1575"/>
  <c r="D35" i="1575"/>
  <c r="R34" i="1575"/>
  <c r="L12" i="1575" s="1"/>
  <c r="D12" i="1575" s="1"/>
  <c r="H34" i="1575"/>
  <c r="D34" i="1575"/>
  <c r="R33" i="1575"/>
  <c r="R32" i="1575"/>
  <c r="R31" i="1575"/>
  <c r="R30" i="1575"/>
  <c r="R29" i="1575"/>
  <c r="R28" i="1575"/>
  <c r="L16" i="1575" s="1"/>
  <c r="D16" i="1575" s="1"/>
  <c r="D28" i="1575"/>
  <c r="R27" i="1575"/>
  <c r="D27" i="1575"/>
  <c r="R26" i="1575"/>
  <c r="L26" i="1575"/>
  <c r="D26" i="1575"/>
  <c r="R25" i="1575"/>
  <c r="D25" i="1575"/>
  <c r="R24" i="1575"/>
  <c r="L24" i="1575"/>
  <c r="D24" i="1575"/>
  <c r="R23" i="1575"/>
  <c r="L23" i="1575"/>
  <c r="D23" i="1575" s="1"/>
  <c r="R22" i="1575"/>
  <c r="L22" i="1575"/>
  <c r="D22" i="1575"/>
  <c r="R21" i="1575"/>
  <c r="D21" i="1575"/>
  <c r="R20" i="1575"/>
  <c r="L20" i="1575"/>
  <c r="D20" i="1575"/>
  <c r="R19" i="1575"/>
  <c r="L19" i="1575"/>
  <c r="D19" i="1575" s="1"/>
  <c r="R18" i="1575"/>
  <c r="D18" i="1575"/>
  <c r="R17" i="1575"/>
  <c r="L17" i="1575"/>
  <c r="D17" i="1575" s="1"/>
  <c r="R16" i="1575"/>
  <c r="R15" i="1575"/>
  <c r="D15" i="1575"/>
  <c r="R14" i="1575"/>
  <c r="D14" i="1575"/>
  <c r="R13" i="1575"/>
  <c r="D13" i="1575"/>
  <c r="R12" i="1575"/>
  <c r="R11" i="1575"/>
  <c r="L11" i="1575"/>
  <c r="D11" i="1575" s="1"/>
  <c r="L9" i="1575"/>
  <c r="D9" i="1575"/>
  <c r="L8" i="1575"/>
  <c r="D8" i="1575"/>
  <c r="L7" i="1575"/>
  <c r="D7" i="1575" s="1"/>
  <c r="R6" i="1575"/>
  <c r="R5" i="1575"/>
  <c r="R4" i="1575"/>
  <c r="R52" i="1574"/>
  <c r="R51" i="1574"/>
  <c r="D50" i="1574"/>
  <c r="R49" i="1574"/>
  <c r="D49" i="1574"/>
  <c r="R48" i="1574"/>
  <c r="D48" i="1574"/>
  <c r="D46" i="1574"/>
  <c r="D45" i="1574"/>
  <c r="R44" i="1574"/>
  <c r="P44" i="1574"/>
  <c r="D44" i="1574"/>
  <c r="R42" i="1574"/>
  <c r="L6" i="1574" s="1"/>
  <c r="D6" i="1574" s="1"/>
  <c r="D42" i="1574"/>
  <c r="R41" i="1574"/>
  <c r="D41" i="1574"/>
  <c r="R40" i="1574"/>
  <c r="L8" i="1574" s="1"/>
  <c r="D8" i="1574" s="1"/>
  <c r="D40" i="1574"/>
  <c r="R39" i="1574"/>
  <c r="H39" i="1574"/>
  <c r="D39" i="1574"/>
  <c r="R38" i="1574"/>
  <c r="H38" i="1574"/>
  <c r="D38" i="1574"/>
  <c r="R37" i="1574"/>
  <c r="H37" i="1574"/>
  <c r="D37" i="1574"/>
  <c r="R36" i="1574"/>
  <c r="L10" i="1574" s="1"/>
  <c r="D10" i="1574" s="1"/>
  <c r="H36" i="1574"/>
  <c r="D36" i="1574"/>
  <c r="R35" i="1574"/>
  <c r="H35" i="1574"/>
  <c r="G49" i="1574" s="1"/>
  <c r="D35" i="1574"/>
  <c r="R34" i="1574"/>
  <c r="L12" i="1574" s="1"/>
  <c r="D12" i="1574" s="1"/>
  <c r="H34" i="1574"/>
  <c r="D34" i="1574"/>
  <c r="R33" i="1574"/>
  <c r="R32" i="1574"/>
  <c r="R31" i="1574"/>
  <c r="R30" i="1574"/>
  <c r="R29" i="1574"/>
  <c r="R28" i="1574"/>
  <c r="L16" i="1574" s="1"/>
  <c r="D16" i="1574" s="1"/>
  <c r="D28" i="1574"/>
  <c r="R27" i="1574"/>
  <c r="D27" i="1574"/>
  <c r="R26" i="1574"/>
  <c r="D26" i="1574"/>
  <c r="R25" i="1574"/>
  <c r="D25" i="1574"/>
  <c r="R24" i="1574"/>
  <c r="L24" i="1574"/>
  <c r="D24" i="1574"/>
  <c r="R23" i="1574"/>
  <c r="D23" i="1574"/>
  <c r="R22" i="1574"/>
  <c r="D22" i="1574"/>
  <c r="R21" i="1574"/>
  <c r="D21" i="1574"/>
  <c r="R20" i="1574"/>
  <c r="L20" i="1574"/>
  <c r="D20" i="1574"/>
  <c r="R19" i="1574"/>
  <c r="D19" i="1574"/>
  <c r="R18" i="1574"/>
  <c r="D18" i="1574"/>
  <c r="R17" i="1574"/>
  <c r="L17" i="1574"/>
  <c r="D17" i="1574"/>
  <c r="R16" i="1574"/>
  <c r="R15" i="1574"/>
  <c r="D15" i="1574"/>
  <c r="R14" i="1574"/>
  <c r="D14" i="1574"/>
  <c r="R13" i="1574"/>
  <c r="D13" i="1574"/>
  <c r="R12" i="1574"/>
  <c r="R11" i="1574"/>
  <c r="L11" i="1574"/>
  <c r="D11" i="1574" s="1"/>
  <c r="L9" i="1574"/>
  <c r="D9" i="1574"/>
  <c r="L7" i="1574"/>
  <c r="D7" i="1574"/>
  <c r="R6" i="1574"/>
  <c r="R5" i="1574"/>
  <c r="R4" i="1574"/>
  <c r="R52" i="1573"/>
  <c r="R51" i="1573"/>
  <c r="D50" i="1573"/>
  <c r="R49" i="1573"/>
  <c r="G49" i="1573"/>
  <c r="D49" i="1573"/>
  <c r="R48" i="1573"/>
  <c r="D48" i="1573"/>
  <c r="D46" i="1573"/>
  <c r="D45" i="1573"/>
  <c r="D44" i="1573"/>
  <c r="R42" i="1573"/>
  <c r="L6" i="1573" s="1"/>
  <c r="D6" i="1573" s="1"/>
  <c r="D29" i="1573" s="1"/>
  <c r="H13" i="1573" s="1"/>
  <c r="D42" i="1573"/>
  <c r="R41" i="1573"/>
  <c r="L7" i="1573" s="1"/>
  <c r="D7" i="1573" s="1"/>
  <c r="D41" i="1573"/>
  <c r="R40" i="1573"/>
  <c r="D40" i="1573"/>
  <c r="R39" i="1573"/>
  <c r="D39" i="1573"/>
  <c r="R38" i="1573"/>
  <c r="L9" i="1573" s="1"/>
  <c r="D9" i="1573" s="1"/>
  <c r="D38" i="1573"/>
  <c r="R37" i="1573"/>
  <c r="D37" i="1573"/>
  <c r="R36" i="1573"/>
  <c r="L10" i="1573" s="1"/>
  <c r="D10" i="1573" s="1"/>
  <c r="D36" i="1573"/>
  <c r="R35" i="1573"/>
  <c r="D35" i="1573"/>
  <c r="R34" i="1573"/>
  <c r="L12" i="1573" s="1"/>
  <c r="D12" i="1573" s="1"/>
  <c r="D34" i="1573"/>
  <c r="D54" i="1573" s="1"/>
  <c r="H14" i="1573" s="1"/>
  <c r="R33" i="1573"/>
  <c r="L23" i="1573" s="1"/>
  <c r="D23" i="1573" s="1"/>
  <c r="R32" i="1573"/>
  <c r="R31" i="1573"/>
  <c r="R30" i="1573"/>
  <c r="R29" i="1573"/>
  <c r="R28" i="1573"/>
  <c r="L16" i="1573" s="1"/>
  <c r="D16" i="1573" s="1"/>
  <c r="D28" i="1573"/>
  <c r="R27" i="1573"/>
  <c r="D27" i="1573"/>
  <c r="R26" i="1573"/>
  <c r="L26" i="1573"/>
  <c r="D26" i="1573"/>
  <c r="R25" i="1573"/>
  <c r="L25" i="1573"/>
  <c r="D25" i="1573"/>
  <c r="R24" i="1573"/>
  <c r="D24" i="1573"/>
  <c r="R23" i="1573"/>
  <c r="R22" i="1573"/>
  <c r="L22" i="1573"/>
  <c r="D22" i="1573" s="1"/>
  <c r="R21" i="1573"/>
  <c r="D21" i="1573"/>
  <c r="R20" i="1573"/>
  <c r="L20" i="1573"/>
  <c r="D20" i="1573"/>
  <c r="R19" i="1573"/>
  <c r="L19" i="1573"/>
  <c r="D19" i="1573"/>
  <c r="R18" i="1573"/>
  <c r="D18" i="1573"/>
  <c r="R17" i="1573"/>
  <c r="D17" i="1573"/>
  <c r="R16" i="1573"/>
  <c r="S15" i="1573"/>
  <c r="R15" i="1573"/>
  <c r="D15" i="1573"/>
  <c r="S14" i="1573"/>
  <c r="R14" i="1573"/>
  <c r="D14" i="1573"/>
  <c r="R13" i="1573"/>
  <c r="D13" i="1573"/>
  <c r="R12" i="1573"/>
  <c r="R11" i="1573"/>
  <c r="L11" i="1573"/>
  <c r="D11" i="1573" s="1"/>
  <c r="L8" i="1573"/>
  <c r="D8" i="1573"/>
  <c r="R6" i="1573"/>
  <c r="R5" i="1573"/>
  <c r="R4" i="1573"/>
  <c r="R52" i="1572"/>
  <c r="R51" i="1572"/>
  <c r="D50" i="1572"/>
  <c r="R49" i="1572"/>
  <c r="D49" i="1572"/>
  <c r="R48" i="1572"/>
  <c r="D48" i="1572"/>
  <c r="D46" i="1572"/>
  <c r="D45" i="1572"/>
  <c r="D44" i="1572"/>
  <c r="R42" i="1572"/>
  <c r="L6" i="1572" s="1"/>
  <c r="D6" i="1572" s="1"/>
  <c r="D42" i="1572"/>
  <c r="R41" i="1572"/>
  <c r="D41" i="1572"/>
  <c r="R40" i="1572"/>
  <c r="L8" i="1572" s="1"/>
  <c r="D8" i="1572" s="1"/>
  <c r="D40" i="1572"/>
  <c r="R39" i="1572"/>
  <c r="H39" i="1572"/>
  <c r="D39" i="1572"/>
  <c r="R38" i="1572"/>
  <c r="H38" i="1572"/>
  <c r="D38" i="1572"/>
  <c r="R37" i="1572"/>
  <c r="H37" i="1572"/>
  <c r="D37" i="1572"/>
  <c r="R36" i="1572"/>
  <c r="L10" i="1572" s="1"/>
  <c r="D10" i="1572" s="1"/>
  <c r="H36" i="1572"/>
  <c r="D36" i="1572"/>
  <c r="R35" i="1572"/>
  <c r="L19" i="1572" s="1"/>
  <c r="D19" i="1572" s="1"/>
  <c r="H35" i="1572"/>
  <c r="D35" i="1572"/>
  <c r="R34" i="1572"/>
  <c r="L12" i="1572" s="1"/>
  <c r="D12" i="1572" s="1"/>
  <c r="H34" i="1572"/>
  <c r="D34" i="1572"/>
  <c r="R33" i="1572"/>
  <c r="R32" i="1572"/>
  <c r="R31" i="1572"/>
  <c r="R30" i="1572"/>
  <c r="R29" i="1572"/>
  <c r="R28" i="1572"/>
  <c r="L16" i="1572" s="1"/>
  <c r="D16" i="1572" s="1"/>
  <c r="D28" i="1572"/>
  <c r="R27" i="1572"/>
  <c r="D27" i="1572"/>
  <c r="R26" i="1572"/>
  <c r="L26" i="1572"/>
  <c r="D26" i="1572"/>
  <c r="R25" i="1572"/>
  <c r="L25" i="1572"/>
  <c r="D25" i="1572" s="1"/>
  <c r="R24" i="1572"/>
  <c r="D24" i="1572"/>
  <c r="R23" i="1572"/>
  <c r="L23" i="1572"/>
  <c r="D23" i="1572"/>
  <c r="R22" i="1572"/>
  <c r="L22" i="1572"/>
  <c r="D22" i="1572"/>
  <c r="R21" i="1572"/>
  <c r="D21" i="1572"/>
  <c r="R20" i="1572"/>
  <c r="L20" i="1572"/>
  <c r="D20" i="1572"/>
  <c r="R19" i="1572"/>
  <c r="R18" i="1572"/>
  <c r="D18" i="1572"/>
  <c r="R17" i="1572"/>
  <c r="D17" i="1572"/>
  <c r="R16" i="1572"/>
  <c r="R15" i="1572"/>
  <c r="D15" i="1572"/>
  <c r="R14" i="1572"/>
  <c r="D14" i="1572"/>
  <c r="R13" i="1572"/>
  <c r="D13" i="1572"/>
  <c r="R12" i="1572"/>
  <c r="R11" i="1572"/>
  <c r="L11" i="1572"/>
  <c r="D11" i="1572"/>
  <c r="L9" i="1572"/>
  <c r="D9" i="1572" s="1"/>
  <c r="L7" i="1572"/>
  <c r="D7" i="1572" s="1"/>
  <c r="R6" i="1572"/>
  <c r="R5" i="1572"/>
  <c r="R4" i="1572"/>
  <c r="R52" i="1571"/>
  <c r="R51" i="1571"/>
  <c r="D50" i="1571"/>
  <c r="R49" i="1571"/>
  <c r="D49" i="1571"/>
  <c r="R48" i="1571"/>
  <c r="D48" i="1571"/>
  <c r="D46" i="1571"/>
  <c r="D45" i="1571"/>
  <c r="D44" i="1571"/>
  <c r="R42" i="1571"/>
  <c r="L6" i="1571" s="1"/>
  <c r="D6" i="1571" s="1"/>
  <c r="D42" i="1571"/>
  <c r="R41" i="1571"/>
  <c r="L7" i="1571" s="1"/>
  <c r="D7" i="1571" s="1"/>
  <c r="D41" i="1571"/>
  <c r="R40" i="1571"/>
  <c r="D40" i="1571"/>
  <c r="R39" i="1571"/>
  <c r="H39" i="1571"/>
  <c r="D39" i="1571"/>
  <c r="R38" i="1571"/>
  <c r="H38" i="1571"/>
  <c r="D38" i="1571"/>
  <c r="R37" i="1571"/>
  <c r="H37" i="1571"/>
  <c r="D37" i="1571"/>
  <c r="R36" i="1571"/>
  <c r="H36" i="1571"/>
  <c r="D36" i="1571"/>
  <c r="R35" i="1571"/>
  <c r="L19" i="1571" s="1"/>
  <c r="D19" i="1571" s="1"/>
  <c r="H35" i="1571"/>
  <c r="D35" i="1571"/>
  <c r="R34" i="1571"/>
  <c r="L12" i="1571" s="1"/>
  <c r="D12" i="1571" s="1"/>
  <c r="H34" i="1571"/>
  <c r="G49" i="1571" s="1"/>
  <c r="D34" i="1571"/>
  <c r="R33" i="1571"/>
  <c r="R32" i="1571"/>
  <c r="R31" i="1571"/>
  <c r="R30" i="1571"/>
  <c r="R29" i="1571"/>
  <c r="R28" i="1571"/>
  <c r="D28" i="1571"/>
  <c r="R27" i="1571"/>
  <c r="D27" i="1571"/>
  <c r="R26" i="1571"/>
  <c r="L26" i="1571"/>
  <c r="D26" i="1571"/>
  <c r="R25" i="1571"/>
  <c r="L25" i="1571"/>
  <c r="D25" i="1571"/>
  <c r="R24" i="1571"/>
  <c r="L24" i="1571"/>
  <c r="D24" i="1571"/>
  <c r="R23" i="1571"/>
  <c r="L23" i="1571"/>
  <c r="D23" i="1571"/>
  <c r="R22" i="1571"/>
  <c r="L22" i="1571"/>
  <c r="D22" i="1571" s="1"/>
  <c r="R21" i="1571"/>
  <c r="L17" i="1571" s="1"/>
  <c r="D17" i="1571" s="1"/>
  <c r="D21" i="1571"/>
  <c r="R20" i="1571"/>
  <c r="L20" i="1571"/>
  <c r="D20" i="1571" s="1"/>
  <c r="R19" i="1571"/>
  <c r="R18" i="1571"/>
  <c r="D18" i="1571"/>
  <c r="R17" i="1571"/>
  <c r="R16" i="1571"/>
  <c r="L16" i="1571"/>
  <c r="D16" i="1571" s="1"/>
  <c r="R15" i="1571"/>
  <c r="D15" i="1571"/>
  <c r="R14" i="1571"/>
  <c r="D14" i="1571"/>
  <c r="R13" i="1571"/>
  <c r="D13" i="1571"/>
  <c r="R12" i="1571"/>
  <c r="R11" i="1571"/>
  <c r="L11" i="1571"/>
  <c r="D11" i="1571"/>
  <c r="L10" i="1571"/>
  <c r="D10" i="1571"/>
  <c r="L9" i="1571"/>
  <c r="D9" i="1571"/>
  <c r="L8" i="1571"/>
  <c r="D8" i="1571" s="1"/>
  <c r="R6" i="1571"/>
  <c r="R5" i="1571"/>
  <c r="R4" i="1571"/>
  <c r="R52" i="1570"/>
  <c r="R51" i="1570"/>
  <c r="D50" i="1570"/>
  <c r="R49" i="1570"/>
  <c r="D49" i="1570"/>
  <c r="R48" i="1570"/>
  <c r="D48" i="1570"/>
  <c r="D46" i="1570"/>
  <c r="D45" i="1570"/>
  <c r="P44" i="1570"/>
  <c r="R44" i="1570" s="1"/>
  <c r="D44" i="1570"/>
  <c r="R42" i="1570"/>
  <c r="D42" i="1570"/>
  <c r="R41" i="1570"/>
  <c r="D41" i="1570"/>
  <c r="R40" i="1570"/>
  <c r="L8" i="1570" s="1"/>
  <c r="D8" i="1570" s="1"/>
  <c r="D40" i="1570"/>
  <c r="R39" i="1570"/>
  <c r="H39" i="1570"/>
  <c r="D39" i="1570"/>
  <c r="R38" i="1570"/>
  <c r="H38" i="1570"/>
  <c r="D38" i="1570"/>
  <c r="R37" i="1570"/>
  <c r="H37" i="1570"/>
  <c r="D37" i="1570"/>
  <c r="R36" i="1570"/>
  <c r="H36" i="1570"/>
  <c r="D36" i="1570"/>
  <c r="R35" i="1570"/>
  <c r="H35" i="1570"/>
  <c r="G49" i="1570" s="1"/>
  <c r="D35" i="1570"/>
  <c r="D54" i="1570" s="1"/>
  <c r="H14" i="1570" s="1"/>
  <c r="R34" i="1570"/>
  <c r="L12" i="1570" s="1"/>
  <c r="D12" i="1570" s="1"/>
  <c r="H34" i="1570"/>
  <c r="D34" i="1570"/>
  <c r="R33" i="1570"/>
  <c r="R32" i="1570"/>
  <c r="R31" i="1570"/>
  <c r="R30" i="1570"/>
  <c r="R29" i="1570"/>
  <c r="R28" i="1570"/>
  <c r="D28" i="1570"/>
  <c r="R27" i="1570"/>
  <c r="D27" i="1570"/>
  <c r="R26" i="1570"/>
  <c r="L26" i="1570"/>
  <c r="D26" i="1570"/>
  <c r="R25" i="1570"/>
  <c r="L25" i="1570"/>
  <c r="D25" i="1570" s="1"/>
  <c r="R24" i="1570"/>
  <c r="L24" i="1570"/>
  <c r="D24" i="1570"/>
  <c r="R23" i="1570"/>
  <c r="D23" i="1570"/>
  <c r="R22" i="1570"/>
  <c r="D22" i="1570"/>
  <c r="R21" i="1570"/>
  <c r="D21" i="1570"/>
  <c r="R20" i="1570"/>
  <c r="L20" i="1570"/>
  <c r="D20" i="1570"/>
  <c r="R19" i="1570"/>
  <c r="D19" i="1570"/>
  <c r="R18" i="1570"/>
  <c r="D18" i="1570"/>
  <c r="R17" i="1570"/>
  <c r="L17" i="1570"/>
  <c r="D17" i="1570"/>
  <c r="R16" i="1570"/>
  <c r="L16" i="1570"/>
  <c r="D16" i="1570"/>
  <c r="R15" i="1570"/>
  <c r="D15" i="1570"/>
  <c r="R14" i="1570"/>
  <c r="D14" i="1570"/>
  <c r="R13" i="1570"/>
  <c r="D13" i="1570"/>
  <c r="R12" i="1570"/>
  <c r="R11" i="1570"/>
  <c r="L11" i="1570"/>
  <c r="D11" i="1570" s="1"/>
  <c r="L10" i="1570"/>
  <c r="D10" i="1570" s="1"/>
  <c r="L9" i="1570"/>
  <c r="D9" i="1570"/>
  <c r="L7" i="1570"/>
  <c r="D7" i="1570"/>
  <c r="R6" i="1570"/>
  <c r="L6" i="1570"/>
  <c r="D6" i="1570" s="1"/>
  <c r="R5" i="1570"/>
  <c r="R4" i="1570"/>
  <c r="R52" i="1569"/>
  <c r="R51" i="1569"/>
  <c r="D50" i="1569"/>
  <c r="R49" i="1569"/>
  <c r="G49" i="1569"/>
  <c r="D49" i="1569"/>
  <c r="R48" i="1569"/>
  <c r="D48" i="1569"/>
  <c r="D46" i="1569"/>
  <c r="D45" i="1569"/>
  <c r="D44" i="1569"/>
  <c r="R42" i="1569"/>
  <c r="L6" i="1569" s="1"/>
  <c r="D6" i="1569" s="1"/>
  <c r="D42" i="1569"/>
  <c r="R41" i="1569"/>
  <c r="L7" i="1569" s="1"/>
  <c r="D7" i="1569" s="1"/>
  <c r="D41" i="1569"/>
  <c r="R40" i="1569"/>
  <c r="D40" i="1569"/>
  <c r="R39" i="1569"/>
  <c r="D39" i="1569"/>
  <c r="R38" i="1569"/>
  <c r="D38" i="1569"/>
  <c r="R37" i="1569"/>
  <c r="D37" i="1569"/>
  <c r="R36" i="1569"/>
  <c r="L10" i="1569" s="1"/>
  <c r="D10" i="1569" s="1"/>
  <c r="D36" i="1569"/>
  <c r="R35" i="1569"/>
  <c r="D35" i="1569"/>
  <c r="R34" i="1569"/>
  <c r="L12" i="1569" s="1"/>
  <c r="D12" i="1569" s="1"/>
  <c r="D34" i="1569"/>
  <c r="D54" i="1569" s="1"/>
  <c r="H14" i="1569" s="1"/>
  <c r="R33" i="1569"/>
  <c r="L23" i="1569" s="1"/>
  <c r="D23" i="1569" s="1"/>
  <c r="R32" i="1569"/>
  <c r="R31" i="1569"/>
  <c r="R30" i="1569"/>
  <c r="R29" i="1569"/>
  <c r="R28" i="1569"/>
  <c r="L16" i="1569" s="1"/>
  <c r="D16" i="1569" s="1"/>
  <c r="D28" i="1569"/>
  <c r="R27" i="1569"/>
  <c r="D27" i="1569"/>
  <c r="R26" i="1569"/>
  <c r="L26" i="1569"/>
  <c r="D26" i="1569"/>
  <c r="R25" i="1569"/>
  <c r="L25" i="1569"/>
  <c r="D25" i="1569"/>
  <c r="R24" i="1569"/>
  <c r="D24" i="1569"/>
  <c r="R23" i="1569"/>
  <c r="R22" i="1569"/>
  <c r="L22" i="1569"/>
  <c r="D22" i="1569" s="1"/>
  <c r="R21" i="1569"/>
  <c r="D21" i="1569"/>
  <c r="R20" i="1569"/>
  <c r="L20" i="1569"/>
  <c r="D20" i="1569"/>
  <c r="R19" i="1569"/>
  <c r="L19" i="1569"/>
  <c r="D19" i="1569"/>
  <c r="R18" i="1569"/>
  <c r="D18" i="1569"/>
  <c r="R17" i="1569"/>
  <c r="D17" i="1569"/>
  <c r="R16" i="1569"/>
  <c r="S15" i="1569"/>
  <c r="R15" i="1569"/>
  <c r="D15" i="1569"/>
  <c r="S14" i="1569"/>
  <c r="R14" i="1569"/>
  <c r="D14" i="1569"/>
  <c r="R13" i="1569"/>
  <c r="D13" i="1569"/>
  <c r="R12" i="1569"/>
  <c r="R11" i="1569"/>
  <c r="L11" i="1569"/>
  <c r="D11" i="1569" s="1"/>
  <c r="L9" i="1569"/>
  <c r="D9" i="1569"/>
  <c r="L8" i="1569"/>
  <c r="D8" i="1569"/>
  <c r="R6" i="1569"/>
  <c r="R5" i="1569"/>
  <c r="R4" i="1569"/>
  <c r="R52" i="1568"/>
  <c r="R51" i="1568"/>
  <c r="D50" i="1568"/>
  <c r="R49" i="1568"/>
  <c r="G49" i="1568"/>
  <c r="D49" i="1568"/>
  <c r="R48" i="1568"/>
  <c r="D48" i="1568"/>
  <c r="D46" i="1568"/>
  <c r="D45" i="1568"/>
  <c r="D44" i="1568"/>
  <c r="R42" i="1568"/>
  <c r="L6" i="1568" s="1"/>
  <c r="D6" i="1568" s="1"/>
  <c r="D42" i="1568"/>
  <c r="R41" i="1568"/>
  <c r="L7" i="1568" s="1"/>
  <c r="D7" i="1568" s="1"/>
  <c r="D41" i="1568"/>
  <c r="R40" i="1568"/>
  <c r="L8" i="1568" s="1"/>
  <c r="D8" i="1568" s="1"/>
  <c r="D40" i="1568"/>
  <c r="R39" i="1568"/>
  <c r="H39" i="1568"/>
  <c r="D39" i="1568"/>
  <c r="R38" i="1568"/>
  <c r="L9" i="1568" s="1"/>
  <c r="D9" i="1568" s="1"/>
  <c r="H38" i="1568"/>
  <c r="D38" i="1568"/>
  <c r="R37" i="1568"/>
  <c r="H37" i="1568"/>
  <c r="D37" i="1568"/>
  <c r="R36" i="1568"/>
  <c r="H36" i="1568"/>
  <c r="D36" i="1568"/>
  <c r="R35" i="1568"/>
  <c r="L19" i="1568" s="1"/>
  <c r="D19" i="1568" s="1"/>
  <c r="H35" i="1568"/>
  <c r="D35" i="1568"/>
  <c r="R34" i="1568"/>
  <c r="H34" i="1568"/>
  <c r="D34" i="1568"/>
  <c r="R33" i="1568"/>
  <c r="L23" i="1568" s="1"/>
  <c r="D23" i="1568" s="1"/>
  <c r="R32" i="1568"/>
  <c r="L11" i="1568" s="1"/>
  <c r="D11" i="1568" s="1"/>
  <c r="R31" i="1568"/>
  <c r="R30" i="1568"/>
  <c r="R29" i="1568"/>
  <c r="R28" i="1568"/>
  <c r="L16" i="1568" s="1"/>
  <c r="D16" i="1568" s="1"/>
  <c r="D28" i="1568"/>
  <c r="R27" i="1568"/>
  <c r="D27" i="1568"/>
  <c r="R26" i="1568"/>
  <c r="L26" i="1568"/>
  <c r="D26" i="1568" s="1"/>
  <c r="R25" i="1568"/>
  <c r="L25" i="1568"/>
  <c r="D25" i="1568"/>
  <c r="R24" i="1568"/>
  <c r="D24" i="1568"/>
  <c r="R23" i="1568"/>
  <c r="R22" i="1568"/>
  <c r="L22" i="1568"/>
  <c r="D22" i="1568"/>
  <c r="R21" i="1568"/>
  <c r="D21" i="1568"/>
  <c r="R20" i="1568"/>
  <c r="L20" i="1568"/>
  <c r="D20" i="1568" s="1"/>
  <c r="R19" i="1568"/>
  <c r="R18" i="1568"/>
  <c r="D18" i="1568"/>
  <c r="R17" i="1568"/>
  <c r="D17" i="1568"/>
  <c r="R16" i="1568"/>
  <c r="R15" i="1568"/>
  <c r="D15" i="1568"/>
  <c r="R14" i="1568"/>
  <c r="D14" i="1568"/>
  <c r="R13" i="1568"/>
  <c r="D13" i="1568"/>
  <c r="R12" i="1568"/>
  <c r="L12" i="1568"/>
  <c r="D12" i="1568" s="1"/>
  <c r="R11" i="1568"/>
  <c r="L10" i="1568"/>
  <c r="D10" i="1568"/>
  <c r="R6" i="1568"/>
  <c r="R5" i="1568"/>
  <c r="R4" i="1568"/>
  <c r="R52" i="1567"/>
  <c r="R51" i="1567"/>
  <c r="D50" i="1567"/>
  <c r="R49" i="1567"/>
  <c r="D49" i="1567"/>
  <c r="R48" i="1567"/>
  <c r="D48" i="1567"/>
  <c r="D46" i="1567"/>
  <c r="D45" i="1567"/>
  <c r="D44" i="1567"/>
  <c r="R42" i="1567"/>
  <c r="D42" i="1567"/>
  <c r="R41" i="1567"/>
  <c r="L7" i="1567" s="1"/>
  <c r="D7" i="1567" s="1"/>
  <c r="D41" i="1567"/>
  <c r="R40" i="1567"/>
  <c r="D40" i="1567"/>
  <c r="R39" i="1567"/>
  <c r="L20" i="1567" s="1"/>
  <c r="D20" i="1567" s="1"/>
  <c r="H39" i="1567"/>
  <c r="D39" i="1567"/>
  <c r="R38" i="1567"/>
  <c r="H38" i="1567"/>
  <c r="D38" i="1567"/>
  <c r="R37" i="1567"/>
  <c r="H37" i="1567"/>
  <c r="D37" i="1567"/>
  <c r="R36" i="1567"/>
  <c r="L10" i="1567" s="1"/>
  <c r="D10" i="1567" s="1"/>
  <c r="H36" i="1567"/>
  <c r="D36" i="1567"/>
  <c r="R35" i="1567"/>
  <c r="L19" i="1567" s="1"/>
  <c r="D19" i="1567" s="1"/>
  <c r="H35" i="1567"/>
  <c r="D35" i="1567"/>
  <c r="R34" i="1567"/>
  <c r="L12" i="1567" s="1"/>
  <c r="D12" i="1567" s="1"/>
  <c r="H34" i="1567"/>
  <c r="G49" i="1567" s="1"/>
  <c r="D34" i="1567"/>
  <c r="R33" i="1567"/>
  <c r="L23" i="1567" s="1"/>
  <c r="D23" i="1567" s="1"/>
  <c r="R32" i="1567"/>
  <c r="R31" i="1567"/>
  <c r="R30" i="1567"/>
  <c r="R29" i="1567"/>
  <c r="R28" i="1567"/>
  <c r="D28" i="1567"/>
  <c r="R27" i="1567"/>
  <c r="D27" i="1567"/>
  <c r="R26" i="1567"/>
  <c r="L26" i="1567"/>
  <c r="D26" i="1567"/>
  <c r="R25" i="1567"/>
  <c r="L25" i="1567"/>
  <c r="D25" i="1567"/>
  <c r="R24" i="1567"/>
  <c r="L24" i="1567"/>
  <c r="D24" i="1567"/>
  <c r="R23" i="1567"/>
  <c r="R22" i="1567"/>
  <c r="L22" i="1567"/>
  <c r="D22" i="1567" s="1"/>
  <c r="R21" i="1567"/>
  <c r="L17" i="1567" s="1"/>
  <c r="D17" i="1567" s="1"/>
  <c r="D21" i="1567"/>
  <c r="R20" i="1567"/>
  <c r="R19" i="1567"/>
  <c r="R18" i="1567"/>
  <c r="D18" i="1567"/>
  <c r="R17" i="1567"/>
  <c r="R16" i="1567"/>
  <c r="L16" i="1567"/>
  <c r="D16" i="1567" s="1"/>
  <c r="R15" i="1567"/>
  <c r="D15" i="1567"/>
  <c r="R14" i="1567"/>
  <c r="D14" i="1567"/>
  <c r="R13" i="1567"/>
  <c r="D13" i="1567"/>
  <c r="R12" i="1567"/>
  <c r="R11" i="1567"/>
  <c r="L11" i="1567"/>
  <c r="D11" i="1567"/>
  <c r="L9" i="1567"/>
  <c r="D9" i="1567" s="1"/>
  <c r="L8" i="1567"/>
  <c r="D8" i="1567"/>
  <c r="R6" i="1567"/>
  <c r="L6" i="1567"/>
  <c r="D6" i="1567"/>
  <c r="R5" i="1567"/>
  <c r="R4" i="1567"/>
  <c r="R52" i="1566"/>
  <c r="R51" i="1566"/>
  <c r="D50" i="1566"/>
  <c r="R49" i="1566"/>
  <c r="D49" i="1566"/>
  <c r="R48" i="1566"/>
  <c r="D48" i="1566"/>
  <c r="D46" i="1566"/>
  <c r="D45" i="1566"/>
  <c r="P44" i="1566"/>
  <c r="R44" i="1566" s="1"/>
  <c r="D44" i="1566"/>
  <c r="R42" i="1566"/>
  <c r="L6" i="1566" s="1"/>
  <c r="D6" i="1566" s="1"/>
  <c r="D42" i="1566"/>
  <c r="R41" i="1566"/>
  <c r="L7" i="1566" s="1"/>
  <c r="D7" i="1566" s="1"/>
  <c r="D41" i="1566"/>
  <c r="R40" i="1566"/>
  <c r="D40" i="1566"/>
  <c r="R39" i="1566"/>
  <c r="H39" i="1566"/>
  <c r="D39" i="1566"/>
  <c r="R38" i="1566"/>
  <c r="H38" i="1566"/>
  <c r="D38" i="1566"/>
  <c r="R37" i="1566"/>
  <c r="H37" i="1566"/>
  <c r="D37" i="1566"/>
  <c r="R36" i="1566"/>
  <c r="H36" i="1566"/>
  <c r="D36" i="1566"/>
  <c r="R35" i="1566"/>
  <c r="H35" i="1566"/>
  <c r="D35" i="1566"/>
  <c r="R34" i="1566"/>
  <c r="H34" i="1566"/>
  <c r="D34" i="1566"/>
  <c r="R33" i="1566"/>
  <c r="R32" i="1566"/>
  <c r="R31" i="1566"/>
  <c r="R30" i="1566"/>
  <c r="R29" i="1566"/>
  <c r="R28" i="1566"/>
  <c r="L16" i="1566" s="1"/>
  <c r="D16" i="1566" s="1"/>
  <c r="D28" i="1566"/>
  <c r="R27" i="1566"/>
  <c r="D27" i="1566"/>
  <c r="R26" i="1566"/>
  <c r="L26" i="1566"/>
  <c r="D26" i="1566"/>
  <c r="R25" i="1566"/>
  <c r="L25" i="1566"/>
  <c r="D25" i="1566" s="1"/>
  <c r="R24" i="1566"/>
  <c r="L24" i="1566"/>
  <c r="D24" i="1566"/>
  <c r="R23" i="1566"/>
  <c r="D23" i="1566"/>
  <c r="R22" i="1566"/>
  <c r="D22" i="1566"/>
  <c r="R21" i="1566"/>
  <c r="D21" i="1566"/>
  <c r="R20" i="1566"/>
  <c r="L20" i="1566"/>
  <c r="D20" i="1566" s="1"/>
  <c r="R19" i="1566"/>
  <c r="D19" i="1566"/>
  <c r="R18" i="1566"/>
  <c r="D18" i="1566"/>
  <c r="R17" i="1566"/>
  <c r="L17" i="1566"/>
  <c r="D17" i="1566"/>
  <c r="R16" i="1566"/>
  <c r="R15" i="1566"/>
  <c r="D15" i="1566"/>
  <c r="R14" i="1566"/>
  <c r="D14" i="1566"/>
  <c r="R13" i="1566"/>
  <c r="D13" i="1566"/>
  <c r="R12" i="1566"/>
  <c r="L12" i="1566"/>
  <c r="D12" i="1566"/>
  <c r="R11" i="1566"/>
  <c r="L11" i="1566"/>
  <c r="D11" i="1566" s="1"/>
  <c r="L10" i="1566"/>
  <c r="D10" i="1566" s="1"/>
  <c r="L9" i="1566"/>
  <c r="D9" i="1566"/>
  <c r="L8" i="1566"/>
  <c r="D8" i="1566" s="1"/>
  <c r="R6" i="1566"/>
  <c r="R5" i="1566"/>
  <c r="R4" i="1566"/>
  <c r="R52" i="1565"/>
  <c r="R51" i="1565"/>
  <c r="D50" i="1565"/>
  <c r="R49" i="1565"/>
  <c r="G49" i="1565"/>
  <c r="D49" i="1565"/>
  <c r="R48" i="1565"/>
  <c r="D48" i="1565"/>
  <c r="D46" i="1565"/>
  <c r="D45" i="1565"/>
  <c r="D44" i="1565"/>
  <c r="R42" i="1565"/>
  <c r="L6" i="1565" s="1"/>
  <c r="D6" i="1565" s="1"/>
  <c r="D42" i="1565"/>
  <c r="R41" i="1565"/>
  <c r="D41" i="1565"/>
  <c r="R40" i="1565"/>
  <c r="D40" i="1565"/>
  <c r="R39" i="1565"/>
  <c r="D39" i="1565"/>
  <c r="R38" i="1565"/>
  <c r="D38" i="1565"/>
  <c r="R37" i="1565"/>
  <c r="D37" i="1565"/>
  <c r="R36" i="1565"/>
  <c r="L10" i="1565" s="1"/>
  <c r="D10" i="1565" s="1"/>
  <c r="D36" i="1565"/>
  <c r="R35" i="1565"/>
  <c r="L19" i="1565" s="1"/>
  <c r="D19" i="1565" s="1"/>
  <c r="D35" i="1565"/>
  <c r="D54" i="1565" s="1"/>
  <c r="H14" i="1565" s="1"/>
  <c r="R34" i="1565"/>
  <c r="L12" i="1565" s="1"/>
  <c r="D12" i="1565" s="1"/>
  <c r="D34" i="1565"/>
  <c r="R33" i="1565"/>
  <c r="R32" i="1565"/>
  <c r="R31" i="1565"/>
  <c r="R30" i="1565"/>
  <c r="R29" i="1565"/>
  <c r="R28" i="1565"/>
  <c r="L16" i="1565" s="1"/>
  <c r="D16" i="1565" s="1"/>
  <c r="D28" i="1565"/>
  <c r="R27" i="1565"/>
  <c r="D27" i="1565"/>
  <c r="R26" i="1565"/>
  <c r="L26" i="1565"/>
  <c r="D26" i="1565" s="1"/>
  <c r="R25" i="1565"/>
  <c r="L25" i="1565"/>
  <c r="D25" i="1565" s="1"/>
  <c r="R24" i="1565"/>
  <c r="D24" i="1565"/>
  <c r="R23" i="1565"/>
  <c r="L23" i="1565"/>
  <c r="D23" i="1565"/>
  <c r="R22" i="1565"/>
  <c r="L22" i="1565"/>
  <c r="D22" i="1565" s="1"/>
  <c r="R21" i="1565"/>
  <c r="D21" i="1565"/>
  <c r="R20" i="1565"/>
  <c r="L20" i="1565"/>
  <c r="D20" i="1565"/>
  <c r="R19" i="1565"/>
  <c r="R18" i="1565"/>
  <c r="D18" i="1565"/>
  <c r="R17" i="1565"/>
  <c r="D17" i="1565"/>
  <c r="R16" i="1565"/>
  <c r="S15" i="1565"/>
  <c r="R15" i="1565"/>
  <c r="D15" i="1565"/>
  <c r="S14" i="1565"/>
  <c r="R14" i="1565"/>
  <c r="D14" i="1565"/>
  <c r="R13" i="1565"/>
  <c r="D13" i="1565"/>
  <c r="R12" i="1565"/>
  <c r="R11" i="1565"/>
  <c r="L11" i="1565"/>
  <c r="D11" i="1565" s="1"/>
  <c r="L9" i="1565"/>
  <c r="D9" i="1565"/>
  <c r="L8" i="1565"/>
  <c r="D8" i="1565"/>
  <c r="L7" i="1565"/>
  <c r="D7" i="1565" s="1"/>
  <c r="R6" i="1565"/>
  <c r="R5" i="1565"/>
  <c r="R4" i="1565"/>
  <c r="G49" i="1588" l="1"/>
  <c r="G49" i="1587"/>
  <c r="G49" i="1586"/>
  <c r="D54" i="1588"/>
  <c r="H14" i="1588" s="1"/>
  <c r="D54" i="1587"/>
  <c r="H14" i="1587" s="1"/>
  <c r="H15" i="1587" s="1"/>
  <c r="H29" i="1587" s="1"/>
  <c r="D54" i="1586"/>
  <c r="H14" i="1586" s="1"/>
  <c r="D54" i="1584"/>
  <c r="H14" i="1584" s="1"/>
  <c r="D54" i="1583"/>
  <c r="H14" i="1583" s="1"/>
  <c r="D29" i="1583"/>
  <c r="H13" i="1583" s="1"/>
  <c r="D54" i="1582"/>
  <c r="H14" i="1582" s="1"/>
  <c r="G49" i="1584"/>
  <c r="G49" i="1583"/>
  <c r="G49" i="1580"/>
  <c r="G49" i="1579"/>
  <c r="D54" i="1580"/>
  <c r="H14" i="1580" s="1"/>
  <c r="D54" i="1579"/>
  <c r="H14" i="1579" s="1"/>
  <c r="D54" i="1578"/>
  <c r="H14" i="1578" s="1"/>
  <c r="D54" i="1576"/>
  <c r="H14" i="1576" s="1"/>
  <c r="D54" i="1575"/>
  <c r="H14" i="1575" s="1"/>
  <c r="D54" i="1574"/>
  <c r="H14" i="1574" s="1"/>
  <c r="G49" i="1576"/>
  <c r="G49" i="1575"/>
  <c r="G49" i="1572"/>
  <c r="D54" i="1572"/>
  <c r="H14" i="1572" s="1"/>
  <c r="D29" i="1572"/>
  <c r="H13" i="1572" s="1"/>
  <c r="D54" i="1571"/>
  <c r="H14" i="1571" s="1"/>
  <c r="D54" i="1568"/>
  <c r="H14" i="1568" s="1"/>
  <c r="D54" i="1567"/>
  <c r="H14" i="1567" s="1"/>
  <c r="D54" i="1566"/>
  <c r="H14" i="1566" s="1"/>
  <c r="G49" i="1566"/>
  <c r="D29" i="1588"/>
  <c r="H13" i="1588" s="1"/>
  <c r="D29" i="1586"/>
  <c r="H13" i="1586" s="1"/>
  <c r="D29" i="1585"/>
  <c r="H13" i="1585" s="1"/>
  <c r="H15" i="1585" s="1"/>
  <c r="H29" i="1585" s="1"/>
  <c r="G51" i="1585" s="1"/>
  <c r="D29" i="1584"/>
  <c r="H13" i="1584" s="1"/>
  <c r="D29" i="1582"/>
  <c r="H13" i="1582" s="1"/>
  <c r="D29" i="1581"/>
  <c r="H13" i="1581" s="1"/>
  <c r="H15" i="1581" s="1"/>
  <c r="H29" i="1581" s="1"/>
  <c r="G51" i="1581"/>
  <c r="D29" i="1580"/>
  <c r="H13" i="1580" s="1"/>
  <c r="D29" i="1579"/>
  <c r="H13" i="1579" s="1"/>
  <c r="D29" i="1578"/>
  <c r="H13" i="1578" s="1"/>
  <c r="D29" i="1577"/>
  <c r="H13" i="1577" s="1"/>
  <c r="H15" i="1577" s="1"/>
  <c r="H29" i="1577" s="1"/>
  <c r="G51" i="1577" s="1"/>
  <c r="D29" i="1576"/>
  <c r="H13" i="1576" s="1"/>
  <c r="D29" i="1575"/>
  <c r="H13" i="1575" s="1"/>
  <c r="D29" i="1574"/>
  <c r="H13" i="1574" s="1"/>
  <c r="H15" i="1573"/>
  <c r="H29" i="1573" s="1"/>
  <c r="G51" i="1573"/>
  <c r="D29" i="1571"/>
  <c r="H13" i="1571" s="1"/>
  <c r="G51" i="1570"/>
  <c r="D29" i="1570"/>
  <c r="H13" i="1570" s="1"/>
  <c r="H15" i="1570" s="1"/>
  <c r="H29" i="1570" s="1"/>
  <c r="D29" i="1569"/>
  <c r="H13" i="1569" s="1"/>
  <c r="H15" i="1569" s="1"/>
  <c r="H29" i="1569" s="1"/>
  <c r="G51" i="1569" s="1"/>
  <c r="D29" i="1568"/>
  <c r="H13" i="1568" s="1"/>
  <c r="D29" i="1567"/>
  <c r="H13" i="1567" s="1"/>
  <c r="D29" i="1566"/>
  <c r="H13" i="1566" s="1"/>
  <c r="D29" i="1565"/>
  <c r="H13" i="1565" s="1"/>
  <c r="H15" i="1565" s="1"/>
  <c r="H29" i="1565" s="1"/>
  <c r="G51" i="1565" s="1"/>
  <c r="H16" i="1560"/>
  <c r="G51" i="1587" l="1"/>
  <c r="H15" i="1588"/>
  <c r="H29" i="1588" s="1"/>
  <c r="G51" i="1588" s="1"/>
  <c r="H15" i="1586"/>
  <c r="H29" i="1586" s="1"/>
  <c r="G51" i="1586" s="1"/>
  <c r="H15" i="1584"/>
  <c r="H29" i="1584" s="1"/>
  <c r="G51" i="1584" s="1"/>
  <c r="H15" i="1583"/>
  <c r="H29" i="1583" s="1"/>
  <c r="G51" i="1583" s="1"/>
  <c r="H15" i="1582"/>
  <c r="H29" i="1582" s="1"/>
  <c r="G51" i="1582" s="1"/>
  <c r="H15" i="1580"/>
  <c r="H29" i="1580" s="1"/>
  <c r="G51" i="1580" s="1"/>
  <c r="H15" i="1579"/>
  <c r="H29" i="1579" s="1"/>
  <c r="G51" i="1579" s="1"/>
  <c r="H15" i="1578"/>
  <c r="H29" i="1578" s="1"/>
  <c r="G51" i="1578" s="1"/>
  <c r="H15" i="1576"/>
  <c r="H29" i="1576" s="1"/>
  <c r="G51" i="1576" s="1"/>
  <c r="H15" i="1575"/>
  <c r="H29" i="1575" s="1"/>
  <c r="G51" i="1575" s="1"/>
  <c r="H15" i="1574"/>
  <c r="H29" i="1574" s="1"/>
  <c r="G51" i="1574" s="1"/>
  <c r="H15" i="1572"/>
  <c r="H29" i="1572" s="1"/>
  <c r="G51" i="1572" s="1"/>
  <c r="H15" i="1571"/>
  <c r="H29" i="1571" s="1"/>
  <c r="G51" i="1571" s="1"/>
  <c r="H15" i="1568"/>
  <c r="H29" i="1568" s="1"/>
  <c r="G51" i="1568" s="1"/>
  <c r="H15" i="1567"/>
  <c r="H29" i="1567" s="1"/>
  <c r="G51" i="1567" s="1"/>
  <c r="H15" i="1566"/>
  <c r="H29" i="1566" s="1"/>
  <c r="G51" i="1566" s="1"/>
  <c r="H16" i="1556"/>
  <c r="H16" i="1554"/>
  <c r="C12" i="1556"/>
  <c r="L25" i="1555"/>
  <c r="H16" i="1552" l="1"/>
  <c r="H16" i="1551"/>
  <c r="C12" i="1552" l="1"/>
  <c r="L25" i="1551"/>
  <c r="C20" i="1551"/>
  <c r="C21" i="1551"/>
  <c r="L24" i="1550"/>
  <c r="G49" i="1548" l="1"/>
  <c r="H16" i="1548" l="1"/>
  <c r="H29" i="1548"/>
  <c r="H16" i="1547"/>
  <c r="C12" i="1548" l="1"/>
  <c r="C6" i="1547"/>
  <c r="C21" i="1546"/>
  <c r="C21" i="1543" l="1"/>
  <c r="C19" i="1542"/>
  <c r="C21" i="1542"/>
  <c r="H16" i="1544"/>
  <c r="H16" i="1543"/>
  <c r="H16" i="1539" l="1"/>
  <c r="L26" i="1537"/>
  <c r="L25" i="1537"/>
  <c r="C12" i="1537"/>
  <c r="C21" i="1537"/>
  <c r="R52" i="1564" l="1"/>
  <c r="R51" i="1564"/>
  <c r="D50" i="1564"/>
  <c r="R49" i="1564"/>
  <c r="D49" i="1564"/>
  <c r="R48" i="1564"/>
  <c r="D48" i="1564"/>
  <c r="D46" i="1564"/>
  <c r="D45" i="1564"/>
  <c r="D44" i="1564"/>
  <c r="R42" i="1564"/>
  <c r="D42" i="1564"/>
  <c r="R41" i="1564"/>
  <c r="L7" i="1564" s="1"/>
  <c r="D7" i="1564" s="1"/>
  <c r="D41" i="1564"/>
  <c r="R40" i="1564"/>
  <c r="L8" i="1564" s="1"/>
  <c r="D8" i="1564" s="1"/>
  <c r="D40" i="1564"/>
  <c r="R39" i="1564"/>
  <c r="H39" i="1564"/>
  <c r="D39" i="1564"/>
  <c r="R38" i="1564"/>
  <c r="H38" i="1564"/>
  <c r="D38" i="1564"/>
  <c r="R37" i="1564"/>
  <c r="H37" i="1564"/>
  <c r="D37" i="1564"/>
  <c r="R36" i="1564"/>
  <c r="L10" i="1564" s="1"/>
  <c r="D10" i="1564" s="1"/>
  <c r="H36" i="1564"/>
  <c r="D36" i="1564"/>
  <c r="R35" i="1564"/>
  <c r="L19" i="1564" s="1"/>
  <c r="D19" i="1564" s="1"/>
  <c r="H35" i="1564"/>
  <c r="D35" i="1564"/>
  <c r="R34" i="1564"/>
  <c r="H34" i="1564"/>
  <c r="D34" i="1564"/>
  <c r="R33" i="1564"/>
  <c r="L23" i="1564" s="1"/>
  <c r="D23" i="1564" s="1"/>
  <c r="R32" i="1564"/>
  <c r="R31" i="1564"/>
  <c r="R30" i="1564"/>
  <c r="R29" i="1564"/>
  <c r="R28" i="1564"/>
  <c r="L16" i="1564" s="1"/>
  <c r="D16" i="1564" s="1"/>
  <c r="D28" i="1564"/>
  <c r="R27" i="1564"/>
  <c r="D27" i="1564"/>
  <c r="R26" i="1564"/>
  <c r="L26" i="1564"/>
  <c r="D26" i="1564" s="1"/>
  <c r="R25" i="1564"/>
  <c r="L25" i="1564"/>
  <c r="D25" i="1564"/>
  <c r="R24" i="1564"/>
  <c r="D24" i="1564"/>
  <c r="R23" i="1564"/>
  <c r="R22" i="1564"/>
  <c r="L22" i="1564"/>
  <c r="D22" i="1564" s="1"/>
  <c r="R21" i="1564"/>
  <c r="D21" i="1564"/>
  <c r="R20" i="1564"/>
  <c r="L20" i="1564"/>
  <c r="D20" i="1564" s="1"/>
  <c r="R19" i="1564"/>
  <c r="R18" i="1564"/>
  <c r="D18" i="1564"/>
  <c r="R17" i="1564"/>
  <c r="D17" i="1564"/>
  <c r="R16" i="1564"/>
  <c r="R15" i="1564"/>
  <c r="D15" i="1564"/>
  <c r="R14" i="1564"/>
  <c r="D14" i="1564"/>
  <c r="R13" i="1564"/>
  <c r="D13" i="1564"/>
  <c r="R12" i="1564"/>
  <c r="L12" i="1564"/>
  <c r="D12" i="1564"/>
  <c r="R11" i="1564"/>
  <c r="L11" i="1564"/>
  <c r="D11" i="1564"/>
  <c r="L9" i="1564"/>
  <c r="D9" i="1564"/>
  <c r="R6" i="1564"/>
  <c r="L6" i="1564"/>
  <c r="D6" i="1564" s="1"/>
  <c r="R5" i="1564"/>
  <c r="R4" i="1564"/>
  <c r="R52" i="1563"/>
  <c r="R51" i="1563"/>
  <c r="D50" i="1563"/>
  <c r="R49" i="1563"/>
  <c r="D49" i="1563"/>
  <c r="R48" i="1563"/>
  <c r="D48" i="1563"/>
  <c r="D46" i="1563"/>
  <c r="D45" i="1563"/>
  <c r="D44" i="1563"/>
  <c r="R42" i="1563"/>
  <c r="L6" i="1563" s="1"/>
  <c r="D6" i="1563" s="1"/>
  <c r="D42" i="1563"/>
  <c r="R41" i="1563"/>
  <c r="L7" i="1563" s="1"/>
  <c r="D7" i="1563" s="1"/>
  <c r="D41" i="1563"/>
  <c r="R40" i="1563"/>
  <c r="D40" i="1563"/>
  <c r="R39" i="1563"/>
  <c r="L20" i="1563" s="1"/>
  <c r="D20" i="1563" s="1"/>
  <c r="H39" i="1563"/>
  <c r="D39" i="1563"/>
  <c r="R38" i="1563"/>
  <c r="H38" i="1563"/>
  <c r="D38" i="1563"/>
  <c r="R37" i="1563"/>
  <c r="H37" i="1563"/>
  <c r="D37" i="1563"/>
  <c r="R36" i="1563"/>
  <c r="H36" i="1563"/>
  <c r="D36" i="1563"/>
  <c r="R35" i="1563"/>
  <c r="L19" i="1563" s="1"/>
  <c r="D19" i="1563" s="1"/>
  <c r="H35" i="1563"/>
  <c r="D35" i="1563"/>
  <c r="R34" i="1563"/>
  <c r="L12" i="1563" s="1"/>
  <c r="D12" i="1563" s="1"/>
  <c r="H34" i="1563"/>
  <c r="D34" i="1563"/>
  <c r="R33" i="1563"/>
  <c r="R32" i="1563"/>
  <c r="R31" i="1563"/>
  <c r="R30" i="1563"/>
  <c r="R29" i="1563"/>
  <c r="R28" i="1563"/>
  <c r="D28" i="1563"/>
  <c r="R27" i="1563"/>
  <c r="D27" i="1563"/>
  <c r="R26" i="1563"/>
  <c r="L26" i="1563"/>
  <c r="D26" i="1563" s="1"/>
  <c r="R25" i="1563"/>
  <c r="D25" i="1563"/>
  <c r="R24" i="1563"/>
  <c r="L24" i="1563"/>
  <c r="D24" i="1563"/>
  <c r="R23" i="1563"/>
  <c r="L23" i="1563"/>
  <c r="D23" i="1563"/>
  <c r="R22" i="1563"/>
  <c r="L22" i="1563"/>
  <c r="D22" i="1563"/>
  <c r="R21" i="1563"/>
  <c r="L17" i="1563" s="1"/>
  <c r="D17" i="1563" s="1"/>
  <c r="D21" i="1563"/>
  <c r="R20" i="1563"/>
  <c r="R19" i="1563"/>
  <c r="R18" i="1563"/>
  <c r="D18" i="1563"/>
  <c r="R17" i="1563"/>
  <c r="R16" i="1563"/>
  <c r="L16" i="1563"/>
  <c r="D16" i="1563"/>
  <c r="R15" i="1563"/>
  <c r="D15" i="1563"/>
  <c r="R14" i="1563"/>
  <c r="D14" i="1563"/>
  <c r="R13" i="1563"/>
  <c r="D13" i="1563"/>
  <c r="R12" i="1563"/>
  <c r="R11" i="1563"/>
  <c r="L11" i="1563"/>
  <c r="D11" i="1563"/>
  <c r="L10" i="1563"/>
  <c r="D10" i="1563"/>
  <c r="L9" i="1563"/>
  <c r="D9" i="1563" s="1"/>
  <c r="L8" i="1563"/>
  <c r="D8" i="1563"/>
  <c r="R6" i="1563"/>
  <c r="R5" i="1563"/>
  <c r="R4" i="1563"/>
  <c r="R52" i="1562"/>
  <c r="R51" i="1562"/>
  <c r="D50" i="1562"/>
  <c r="R49" i="1562"/>
  <c r="D49" i="1562"/>
  <c r="R48" i="1562"/>
  <c r="D48" i="1562"/>
  <c r="D46" i="1562"/>
  <c r="D45" i="1562"/>
  <c r="P44" i="1562"/>
  <c r="R44" i="1562" s="1"/>
  <c r="D44" i="1562"/>
  <c r="R42" i="1562"/>
  <c r="L6" i="1562" s="1"/>
  <c r="D6" i="1562" s="1"/>
  <c r="D42" i="1562"/>
  <c r="R41" i="1562"/>
  <c r="D41" i="1562"/>
  <c r="R40" i="1562"/>
  <c r="L8" i="1562" s="1"/>
  <c r="D8" i="1562" s="1"/>
  <c r="D40" i="1562"/>
  <c r="R39" i="1562"/>
  <c r="H39" i="1562"/>
  <c r="D39" i="1562"/>
  <c r="R38" i="1562"/>
  <c r="H38" i="1562"/>
  <c r="D38" i="1562"/>
  <c r="R37" i="1562"/>
  <c r="H37" i="1562"/>
  <c r="D37" i="1562"/>
  <c r="R36" i="1562"/>
  <c r="H36" i="1562"/>
  <c r="D36" i="1562"/>
  <c r="R35" i="1562"/>
  <c r="H35" i="1562"/>
  <c r="D35" i="1562"/>
  <c r="R34" i="1562"/>
  <c r="H34" i="1562"/>
  <c r="D34" i="1562"/>
  <c r="R33" i="1562"/>
  <c r="R32" i="1562"/>
  <c r="R31" i="1562"/>
  <c r="R30" i="1562"/>
  <c r="R29" i="1562"/>
  <c r="R28" i="1562"/>
  <c r="D28" i="1562"/>
  <c r="R27" i="1562"/>
  <c r="D27" i="1562"/>
  <c r="R26" i="1562"/>
  <c r="L26" i="1562"/>
  <c r="D26" i="1562" s="1"/>
  <c r="R25" i="1562"/>
  <c r="L25" i="1562"/>
  <c r="D25" i="1562" s="1"/>
  <c r="R24" i="1562"/>
  <c r="L24" i="1562"/>
  <c r="D24" i="1562"/>
  <c r="R23" i="1562"/>
  <c r="D23" i="1562"/>
  <c r="R22" i="1562"/>
  <c r="D22" i="1562"/>
  <c r="R21" i="1562"/>
  <c r="D21" i="1562"/>
  <c r="R20" i="1562"/>
  <c r="L20" i="1562"/>
  <c r="D20" i="1562" s="1"/>
  <c r="R19" i="1562"/>
  <c r="D19" i="1562"/>
  <c r="R18" i="1562"/>
  <c r="D18" i="1562"/>
  <c r="R17" i="1562"/>
  <c r="L17" i="1562"/>
  <c r="D17" i="1562"/>
  <c r="R16" i="1562"/>
  <c r="L16" i="1562"/>
  <c r="D16" i="1562"/>
  <c r="R15" i="1562"/>
  <c r="D15" i="1562"/>
  <c r="R14" i="1562"/>
  <c r="D14" i="1562"/>
  <c r="R13" i="1562"/>
  <c r="D13" i="1562"/>
  <c r="R12" i="1562"/>
  <c r="L12" i="1562"/>
  <c r="D12" i="1562" s="1"/>
  <c r="R11" i="1562"/>
  <c r="L11" i="1562"/>
  <c r="D11" i="1562" s="1"/>
  <c r="L10" i="1562"/>
  <c r="D10" i="1562" s="1"/>
  <c r="L9" i="1562"/>
  <c r="D9" i="1562" s="1"/>
  <c r="L7" i="1562"/>
  <c r="D7" i="1562" s="1"/>
  <c r="R6" i="1562"/>
  <c r="R5" i="1562"/>
  <c r="R4" i="1562"/>
  <c r="R52" i="1561"/>
  <c r="R51" i="1561"/>
  <c r="D50" i="1561"/>
  <c r="R49" i="1561"/>
  <c r="G49" i="1561"/>
  <c r="D49" i="1561"/>
  <c r="R48" i="1561"/>
  <c r="D48" i="1561"/>
  <c r="D46" i="1561"/>
  <c r="D45" i="1561"/>
  <c r="D44" i="1561"/>
  <c r="R42" i="1561"/>
  <c r="L6" i="1561" s="1"/>
  <c r="D6" i="1561" s="1"/>
  <c r="D42" i="1561"/>
  <c r="R41" i="1561"/>
  <c r="L7" i="1561" s="1"/>
  <c r="D7" i="1561" s="1"/>
  <c r="D41" i="1561"/>
  <c r="R40" i="1561"/>
  <c r="D40" i="1561"/>
  <c r="R39" i="1561"/>
  <c r="D39" i="1561"/>
  <c r="R38" i="1561"/>
  <c r="D38" i="1561"/>
  <c r="R37" i="1561"/>
  <c r="D37" i="1561"/>
  <c r="R36" i="1561"/>
  <c r="L10" i="1561" s="1"/>
  <c r="D10" i="1561" s="1"/>
  <c r="D36" i="1561"/>
  <c r="R35" i="1561"/>
  <c r="D35" i="1561"/>
  <c r="R34" i="1561"/>
  <c r="L12" i="1561" s="1"/>
  <c r="D12" i="1561" s="1"/>
  <c r="D34" i="1561"/>
  <c r="D54" i="1561" s="1"/>
  <c r="H14" i="1561" s="1"/>
  <c r="R33" i="1561"/>
  <c r="L23" i="1561" s="1"/>
  <c r="D23" i="1561" s="1"/>
  <c r="R32" i="1561"/>
  <c r="R31" i="1561"/>
  <c r="R30" i="1561"/>
  <c r="R29" i="1561"/>
  <c r="R28" i="1561"/>
  <c r="L16" i="1561" s="1"/>
  <c r="D16" i="1561" s="1"/>
  <c r="D28" i="1561"/>
  <c r="R27" i="1561"/>
  <c r="D27" i="1561"/>
  <c r="R26" i="1561"/>
  <c r="L26" i="1561"/>
  <c r="D26" i="1561"/>
  <c r="R25" i="1561"/>
  <c r="L25" i="1561"/>
  <c r="D25" i="1561"/>
  <c r="R24" i="1561"/>
  <c r="D24" i="1561"/>
  <c r="R23" i="1561"/>
  <c r="R22" i="1561"/>
  <c r="L22" i="1561"/>
  <c r="D22" i="1561"/>
  <c r="R21" i="1561"/>
  <c r="D21" i="1561"/>
  <c r="R20" i="1561"/>
  <c r="L20" i="1561"/>
  <c r="D20" i="1561"/>
  <c r="R19" i="1561"/>
  <c r="L19" i="1561"/>
  <c r="D19" i="1561"/>
  <c r="R18" i="1561"/>
  <c r="D18" i="1561"/>
  <c r="R17" i="1561"/>
  <c r="D17" i="1561"/>
  <c r="R16" i="1561"/>
  <c r="S15" i="1561"/>
  <c r="R15" i="1561"/>
  <c r="D15" i="1561"/>
  <c r="S14" i="1561"/>
  <c r="R14" i="1561"/>
  <c r="D14" i="1561"/>
  <c r="R13" i="1561"/>
  <c r="D13" i="1561"/>
  <c r="R12" i="1561"/>
  <c r="R11" i="1561"/>
  <c r="L11" i="1561"/>
  <c r="D11" i="1561"/>
  <c r="L9" i="1561"/>
  <c r="D9" i="1561"/>
  <c r="L8" i="1561"/>
  <c r="D8" i="1561"/>
  <c r="R6" i="1561"/>
  <c r="R5" i="1561"/>
  <c r="R4" i="1561"/>
  <c r="R52" i="1560"/>
  <c r="R51" i="1560"/>
  <c r="D50" i="1560"/>
  <c r="R49" i="1560"/>
  <c r="D49" i="1560"/>
  <c r="R48" i="1560"/>
  <c r="D48" i="1560"/>
  <c r="D46" i="1560"/>
  <c r="D45" i="1560"/>
  <c r="D44" i="1560"/>
  <c r="R42" i="1560"/>
  <c r="L6" i="1560" s="1"/>
  <c r="D6" i="1560" s="1"/>
  <c r="D42" i="1560"/>
  <c r="R41" i="1560"/>
  <c r="L7" i="1560" s="1"/>
  <c r="D7" i="1560" s="1"/>
  <c r="D41" i="1560"/>
  <c r="R40" i="1560"/>
  <c r="D40" i="1560"/>
  <c r="R39" i="1560"/>
  <c r="H39" i="1560"/>
  <c r="D39" i="1560"/>
  <c r="R38" i="1560"/>
  <c r="H38" i="1560"/>
  <c r="D38" i="1560"/>
  <c r="R37" i="1560"/>
  <c r="H37" i="1560"/>
  <c r="D37" i="1560"/>
  <c r="R36" i="1560"/>
  <c r="H36" i="1560"/>
  <c r="D36" i="1560"/>
  <c r="R35" i="1560"/>
  <c r="L19" i="1560" s="1"/>
  <c r="D19" i="1560" s="1"/>
  <c r="H35" i="1560"/>
  <c r="D35" i="1560"/>
  <c r="R34" i="1560"/>
  <c r="H34" i="1560"/>
  <c r="D34" i="1560"/>
  <c r="R33" i="1560"/>
  <c r="L23" i="1560" s="1"/>
  <c r="D23" i="1560" s="1"/>
  <c r="R32" i="1560"/>
  <c r="R31" i="1560"/>
  <c r="R30" i="1560"/>
  <c r="R29" i="1560"/>
  <c r="R28" i="1560"/>
  <c r="D28" i="1560"/>
  <c r="R27" i="1560"/>
  <c r="D27" i="1560"/>
  <c r="R26" i="1560"/>
  <c r="L26" i="1560"/>
  <c r="D26" i="1560"/>
  <c r="R25" i="1560"/>
  <c r="L25" i="1560"/>
  <c r="D25" i="1560"/>
  <c r="R24" i="1560"/>
  <c r="D24" i="1560"/>
  <c r="R23" i="1560"/>
  <c r="R22" i="1560"/>
  <c r="L22" i="1560"/>
  <c r="D22" i="1560"/>
  <c r="R21" i="1560"/>
  <c r="D21" i="1560"/>
  <c r="R20" i="1560"/>
  <c r="L20" i="1560"/>
  <c r="D20" i="1560"/>
  <c r="R19" i="1560"/>
  <c r="R18" i="1560"/>
  <c r="D18" i="1560"/>
  <c r="R17" i="1560"/>
  <c r="D17" i="1560"/>
  <c r="R16" i="1560"/>
  <c r="L16" i="1560"/>
  <c r="D16" i="1560" s="1"/>
  <c r="R15" i="1560"/>
  <c r="D15" i="1560"/>
  <c r="R14" i="1560"/>
  <c r="D14" i="1560"/>
  <c r="R13" i="1560"/>
  <c r="D13" i="1560"/>
  <c r="R12" i="1560"/>
  <c r="L12" i="1560"/>
  <c r="D12" i="1560"/>
  <c r="R11" i="1560"/>
  <c r="L11" i="1560"/>
  <c r="D11" i="1560"/>
  <c r="L10" i="1560"/>
  <c r="D10" i="1560"/>
  <c r="L9" i="1560"/>
  <c r="D9" i="1560"/>
  <c r="L8" i="1560"/>
  <c r="D8" i="1560"/>
  <c r="R6" i="1560"/>
  <c r="R5" i="1560"/>
  <c r="R4" i="1560"/>
  <c r="R52" i="1559"/>
  <c r="R51" i="1559"/>
  <c r="D50" i="1559"/>
  <c r="R49" i="1559"/>
  <c r="D49" i="1559"/>
  <c r="R48" i="1559"/>
  <c r="D48" i="1559"/>
  <c r="D46" i="1559"/>
  <c r="D45" i="1559"/>
  <c r="D44" i="1559"/>
  <c r="R42" i="1559"/>
  <c r="D42" i="1559"/>
  <c r="R41" i="1559"/>
  <c r="L7" i="1559" s="1"/>
  <c r="D7" i="1559" s="1"/>
  <c r="D41" i="1559"/>
  <c r="R40" i="1559"/>
  <c r="D40" i="1559"/>
  <c r="R39" i="1559"/>
  <c r="H39" i="1559"/>
  <c r="D39" i="1559"/>
  <c r="R38" i="1559"/>
  <c r="H38" i="1559"/>
  <c r="D38" i="1559"/>
  <c r="R37" i="1559"/>
  <c r="H37" i="1559"/>
  <c r="D37" i="1559"/>
  <c r="R36" i="1559"/>
  <c r="L10" i="1559" s="1"/>
  <c r="D10" i="1559" s="1"/>
  <c r="H36" i="1559"/>
  <c r="D36" i="1559"/>
  <c r="R35" i="1559"/>
  <c r="L19" i="1559" s="1"/>
  <c r="D19" i="1559" s="1"/>
  <c r="H35" i="1559"/>
  <c r="D35" i="1559"/>
  <c r="R34" i="1559"/>
  <c r="H34" i="1559"/>
  <c r="D34" i="1559"/>
  <c r="R33" i="1559"/>
  <c r="L23" i="1559" s="1"/>
  <c r="D23" i="1559" s="1"/>
  <c r="R32" i="1559"/>
  <c r="R31" i="1559"/>
  <c r="R30" i="1559"/>
  <c r="R29" i="1559"/>
  <c r="R28" i="1559"/>
  <c r="L16" i="1559" s="1"/>
  <c r="D16" i="1559" s="1"/>
  <c r="D28" i="1559"/>
  <c r="R27" i="1559"/>
  <c r="D27" i="1559"/>
  <c r="R26" i="1559"/>
  <c r="L26" i="1559"/>
  <c r="D26" i="1559" s="1"/>
  <c r="R25" i="1559"/>
  <c r="D25" i="1559"/>
  <c r="R24" i="1559"/>
  <c r="L24" i="1559"/>
  <c r="D24" i="1559"/>
  <c r="R23" i="1559"/>
  <c r="R22" i="1559"/>
  <c r="L22" i="1559"/>
  <c r="D22" i="1559"/>
  <c r="R21" i="1559"/>
  <c r="L17" i="1559" s="1"/>
  <c r="D17" i="1559" s="1"/>
  <c r="D21" i="1559"/>
  <c r="R20" i="1559"/>
  <c r="L20" i="1559"/>
  <c r="D20" i="1559"/>
  <c r="R19" i="1559"/>
  <c r="R18" i="1559"/>
  <c r="D18" i="1559"/>
  <c r="R17" i="1559"/>
  <c r="R16" i="1559"/>
  <c r="R15" i="1559"/>
  <c r="D15" i="1559"/>
  <c r="R14" i="1559"/>
  <c r="D14" i="1559"/>
  <c r="R13" i="1559"/>
  <c r="D13" i="1559"/>
  <c r="R12" i="1559"/>
  <c r="L12" i="1559"/>
  <c r="D12" i="1559" s="1"/>
  <c r="R11" i="1559"/>
  <c r="L11" i="1559"/>
  <c r="D11" i="1559" s="1"/>
  <c r="L9" i="1559"/>
  <c r="D9" i="1559"/>
  <c r="L8" i="1559"/>
  <c r="D8" i="1559"/>
  <c r="R6" i="1559"/>
  <c r="L6" i="1559"/>
  <c r="D6" i="1559" s="1"/>
  <c r="R5" i="1559"/>
  <c r="R4" i="1559"/>
  <c r="R52" i="1558"/>
  <c r="R51" i="1558"/>
  <c r="D50" i="1558"/>
  <c r="R49" i="1558"/>
  <c r="D49" i="1558"/>
  <c r="R48" i="1558"/>
  <c r="D48" i="1558"/>
  <c r="D46" i="1558"/>
  <c r="D45" i="1558"/>
  <c r="P44" i="1558"/>
  <c r="R44" i="1558" s="1"/>
  <c r="D44" i="1558"/>
  <c r="R42" i="1558"/>
  <c r="L6" i="1558" s="1"/>
  <c r="D6" i="1558" s="1"/>
  <c r="D42" i="1558"/>
  <c r="R41" i="1558"/>
  <c r="L7" i="1558" s="1"/>
  <c r="D7" i="1558" s="1"/>
  <c r="D41" i="1558"/>
  <c r="R40" i="1558"/>
  <c r="D40" i="1558"/>
  <c r="R39" i="1558"/>
  <c r="L20" i="1558" s="1"/>
  <c r="D20" i="1558" s="1"/>
  <c r="H39" i="1558"/>
  <c r="D39" i="1558"/>
  <c r="R38" i="1558"/>
  <c r="H38" i="1558"/>
  <c r="D38" i="1558"/>
  <c r="R37" i="1558"/>
  <c r="H37" i="1558"/>
  <c r="D37" i="1558"/>
  <c r="R36" i="1558"/>
  <c r="L10" i="1558" s="1"/>
  <c r="D10" i="1558" s="1"/>
  <c r="H36" i="1558"/>
  <c r="D36" i="1558"/>
  <c r="R35" i="1558"/>
  <c r="H35" i="1558"/>
  <c r="D35" i="1558"/>
  <c r="R34" i="1558"/>
  <c r="H34" i="1558"/>
  <c r="D34" i="1558"/>
  <c r="R33" i="1558"/>
  <c r="R32" i="1558"/>
  <c r="L11" i="1558" s="1"/>
  <c r="D11" i="1558" s="1"/>
  <c r="R31" i="1558"/>
  <c r="R30" i="1558"/>
  <c r="R29" i="1558"/>
  <c r="R28" i="1558"/>
  <c r="L16" i="1558" s="1"/>
  <c r="D16" i="1558" s="1"/>
  <c r="D28" i="1558"/>
  <c r="R27" i="1558"/>
  <c r="D27" i="1558"/>
  <c r="R26" i="1558"/>
  <c r="L26" i="1558"/>
  <c r="D26" i="1558"/>
  <c r="R25" i="1558"/>
  <c r="L25" i="1558"/>
  <c r="D25" i="1558"/>
  <c r="R24" i="1558"/>
  <c r="L24" i="1558"/>
  <c r="D24" i="1558"/>
  <c r="R23" i="1558"/>
  <c r="D23" i="1558"/>
  <c r="R22" i="1558"/>
  <c r="D22" i="1558"/>
  <c r="R21" i="1558"/>
  <c r="D21" i="1558"/>
  <c r="R20" i="1558"/>
  <c r="R19" i="1558"/>
  <c r="D19" i="1558"/>
  <c r="R18" i="1558"/>
  <c r="D18" i="1558"/>
  <c r="R17" i="1558"/>
  <c r="L17" i="1558"/>
  <c r="D17" i="1558"/>
  <c r="R16" i="1558"/>
  <c r="R15" i="1558"/>
  <c r="D15" i="1558"/>
  <c r="R14" i="1558"/>
  <c r="D14" i="1558"/>
  <c r="R13" i="1558"/>
  <c r="D13" i="1558"/>
  <c r="R12" i="1558"/>
  <c r="L12" i="1558"/>
  <c r="D12" i="1558" s="1"/>
  <c r="R11" i="1558"/>
  <c r="L9" i="1558"/>
  <c r="D9" i="1558"/>
  <c r="L8" i="1558"/>
  <c r="D8" i="1558" s="1"/>
  <c r="R6" i="1558"/>
  <c r="R5" i="1558"/>
  <c r="R4" i="1558"/>
  <c r="R52" i="1557"/>
  <c r="R51" i="1557"/>
  <c r="D50" i="1557"/>
  <c r="R49" i="1557"/>
  <c r="G49" i="1557"/>
  <c r="D49" i="1557"/>
  <c r="R48" i="1557"/>
  <c r="D48" i="1557"/>
  <c r="D46" i="1557"/>
  <c r="D45" i="1557"/>
  <c r="D44" i="1557"/>
  <c r="R42" i="1557"/>
  <c r="D42" i="1557"/>
  <c r="R41" i="1557"/>
  <c r="L7" i="1557" s="1"/>
  <c r="D7" i="1557" s="1"/>
  <c r="D41" i="1557"/>
  <c r="R40" i="1557"/>
  <c r="L8" i="1557" s="1"/>
  <c r="D8" i="1557" s="1"/>
  <c r="D40" i="1557"/>
  <c r="R39" i="1557"/>
  <c r="D39" i="1557"/>
  <c r="R38" i="1557"/>
  <c r="L9" i="1557" s="1"/>
  <c r="D9" i="1557" s="1"/>
  <c r="D38" i="1557"/>
  <c r="R37" i="1557"/>
  <c r="D37" i="1557"/>
  <c r="R36" i="1557"/>
  <c r="D36" i="1557"/>
  <c r="R35" i="1557"/>
  <c r="D35" i="1557"/>
  <c r="R34" i="1557"/>
  <c r="D34" i="1557"/>
  <c r="D54" i="1557" s="1"/>
  <c r="H14" i="1557" s="1"/>
  <c r="R33" i="1557"/>
  <c r="L23" i="1557" s="1"/>
  <c r="D23" i="1557" s="1"/>
  <c r="R32" i="1557"/>
  <c r="R31" i="1557"/>
  <c r="R30" i="1557"/>
  <c r="R29" i="1557"/>
  <c r="R28" i="1557"/>
  <c r="D28" i="1557"/>
  <c r="R27" i="1557"/>
  <c r="D27" i="1557"/>
  <c r="R26" i="1557"/>
  <c r="L26" i="1557"/>
  <c r="D26" i="1557" s="1"/>
  <c r="R25" i="1557"/>
  <c r="L25" i="1557"/>
  <c r="D25" i="1557"/>
  <c r="R24" i="1557"/>
  <c r="D24" i="1557"/>
  <c r="R23" i="1557"/>
  <c r="R22" i="1557"/>
  <c r="L22" i="1557"/>
  <c r="D22" i="1557"/>
  <c r="R21" i="1557"/>
  <c r="D21" i="1557"/>
  <c r="R20" i="1557"/>
  <c r="L20" i="1557"/>
  <c r="D20" i="1557"/>
  <c r="R19" i="1557"/>
  <c r="L19" i="1557"/>
  <c r="D19" i="1557"/>
  <c r="R18" i="1557"/>
  <c r="D18" i="1557"/>
  <c r="R17" i="1557"/>
  <c r="D17" i="1557"/>
  <c r="R16" i="1557"/>
  <c r="L16" i="1557"/>
  <c r="D16" i="1557" s="1"/>
  <c r="S15" i="1557"/>
  <c r="R15" i="1557"/>
  <c r="D15" i="1557"/>
  <c r="S14" i="1557"/>
  <c r="R14" i="1557"/>
  <c r="D14" i="1557"/>
  <c r="R13" i="1557"/>
  <c r="D13" i="1557"/>
  <c r="R12" i="1557"/>
  <c r="L12" i="1557"/>
  <c r="D12" i="1557" s="1"/>
  <c r="R11" i="1557"/>
  <c r="L11" i="1557"/>
  <c r="D11" i="1557"/>
  <c r="L10" i="1557"/>
  <c r="D10" i="1557" s="1"/>
  <c r="R6" i="1557"/>
  <c r="L6" i="1557"/>
  <c r="D6" i="1557"/>
  <c r="R5" i="1557"/>
  <c r="R4" i="1557"/>
  <c r="R52" i="1556"/>
  <c r="R51" i="1556"/>
  <c r="D50" i="1556"/>
  <c r="R49" i="1556"/>
  <c r="D49" i="1556"/>
  <c r="R48" i="1556"/>
  <c r="D48" i="1556"/>
  <c r="D46" i="1556"/>
  <c r="D45" i="1556"/>
  <c r="D44" i="1556"/>
  <c r="R42" i="1556"/>
  <c r="D42" i="1556"/>
  <c r="R41" i="1556"/>
  <c r="D41" i="1556"/>
  <c r="R40" i="1556"/>
  <c r="L8" i="1556" s="1"/>
  <c r="D8" i="1556" s="1"/>
  <c r="D40" i="1556"/>
  <c r="R39" i="1556"/>
  <c r="H39" i="1556"/>
  <c r="D39" i="1556"/>
  <c r="R38" i="1556"/>
  <c r="H38" i="1556"/>
  <c r="D38" i="1556"/>
  <c r="R37" i="1556"/>
  <c r="H37" i="1556"/>
  <c r="D37" i="1556"/>
  <c r="R36" i="1556"/>
  <c r="H36" i="1556"/>
  <c r="D36" i="1556"/>
  <c r="R35" i="1556"/>
  <c r="L19" i="1556" s="1"/>
  <c r="D19" i="1556" s="1"/>
  <c r="H35" i="1556"/>
  <c r="D35" i="1556"/>
  <c r="R34" i="1556"/>
  <c r="L12" i="1556" s="1"/>
  <c r="D12" i="1556" s="1"/>
  <c r="H34" i="1556"/>
  <c r="D34" i="1556"/>
  <c r="R33" i="1556"/>
  <c r="L23" i="1556" s="1"/>
  <c r="D23" i="1556" s="1"/>
  <c r="R32" i="1556"/>
  <c r="R31" i="1556"/>
  <c r="R30" i="1556"/>
  <c r="R29" i="1556"/>
  <c r="R28" i="1556"/>
  <c r="L16" i="1556" s="1"/>
  <c r="D16" i="1556" s="1"/>
  <c r="D28" i="1556"/>
  <c r="R27" i="1556"/>
  <c r="D27" i="1556"/>
  <c r="R26" i="1556"/>
  <c r="L26" i="1556"/>
  <c r="D26" i="1556"/>
  <c r="R25" i="1556"/>
  <c r="L25" i="1556"/>
  <c r="D25" i="1556"/>
  <c r="R24" i="1556"/>
  <c r="D24" i="1556"/>
  <c r="R23" i="1556"/>
  <c r="R22" i="1556"/>
  <c r="L22" i="1556"/>
  <c r="D22" i="1556"/>
  <c r="R21" i="1556"/>
  <c r="D21" i="1556"/>
  <c r="R20" i="1556"/>
  <c r="L20" i="1556"/>
  <c r="D20" i="1556"/>
  <c r="R19" i="1556"/>
  <c r="R18" i="1556"/>
  <c r="D18" i="1556"/>
  <c r="R17" i="1556"/>
  <c r="D17" i="1556"/>
  <c r="R16" i="1556"/>
  <c r="R15" i="1556"/>
  <c r="D15" i="1556"/>
  <c r="R14" i="1556"/>
  <c r="D14" i="1556"/>
  <c r="R13" i="1556"/>
  <c r="D13" i="1556"/>
  <c r="R12" i="1556"/>
  <c r="R11" i="1556"/>
  <c r="L11" i="1556"/>
  <c r="D11" i="1556" s="1"/>
  <c r="L10" i="1556"/>
  <c r="D10" i="1556"/>
  <c r="L9" i="1556"/>
  <c r="D9" i="1556"/>
  <c r="L7" i="1556"/>
  <c r="D7" i="1556" s="1"/>
  <c r="R6" i="1556"/>
  <c r="L6" i="1556"/>
  <c r="D6" i="1556" s="1"/>
  <c r="R5" i="1556"/>
  <c r="R4" i="1556"/>
  <c r="R52" i="1555"/>
  <c r="R51" i="1555"/>
  <c r="D50" i="1555"/>
  <c r="R49" i="1555"/>
  <c r="D49" i="1555"/>
  <c r="R48" i="1555"/>
  <c r="D48" i="1555"/>
  <c r="D46" i="1555"/>
  <c r="D45" i="1555"/>
  <c r="D44" i="1555"/>
  <c r="R42" i="1555"/>
  <c r="L6" i="1555" s="1"/>
  <c r="D6" i="1555" s="1"/>
  <c r="D42" i="1555"/>
  <c r="R41" i="1555"/>
  <c r="D41" i="1555"/>
  <c r="R40" i="1555"/>
  <c r="D40" i="1555"/>
  <c r="R39" i="1555"/>
  <c r="H39" i="1555"/>
  <c r="D39" i="1555"/>
  <c r="R38" i="1555"/>
  <c r="H38" i="1555"/>
  <c r="D38" i="1555"/>
  <c r="R37" i="1555"/>
  <c r="H37" i="1555"/>
  <c r="D37" i="1555"/>
  <c r="R36" i="1555"/>
  <c r="L10" i="1555" s="1"/>
  <c r="D10" i="1555" s="1"/>
  <c r="H36" i="1555"/>
  <c r="D36" i="1555"/>
  <c r="R35" i="1555"/>
  <c r="H35" i="1555"/>
  <c r="D35" i="1555"/>
  <c r="R34" i="1555"/>
  <c r="L12" i="1555" s="1"/>
  <c r="D12" i="1555" s="1"/>
  <c r="H34" i="1555"/>
  <c r="D34" i="1555"/>
  <c r="R33" i="1555"/>
  <c r="R32" i="1555"/>
  <c r="R31" i="1555"/>
  <c r="R30" i="1555"/>
  <c r="R29" i="1555"/>
  <c r="R28" i="1555"/>
  <c r="D28" i="1555"/>
  <c r="R27" i="1555"/>
  <c r="D27" i="1555"/>
  <c r="R26" i="1555"/>
  <c r="L26" i="1555"/>
  <c r="D26" i="1555"/>
  <c r="R25" i="1555"/>
  <c r="D25" i="1555"/>
  <c r="R24" i="1555"/>
  <c r="L24" i="1555"/>
  <c r="D24" i="1555"/>
  <c r="R23" i="1555"/>
  <c r="L23" i="1555"/>
  <c r="D23" i="1555" s="1"/>
  <c r="R22" i="1555"/>
  <c r="L22" i="1555"/>
  <c r="D22" i="1555" s="1"/>
  <c r="R21" i="1555"/>
  <c r="D21" i="1555"/>
  <c r="R20" i="1555"/>
  <c r="L20" i="1555"/>
  <c r="D20" i="1555" s="1"/>
  <c r="R19" i="1555"/>
  <c r="L19" i="1555"/>
  <c r="D19" i="1555" s="1"/>
  <c r="R18" i="1555"/>
  <c r="D18" i="1555"/>
  <c r="R17" i="1555"/>
  <c r="L17" i="1555"/>
  <c r="D17" i="1555" s="1"/>
  <c r="R16" i="1555"/>
  <c r="L16" i="1555"/>
  <c r="D16" i="1555" s="1"/>
  <c r="R15" i="1555"/>
  <c r="D15" i="1555"/>
  <c r="R14" i="1555"/>
  <c r="D14" i="1555"/>
  <c r="R13" i="1555"/>
  <c r="D13" i="1555"/>
  <c r="R12" i="1555"/>
  <c r="R11" i="1555"/>
  <c r="L11" i="1555"/>
  <c r="D11" i="1555"/>
  <c r="L9" i="1555"/>
  <c r="D9" i="1555"/>
  <c r="L8" i="1555"/>
  <c r="D8" i="1555" s="1"/>
  <c r="L7" i="1555"/>
  <c r="D7" i="1555"/>
  <c r="R6" i="1555"/>
  <c r="R5" i="1555"/>
  <c r="R4" i="1555"/>
  <c r="R52" i="1554"/>
  <c r="R51" i="1554"/>
  <c r="D50" i="1554"/>
  <c r="R49" i="1554"/>
  <c r="D49" i="1554"/>
  <c r="R48" i="1554"/>
  <c r="D48" i="1554"/>
  <c r="D46" i="1554"/>
  <c r="D45" i="1554"/>
  <c r="P44" i="1554"/>
  <c r="R44" i="1554" s="1"/>
  <c r="D44" i="1554"/>
  <c r="R42" i="1554"/>
  <c r="L6" i="1554" s="1"/>
  <c r="D6" i="1554" s="1"/>
  <c r="D42" i="1554"/>
  <c r="R41" i="1554"/>
  <c r="D41" i="1554"/>
  <c r="R40" i="1554"/>
  <c r="D40" i="1554"/>
  <c r="R39" i="1554"/>
  <c r="L20" i="1554" s="1"/>
  <c r="D20" i="1554" s="1"/>
  <c r="H39" i="1554"/>
  <c r="D39" i="1554"/>
  <c r="R38" i="1554"/>
  <c r="L9" i="1554" s="1"/>
  <c r="D9" i="1554" s="1"/>
  <c r="H38" i="1554"/>
  <c r="D38" i="1554"/>
  <c r="R37" i="1554"/>
  <c r="H37" i="1554"/>
  <c r="D37" i="1554"/>
  <c r="R36" i="1554"/>
  <c r="H36" i="1554"/>
  <c r="D36" i="1554"/>
  <c r="R35" i="1554"/>
  <c r="H35" i="1554"/>
  <c r="D35" i="1554"/>
  <c r="R34" i="1554"/>
  <c r="H34" i="1554"/>
  <c r="D34" i="1554"/>
  <c r="R33" i="1554"/>
  <c r="R32" i="1554"/>
  <c r="L11" i="1554" s="1"/>
  <c r="D11" i="1554" s="1"/>
  <c r="R31" i="1554"/>
  <c r="R30" i="1554"/>
  <c r="R29" i="1554"/>
  <c r="R28" i="1554"/>
  <c r="D28" i="1554"/>
  <c r="R27" i="1554"/>
  <c r="D27" i="1554"/>
  <c r="R26" i="1554"/>
  <c r="L26" i="1554"/>
  <c r="D26" i="1554"/>
  <c r="R25" i="1554"/>
  <c r="L25" i="1554"/>
  <c r="D25" i="1554"/>
  <c r="R24" i="1554"/>
  <c r="L24" i="1554"/>
  <c r="D24" i="1554"/>
  <c r="R23" i="1554"/>
  <c r="D23" i="1554"/>
  <c r="R22" i="1554"/>
  <c r="D22" i="1554"/>
  <c r="R21" i="1554"/>
  <c r="D21" i="1554"/>
  <c r="R20" i="1554"/>
  <c r="R19" i="1554"/>
  <c r="D19" i="1554"/>
  <c r="R18" i="1554"/>
  <c r="D18" i="1554"/>
  <c r="R17" i="1554"/>
  <c r="L17" i="1554"/>
  <c r="D17" i="1554"/>
  <c r="R16" i="1554"/>
  <c r="L16" i="1554"/>
  <c r="D16" i="1554"/>
  <c r="R15" i="1554"/>
  <c r="D15" i="1554"/>
  <c r="R14" i="1554"/>
  <c r="D14" i="1554"/>
  <c r="R13" i="1554"/>
  <c r="D13" i="1554"/>
  <c r="R12" i="1554"/>
  <c r="L12" i="1554"/>
  <c r="D12" i="1554" s="1"/>
  <c r="R11" i="1554"/>
  <c r="L10" i="1554"/>
  <c r="D10" i="1554" s="1"/>
  <c r="L8" i="1554"/>
  <c r="D8" i="1554"/>
  <c r="L7" i="1554"/>
  <c r="D7" i="1554"/>
  <c r="R6" i="1554"/>
  <c r="R5" i="1554"/>
  <c r="R4" i="1554"/>
  <c r="R52" i="1553"/>
  <c r="R51" i="1553"/>
  <c r="D50" i="1553"/>
  <c r="R49" i="1553"/>
  <c r="G49" i="1553"/>
  <c r="D49" i="1553"/>
  <c r="R48" i="1553"/>
  <c r="D48" i="1553"/>
  <c r="D46" i="1553"/>
  <c r="D45" i="1553"/>
  <c r="D44" i="1553"/>
  <c r="R42" i="1553"/>
  <c r="D42" i="1553"/>
  <c r="R41" i="1553"/>
  <c r="L7" i="1553" s="1"/>
  <c r="D7" i="1553" s="1"/>
  <c r="D41" i="1553"/>
  <c r="R40" i="1553"/>
  <c r="D40" i="1553"/>
  <c r="R39" i="1553"/>
  <c r="D39" i="1553"/>
  <c r="R38" i="1553"/>
  <c r="D38" i="1553"/>
  <c r="R37" i="1553"/>
  <c r="D37" i="1553"/>
  <c r="R36" i="1553"/>
  <c r="D36" i="1553"/>
  <c r="D54" i="1553" s="1"/>
  <c r="H14" i="1553" s="1"/>
  <c r="R35" i="1553"/>
  <c r="L19" i="1553" s="1"/>
  <c r="D19" i="1553" s="1"/>
  <c r="D35" i="1553"/>
  <c r="R34" i="1553"/>
  <c r="D34" i="1553"/>
  <c r="R33" i="1553"/>
  <c r="L23" i="1553" s="1"/>
  <c r="D23" i="1553" s="1"/>
  <c r="R32" i="1553"/>
  <c r="L11" i="1553" s="1"/>
  <c r="D11" i="1553" s="1"/>
  <c r="R31" i="1553"/>
  <c r="R30" i="1553"/>
  <c r="R29" i="1553"/>
  <c r="R28" i="1553"/>
  <c r="D28" i="1553"/>
  <c r="R27" i="1553"/>
  <c r="D27" i="1553"/>
  <c r="R26" i="1553"/>
  <c r="L26" i="1553"/>
  <c r="D26" i="1553" s="1"/>
  <c r="R25" i="1553"/>
  <c r="L25" i="1553"/>
  <c r="D25" i="1553"/>
  <c r="R24" i="1553"/>
  <c r="D24" i="1553"/>
  <c r="R23" i="1553"/>
  <c r="R22" i="1553"/>
  <c r="L22" i="1553"/>
  <c r="D22" i="1553" s="1"/>
  <c r="R21" i="1553"/>
  <c r="D21" i="1553"/>
  <c r="R20" i="1553"/>
  <c r="L20" i="1553"/>
  <c r="D20" i="1553" s="1"/>
  <c r="R19" i="1553"/>
  <c r="R18" i="1553"/>
  <c r="D18" i="1553"/>
  <c r="R17" i="1553"/>
  <c r="D17" i="1553"/>
  <c r="R16" i="1553"/>
  <c r="L16" i="1553"/>
  <c r="D16" i="1553" s="1"/>
  <c r="S15" i="1553"/>
  <c r="R15" i="1553"/>
  <c r="D15" i="1553"/>
  <c r="S14" i="1553"/>
  <c r="R14" i="1553"/>
  <c r="D14" i="1553"/>
  <c r="R13" i="1553"/>
  <c r="D13" i="1553"/>
  <c r="R12" i="1553"/>
  <c r="L12" i="1553"/>
  <c r="D12" i="1553" s="1"/>
  <c r="R11" i="1553"/>
  <c r="L10" i="1553"/>
  <c r="D10" i="1553"/>
  <c r="L9" i="1553"/>
  <c r="D9" i="1553" s="1"/>
  <c r="L8" i="1553"/>
  <c r="D8" i="1553" s="1"/>
  <c r="R6" i="1553"/>
  <c r="L6" i="1553"/>
  <c r="D6" i="1553"/>
  <c r="R5" i="1553"/>
  <c r="R4" i="1553"/>
  <c r="R52" i="1552"/>
  <c r="R51" i="1552"/>
  <c r="D50" i="1552"/>
  <c r="R49" i="1552"/>
  <c r="D49" i="1552"/>
  <c r="R48" i="1552"/>
  <c r="D48" i="1552"/>
  <c r="D46" i="1552"/>
  <c r="D45" i="1552"/>
  <c r="D44" i="1552"/>
  <c r="R42" i="1552"/>
  <c r="L6" i="1552" s="1"/>
  <c r="D6" i="1552" s="1"/>
  <c r="D42" i="1552"/>
  <c r="R41" i="1552"/>
  <c r="L7" i="1552" s="1"/>
  <c r="D7" i="1552" s="1"/>
  <c r="D41" i="1552"/>
  <c r="R40" i="1552"/>
  <c r="D40" i="1552"/>
  <c r="R39" i="1552"/>
  <c r="H39" i="1552"/>
  <c r="D39" i="1552"/>
  <c r="R38" i="1552"/>
  <c r="H38" i="1552"/>
  <c r="D38" i="1552"/>
  <c r="R37" i="1552"/>
  <c r="H37" i="1552"/>
  <c r="D37" i="1552"/>
  <c r="R36" i="1552"/>
  <c r="H36" i="1552"/>
  <c r="D36" i="1552"/>
  <c r="R35" i="1552"/>
  <c r="L19" i="1552" s="1"/>
  <c r="D19" i="1552" s="1"/>
  <c r="H35" i="1552"/>
  <c r="D35" i="1552"/>
  <c r="R34" i="1552"/>
  <c r="H34" i="1552"/>
  <c r="G49" i="1552" s="1"/>
  <c r="D34" i="1552"/>
  <c r="R33" i="1552"/>
  <c r="R32" i="1552"/>
  <c r="R31" i="1552"/>
  <c r="R30" i="1552"/>
  <c r="R29" i="1552"/>
  <c r="R28" i="1552"/>
  <c r="D28" i="1552"/>
  <c r="R27" i="1552"/>
  <c r="D27" i="1552"/>
  <c r="R26" i="1552"/>
  <c r="L26" i="1552"/>
  <c r="D26" i="1552" s="1"/>
  <c r="R25" i="1552"/>
  <c r="L25" i="1552"/>
  <c r="D25" i="1552"/>
  <c r="R24" i="1552"/>
  <c r="D24" i="1552"/>
  <c r="R23" i="1552"/>
  <c r="L23" i="1552"/>
  <c r="D23" i="1552" s="1"/>
  <c r="R22" i="1552"/>
  <c r="L22" i="1552"/>
  <c r="D22" i="1552"/>
  <c r="R21" i="1552"/>
  <c r="D21" i="1552"/>
  <c r="R20" i="1552"/>
  <c r="L20" i="1552"/>
  <c r="D20" i="1552" s="1"/>
  <c r="R19" i="1552"/>
  <c r="R18" i="1552"/>
  <c r="D18" i="1552"/>
  <c r="R17" i="1552"/>
  <c r="D17" i="1552"/>
  <c r="R16" i="1552"/>
  <c r="L16" i="1552"/>
  <c r="D16" i="1552" s="1"/>
  <c r="R15" i="1552"/>
  <c r="D15" i="1552"/>
  <c r="R14" i="1552"/>
  <c r="D14" i="1552"/>
  <c r="R13" i="1552"/>
  <c r="D13" i="1552"/>
  <c r="R12" i="1552"/>
  <c r="L12" i="1552"/>
  <c r="D12" i="1552"/>
  <c r="R11" i="1552"/>
  <c r="L11" i="1552"/>
  <c r="D11" i="1552"/>
  <c r="L10" i="1552"/>
  <c r="D10" i="1552"/>
  <c r="L9" i="1552"/>
  <c r="D9" i="1552"/>
  <c r="L8" i="1552"/>
  <c r="D8" i="1552" s="1"/>
  <c r="R6" i="1552"/>
  <c r="R5" i="1552"/>
  <c r="R4" i="1552"/>
  <c r="R52" i="1551"/>
  <c r="R51" i="1551"/>
  <c r="D50" i="1551"/>
  <c r="R49" i="1551"/>
  <c r="D49" i="1551"/>
  <c r="R48" i="1551"/>
  <c r="D48" i="1551"/>
  <c r="D46" i="1551"/>
  <c r="D45" i="1551"/>
  <c r="D44" i="1551"/>
  <c r="R42" i="1551"/>
  <c r="L6" i="1551" s="1"/>
  <c r="D6" i="1551" s="1"/>
  <c r="D42" i="1551"/>
  <c r="R41" i="1551"/>
  <c r="D41" i="1551"/>
  <c r="R40" i="1551"/>
  <c r="L8" i="1551" s="1"/>
  <c r="D8" i="1551" s="1"/>
  <c r="D40" i="1551"/>
  <c r="R39" i="1551"/>
  <c r="L20" i="1551" s="1"/>
  <c r="D20" i="1551" s="1"/>
  <c r="H39" i="1551"/>
  <c r="D39" i="1551"/>
  <c r="R38" i="1551"/>
  <c r="H38" i="1551"/>
  <c r="D38" i="1551"/>
  <c r="R37" i="1551"/>
  <c r="H37" i="1551"/>
  <c r="D37" i="1551"/>
  <c r="R36" i="1551"/>
  <c r="H36" i="1551"/>
  <c r="D36" i="1551"/>
  <c r="R35" i="1551"/>
  <c r="L19" i="1551" s="1"/>
  <c r="D19" i="1551" s="1"/>
  <c r="H35" i="1551"/>
  <c r="D35" i="1551"/>
  <c r="R34" i="1551"/>
  <c r="H34" i="1551"/>
  <c r="G49" i="1551" s="1"/>
  <c r="D34" i="1551"/>
  <c r="R33" i="1551"/>
  <c r="R32" i="1551"/>
  <c r="L11" i="1551" s="1"/>
  <c r="D11" i="1551" s="1"/>
  <c r="R31" i="1551"/>
  <c r="R30" i="1551"/>
  <c r="R29" i="1551"/>
  <c r="R28" i="1551"/>
  <c r="D28" i="1551"/>
  <c r="R27" i="1551"/>
  <c r="D27" i="1551"/>
  <c r="R26" i="1551"/>
  <c r="L26" i="1551"/>
  <c r="D26" i="1551" s="1"/>
  <c r="R25" i="1551"/>
  <c r="D25" i="1551"/>
  <c r="R24" i="1551"/>
  <c r="L24" i="1551"/>
  <c r="D24" i="1551"/>
  <c r="R23" i="1551"/>
  <c r="L23" i="1551"/>
  <c r="D23" i="1551"/>
  <c r="R22" i="1551"/>
  <c r="D22" i="1551"/>
  <c r="R21" i="1551"/>
  <c r="L17" i="1551" s="1"/>
  <c r="D17" i="1551" s="1"/>
  <c r="D21" i="1551"/>
  <c r="R20" i="1551"/>
  <c r="R19" i="1551"/>
  <c r="R18" i="1551"/>
  <c r="D18" i="1551"/>
  <c r="R17" i="1551"/>
  <c r="R16" i="1551"/>
  <c r="L16" i="1551"/>
  <c r="D16" i="1551"/>
  <c r="R15" i="1551"/>
  <c r="D15" i="1551"/>
  <c r="R14" i="1551"/>
  <c r="D14" i="1551"/>
  <c r="R13" i="1551"/>
  <c r="D13" i="1551"/>
  <c r="R12" i="1551"/>
  <c r="L12" i="1551"/>
  <c r="D12" i="1551"/>
  <c r="R11" i="1551"/>
  <c r="L10" i="1551"/>
  <c r="D10" i="1551"/>
  <c r="L9" i="1551"/>
  <c r="D9" i="1551"/>
  <c r="L7" i="1551"/>
  <c r="D7" i="1551" s="1"/>
  <c r="R6" i="1551"/>
  <c r="R5" i="1551"/>
  <c r="R4" i="1551"/>
  <c r="R52" i="1550"/>
  <c r="R51" i="1550"/>
  <c r="D50" i="1550"/>
  <c r="R49" i="1550"/>
  <c r="D49" i="1550"/>
  <c r="R48" i="1550"/>
  <c r="D48" i="1550"/>
  <c r="D46" i="1550"/>
  <c r="D45" i="1550"/>
  <c r="P44" i="1550"/>
  <c r="R44" i="1550" s="1"/>
  <c r="D44" i="1550"/>
  <c r="R42" i="1550"/>
  <c r="D42" i="1550"/>
  <c r="R41" i="1550"/>
  <c r="D41" i="1550"/>
  <c r="R40" i="1550"/>
  <c r="L8" i="1550" s="1"/>
  <c r="D8" i="1550" s="1"/>
  <c r="D40" i="1550"/>
  <c r="R39" i="1550"/>
  <c r="L20" i="1550" s="1"/>
  <c r="D20" i="1550" s="1"/>
  <c r="H39" i="1550"/>
  <c r="D39" i="1550"/>
  <c r="R38" i="1550"/>
  <c r="L9" i="1550" s="1"/>
  <c r="D9" i="1550" s="1"/>
  <c r="H38" i="1550"/>
  <c r="D38" i="1550"/>
  <c r="R37" i="1550"/>
  <c r="H37" i="1550"/>
  <c r="D37" i="1550"/>
  <c r="R36" i="1550"/>
  <c r="H36" i="1550"/>
  <c r="D36" i="1550"/>
  <c r="R35" i="1550"/>
  <c r="H35" i="1550"/>
  <c r="D35" i="1550"/>
  <c r="R34" i="1550"/>
  <c r="H34" i="1550"/>
  <c r="G49" i="1550" s="1"/>
  <c r="D34" i="1550"/>
  <c r="R33" i="1550"/>
  <c r="R32" i="1550"/>
  <c r="L11" i="1550" s="1"/>
  <c r="D11" i="1550" s="1"/>
  <c r="R31" i="1550"/>
  <c r="R30" i="1550"/>
  <c r="R29" i="1550"/>
  <c r="R28" i="1550"/>
  <c r="D28" i="1550"/>
  <c r="R27" i="1550"/>
  <c r="D27" i="1550"/>
  <c r="R26" i="1550"/>
  <c r="L26" i="1550"/>
  <c r="D26" i="1550" s="1"/>
  <c r="R25" i="1550"/>
  <c r="L25" i="1550"/>
  <c r="D25" i="1550"/>
  <c r="R24" i="1550"/>
  <c r="D24" i="1550"/>
  <c r="R23" i="1550"/>
  <c r="D23" i="1550"/>
  <c r="R22" i="1550"/>
  <c r="D22" i="1550"/>
  <c r="R21" i="1550"/>
  <c r="D21" i="1550"/>
  <c r="R20" i="1550"/>
  <c r="R19" i="1550"/>
  <c r="D19" i="1550"/>
  <c r="R18" i="1550"/>
  <c r="D18" i="1550"/>
  <c r="R17" i="1550"/>
  <c r="L17" i="1550"/>
  <c r="D17" i="1550" s="1"/>
  <c r="R16" i="1550"/>
  <c r="L16" i="1550"/>
  <c r="D16" i="1550"/>
  <c r="R15" i="1550"/>
  <c r="D15" i="1550"/>
  <c r="R14" i="1550"/>
  <c r="D14" i="1550"/>
  <c r="R13" i="1550"/>
  <c r="D13" i="1550"/>
  <c r="R12" i="1550"/>
  <c r="L12" i="1550"/>
  <c r="D12" i="1550"/>
  <c r="R11" i="1550"/>
  <c r="L10" i="1550"/>
  <c r="D10" i="1550" s="1"/>
  <c r="L7" i="1550"/>
  <c r="D7" i="1550" s="1"/>
  <c r="R6" i="1550"/>
  <c r="L6" i="1550"/>
  <c r="D6" i="1550" s="1"/>
  <c r="R5" i="1550"/>
  <c r="R4" i="1550"/>
  <c r="D54" i="1549"/>
  <c r="H14" i="1549" s="1"/>
  <c r="R52" i="1549"/>
  <c r="R51" i="1549"/>
  <c r="D50" i="1549"/>
  <c r="R49" i="1549"/>
  <c r="G49" i="1549"/>
  <c r="D49" i="1549"/>
  <c r="R48" i="1549"/>
  <c r="D48" i="1549"/>
  <c r="D46" i="1549"/>
  <c r="D45" i="1549"/>
  <c r="D44" i="1549"/>
  <c r="R42" i="1549"/>
  <c r="D42" i="1549"/>
  <c r="R41" i="1549"/>
  <c r="L7" i="1549" s="1"/>
  <c r="D7" i="1549" s="1"/>
  <c r="D41" i="1549"/>
  <c r="R40" i="1549"/>
  <c r="L8" i="1549" s="1"/>
  <c r="D8" i="1549" s="1"/>
  <c r="D40" i="1549"/>
  <c r="R39" i="1549"/>
  <c r="D39" i="1549"/>
  <c r="R38" i="1549"/>
  <c r="L9" i="1549" s="1"/>
  <c r="D9" i="1549" s="1"/>
  <c r="D38" i="1549"/>
  <c r="R37" i="1549"/>
  <c r="D37" i="1549"/>
  <c r="R36" i="1549"/>
  <c r="L10" i="1549" s="1"/>
  <c r="D10" i="1549" s="1"/>
  <c r="D36" i="1549"/>
  <c r="R35" i="1549"/>
  <c r="D35" i="1549"/>
  <c r="R34" i="1549"/>
  <c r="D34" i="1549"/>
  <c r="R33" i="1549"/>
  <c r="L23" i="1549" s="1"/>
  <c r="D23" i="1549" s="1"/>
  <c r="R32" i="1549"/>
  <c r="L11" i="1549" s="1"/>
  <c r="D11" i="1549" s="1"/>
  <c r="R31" i="1549"/>
  <c r="R30" i="1549"/>
  <c r="R29" i="1549"/>
  <c r="R28" i="1549"/>
  <c r="L16" i="1549" s="1"/>
  <c r="D16" i="1549" s="1"/>
  <c r="D28" i="1549"/>
  <c r="R27" i="1549"/>
  <c r="D27" i="1549"/>
  <c r="R26" i="1549"/>
  <c r="L26" i="1549"/>
  <c r="D26" i="1549"/>
  <c r="R25" i="1549"/>
  <c r="L25" i="1549"/>
  <c r="D25" i="1549"/>
  <c r="R24" i="1549"/>
  <c r="D24" i="1549"/>
  <c r="R23" i="1549"/>
  <c r="R22" i="1549"/>
  <c r="L22" i="1549"/>
  <c r="D22" i="1549" s="1"/>
  <c r="R21" i="1549"/>
  <c r="D21" i="1549"/>
  <c r="R20" i="1549"/>
  <c r="L20" i="1549"/>
  <c r="D20" i="1549"/>
  <c r="R19" i="1549"/>
  <c r="L19" i="1549"/>
  <c r="D19" i="1549"/>
  <c r="R18" i="1549"/>
  <c r="D18" i="1549"/>
  <c r="R17" i="1549"/>
  <c r="D17" i="1549"/>
  <c r="R16" i="1549"/>
  <c r="S15" i="1549"/>
  <c r="R15" i="1549"/>
  <c r="D15" i="1549"/>
  <c r="S14" i="1549"/>
  <c r="R14" i="1549"/>
  <c r="D14" i="1549"/>
  <c r="R13" i="1549"/>
  <c r="D13" i="1549"/>
  <c r="R12" i="1549"/>
  <c r="L12" i="1549"/>
  <c r="D12" i="1549" s="1"/>
  <c r="R11" i="1549"/>
  <c r="R6" i="1549"/>
  <c r="L6" i="1549"/>
  <c r="D6" i="1549" s="1"/>
  <c r="R5" i="1549"/>
  <c r="R4" i="1549"/>
  <c r="R52" i="1548"/>
  <c r="R51" i="1548"/>
  <c r="D50" i="1548"/>
  <c r="R49" i="1548"/>
  <c r="D49" i="1548"/>
  <c r="R48" i="1548"/>
  <c r="D48" i="1548"/>
  <c r="D46" i="1548"/>
  <c r="D45" i="1548"/>
  <c r="D44" i="1548"/>
  <c r="R42" i="1548"/>
  <c r="D42" i="1548"/>
  <c r="R41" i="1548"/>
  <c r="D41" i="1548"/>
  <c r="R40" i="1548"/>
  <c r="L8" i="1548" s="1"/>
  <c r="D8" i="1548" s="1"/>
  <c r="D40" i="1548"/>
  <c r="R39" i="1548"/>
  <c r="H39" i="1548"/>
  <c r="D39" i="1548"/>
  <c r="R38" i="1548"/>
  <c r="L9" i="1548" s="1"/>
  <c r="D9" i="1548" s="1"/>
  <c r="H38" i="1548"/>
  <c r="D38" i="1548"/>
  <c r="R37" i="1548"/>
  <c r="H37" i="1548"/>
  <c r="D37" i="1548"/>
  <c r="R36" i="1548"/>
  <c r="H36" i="1548"/>
  <c r="D36" i="1548"/>
  <c r="R35" i="1548"/>
  <c r="H35" i="1548"/>
  <c r="D35" i="1548"/>
  <c r="R34" i="1548"/>
  <c r="H34" i="1548"/>
  <c r="D34" i="1548"/>
  <c r="R33" i="1548"/>
  <c r="L23" i="1548" s="1"/>
  <c r="D23" i="1548" s="1"/>
  <c r="R32" i="1548"/>
  <c r="R31" i="1548"/>
  <c r="R30" i="1548"/>
  <c r="R29" i="1548"/>
  <c r="R28" i="1548"/>
  <c r="L16" i="1548" s="1"/>
  <c r="D16" i="1548" s="1"/>
  <c r="D28" i="1548"/>
  <c r="R27" i="1548"/>
  <c r="D27" i="1548"/>
  <c r="R26" i="1548"/>
  <c r="L26" i="1548"/>
  <c r="D26" i="1548"/>
  <c r="R25" i="1548"/>
  <c r="L25" i="1548"/>
  <c r="D25" i="1548"/>
  <c r="R24" i="1548"/>
  <c r="D24" i="1548"/>
  <c r="R23" i="1548"/>
  <c r="R22" i="1548"/>
  <c r="L22" i="1548"/>
  <c r="D22" i="1548"/>
  <c r="R21" i="1548"/>
  <c r="D21" i="1548"/>
  <c r="R20" i="1548"/>
  <c r="L20" i="1548"/>
  <c r="D20" i="1548"/>
  <c r="R19" i="1548"/>
  <c r="L19" i="1548"/>
  <c r="D19" i="1548" s="1"/>
  <c r="R18" i="1548"/>
  <c r="D18" i="1548"/>
  <c r="R17" i="1548"/>
  <c r="D17" i="1548"/>
  <c r="R16" i="1548"/>
  <c r="R15" i="1548"/>
  <c r="D15" i="1548"/>
  <c r="R14" i="1548"/>
  <c r="D14" i="1548"/>
  <c r="R13" i="1548"/>
  <c r="D13" i="1548"/>
  <c r="R12" i="1548"/>
  <c r="L12" i="1548"/>
  <c r="D12" i="1548" s="1"/>
  <c r="R11" i="1548"/>
  <c r="L11" i="1548"/>
  <c r="D11" i="1548" s="1"/>
  <c r="L10" i="1548"/>
  <c r="D10" i="1548"/>
  <c r="L7" i="1548"/>
  <c r="D7" i="1548"/>
  <c r="R6" i="1548"/>
  <c r="L6" i="1548"/>
  <c r="D6" i="1548" s="1"/>
  <c r="R5" i="1548"/>
  <c r="R4" i="1548"/>
  <c r="R52" i="1547"/>
  <c r="R51" i="1547"/>
  <c r="D50" i="1547"/>
  <c r="R49" i="1547"/>
  <c r="D49" i="1547"/>
  <c r="R48" i="1547"/>
  <c r="D48" i="1547"/>
  <c r="D46" i="1547"/>
  <c r="D45" i="1547"/>
  <c r="D44" i="1547"/>
  <c r="R42" i="1547"/>
  <c r="D42" i="1547"/>
  <c r="R41" i="1547"/>
  <c r="L7" i="1547" s="1"/>
  <c r="D7" i="1547" s="1"/>
  <c r="D41" i="1547"/>
  <c r="R40" i="1547"/>
  <c r="L8" i="1547" s="1"/>
  <c r="D8" i="1547" s="1"/>
  <c r="D40" i="1547"/>
  <c r="R39" i="1547"/>
  <c r="L20" i="1547" s="1"/>
  <c r="D20" i="1547" s="1"/>
  <c r="H39" i="1547"/>
  <c r="D39" i="1547"/>
  <c r="R38" i="1547"/>
  <c r="H38" i="1547"/>
  <c r="D38" i="1547"/>
  <c r="R37" i="1547"/>
  <c r="H37" i="1547"/>
  <c r="D37" i="1547"/>
  <c r="R36" i="1547"/>
  <c r="L10" i="1547" s="1"/>
  <c r="D10" i="1547" s="1"/>
  <c r="H36" i="1547"/>
  <c r="D36" i="1547"/>
  <c r="R35" i="1547"/>
  <c r="H35" i="1547"/>
  <c r="D35" i="1547"/>
  <c r="R34" i="1547"/>
  <c r="H34" i="1547"/>
  <c r="D34" i="1547"/>
  <c r="R33" i="1547"/>
  <c r="L23" i="1547" s="1"/>
  <c r="D23" i="1547" s="1"/>
  <c r="R32" i="1547"/>
  <c r="L11" i="1547" s="1"/>
  <c r="D11" i="1547" s="1"/>
  <c r="R31" i="1547"/>
  <c r="R30" i="1547"/>
  <c r="R29" i="1547"/>
  <c r="R28" i="1547"/>
  <c r="D28" i="1547"/>
  <c r="R27" i="1547"/>
  <c r="D27" i="1547"/>
  <c r="R26" i="1547"/>
  <c r="L26" i="1547"/>
  <c r="D26" i="1547" s="1"/>
  <c r="R25" i="1547"/>
  <c r="L25" i="1547"/>
  <c r="D25" i="1547"/>
  <c r="R24" i="1547"/>
  <c r="L24" i="1547"/>
  <c r="D24" i="1547"/>
  <c r="R23" i="1547"/>
  <c r="R22" i="1547"/>
  <c r="L22" i="1547"/>
  <c r="D22" i="1547" s="1"/>
  <c r="R21" i="1547"/>
  <c r="L17" i="1547" s="1"/>
  <c r="D17" i="1547" s="1"/>
  <c r="D21" i="1547"/>
  <c r="R20" i="1547"/>
  <c r="R19" i="1547"/>
  <c r="L19" i="1547"/>
  <c r="D19" i="1547"/>
  <c r="R18" i="1547"/>
  <c r="D18" i="1547"/>
  <c r="R17" i="1547"/>
  <c r="R16" i="1547"/>
  <c r="L16" i="1547"/>
  <c r="D16" i="1547" s="1"/>
  <c r="R15" i="1547"/>
  <c r="D15" i="1547"/>
  <c r="R14" i="1547"/>
  <c r="D14" i="1547"/>
  <c r="R13" i="1547"/>
  <c r="D13" i="1547"/>
  <c r="R12" i="1547"/>
  <c r="L12" i="1547"/>
  <c r="D12" i="1547" s="1"/>
  <c r="R11" i="1547"/>
  <c r="L9" i="1547"/>
  <c r="D9" i="1547"/>
  <c r="R6" i="1547"/>
  <c r="L6" i="1547"/>
  <c r="D6" i="1547"/>
  <c r="R5" i="1547"/>
  <c r="R4" i="1547"/>
  <c r="R52" i="1546"/>
  <c r="R51" i="1546"/>
  <c r="D50" i="1546"/>
  <c r="R49" i="1546"/>
  <c r="D49" i="1546"/>
  <c r="R48" i="1546"/>
  <c r="D48" i="1546"/>
  <c r="D46" i="1546"/>
  <c r="D45" i="1546"/>
  <c r="P44" i="1546"/>
  <c r="R44" i="1546" s="1"/>
  <c r="D44" i="1546"/>
  <c r="R42" i="1546"/>
  <c r="D42" i="1546"/>
  <c r="R41" i="1546"/>
  <c r="D41" i="1546"/>
  <c r="R40" i="1546"/>
  <c r="L8" i="1546" s="1"/>
  <c r="D8" i="1546" s="1"/>
  <c r="D40" i="1546"/>
  <c r="R39" i="1546"/>
  <c r="L20" i="1546" s="1"/>
  <c r="D20" i="1546" s="1"/>
  <c r="H39" i="1546"/>
  <c r="D39" i="1546"/>
  <c r="R38" i="1546"/>
  <c r="L9" i="1546" s="1"/>
  <c r="D9" i="1546" s="1"/>
  <c r="H38" i="1546"/>
  <c r="D38" i="1546"/>
  <c r="R37" i="1546"/>
  <c r="H37" i="1546"/>
  <c r="D37" i="1546"/>
  <c r="R36" i="1546"/>
  <c r="H36" i="1546"/>
  <c r="D36" i="1546"/>
  <c r="R35" i="1546"/>
  <c r="H35" i="1546"/>
  <c r="D35" i="1546"/>
  <c r="R34" i="1546"/>
  <c r="L12" i="1546" s="1"/>
  <c r="D12" i="1546" s="1"/>
  <c r="H34" i="1546"/>
  <c r="D34" i="1546"/>
  <c r="R33" i="1546"/>
  <c r="R32" i="1546"/>
  <c r="R31" i="1546"/>
  <c r="R30" i="1546"/>
  <c r="R29" i="1546"/>
  <c r="R28" i="1546"/>
  <c r="D28" i="1546"/>
  <c r="R27" i="1546"/>
  <c r="D27" i="1546"/>
  <c r="R26" i="1546"/>
  <c r="L26" i="1546"/>
  <c r="D26" i="1546"/>
  <c r="R25" i="1546"/>
  <c r="L25" i="1546"/>
  <c r="D25" i="1546" s="1"/>
  <c r="R24" i="1546"/>
  <c r="L24" i="1546"/>
  <c r="D24" i="1546"/>
  <c r="R23" i="1546"/>
  <c r="D23" i="1546"/>
  <c r="R22" i="1546"/>
  <c r="D22" i="1546"/>
  <c r="R21" i="1546"/>
  <c r="D21" i="1546"/>
  <c r="R20" i="1546"/>
  <c r="R19" i="1546"/>
  <c r="D19" i="1546"/>
  <c r="R18" i="1546"/>
  <c r="D18" i="1546"/>
  <c r="R17" i="1546"/>
  <c r="L17" i="1546"/>
  <c r="D17" i="1546"/>
  <c r="R16" i="1546"/>
  <c r="L16" i="1546"/>
  <c r="D16" i="1546"/>
  <c r="R15" i="1546"/>
  <c r="D15" i="1546"/>
  <c r="R14" i="1546"/>
  <c r="D14" i="1546"/>
  <c r="R13" i="1546"/>
  <c r="D13" i="1546"/>
  <c r="R12" i="1546"/>
  <c r="R11" i="1546"/>
  <c r="L11" i="1546"/>
  <c r="D11" i="1546" s="1"/>
  <c r="L10" i="1546"/>
  <c r="D10" i="1546" s="1"/>
  <c r="L7" i="1546"/>
  <c r="D7" i="1546"/>
  <c r="R6" i="1546"/>
  <c r="L6" i="1546"/>
  <c r="D6" i="1546" s="1"/>
  <c r="R5" i="1546"/>
  <c r="R4" i="1546"/>
  <c r="R52" i="1545"/>
  <c r="R51" i="1545"/>
  <c r="D50" i="1545"/>
  <c r="R49" i="1545"/>
  <c r="G49" i="1545"/>
  <c r="D49" i="1545"/>
  <c r="R48" i="1545"/>
  <c r="D48" i="1545"/>
  <c r="D46" i="1545"/>
  <c r="D45" i="1545"/>
  <c r="D44" i="1545"/>
  <c r="R42" i="1545"/>
  <c r="L6" i="1545" s="1"/>
  <c r="D6" i="1545" s="1"/>
  <c r="D42" i="1545"/>
  <c r="R41" i="1545"/>
  <c r="L7" i="1545" s="1"/>
  <c r="D7" i="1545" s="1"/>
  <c r="D41" i="1545"/>
  <c r="R40" i="1545"/>
  <c r="L8" i="1545" s="1"/>
  <c r="D8" i="1545" s="1"/>
  <c r="D40" i="1545"/>
  <c r="R39" i="1545"/>
  <c r="D39" i="1545"/>
  <c r="R38" i="1545"/>
  <c r="D38" i="1545"/>
  <c r="R37" i="1545"/>
  <c r="D37" i="1545"/>
  <c r="R36" i="1545"/>
  <c r="L10" i="1545" s="1"/>
  <c r="D10" i="1545" s="1"/>
  <c r="D36" i="1545"/>
  <c r="R35" i="1545"/>
  <c r="D35" i="1545"/>
  <c r="R34" i="1545"/>
  <c r="L12" i="1545" s="1"/>
  <c r="D12" i="1545" s="1"/>
  <c r="D34" i="1545"/>
  <c r="D54" i="1545" s="1"/>
  <c r="H14" i="1545" s="1"/>
  <c r="R33" i="1545"/>
  <c r="L23" i="1545" s="1"/>
  <c r="D23" i="1545" s="1"/>
  <c r="R32" i="1545"/>
  <c r="R31" i="1545"/>
  <c r="R30" i="1545"/>
  <c r="R29" i="1545"/>
  <c r="R28" i="1545"/>
  <c r="D28" i="1545"/>
  <c r="R27" i="1545"/>
  <c r="D27" i="1545"/>
  <c r="R26" i="1545"/>
  <c r="L26" i="1545"/>
  <c r="D26" i="1545"/>
  <c r="R25" i="1545"/>
  <c r="L25" i="1545"/>
  <c r="D25" i="1545"/>
  <c r="R24" i="1545"/>
  <c r="D24" i="1545"/>
  <c r="R23" i="1545"/>
  <c r="R22" i="1545"/>
  <c r="L22" i="1545"/>
  <c r="D22" i="1545"/>
  <c r="R21" i="1545"/>
  <c r="D21" i="1545"/>
  <c r="R20" i="1545"/>
  <c r="L20" i="1545"/>
  <c r="D20" i="1545"/>
  <c r="R19" i="1545"/>
  <c r="L19" i="1545"/>
  <c r="D19" i="1545"/>
  <c r="R18" i="1545"/>
  <c r="D18" i="1545"/>
  <c r="R17" i="1545"/>
  <c r="D17" i="1545"/>
  <c r="R16" i="1545"/>
  <c r="L16" i="1545"/>
  <c r="D16" i="1545" s="1"/>
  <c r="S15" i="1545"/>
  <c r="R15" i="1545"/>
  <c r="D15" i="1545"/>
  <c r="S14" i="1545"/>
  <c r="R14" i="1545"/>
  <c r="D14" i="1545"/>
  <c r="R13" i="1545"/>
  <c r="D13" i="1545"/>
  <c r="R12" i="1545"/>
  <c r="R11" i="1545"/>
  <c r="L11" i="1545"/>
  <c r="D11" i="1545"/>
  <c r="L9" i="1545"/>
  <c r="D9" i="1545"/>
  <c r="R6" i="1545"/>
  <c r="R5" i="1545"/>
  <c r="R4" i="1545"/>
  <c r="R52" i="1544"/>
  <c r="R51" i="1544"/>
  <c r="D50" i="1544"/>
  <c r="R49" i="1544"/>
  <c r="D49" i="1544"/>
  <c r="R48" i="1544"/>
  <c r="D48" i="1544"/>
  <c r="D46" i="1544"/>
  <c r="D45" i="1544"/>
  <c r="D44" i="1544"/>
  <c r="R42" i="1544"/>
  <c r="D42" i="1544"/>
  <c r="R41" i="1544"/>
  <c r="L7" i="1544" s="1"/>
  <c r="D7" i="1544" s="1"/>
  <c r="D41" i="1544"/>
  <c r="R40" i="1544"/>
  <c r="L8" i="1544" s="1"/>
  <c r="D8" i="1544" s="1"/>
  <c r="D40" i="1544"/>
  <c r="R39" i="1544"/>
  <c r="H39" i="1544"/>
  <c r="D39" i="1544"/>
  <c r="R38" i="1544"/>
  <c r="H38" i="1544"/>
  <c r="D38" i="1544"/>
  <c r="R37" i="1544"/>
  <c r="H37" i="1544"/>
  <c r="D37" i="1544"/>
  <c r="R36" i="1544"/>
  <c r="L10" i="1544" s="1"/>
  <c r="D10" i="1544" s="1"/>
  <c r="H36" i="1544"/>
  <c r="D36" i="1544"/>
  <c r="R35" i="1544"/>
  <c r="L19" i="1544" s="1"/>
  <c r="D19" i="1544" s="1"/>
  <c r="H35" i="1544"/>
  <c r="D35" i="1544"/>
  <c r="R34" i="1544"/>
  <c r="H34" i="1544"/>
  <c r="G49" i="1544" s="1"/>
  <c r="D34" i="1544"/>
  <c r="R33" i="1544"/>
  <c r="L23" i="1544" s="1"/>
  <c r="D23" i="1544" s="1"/>
  <c r="R32" i="1544"/>
  <c r="L11" i="1544" s="1"/>
  <c r="D11" i="1544" s="1"/>
  <c r="R31" i="1544"/>
  <c r="R30" i="1544"/>
  <c r="R29" i="1544"/>
  <c r="R28" i="1544"/>
  <c r="L16" i="1544" s="1"/>
  <c r="D16" i="1544" s="1"/>
  <c r="D28" i="1544"/>
  <c r="R27" i="1544"/>
  <c r="D27" i="1544"/>
  <c r="R26" i="1544"/>
  <c r="L26" i="1544"/>
  <c r="D26" i="1544"/>
  <c r="R25" i="1544"/>
  <c r="L25" i="1544"/>
  <c r="D25" i="1544" s="1"/>
  <c r="R24" i="1544"/>
  <c r="D24" i="1544"/>
  <c r="R23" i="1544"/>
  <c r="R22" i="1544"/>
  <c r="L22" i="1544"/>
  <c r="D22" i="1544" s="1"/>
  <c r="R21" i="1544"/>
  <c r="D21" i="1544"/>
  <c r="R20" i="1544"/>
  <c r="L20" i="1544"/>
  <c r="D20" i="1544"/>
  <c r="R19" i="1544"/>
  <c r="R18" i="1544"/>
  <c r="D18" i="1544"/>
  <c r="R17" i="1544"/>
  <c r="D17" i="1544"/>
  <c r="R16" i="1544"/>
  <c r="R15" i="1544"/>
  <c r="D15" i="1544"/>
  <c r="R14" i="1544"/>
  <c r="D14" i="1544"/>
  <c r="R13" i="1544"/>
  <c r="D13" i="1544"/>
  <c r="R12" i="1544"/>
  <c r="L12" i="1544"/>
  <c r="D12" i="1544" s="1"/>
  <c r="R11" i="1544"/>
  <c r="L9" i="1544"/>
  <c r="D9" i="1544"/>
  <c r="R6" i="1544"/>
  <c r="L6" i="1544"/>
  <c r="D6" i="1544" s="1"/>
  <c r="R5" i="1544"/>
  <c r="R4" i="1544"/>
  <c r="R52" i="1543"/>
  <c r="R51" i="1543"/>
  <c r="D50" i="1543"/>
  <c r="R49" i="1543"/>
  <c r="D49" i="1543"/>
  <c r="R48" i="1543"/>
  <c r="D48" i="1543"/>
  <c r="D46" i="1543"/>
  <c r="D45" i="1543"/>
  <c r="D44" i="1543"/>
  <c r="R42" i="1543"/>
  <c r="D42" i="1543"/>
  <c r="R41" i="1543"/>
  <c r="L7" i="1543" s="1"/>
  <c r="D7" i="1543" s="1"/>
  <c r="D41" i="1543"/>
  <c r="R40" i="1543"/>
  <c r="L8" i="1543" s="1"/>
  <c r="D8" i="1543" s="1"/>
  <c r="D40" i="1543"/>
  <c r="R39" i="1543"/>
  <c r="L20" i="1543" s="1"/>
  <c r="D20" i="1543" s="1"/>
  <c r="H39" i="1543"/>
  <c r="D39" i="1543"/>
  <c r="R38" i="1543"/>
  <c r="L9" i="1543" s="1"/>
  <c r="D9" i="1543" s="1"/>
  <c r="H38" i="1543"/>
  <c r="D38" i="1543"/>
  <c r="R37" i="1543"/>
  <c r="H37" i="1543"/>
  <c r="D37" i="1543"/>
  <c r="R36" i="1543"/>
  <c r="L10" i="1543" s="1"/>
  <c r="D10" i="1543" s="1"/>
  <c r="H36" i="1543"/>
  <c r="D36" i="1543"/>
  <c r="R35" i="1543"/>
  <c r="L19" i="1543" s="1"/>
  <c r="D19" i="1543" s="1"/>
  <c r="H35" i="1543"/>
  <c r="D35" i="1543"/>
  <c r="R34" i="1543"/>
  <c r="H34" i="1543"/>
  <c r="D34" i="1543"/>
  <c r="R33" i="1543"/>
  <c r="L23" i="1543" s="1"/>
  <c r="D23" i="1543" s="1"/>
  <c r="R32" i="1543"/>
  <c r="L11" i="1543" s="1"/>
  <c r="D11" i="1543" s="1"/>
  <c r="R31" i="1543"/>
  <c r="R30" i="1543"/>
  <c r="R29" i="1543"/>
  <c r="R28" i="1543"/>
  <c r="D28" i="1543"/>
  <c r="R27" i="1543"/>
  <c r="D27" i="1543"/>
  <c r="R26" i="1543"/>
  <c r="L26" i="1543"/>
  <c r="D26" i="1543" s="1"/>
  <c r="R25" i="1543"/>
  <c r="L25" i="1543"/>
  <c r="D25" i="1543"/>
  <c r="R24" i="1543"/>
  <c r="D24" i="1543"/>
  <c r="R23" i="1543"/>
  <c r="R22" i="1543"/>
  <c r="L22" i="1543"/>
  <c r="D22" i="1543" s="1"/>
  <c r="R21" i="1543"/>
  <c r="L17" i="1543" s="1"/>
  <c r="D17" i="1543" s="1"/>
  <c r="D21" i="1543"/>
  <c r="R20" i="1543"/>
  <c r="R19" i="1543"/>
  <c r="R18" i="1543"/>
  <c r="D18" i="1543"/>
  <c r="R17" i="1543"/>
  <c r="R16" i="1543"/>
  <c r="L16" i="1543"/>
  <c r="D16" i="1543" s="1"/>
  <c r="R15" i="1543"/>
  <c r="D15" i="1543"/>
  <c r="R14" i="1543"/>
  <c r="D14" i="1543"/>
  <c r="R13" i="1543"/>
  <c r="D13" i="1543"/>
  <c r="R12" i="1543"/>
  <c r="L12" i="1543"/>
  <c r="D12" i="1543"/>
  <c r="R11" i="1543"/>
  <c r="R6" i="1543"/>
  <c r="L6" i="1543"/>
  <c r="D6" i="1543" s="1"/>
  <c r="R5" i="1543"/>
  <c r="R4" i="1543"/>
  <c r="R52" i="1542"/>
  <c r="R51" i="1542"/>
  <c r="D50" i="1542"/>
  <c r="R49" i="1542"/>
  <c r="D49" i="1542"/>
  <c r="R48" i="1542"/>
  <c r="D48" i="1542"/>
  <c r="D46" i="1542"/>
  <c r="D45" i="1542"/>
  <c r="P44" i="1542"/>
  <c r="R44" i="1542" s="1"/>
  <c r="D44" i="1542"/>
  <c r="R42" i="1542"/>
  <c r="L6" i="1542" s="1"/>
  <c r="D6" i="1542" s="1"/>
  <c r="D42" i="1542"/>
  <c r="R41" i="1542"/>
  <c r="L7" i="1542" s="1"/>
  <c r="D7" i="1542" s="1"/>
  <c r="D41" i="1542"/>
  <c r="R40" i="1542"/>
  <c r="D40" i="1542"/>
  <c r="R39" i="1542"/>
  <c r="L20" i="1542" s="1"/>
  <c r="D20" i="1542" s="1"/>
  <c r="H39" i="1542"/>
  <c r="D39" i="1542"/>
  <c r="R38" i="1542"/>
  <c r="H38" i="1542"/>
  <c r="D38" i="1542"/>
  <c r="R37" i="1542"/>
  <c r="H37" i="1542"/>
  <c r="D37" i="1542"/>
  <c r="R36" i="1542"/>
  <c r="H36" i="1542"/>
  <c r="D36" i="1542"/>
  <c r="R35" i="1542"/>
  <c r="H35" i="1542"/>
  <c r="D35" i="1542"/>
  <c r="R34" i="1542"/>
  <c r="H34" i="1542"/>
  <c r="D34" i="1542"/>
  <c r="R33" i="1542"/>
  <c r="R32" i="1542"/>
  <c r="R31" i="1542"/>
  <c r="R30" i="1542"/>
  <c r="R29" i="1542"/>
  <c r="R28" i="1542"/>
  <c r="D28" i="1542"/>
  <c r="R27" i="1542"/>
  <c r="D27" i="1542"/>
  <c r="R26" i="1542"/>
  <c r="L26" i="1542"/>
  <c r="D26" i="1542"/>
  <c r="R25" i="1542"/>
  <c r="L25" i="1542"/>
  <c r="D25" i="1542"/>
  <c r="R24" i="1542"/>
  <c r="L24" i="1542"/>
  <c r="D24" i="1542"/>
  <c r="R23" i="1542"/>
  <c r="D23" i="1542"/>
  <c r="R22" i="1542"/>
  <c r="D22" i="1542"/>
  <c r="R21" i="1542"/>
  <c r="D21" i="1542"/>
  <c r="R20" i="1542"/>
  <c r="R19" i="1542"/>
  <c r="D19" i="1542"/>
  <c r="R18" i="1542"/>
  <c r="D18" i="1542"/>
  <c r="R17" i="1542"/>
  <c r="L17" i="1542"/>
  <c r="D17" i="1542"/>
  <c r="R16" i="1542"/>
  <c r="L16" i="1542"/>
  <c r="D16" i="1542"/>
  <c r="R15" i="1542"/>
  <c r="D15" i="1542"/>
  <c r="R14" i="1542"/>
  <c r="D14" i="1542"/>
  <c r="R13" i="1542"/>
  <c r="D13" i="1542"/>
  <c r="R12" i="1542"/>
  <c r="L12" i="1542"/>
  <c r="D12" i="1542"/>
  <c r="R11" i="1542"/>
  <c r="L11" i="1542"/>
  <c r="D11" i="1542"/>
  <c r="L10" i="1542"/>
  <c r="D10" i="1542" s="1"/>
  <c r="L9" i="1542"/>
  <c r="D9" i="1542" s="1"/>
  <c r="L8" i="1542"/>
  <c r="D8" i="1542"/>
  <c r="R6" i="1542"/>
  <c r="R5" i="1542"/>
  <c r="R4" i="1542"/>
  <c r="D54" i="1541"/>
  <c r="H14" i="1541" s="1"/>
  <c r="R52" i="1541"/>
  <c r="R51" i="1541"/>
  <c r="D50" i="1541"/>
  <c r="R49" i="1541"/>
  <c r="G49" i="1541"/>
  <c r="D49" i="1541"/>
  <c r="R48" i="1541"/>
  <c r="D48" i="1541"/>
  <c r="D46" i="1541"/>
  <c r="D45" i="1541"/>
  <c r="D44" i="1541"/>
  <c r="R42" i="1541"/>
  <c r="D42" i="1541"/>
  <c r="R41" i="1541"/>
  <c r="L7" i="1541" s="1"/>
  <c r="D7" i="1541" s="1"/>
  <c r="D41" i="1541"/>
  <c r="R40" i="1541"/>
  <c r="L8" i="1541" s="1"/>
  <c r="D8" i="1541" s="1"/>
  <c r="D40" i="1541"/>
  <c r="R39" i="1541"/>
  <c r="D39" i="1541"/>
  <c r="R38" i="1541"/>
  <c r="D38" i="1541"/>
  <c r="R37" i="1541"/>
  <c r="D37" i="1541"/>
  <c r="R36" i="1541"/>
  <c r="D36" i="1541"/>
  <c r="R35" i="1541"/>
  <c r="D35" i="1541"/>
  <c r="R34" i="1541"/>
  <c r="L12" i="1541" s="1"/>
  <c r="D12" i="1541" s="1"/>
  <c r="D34" i="1541"/>
  <c r="R33" i="1541"/>
  <c r="L23" i="1541" s="1"/>
  <c r="D23" i="1541" s="1"/>
  <c r="R32" i="1541"/>
  <c r="L11" i="1541" s="1"/>
  <c r="D11" i="1541" s="1"/>
  <c r="R31" i="1541"/>
  <c r="R30" i="1541"/>
  <c r="R29" i="1541"/>
  <c r="R28" i="1541"/>
  <c r="L16" i="1541" s="1"/>
  <c r="D16" i="1541" s="1"/>
  <c r="D28" i="1541"/>
  <c r="R27" i="1541"/>
  <c r="D27" i="1541"/>
  <c r="R26" i="1541"/>
  <c r="L26" i="1541"/>
  <c r="D26" i="1541"/>
  <c r="R25" i="1541"/>
  <c r="L25" i="1541"/>
  <c r="D25" i="1541"/>
  <c r="R24" i="1541"/>
  <c r="D24" i="1541"/>
  <c r="R23" i="1541"/>
  <c r="R22" i="1541"/>
  <c r="L22" i="1541"/>
  <c r="D22" i="1541"/>
  <c r="R21" i="1541"/>
  <c r="D21" i="1541"/>
  <c r="R20" i="1541"/>
  <c r="L20" i="1541"/>
  <c r="D20" i="1541"/>
  <c r="R19" i="1541"/>
  <c r="L19" i="1541"/>
  <c r="D19" i="1541"/>
  <c r="R18" i="1541"/>
  <c r="D18" i="1541"/>
  <c r="R17" i="1541"/>
  <c r="D17" i="1541"/>
  <c r="R16" i="1541"/>
  <c r="S15" i="1541"/>
  <c r="R15" i="1541"/>
  <c r="D15" i="1541"/>
  <c r="S14" i="1541"/>
  <c r="R14" i="1541"/>
  <c r="D14" i="1541"/>
  <c r="R13" i="1541"/>
  <c r="D13" i="1541"/>
  <c r="R12" i="1541"/>
  <c r="R11" i="1541"/>
  <c r="L10" i="1541"/>
  <c r="D10" i="1541"/>
  <c r="L9" i="1541"/>
  <c r="D9" i="1541"/>
  <c r="R6" i="1541"/>
  <c r="L6" i="1541"/>
  <c r="D6" i="1541" s="1"/>
  <c r="R5" i="1541"/>
  <c r="R4" i="1541"/>
  <c r="G49" i="1564" l="1"/>
  <c r="G49" i="1563"/>
  <c r="D54" i="1564"/>
  <c r="H14" i="1564" s="1"/>
  <c r="D54" i="1563"/>
  <c r="H14" i="1563" s="1"/>
  <c r="D29" i="1563"/>
  <c r="H13" i="1563" s="1"/>
  <c r="D54" i="1562"/>
  <c r="H14" i="1562" s="1"/>
  <c r="D29" i="1562"/>
  <c r="H13" i="1562" s="1"/>
  <c r="D54" i="1560"/>
  <c r="H14" i="1560" s="1"/>
  <c r="D29" i="1560"/>
  <c r="H13" i="1560" s="1"/>
  <c r="D54" i="1559"/>
  <c r="H14" i="1559" s="1"/>
  <c r="D29" i="1559"/>
  <c r="H13" i="1559" s="1"/>
  <c r="D54" i="1558"/>
  <c r="H14" i="1558" s="1"/>
  <c r="G49" i="1560"/>
  <c r="G49" i="1559"/>
  <c r="G49" i="1558"/>
  <c r="G49" i="1556"/>
  <c r="G49" i="1555"/>
  <c r="G49" i="1554"/>
  <c r="D54" i="1556"/>
  <c r="H14" i="1556" s="1"/>
  <c r="D54" i="1555"/>
  <c r="H14" i="1555" s="1"/>
  <c r="D54" i="1554"/>
  <c r="H14" i="1554" s="1"/>
  <c r="D54" i="1552"/>
  <c r="H14" i="1552" s="1"/>
  <c r="D54" i="1551"/>
  <c r="H14" i="1551" s="1"/>
  <c r="D54" i="1550"/>
  <c r="H14" i="1550" s="1"/>
  <c r="G49" i="1547"/>
  <c r="G49" i="1546"/>
  <c r="D54" i="1548"/>
  <c r="H14" i="1548" s="1"/>
  <c r="D54" i="1547"/>
  <c r="H14" i="1547" s="1"/>
  <c r="D54" i="1546"/>
  <c r="H14" i="1546" s="1"/>
  <c r="D54" i="1544"/>
  <c r="H14" i="1544" s="1"/>
  <c r="D54" i="1543"/>
  <c r="H14" i="1543" s="1"/>
  <c r="D54" i="1542"/>
  <c r="H14" i="1542" s="1"/>
  <c r="G49" i="1543"/>
  <c r="G49" i="1542"/>
  <c r="D29" i="1564"/>
  <c r="H13" i="1564" s="1"/>
  <c r="D29" i="1561"/>
  <c r="H13" i="1561" s="1"/>
  <c r="H15" i="1561" s="1"/>
  <c r="H29" i="1561" s="1"/>
  <c r="G51" i="1561" s="1"/>
  <c r="D29" i="1558"/>
  <c r="H13" i="1558" s="1"/>
  <c r="D29" i="1557"/>
  <c r="H13" i="1557" s="1"/>
  <c r="H15" i="1557" s="1"/>
  <c r="H29" i="1557" s="1"/>
  <c r="G51" i="1557" s="1"/>
  <c r="D29" i="1556"/>
  <c r="H13" i="1556" s="1"/>
  <c r="D29" i="1555"/>
  <c r="H13" i="1555" s="1"/>
  <c r="D29" i="1554"/>
  <c r="H13" i="1554" s="1"/>
  <c r="H15" i="1554" s="1"/>
  <c r="H29" i="1554" s="1"/>
  <c r="D29" i="1553"/>
  <c r="H13" i="1553" s="1"/>
  <c r="H15" i="1553" s="1"/>
  <c r="H29" i="1553" s="1"/>
  <c r="G51" i="1553" s="1"/>
  <c r="D29" i="1552"/>
  <c r="H13" i="1552" s="1"/>
  <c r="D29" i="1551"/>
  <c r="H13" i="1551" s="1"/>
  <c r="H15" i="1551" s="1"/>
  <c r="H29" i="1551" s="1"/>
  <c r="G51" i="1551" s="1"/>
  <c r="D29" i="1550"/>
  <c r="H13" i="1550" s="1"/>
  <c r="D29" i="1549"/>
  <c r="H13" i="1549" s="1"/>
  <c r="H15" i="1549" s="1"/>
  <c r="H29" i="1549" s="1"/>
  <c r="G51" i="1549" s="1"/>
  <c r="D29" i="1548"/>
  <c r="H13" i="1548" s="1"/>
  <c r="D29" i="1547"/>
  <c r="H13" i="1547" s="1"/>
  <c r="D29" i="1546"/>
  <c r="H13" i="1546" s="1"/>
  <c r="H15" i="1546" s="1"/>
  <c r="H29" i="1546" s="1"/>
  <c r="G51" i="1546" s="1"/>
  <c r="D29" i="1545"/>
  <c r="H13" i="1545" s="1"/>
  <c r="H15" i="1545" s="1"/>
  <c r="H29" i="1545" s="1"/>
  <c r="G51" i="1545" s="1"/>
  <c r="D29" i="1544"/>
  <c r="H13" i="1544" s="1"/>
  <c r="D29" i="1543"/>
  <c r="H13" i="1543" s="1"/>
  <c r="D29" i="1542"/>
  <c r="H13" i="1542" s="1"/>
  <c r="D29" i="1541"/>
  <c r="H13" i="1541" s="1"/>
  <c r="H15" i="1541" s="1"/>
  <c r="H29" i="1541" s="1"/>
  <c r="G51" i="1541" s="1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R34" i="1539"/>
  <c r="H34" i="1539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D35" i="1538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D34" i="1537"/>
  <c r="R33" i="1537"/>
  <c r="R32" i="1537"/>
  <c r="R31" i="1537"/>
  <c r="R30" i="1537"/>
  <c r="R29" i="1537"/>
  <c r="R28" i="1537"/>
  <c r="D28" i="1537"/>
  <c r="R27" i="1537"/>
  <c r="D27" i="1537"/>
  <c r="R26" i="1537"/>
  <c r="D26" i="1537"/>
  <c r="R25" i="1537"/>
  <c r="D25" i="1537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H15" i="1564" l="1"/>
  <c r="H29" i="1564" s="1"/>
  <c r="G51" i="1564" s="1"/>
  <c r="H15" i="1563"/>
  <c r="H29" i="1563" s="1"/>
  <c r="G51" i="1563" s="1"/>
  <c r="H15" i="1562"/>
  <c r="H29" i="1562" s="1"/>
  <c r="G51" i="1562" s="1"/>
  <c r="H15" i="1560"/>
  <c r="H29" i="1560" s="1"/>
  <c r="G51" i="1560" s="1"/>
  <c r="H15" i="1559"/>
  <c r="H29" i="1559" s="1"/>
  <c r="G51" i="1559" s="1"/>
  <c r="H15" i="1558"/>
  <c r="H29" i="1558" s="1"/>
  <c r="G51" i="1558" s="1"/>
  <c r="G51" i="1554"/>
  <c r="H15" i="1556"/>
  <c r="H29" i="1556" s="1"/>
  <c r="G51" i="1556" s="1"/>
  <c r="H15" i="1555"/>
  <c r="H29" i="1555" s="1"/>
  <c r="G51" i="1555" s="1"/>
  <c r="H15" i="1552"/>
  <c r="H29" i="1552" s="1"/>
  <c r="G51" i="1552" s="1"/>
  <c r="H15" i="1550"/>
  <c r="H29" i="1550" s="1"/>
  <c r="G51" i="1550" s="1"/>
  <c r="H15" i="1548"/>
  <c r="G51" i="1548" s="1"/>
  <c r="H15" i="1547"/>
  <c r="H29" i="1547" s="1"/>
  <c r="G51" i="1547" s="1"/>
  <c r="H15" i="1544"/>
  <c r="H29" i="1544" s="1"/>
  <c r="G51" i="1544" s="1"/>
  <c r="H15" i="1543"/>
  <c r="H29" i="1543" s="1"/>
  <c r="G51" i="1543" s="1"/>
  <c r="H15" i="1542"/>
  <c r="H29" i="1542" s="1"/>
  <c r="G51" i="1542"/>
  <c r="G49" i="1539"/>
  <c r="G49" i="1538"/>
  <c r="G49" i="1537"/>
  <c r="D54" i="1539"/>
  <c r="H14" i="1539" s="1"/>
  <c r="D54" i="1538"/>
  <c r="H14" i="1538" s="1"/>
  <c r="D54" i="1537"/>
  <c r="H14" i="1537" s="1"/>
  <c r="D29" i="1537"/>
  <c r="H13" i="1537" s="1"/>
  <c r="D29" i="1539"/>
  <c r="H13" i="1539" s="1"/>
  <c r="D29" i="1538"/>
  <c r="H13" i="1538" s="1"/>
  <c r="D29" i="1536"/>
  <c r="H13" i="1536" s="1"/>
  <c r="H15" i="1536" s="1"/>
  <c r="H29" i="1536" s="1"/>
  <c r="G51" i="1536" s="1"/>
  <c r="H15" i="1539" l="1"/>
  <c r="H29" i="1539" s="1"/>
  <c r="G51" i="1539" s="1"/>
  <c r="H15" i="1538"/>
  <c r="H29" i="1538" s="1"/>
  <c r="G51" i="1538" s="1"/>
  <c r="H15" i="1537"/>
  <c r="H29" i="1537" s="1"/>
  <c r="G51" i="1537" s="1"/>
</calcChain>
</file>

<file path=xl/sharedStrings.xml><?xml version="1.0" encoding="utf-8"?>
<sst xmlns="http://schemas.openxmlformats.org/spreadsheetml/2006/main" count="10038" uniqueCount="194">
  <si>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</si>
  <si>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</si>
  <si>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</si>
  <si>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</si>
  <si>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</si>
  <si>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</si>
  <si>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</si>
  <si>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</si>
  <si>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</si>
  <si>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</si>
  <si>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</si>
  <si>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</si>
  <si>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</si>
  <si>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</si>
  <si>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</si>
  <si>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</si>
  <si>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</si>
  <si>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</si>
  <si>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</si>
  <si>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</si>
  <si>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</si>
  <si>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</si>
  <si>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</si>
  <si>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</si>
  <si>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</si>
  <si>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</si>
  <si>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</si>
  <si>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</si>
  <si>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</si>
  <si>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</si>
  <si>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</si>
  <si>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</si>
  <si>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</si>
  <si>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</si>
  <si>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</si>
  <si>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</si>
  <si>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</si>
  <si>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</si>
  <si>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</si>
  <si>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</si>
  <si>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</si>
  <si>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</si>
  <si>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</si>
  <si>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</si>
  <si>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</si>
  <si>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</si>
  <si>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</si>
  <si>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</si>
  <si>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</si>
  <si>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</si>
  <si>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</si>
  <si>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</si>
  <si>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</si>
  <si>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</si>
  <si>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</si>
  <si>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</si>
  <si>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</si>
  <si>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</si>
  <si>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</si>
  <si>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</si>
  <si>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</si>
  <si>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</si>
  <si>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</si>
  <si>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</si>
  <si>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</si>
  <si>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</si>
  <si>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</si>
  <si>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</si>
  <si>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</si>
  <si>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</si>
  <si>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</si>
  <si>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</si>
  <si>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</si>
  <si>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</si>
  <si>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</si>
  <si>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</si>
  <si>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</si>
  <si>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</si>
  <si>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</si>
  <si>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</si>
  <si>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</si>
  <si>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</si>
  <si>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</si>
  <si>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</si>
  <si>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</si>
  <si>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</si>
  <si>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</si>
  <si>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</si>
  <si>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</si>
  <si>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</si>
  <si>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</si>
  <si>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</si>
  <si>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</si>
  <si>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</si>
  <si>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</si>
  <si>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</si>
  <si>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</si>
  <si>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</si>
  <si>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</si>
  <si>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</si>
  <si>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</si>
  <si>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</si>
  <si>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</si>
  <si>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</si>
  <si>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</si>
  <si>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</si>
  <si>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</si>
  <si>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</si>
  <si>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</si>
  <si>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</si>
  <si>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</si>
  <si>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</si>
  <si>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</si>
  <si>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</si>
  <si>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</si>
  <si>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</si>
  <si>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</si>
  <si>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</si>
  <si>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</si>
  <si>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</si>
  <si>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</si>
  <si>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</si>
  <si>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</si>
  <si>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</si>
  <si>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</si>
  <si>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</si>
  <si>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</si>
  <si>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</si>
  <si>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</si>
  <si>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</si>
  <si>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</si>
  <si>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</si>
  <si>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</si>
  <si>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</si>
  <si>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</si>
  <si>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</si>
  <si>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</si>
  <si>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</si>
  <si>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</si>
  <si>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</si>
  <si>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</si>
  <si>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</si>
  <si>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</si>
  <si>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t>FB BOTT.</t>
  </si>
  <si>
    <t>PP BOTT.</t>
  </si>
  <si>
    <t>G-CASH</t>
  </si>
  <si>
    <t>PNB BANK TRANSFER</t>
  </si>
  <si>
    <t>BALWARTE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</si>
  <si>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</si>
  <si>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G-CASH(NEILVIN)</t>
  </si>
  <si>
    <t>BDO</t>
  </si>
  <si>
    <t>140843</t>
  </si>
  <si>
    <t>1VB</t>
  </si>
  <si>
    <t>4820778</t>
  </si>
  <si>
    <t>ELIZABETH HENSON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</si>
  <si>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</si>
  <si>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42909</t>
  </si>
  <si>
    <t>47839</t>
  </si>
  <si>
    <t>BANK TRANSFER</t>
  </si>
  <si>
    <t>MERCADO</t>
  </si>
  <si>
    <t>4820762</t>
  </si>
  <si>
    <t>FBAC/FBLYC</t>
  </si>
  <si>
    <t>140854</t>
  </si>
  <si>
    <t>PNB</t>
  </si>
  <si>
    <t>200005619</t>
  </si>
  <si>
    <t>200002634</t>
  </si>
  <si>
    <t>SOUND CHECK</t>
  </si>
  <si>
    <t>PSBC</t>
  </si>
  <si>
    <t>2120007601</t>
  </si>
  <si>
    <t>2120012734</t>
  </si>
  <si>
    <t>47849</t>
  </si>
  <si>
    <t>200002637</t>
  </si>
  <si>
    <t>SOUNDCHECK</t>
  </si>
  <si>
    <t>42916</t>
  </si>
  <si>
    <t>135251</t>
  </si>
  <si>
    <t>200002642</t>
  </si>
  <si>
    <t>146729</t>
  </si>
  <si>
    <t>47858</t>
  </si>
  <si>
    <t>4820760</t>
  </si>
  <si>
    <t>SMLB BOTT.</t>
  </si>
  <si>
    <t>144902</t>
  </si>
  <si>
    <t>200007315</t>
  </si>
  <si>
    <t>2120007602</t>
  </si>
  <si>
    <t>2120012750</t>
  </si>
  <si>
    <t>143297</t>
  </si>
  <si>
    <t>146745</t>
  </si>
  <si>
    <t>20005641</t>
  </si>
  <si>
    <t>145600</t>
  </si>
  <si>
    <t>143301</t>
  </si>
  <si>
    <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 xml:space="preserve">OVER </t>
    </r>
  </si>
  <si>
    <t>42923</t>
  </si>
  <si>
    <t>PPC/RHC/SMLC</t>
  </si>
  <si>
    <t>200002655</t>
  </si>
  <si>
    <t>146755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</si>
</sst>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6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9" fillId="0" borderId="16" xfId="0" applyFont="1" applyBorder="1" applyAlignment="1">
      <alignment horizontal="right"/>
    </xf>
    <xf numFmtId="0" fontId="22" fillId="0" borderId="16" xfId="0" applyFont="1" applyBorder="1" applyAlignment="1">
      <alignment horizontal="right"/>
    </xf>
    <xf numFmtId="0" fontId="22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15" fillId="0" borderId="10" xfId="0" applyFont="1" applyBorder="1" applyAlignment="1">
      <alignment horizontal="center"/>
    </xf>
    <xf numFmtId="49" fontId="22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4" fontId="0" fillId="3" borderId="16" xfId="0" applyNumberFormat="1" applyFill="1" applyBorder="1" applyAlignment="1">
      <alignment horizontal="right"/>
    </xf>
    <xf numFmtId="44" fontId="12" fillId="3" borderId="12" xfId="0" applyNumberFormat="1" applyFont="1" applyFill="1" applyBorder="1" applyAlignment="1">
      <alignment horizontal="center"/>
    </xf>
    <xf numFmtId="44" fontId="12" fillId="3" borderId="28" xfId="0" applyNumberFormat="1" applyFont="1" applyFill="1" applyBorder="1" applyAlignment="1">
      <alignment horizontal="center"/>
    </xf>
    <xf numFmtId="44" fontId="12" fillId="3" borderId="23" xfId="0" applyNumberFormat="1" applyFont="1" applyFill="1" applyBorder="1" applyAlignment="1">
      <alignment horizontal="center"/>
    </xf>
    <xf numFmtId="0" fontId="24" fillId="0" borderId="21" xfId="0" applyFont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styles" Target="style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theme" Target="theme/theme1.xml"/><Relationship Id="rId8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70E8CEA-80E7-4FF4-8CA0-6347B523DD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7D46D-48CB-4139-9F1F-02C6547DD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417E26-9084-41A0-91BC-AA8D92F691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02C35E-176A-479B-A8CF-BFC6F8D27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9B136-301A-4C78-95CF-2E0F95DF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817738-C258-468E-AE04-CF0F49982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988391-ECA5-47FD-939E-D7C4897E0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EA27E-3579-44C0-8FF2-62B83650F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20075-1623-48A4-B754-60DFCBC00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79E672-B797-44F5-8651-FC7F840D1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1807CD-5C9F-47CB-9079-0562A96B2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16A13F-929F-4D08-BB32-A2DC84534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1C6A06-A3FF-43A2-BACC-1C5557D36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15DA5-5D68-4DC3-8DD8-C33BAF61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E6300-D4F3-4A55-8237-2BCD6B22F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6D341B-1216-4509-BD3F-2705A7706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810255-88D2-489E-9764-2AFEDB76B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39A98-8F84-4880-86B6-4D02A120E6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4B207E-07A4-4C86-AAD8-C5391B97D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96E79-3028-4E68-BAD1-CD5AAE31CA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4D8823-62A4-47A3-86C1-A331E3C7A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8CFE86-5B27-4A2B-8CC0-0BC230FDB4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4C996-1F89-440F-AC6B-099019A06A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B3620F-2720-4B53-BD41-C0023C56B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A3C0FD-8CB2-4E0C-8A57-E2B6CCBAC4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DF0812-2C8B-4EDB-9C96-7423AD984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892B9C-DC3A-4D0C-B64C-034A2FE915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FDCCBF-A036-4DC4-87BB-DBC33F242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8E34D-225C-4108-A785-797DC7BD36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B1E978-16AB-43F5-87B0-02D2E5E0D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2C6FFD-9C30-4D0A-B591-148E4D106D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A6FE63-39FA-480D-BCA7-70464CE8F8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7C7879-E685-4FEC-A072-1B9B274608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3C8057-6FF3-4A83-8C00-EDBC8B7DC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A9CA9-8245-4CF5-9425-A902A6C8DF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E2C4E-6AC1-485D-8A75-A248DBE622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BBF1D-AB99-42A6-A63D-78489AF72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FC9875-C6A6-4EE5-9A8F-D941CD5C5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E89512-80F4-4421-A173-679B6DC3F8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533DD2-5F19-44CC-B47E-38F97CC76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DF5788-B5F3-4C7F-82BA-468C3735B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AE1BA4-7419-4287-9002-86DE9813E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983999-ED4E-48B9-A7B0-92C82BBB03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D0422C-C9B4-42DF-8636-13A1D12E40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B841A-D560-49E6-89FC-AC95426DD8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C16493-FAD9-40BD-A3B0-6420E4D53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F97E59-CFE5-4728-B092-6C1A95A493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FE21FF-DC9B-4BC6-953E-B68F27C88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029BF0-B763-4FA4-A55F-AC0C4E623E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D84EDC-255F-4D45-8C78-2B8F16BBFE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64F566-10CC-43B1-B969-B920400A64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CED159-114B-4618-A928-D769CD21A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80140F-913D-4C53-B09A-96F084F4F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58C38D-E1C0-44B2-A60E-7DCDDC89F6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47A3B3-9F69-4EEE-BD8B-DB3B15A6D6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382A27-7D10-4BE7-934D-9B36722593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7DE0E6-D8CD-4780-894D-D6ACB8AC76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69A205-A83A-4C95-809E-E9BE3D7FEA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6A94B6-ED6F-4E16-B55C-2A3595A14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46724-8B1A-46DA-880F-FDEA383BB0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3CE6E3-116B-4B15-867C-1C6F6E5B2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A9CFD1-3559-4380-9D87-ABEE853BAE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DEEA77-2330-4BB0-88D1-00D7062709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EFA6FA-2ED6-4FC7-8DE0-70069F6F65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7076D2-555D-4168-90DA-E134C85608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4A2472-E9F6-466B-98C9-FF75E0311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6B09A-8401-46D7-89BA-94E3739FF4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E09CC-54F2-46FD-B0ED-575958DD3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E69AA-A017-486C-89F3-20C224A4D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21832-6BFE-4EED-83F8-D9FA5B241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17EDBD-A293-417A-927F-3E32AC702E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3E7B8F-BB87-4D55-8DC2-E04BC42E5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E97BC-8C6F-4D2D-9BA1-B3F22425C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88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85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45992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4">
        <v>262</v>
      </c>
      <c r="D6" s="13">
        <f t="shared" ref="D6:D28" si="1">C6*L6</f>
        <v>193094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4">
        <v>16</v>
      </c>
      <c r="D7" s="13">
        <f t="shared" si="1"/>
        <v>11600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4">
        <v>1</v>
      </c>
      <c r="D8" s="13">
        <f t="shared" si="1"/>
        <v>1033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4">
        <v>20</v>
      </c>
      <c r="D9" s="13">
        <f t="shared" si="1"/>
        <v>14140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4">
        <v>2</v>
      </c>
      <c r="D10" s="13">
        <f t="shared" si="1"/>
        <v>1944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4">
        <v>1</v>
      </c>
      <c r="D11" s="13">
        <f t="shared" si="1"/>
        <v>1125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4">
        <f>2</f>
        <v>2</v>
      </c>
      <c r="D12" s="48">
        <f t="shared" si="1"/>
        <v>1904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4">
        <v>9</v>
      </c>
      <c r="D13" s="48">
        <f t="shared" si="1"/>
        <v>2763</v>
      </c>
      <c r="F13" s="239" t="s">
        <v>36</v>
      </c>
      <c r="G13" s="203"/>
      <c r="H13" s="194">
        <f>D29</f>
        <v>240783.5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4">
        <v>3</v>
      </c>
      <c r="D14" s="31">
        <f t="shared" si="1"/>
        <v>33</v>
      </c>
      <c r="F14" s="197" t="s">
        <v>39</v>
      </c>
      <c r="G14" s="198"/>
      <c r="H14" s="199">
        <f>D54</f>
        <v>35187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4"/>
      <c r="D15" s="31">
        <f t="shared" si="1"/>
        <v>0</v>
      </c>
      <c r="F15" s="202" t="s">
        <v>40</v>
      </c>
      <c r="G15" s="203"/>
      <c r="H15" s="204">
        <f>H13-H14</f>
        <v>205596.5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138</v>
      </c>
      <c r="C17" s="84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4">
        <v>3</v>
      </c>
      <c r="D18" s="48">
        <f t="shared" si="1"/>
        <v>1860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4"/>
      <c r="D22" s="48">
        <f t="shared" si="1"/>
        <v>0</v>
      </c>
      <c r="F22" s="77" t="s">
        <v>147</v>
      </c>
      <c r="G22" s="73">
        <v>7541</v>
      </c>
      <c r="H22" s="180">
        <v>79918</v>
      </c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143</v>
      </c>
      <c r="C25" s="84">
        <v>12</v>
      </c>
      <c r="D25" s="48">
        <f t="shared" si="1"/>
        <v>434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144</v>
      </c>
      <c r="C26" s="84">
        <v>12</v>
      </c>
      <c r="D26" s="48">
        <f t="shared" si="1"/>
        <v>444</v>
      </c>
      <c r="F26" s="75" t="s">
        <v>147</v>
      </c>
      <c r="G26" s="65">
        <v>7383</v>
      </c>
      <c r="H26" s="150">
        <v>87410</v>
      </c>
      <c r="I26" s="150"/>
      <c r="J26" s="150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4"/>
      <c r="D27" s="44">
        <f t="shared" si="1"/>
        <v>0</v>
      </c>
      <c r="F27" s="71"/>
      <c r="G27" s="85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4">
        <v>11</v>
      </c>
      <c r="D28" s="48">
        <f t="shared" si="1"/>
        <v>8635</v>
      </c>
      <c r="F28" s="88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240783.5</v>
      </c>
      <c r="F29" s="111" t="s">
        <v>55</v>
      </c>
      <c r="G29" s="173"/>
      <c r="H29" s="133">
        <f>H15-H16-H17-H18-H19-H20-H22-H23-H24+H26+H27+H28</f>
        <v>213088.5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77</v>
      </c>
      <c r="H34" s="155">
        <f t="shared" ref="H34:H39" si="2">F34*G34</f>
        <v>77000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38</v>
      </c>
      <c r="H35" s="155">
        <f t="shared" si="2"/>
        <v>19000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55">
        <f t="shared" si="2"/>
        <v>400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6</v>
      </c>
      <c r="H37" s="155">
        <f t="shared" si="2"/>
        <v>600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43</v>
      </c>
      <c r="D38" s="12">
        <f>C38*84</f>
        <v>3612</v>
      </c>
      <c r="F38" s="30">
        <v>50</v>
      </c>
      <c r="G38" s="39">
        <v>7</v>
      </c>
      <c r="H38" s="155">
        <f t="shared" si="2"/>
        <v>350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1</v>
      </c>
      <c r="H39" s="155">
        <f t="shared" si="2"/>
        <v>20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4</v>
      </c>
      <c r="D42" s="12">
        <f>C42*2.25</f>
        <v>9</v>
      </c>
      <c r="F42" s="39" t="s">
        <v>79</v>
      </c>
      <c r="G42" s="155">
        <v>25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85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>
        <v>5</v>
      </c>
      <c r="D44" s="12">
        <f>C44*120</f>
        <v>600</v>
      </c>
      <c r="F44" s="37" t="s">
        <v>145</v>
      </c>
      <c r="G44" s="62"/>
      <c r="H44" s="150">
        <v>15213</v>
      </c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>
        <v>2</v>
      </c>
      <c r="D45" s="12">
        <f>C45*84</f>
        <v>168</v>
      </c>
      <c r="F45" s="37" t="s">
        <v>145</v>
      </c>
      <c r="G45" s="62"/>
      <c r="H45" s="150">
        <v>13245</v>
      </c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9</v>
      </c>
      <c r="D46" s="12">
        <f>C46*1.5</f>
        <v>13.5</v>
      </c>
      <c r="F46" s="96" t="s">
        <v>146</v>
      </c>
      <c r="G46" s="62"/>
      <c r="H46" s="150">
        <v>87410</v>
      </c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1</v>
      </c>
      <c r="D49" s="12">
        <f>C49*42</f>
        <v>42</v>
      </c>
      <c r="F49" s="131" t="s">
        <v>86</v>
      </c>
      <c r="G49" s="133">
        <f>H34+H35+H36+H37+H38+H39+H40+H41+G42+H44+H45+H46</f>
        <v>213263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12</v>
      </c>
      <c r="D50" s="12">
        <f>C50*1.5</f>
        <v>18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148</v>
      </c>
      <c r="G51" s="141">
        <f>G49-H29</f>
        <v>174.5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35187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45992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168</v>
      </c>
      <c r="D6" s="13">
        <f t="shared" ref="D6:D28" si="1">C6*L6</f>
        <v>123816</v>
      </c>
      <c r="F6" s="218" t="s">
        <v>16</v>
      </c>
      <c r="G6" s="220" t="s">
        <v>141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2</v>
      </c>
      <c r="D7" s="13">
        <f t="shared" si="1"/>
        <v>1450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39</v>
      </c>
      <c r="D9" s="13">
        <f t="shared" si="1"/>
        <v>27573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4</v>
      </c>
      <c r="D13" s="48">
        <f t="shared" si="1"/>
        <v>1228</v>
      </c>
      <c r="F13" s="239" t="s">
        <v>36</v>
      </c>
      <c r="G13" s="203"/>
      <c r="H13" s="194">
        <f>D29</f>
        <v>154078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</v>
      </c>
      <c r="D14" s="31">
        <f t="shared" si="1"/>
        <v>11</v>
      </c>
      <c r="F14" s="197" t="s">
        <v>39</v>
      </c>
      <c r="G14" s="198"/>
      <c r="H14" s="199">
        <f>D54</f>
        <v>24060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130018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v>1314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0">
        <v>50</v>
      </c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88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154078</v>
      </c>
      <c r="F29" s="111" t="s">
        <v>55</v>
      </c>
      <c r="G29" s="173"/>
      <c r="H29" s="133">
        <f>H15-H16-H17-H18-H19-H20-H22-H23-H24+H26+H27</f>
        <v>128654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155">
        <f>F34*G34</f>
        <v>101000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155">
        <f t="shared" ref="H35:H39" si="2">F35*G35</f>
        <v>26500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211</v>
      </c>
      <c r="D37" s="12">
        <f>C37*111</f>
        <v>23421</v>
      </c>
      <c r="F37" s="12">
        <v>100</v>
      </c>
      <c r="G37" s="39">
        <v>4</v>
      </c>
      <c r="H37" s="155">
        <f t="shared" si="2"/>
        <v>400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55">
        <f t="shared" si="2"/>
        <v>50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8</v>
      </c>
      <c r="D42" s="12">
        <f>C42*2.25</f>
        <v>18</v>
      </c>
      <c r="F42" s="39" t="s">
        <v>79</v>
      </c>
      <c r="G42" s="155">
        <v>35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85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1</v>
      </c>
      <c r="D46" s="12">
        <f>C46*1.5</f>
        <v>1.5</v>
      </c>
      <c r="F46" s="37"/>
      <c r="G46" s="86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1</v>
      </c>
      <c r="D49" s="12">
        <f>C49*42</f>
        <v>42</v>
      </c>
      <c r="F49" s="131" t="s">
        <v>86</v>
      </c>
      <c r="G49" s="133">
        <f>H34+H35+H36+H37+H38+H39+H40+H41+G42+H44+H45+H46</f>
        <v>127985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22</v>
      </c>
      <c r="D50" s="12">
        <f>C50*1.5</f>
        <v>33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132</v>
      </c>
      <c r="G51" s="244">
        <f>G49-H29</f>
        <v>-669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24060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45992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211</v>
      </c>
      <c r="D6" s="13">
        <f t="shared" ref="D6:D28" si="1">C6*L6</f>
        <v>155507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11</v>
      </c>
      <c r="D7" s="13">
        <f t="shared" si="1"/>
        <v>7975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>
        <v>1</v>
      </c>
      <c r="D8" s="13">
        <f t="shared" si="1"/>
        <v>1033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18</v>
      </c>
      <c r="D9" s="13">
        <f t="shared" si="1"/>
        <v>12726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2</v>
      </c>
      <c r="D10" s="13">
        <f t="shared" si="1"/>
        <v>1944</v>
      </c>
      <c r="F10" s="218" t="s">
        <v>26</v>
      </c>
      <c r="G10" s="233" t="s">
        <v>135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3</v>
      </c>
      <c r="D12" s="48">
        <f t="shared" si="1"/>
        <v>2856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5</v>
      </c>
      <c r="D13" s="48">
        <f t="shared" si="1"/>
        <v>1535</v>
      </c>
      <c r="F13" s="239" t="s">
        <v>36</v>
      </c>
      <c r="G13" s="203"/>
      <c r="H13" s="194">
        <f>D29</f>
        <v>197825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</v>
      </c>
      <c r="D14" s="31">
        <f t="shared" si="1"/>
        <v>11</v>
      </c>
      <c r="F14" s="197" t="s">
        <v>39</v>
      </c>
      <c r="G14" s="198"/>
      <c r="H14" s="199">
        <f>D54</f>
        <v>31160.25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166664.75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300</f>
        <v>300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>
        <v>9</v>
      </c>
      <c r="D27" s="44">
        <f t="shared" si="1"/>
        <v>14238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88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197825</v>
      </c>
      <c r="F29" s="111" t="s">
        <v>55</v>
      </c>
      <c r="G29" s="173"/>
      <c r="H29" s="133">
        <f>H15-H16-H17-H18-H19-H20-H22-H23-H24+H26+H27</f>
        <v>166364.75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131</v>
      </c>
      <c r="H34" s="155">
        <f>F34*G34</f>
        <v>131000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55">
        <f>F35*G35</f>
        <v>21000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262</v>
      </c>
      <c r="D37" s="12">
        <f>C37*111</f>
        <v>29082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5">
        <v>86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85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2</v>
      </c>
      <c r="D44" s="12">
        <f>C44*120</f>
        <v>240</v>
      </c>
      <c r="F44" s="95" t="s">
        <v>149</v>
      </c>
      <c r="G44" s="76"/>
      <c r="H44" s="150">
        <v>14238</v>
      </c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>
        <v>1</v>
      </c>
      <c r="D45" s="12">
        <f>C45*84</f>
        <v>84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11</v>
      </c>
      <c r="D46" s="12">
        <f>C46*1.5</f>
        <v>16.5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1</v>
      </c>
      <c r="D49" s="12">
        <f>C49*42</f>
        <v>42</v>
      </c>
      <c r="F49" s="131" t="s">
        <v>86</v>
      </c>
      <c r="G49" s="133">
        <f>H34+H35+H36+H37+H38+H39+H40+H41+G42+H44+H45+H46</f>
        <v>166324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6</v>
      </c>
      <c r="D50" s="12">
        <f>C50*1.5</f>
        <v>9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140</v>
      </c>
      <c r="G51" s="244">
        <f>G49-H29</f>
        <v>-40.75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31160.25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F323A-99F6-4AC1-9760-55923A2C96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B3FA8-FAB8-4146-95DA-A54B5200AC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45993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4">
        <v>261</v>
      </c>
      <c r="D6" s="13">
        <f t="shared" ref="D6:D28" si="1">C6*L6</f>
        <v>192357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4">
        <v>3</v>
      </c>
      <c r="D7" s="13">
        <f t="shared" si="1"/>
        <v>2175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4"/>
      <c r="D8" s="13">
        <f t="shared" si="1"/>
        <v>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4">
        <v>20</v>
      </c>
      <c r="D9" s="13">
        <f t="shared" si="1"/>
        <v>14140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4">
        <v>1</v>
      </c>
      <c r="D10" s="13">
        <f t="shared" si="1"/>
        <v>972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4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4">
        <v>1</v>
      </c>
      <c r="D12" s="48">
        <f t="shared" si="1"/>
        <v>952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4">
        <v>4</v>
      </c>
      <c r="D13" s="48">
        <f t="shared" si="1"/>
        <v>1228</v>
      </c>
      <c r="F13" s="239" t="s">
        <v>36</v>
      </c>
      <c r="G13" s="203"/>
      <c r="H13" s="194">
        <f>D29</f>
        <v>220448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4">
        <v>22</v>
      </c>
      <c r="D14" s="31">
        <f t="shared" si="1"/>
        <v>242</v>
      </c>
      <c r="F14" s="197" t="s">
        <v>39</v>
      </c>
      <c r="G14" s="198"/>
      <c r="H14" s="199">
        <f>D54</f>
        <v>32962.5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4"/>
      <c r="D15" s="31">
        <f t="shared" si="1"/>
        <v>0</v>
      </c>
      <c r="F15" s="202" t="s">
        <v>40</v>
      </c>
      <c r="G15" s="203"/>
      <c r="H15" s="204">
        <f>H13-H14</f>
        <v>187485.5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138</v>
      </c>
      <c r="C17" s="84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4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137</v>
      </c>
      <c r="C26" s="84"/>
      <c r="D26" s="48">
        <f t="shared" si="1"/>
        <v>0</v>
      </c>
      <c r="F26" s="75"/>
      <c r="G26" s="65"/>
      <c r="H26" s="150"/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4"/>
      <c r="D27" s="44">
        <f t="shared" si="1"/>
        <v>0</v>
      </c>
      <c r="F27" s="71"/>
      <c r="G27" s="90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4">
        <v>6</v>
      </c>
      <c r="D28" s="48">
        <f t="shared" si="1"/>
        <v>4710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220448</v>
      </c>
      <c r="F29" s="111" t="s">
        <v>55</v>
      </c>
      <c r="G29" s="173"/>
      <c r="H29" s="133">
        <f>H15-H16-H17-H18-H19-H20-H22-H23-H24+H26+H27+H28</f>
        <v>187485.5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124</v>
      </c>
      <c r="H34" s="155">
        <f t="shared" ref="H34:H39" si="2">F34*G34</f>
        <v>124000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104</v>
      </c>
      <c r="H35" s="155">
        <f t="shared" si="2"/>
        <v>52000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55">
        <f t="shared" si="2"/>
        <v>400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281</v>
      </c>
      <c r="D37" s="12">
        <f>C37*111</f>
        <v>31191</v>
      </c>
      <c r="F37" s="12">
        <v>100</v>
      </c>
      <c r="G37" s="39">
        <v>26</v>
      </c>
      <c r="H37" s="155">
        <f t="shared" si="2"/>
        <v>2600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12</v>
      </c>
      <c r="D42" s="12">
        <f>C42*2.25</f>
        <v>27</v>
      </c>
      <c r="F42" s="39" t="s">
        <v>79</v>
      </c>
      <c r="G42" s="155">
        <v>69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50">
        <v>7978</v>
      </c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5</v>
      </c>
      <c r="D46" s="12">
        <f>C46*1.5</f>
        <v>7.5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1</v>
      </c>
      <c r="D49" s="12">
        <f>C49*42</f>
        <v>42</v>
      </c>
      <c r="F49" s="131" t="s">
        <v>86</v>
      </c>
      <c r="G49" s="133">
        <f>H34+H35+H36+H37+H38+H39+H40+H41+G42+H44+H45+H46</f>
        <v>187047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20</v>
      </c>
      <c r="D50" s="12">
        <f>C50*1.5</f>
        <v>30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131</v>
      </c>
      <c r="G51" s="244">
        <f>G49-H29</f>
        <v>-438.5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32962.5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B2313-0902-430B-B8EE-3375DD1308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45993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230</v>
      </c>
      <c r="D6" s="13">
        <f t="shared" ref="D6:D28" si="1">C6*L6</f>
        <v>169510</v>
      </c>
      <c r="F6" s="218" t="s">
        <v>16</v>
      </c>
      <c r="G6" s="220" t="s">
        <v>141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7</v>
      </c>
      <c r="D7" s="13">
        <f t="shared" si="1"/>
        <v>5075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20</v>
      </c>
      <c r="D9" s="13">
        <f t="shared" si="1"/>
        <v>14140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2</v>
      </c>
      <c r="D12" s="48">
        <f t="shared" si="1"/>
        <v>1904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8</v>
      </c>
      <c r="D13" s="48">
        <f t="shared" si="1"/>
        <v>2456</v>
      </c>
      <c r="F13" s="239" t="s">
        <v>36</v>
      </c>
      <c r="G13" s="203"/>
      <c r="H13" s="194">
        <f>D29</f>
        <v>196685.66666666666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13</v>
      </c>
      <c r="D14" s="31">
        <f t="shared" si="1"/>
        <v>143</v>
      </c>
      <c r="F14" s="197" t="s">
        <v>39</v>
      </c>
      <c r="G14" s="198"/>
      <c r="H14" s="199">
        <f>D54</f>
        <v>36855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159830.66666666666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1899</f>
        <v>1899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>
        <f>3+2</f>
        <v>5</v>
      </c>
      <c r="D21" s="48">
        <f t="shared" si="1"/>
        <v>3250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>
        <v>2</v>
      </c>
      <c r="D24" s="48">
        <f t="shared" si="1"/>
        <v>207.66666666666666</v>
      </c>
      <c r="F24" s="38"/>
      <c r="G24" s="37"/>
      <c r="H24" s="181"/>
      <c r="I24" s="150"/>
      <c r="J24" s="150"/>
      <c r="L24" s="47">
        <f>596/6+4.5</f>
        <v>103.83333333333333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196685.66666666666</v>
      </c>
      <c r="F29" s="111" t="s">
        <v>55</v>
      </c>
      <c r="G29" s="173"/>
      <c r="H29" s="133">
        <f>H15-H16-H17-H18-H19-H20-H22-H23-H24+H26+H27</f>
        <v>157931.66666666666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</v>
      </c>
      <c r="H34" s="155">
        <f>F34*G34</f>
        <v>34000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155">
        <f t="shared" ref="H35:H39" si="2">F35*G35</f>
        <v>1000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323</v>
      </c>
      <c r="D37" s="12">
        <f>C37*111</f>
        <v>35853</v>
      </c>
      <c r="F37" s="12">
        <v>100</v>
      </c>
      <c r="G37" s="39">
        <v>4</v>
      </c>
      <c r="H37" s="155">
        <f t="shared" si="2"/>
        <v>400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2</v>
      </c>
      <c r="D42" s="12">
        <f>C42*2.25</f>
        <v>4.5</v>
      </c>
      <c r="F42" s="39" t="s">
        <v>79</v>
      </c>
      <c r="G42" s="155">
        <v>2460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151</v>
      </c>
      <c r="H44" s="150">
        <v>119875</v>
      </c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>
        <v>1</v>
      </c>
      <c r="D45" s="12">
        <f>C45*84</f>
        <v>84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5</v>
      </c>
      <c r="D46" s="12">
        <f>C46*1.5</f>
        <v>7.5</v>
      </c>
      <c r="F46" s="37"/>
      <c r="G46" s="91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1</v>
      </c>
      <c r="D49" s="12">
        <f>C49*42</f>
        <v>42</v>
      </c>
      <c r="F49" s="131" t="s">
        <v>86</v>
      </c>
      <c r="G49" s="133">
        <f>H34+H35+H36+H37+H38+H39+H40+H41+G42+H44+H45+H46</f>
        <v>157735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20</v>
      </c>
      <c r="D50" s="12">
        <f>C50*1.5</f>
        <v>30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132</v>
      </c>
      <c r="G51" s="244">
        <f>G49-H29</f>
        <v>-196.66666666665697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36855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FA3F0-3F42-4048-B246-BB7E7997016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45993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194</v>
      </c>
      <c r="D6" s="13">
        <f t="shared" ref="D6:D28" si="1">C6*L6</f>
        <v>142978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17</v>
      </c>
      <c r="D7" s="13">
        <f t="shared" si="1"/>
        <v>12325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13</v>
      </c>
      <c r="D9" s="13">
        <f t="shared" si="1"/>
        <v>9191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2</v>
      </c>
      <c r="D10" s="13">
        <f t="shared" si="1"/>
        <v>1944</v>
      </c>
      <c r="F10" s="218" t="s">
        <v>26</v>
      </c>
      <c r="G10" s="233" t="s">
        <v>135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>
        <v>2</v>
      </c>
      <c r="D11" s="13">
        <f t="shared" si="1"/>
        <v>2250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2</v>
      </c>
      <c r="D12" s="48">
        <f t="shared" si="1"/>
        <v>1904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5</v>
      </c>
      <c r="D13" s="48">
        <f t="shared" si="1"/>
        <v>1535</v>
      </c>
      <c r="F13" s="239" t="s">
        <v>36</v>
      </c>
      <c r="G13" s="203"/>
      <c r="H13" s="194">
        <f>D29</f>
        <v>173906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19</v>
      </c>
      <c r="D14" s="31">
        <f t="shared" si="1"/>
        <v>209</v>
      </c>
      <c r="F14" s="197" t="s">
        <v>39</v>
      </c>
      <c r="G14" s="198"/>
      <c r="H14" s="199">
        <f>D54</f>
        <v>39246.75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134659.25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336</f>
        <v>336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97" t="s">
        <v>154</v>
      </c>
      <c r="G26" s="59">
        <v>7331</v>
      </c>
      <c r="H26" s="185">
        <v>85842</v>
      </c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>
        <v>2</v>
      </c>
      <c r="D28" s="48">
        <f t="shared" si="1"/>
        <v>1570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173906</v>
      </c>
      <c r="F29" s="111" t="s">
        <v>55</v>
      </c>
      <c r="G29" s="173"/>
      <c r="H29" s="133">
        <f>H15-H16-H17-H18-H19-H20-H22-H23-H24+H26+H27</f>
        <v>220165.25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55">
        <f>F34*G34</f>
        <v>133000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55">
        <f>F35*G35</f>
        <v>11000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3</v>
      </c>
      <c r="H37" s="155">
        <f t="shared" si="2"/>
        <v>300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2</v>
      </c>
      <c r="H38" s="155">
        <f t="shared" si="2"/>
        <v>100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1</v>
      </c>
      <c r="D42" s="12">
        <f>C42*2.25</f>
        <v>2.25</v>
      </c>
      <c r="F42" s="39" t="s">
        <v>79</v>
      </c>
      <c r="G42" s="155">
        <v>61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5</v>
      </c>
      <c r="D44" s="12">
        <f>C44*120</f>
        <v>600</v>
      </c>
      <c r="F44" s="37" t="s">
        <v>152</v>
      </c>
      <c r="G44" s="76" t="s">
        <v>153</v>
      </c>
      <c r="H44" s="150">
        <v>85842</v>
      </c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3</v>
      </c>
      <c r="D46" s="12">
        <f>C46*1.5</f>
        <v>4.5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230303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5</v>
      </c>
      <c r="D50" s="12">
        <f>C50*1.5</f>
        <v>7.5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148</v>
      </c>
      <c r="G51" s="141">
        <f>G49-H29</f>
        <v>10137.75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39246.75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24416-A329-4BDE-B1C6-A3CE45120B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7F3FB-8878-4E3E-863E-1BE61C67EEE1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45994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4">
        <v>150</v>
      </c>
      <c r="D6" s="13">
        <f t="shared" ref="D6:D28" si="1">C6*L6</f>
        <v>110550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4">
        <v>5</v>
      </c>
      <c r="D7" s="13">
        <f t="shared" si="1"/>
        <v>3625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4"/>
      <c r="D8" s="13">
        <f t="shared" si="1"/>
        <v>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4">
        <v>10</v>
      </c>
      <c r="D9" s="13">
        <f t="shared" si="1"/>
        <v>7070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4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4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4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4">
        <v>4</v>
      </c>
      <c r="D13" s="48">
        <f t="shared" si="1"/>
        <v>1228</v>
      </c>
      <c r="F13" s="239" t="s">
        <v>36</v>
      </c>
      <c r="G13" s="203"/>
      <c r="H13" s="194">
        <f>D29</f>
        <v>124676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4">
        <v>23</v>
      </c>
      <c r="D14" s="31">
        <f t="shared" si="1"/>
        <v>253</v>
      </c>
      <c r="F14" s="197" t="s">
        <v>39</v>
      </c>
      <c r="G14" s="198"/>
      <c r="H14" s="199">
        <f>D54</f>
        <v>17744.25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4"/>
      <c r="D15" s="31">
        <f t="shared" si="1"/>
        <v>0</v>
      </c>
      <c r="F15" s="202" t="s">
        <v>40</v>
      </c>
      <c r="G15" s="203"/>
      <c r="H15" s="204">
        <f>H13-H14</f>
        <v>106931.75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138</v>
      </c>
      <c r="C17" s="84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4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137</v>
      </c>
      <c r="C26" s="84"/>
      <c r="D26" s="48">
        <f t="shared" si="1"/>
        <v>0</v>
      </c>
      <c r="F26" s="75"/>
      <c r="G26" s="65"/>
      <c r="H26" s="150"/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4"/>
      <c r="D27" s="44">
        <f t="shared" si="1"/>
        <v>0</v>
      </c>
      <c r="F27" s="71"/>
      <c r="G27" s="90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4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124676</v>
      </c>
      <c r="F29" s="111" t="s">
        <v>55</v>
      </c>
      <c r="G29" s="173"/>
      <c r="H29" s="133">
        <f>H15-H16-H17-H18-H19-H20-H22-H23-H24+H26+H27+H28</f>
        <v>106931.75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89</v>
      </c>
      <c r="H34" s="155">
        <f t="shared" ref="H34:H39" si="2">F34*G34</f>
        <v>89000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55">
        <f t="shared" si="2"/>
        <v>15500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5">
        <f t="shared" si="2"/>
        <v>200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150</v>
      </c>
      <c r="D37" s="12">
        <f>C37*111</f>
        <v>16650</v>
      </c>
      <c r="F37" s="12">
        <v>100</v>
      </c>
      <c r="G37" s="39">
        <v>25</v>
      </c>
      <c r="H37" s="155">
        <f t="shared" si="2"/>
        <v>2500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55">
        <f t="shared" si="2"/>
        <v>50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5</v>
      </c>
      <c r="D42" s="12">
        <f>C42*2.25</f>
        <v>11.25</v>
      </c>
      <c r="F42" s="39" t="s">
        <v>79</v>
      </c>
      <c r="G42" s="155">
        <v>395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1</v>
      </c>
      <c r="D49" s="12">
        <f>C49*42</f>
        <v>42</v>
      </c>
      <c r="F49" s="131" t="s">
        <v>86</v>
      </c>
      <c r="G49" s="133">
        <f>H34+H35+H36+H37+H38+H39+H40+H41+G42+H44+H45+H46</f>
        <v>107645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20</v>
      </c>
      <c r="D50" s="12">
        <f>C50*1.5</f>
        <v>30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148</v>
      </c>
      <c r="G51" s="141">
        <f>G49-H29</f>
        <v>713.25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17744.25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3F163-FFE6-4864-B547-EB1433D85A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45994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f>440-99</f>
        <v>341</v>
      </c>
      <c r="D6" s="13">
        <f t="shared" ref="D6:D28" si="1">C6*L6</f>
        <v>251317</v>
      </c>
      <c r="F6" s="218" t="s">
        <v>16</v>
      </c>
      <c r="G6" s="220" t="s">
        <v>141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2</v>
      </c>
      <c r="D7" s="13">
        <f t="shared" si="1"/>
        <v>1450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5</v>
      </c>
      <c r="D9" s="13">
        <f t="shared" si="1"/>
        <v>3535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14</v>
      </c>
      <c r="D13" s="48">
        <f t="shared" si="1"/>
        <v>4298</v>
      </c>
      <c r="F13" s="239" t="s">
        <v>36</v>
      </c>
      <c r="G13" s="203"/>
      <c r="H13" s="194">
        <f>D29</f>
        <v>261506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11</v>
      </c>
      <c r="D14" s="31">
        <f t="shared" si="1"/>
        <v>121</v>
      </c>
      <c r="F14" s="197" t="s">
        <v>39</v>
      </c>
      <c r="G14" s="198"/>
      <c r="H14" s="199">
        <f>D54</f>
        <v>40169.25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221336.75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337*9</f>
        <v>3033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>
        <v>1</v>
      </c>
      <c r="D28" s="48">
        <f t="shared" si="1"/>
        <v>785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261506</v>
      </c>
      <c r="F29" s="111" t="s">
        <v>55</v>
      </c>
      <c r="G29" s="173"/>
      <c r="H29" s="133">
        <f>H15-H16-H17-H18-H19-H20-H22-H23-H24+H26+H27</f>
        <v>218303.75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216</v>
      </c>
      <c r="H34" s="155">
        <f>F34*G34</f>
        <v>216000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155">
        <f t="shared" ref="H35:H39" si="2">F35*G35</f>
        <v>2000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2</v>
      </c>
      <c r="H37" s="155">
        <f t="shared" si="2"/>
        <v>200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55">
        <f t="shared" si="2"/>
        <v>150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5">
        <v>8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1</v>
      </c>
      <c r="D46" s="12">
        <f>C46*1.5</f>
        <v>1.5</v>
      </c>
      <c r="F46" s="37"/>
      <c r="G46" s="91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17</v>
      </c>
      <c r="D49" s="12">
        <f>C49*42</f>
        <v>714</v>
      </c>
      <c r="F49" s="131" t="s">
        <v>86</v>
      </c>
      <c r="G49" s="133">
        <f>H34+H35+H36+H37+H38+H39+H40+H41+G42+H44+H45+H46</f>
        <v>218358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21</v>
      </c>
      <c r="D50" s="12">
        <f>C50*1.5</f>
        <v>31.5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155</v>
      </c>
      <c r="G51" s="141">
        <f>G49-H29</f>
        <v>54.25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40169.25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18FD-8EAD-4720-8591-51795839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45994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536</v>
      </c>
      <c r="D6" s="13">
        <f t="shared" ref="D6:D28" si="1">C6*L6</f>
        <v>395032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15</v>
      </c>
      <c r="D7" s="13">
        <f t="shared" si="1"/>
        <v>10875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129</v>
      </c>
      <c r="D9" s="13">
        <f t="shared" si="1"/>
        <v>91203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135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f>1+1</f>
        <v>2</v>
      </c>
      <c r="D12" s="48">
        <f t="shared" si="1"/>
        <v>1904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8</v>
      </c>
      <c r="D13" s="48">
        <f t="shared" si="1"/>
        <v>2456</v>
      </c>
      <c r="F13" s="239" t="s">
        <v>36</v>
      </c>
      <c r="G13" s="203"/>
      <c r="H13" s="194">
        <f>D29</f>
        <v>505571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16</v>
      </c>
      <c r="D14" s="31">
        <f t="shared" si="1"/>
        <v>176</v>
      </c>
      <c r="F14" s="197" t="s">
        <v>39</v>
      </c>
      <c r="G14" s="198"/>
      <c r="H14" s="199">
        <f>D54</f>
        <v>38012.25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467558.75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2610+330</f>
        <v>2940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0">
        <v>50</v>
      </c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98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>
        <v>5</v>
      </c>
      <c r="D28" s="48">
        <f t="shared" si="1"/>
        <v>3925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505571</v>
      </c>
      <c r="F29" s="111" t="s">
        <v>55</v>
      </c>
      <c r="G29" s="173"/>
      <c r="H29" s="133">
        <f>H15-H16-H17-H18-H19-H20-H22-H23-H24+H26+H27+H28</f>
        <v>464568.75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155">
        <f>F34*G34</f>
        <v>12000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4</v>
      </c>
      <c r="H37" s="155">
        <f t="shared" si="2"/>
        <v>400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5">
        <v>45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156</v>
      </c>
      <c r="H44" s="150">
        <v>283894</v>
      </c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 t="s">
        <v>150</v>
      </c>
      <c r="G45" s="76" t="s">
        <v>157</v>
      </c>
      <c r="H45" s="150">
        <v>34498</v>
      </c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95" t="s">
        <v>158</v>
      </c>
      <c r="G46" s="62" t="s">
        <v>159</v>
      </c>
      <c r="H46" s="150">
        <v>19009</v>
      </c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37" t="s">
        <v>152</v>
      </c>
      <c r="G47" s="76" t="s">
        <v>160</v>
      </c>
      <c r="H47" s="150">
        <v>102341</v>
      </c>
      <c r="I47" s="150"/>
      <c r="J47" s="15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1</v>
      </c>
      <c r="D49" s="12">
        <f>C49*42</f>
        <v>42</v>
      </c>
      <c r="F49" s="131" t="s">
        <v>86</v>
      </c>
      <c r="G49" s="133">
        <f>H34+H35+H36+H37+H38+H39+H40+H41+G42+H44+H45+H46+H47</f>
        <v>452187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2</v>
      </c>
      <c r="D50" s="12">
        <f>C50*1.5</f>
        <v>3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140</v>
      </c>
      <c r="G51" s="244">
        <f>G49-H29</f>
        <v>-12381.75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38012.25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31ECC-2E5D-482D-8B67-DE074F9C0A8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C3FCA-3B4A-4591-94BD-82AEE38AEF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45995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4"/>
      <c r="D6" s="13">
        <f t="shared" ref="D6:D28" si="1">C6*L6</f>
        <v>0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4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4"/>
      <c r="D8" s="13">
        <f t="shared" si="1"/>
        <v>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4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4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4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4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4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4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4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138</v>
      </c>
      <c r="C17" s="84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161</v>
      </c>
      <c r="C19" s="84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4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124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674/6+4.5</f>
        <v>116.83333333333333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137</v>
      </c>
      <c r="C26" s="84"/>
      <c r="D26" s="48">
        <f t="shared" si="1"/>
        <v>0</v>
      </c>
      <c r="F26" s="75"/>
      <c r="G26" s="65"/>
      <c r="H26" s="150"/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4"/>
      <c r="D27" s="44">
        <f t="shared" si="1"/>
        <v>0</v>
      </c>
      <c r="F27" s="71"/>
      <c r="G27" s="90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4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H15-H16-H17-H18-H19-H20-H22-H23-H24+H26+H27+H28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5">
        <f t="shared" ref="H34:H39" si="2"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si="2"/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131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34B79-5408-4FC9-AB3F-AE981D97B1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45995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207</v>
      </c>
      <c r="D6" s="13">
        <f t="shared" ref="D6:D28" si="1">C6*L6</f>
        <v>152559</v>
      </c>
      <c r="F6" s="218" t="s">
        <v>16</v>
      </c>
      <c r="G6" s="220" t="s">
        <v>141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4</v>
      </c>
      <c r="D7" s="13">
        <f t="shared" si="1"/>
        <v>2900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13</v>
      </c>
      <c r="D9" s="13">
        <f t="shared" si="1"/>
        <v>9191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4</v>
      </c>
      <c r="D13" s="48">
        <f t="shared" si="1"/>
        <v>1228</v>
      </c>
      <c r="F13" s="239" t="s">
        <v>36</v>
      </c>
      <c r="G13" s="203"/>
      <c r="H13" s="194">
        <f>D29</f>
        <v>187607.83333333334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15</v>
      </c>
      <c r="D14" s="31">
        <f t="shared" si="1"/>
        <v>165</v>
      </c>
      <c r="F14" s="197" t="s">
        <v>39</v>
      </c>
      <c r="G14" s="198"/>
      <c r="H14" s="199">
        <f>D54</f>
        <v>13236.75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174371.08333333334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1620</f>
        <v>1620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>
        <v>1</v>
      </c>
      <c r="D19" s="48">
        <f t="shared" si="1"/>
        <v>1102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>
        <f>1+6</f>
        <v>7</v>
      </c>
      <c r="D20" s="13">
        <f t="shared" si="1"/>
        <v>8225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136</v>
      </c>
      <c r="C21" s="10">
        <f>8+2</f>
        <v>10</v>
      </c>
      <c r="D21" s="48">
        <f t="shared" si="1"/>
        <v>6500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101</v>
      </c>
      <c r="C22" s="10">
        <v>3</v>
      </c>
      <c r="D22" s="48">
        <f t="shared" si="1"/>
        <v>5001</v>
      </c>
      <c r="F22" s="72"/>
      <c r="G22" s="73"/>
      <c r="H22" s="180"/>
      <c r="I22" s="180"/>
      <c r="J22" s="180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187607.83333333334</v>
      </c>
      <c r="F29" s="111" t="s">
        <v>55</v>
      </c>
      <c r="G29" s="173"/>
      <c r="H29" s="133">
        <f>H15-H16-H17-H18-H19-H20-H22-H23-H24+H26+H27</f>
        <v>172751.08333333334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</v>
      </c>
      <c r="H34" s="155">
        <f>F34*G34</f>
        <v>21000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55">
        <f t="shared" ref="H35:H39" si="2">F35*G35</f>
        <v>6500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55">
        <f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105</v>
      </c>
      <c r="D37" s="12">
        <f>C37*111</f>
        <v>11655</v>
      </c>
      <c r="F37" s="12">
        <v>100</v>
      </c>
      <c r="G37" s="39">
        <v>1</v>
      </c>
      <c r="H37" s="155">
        <f t="shared" si="2"/>
        <v>100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5</v>
      </c>
      <c r="D42" s="12">
        <f>C42*2.25</f>
        <v>11.25</v>
      </c>
      <c r="F42" s="39" t="s">
        <v>79</v>
      </c>
      <c r="G42" s="155">
        <v>477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162</v>
      </c>
      <c r="H44" s="150">
        <v>144167</v>
      </c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>
        <v>2</v>
      </c>
      <c r="D45" s="12">
        <f>C45*84</f>
        <v>168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13</v>
      </c>
      <c r="D46" s="12">
        <f>C46*1.5</f>
        <v>19.5</v>
      </c>
      <c r="F46" s="37"/>
      <c r="G46" s="91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6</v>
      </c>
      <c r="D49" s="12">
        <f>C49*42</f>
        <v>252</v>
      </c>
      <c r="F49" s="131" t="s">
        <v>86</v>
      </c>
      <c r="G49" s="133">
        <f>H34+H35+H36+H37+H38+H39+H40+H41+G42+H44+H45+H46</f>
        <v>172244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22</v>
      </c>
      <c r="D50" s="12">
        <f>C50*1.5</f>
        <v>33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132</v>
      </c>
      <c r="G51" s="244">
        <f>G49-H29</f>
        <v>-507.08333333334303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13236.75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D12CC-B1BF-4C13-8D4D-5A0033F3BBDF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45995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429</v>
      </c>
      <c r="D6" s="13">
        <f t="shared" ref="D6:D28" si="1">C6*L6</f>
        <v>316173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70</v>
      </c>
      <c r="D9" s="13">
        <f t="shared" si="1"/>
        <v>49490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1</v>
      </c>
      <c r="D10" s="13">
        <f t="shared" si="1"/>
        <v>972</v>
      </c>
      <c r="F10" s="218" t="s">
        <v>26</v>
      </c>
      <c r="G10" s="233" t="s">
        <v>135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f>3+1</f>
        <v>4</v>
      </c>
      <c r="D12" s="48">
        <f t="shared" si="1"/>
        <v>3808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18</v>
      </c>
      <c r="D13" s="48">
        <f t="shared" si="1"/>
        <v>5526</v>
      </c>
      <c r="F13" s="239" t="s">
        <v>36</v>
      </c>
      <c r="G13" s="203"/>
      <c r="H13" s="194">
        <f>D29</f>
        <v>378246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50790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327456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912+1824+300</f>
        <v>3036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>
        <v>1</v>
      </c>
      <c r="D20" s="13">
        <f t="shared" si="1"/>
        <v>1102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>
        <v>1</v>
      </c>
      <c r="D23" s="48">
        <f t="shared" si="1"/>
        <v>1175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378246</v>
      </c>
      <c r="F29" s="111" t="s">
        <v>55</v>
      </c>
      <c r="G29" s="173"/>
      <c r="H29" s="133">
        <f>H15-H16-H17-H18-H19-H20-H22-H23-H24+H26+H27</f>
        <v>324420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31</v>
      </c>
      <c r="H34" s="155">
        <f>F34*G34</f>
        <v>31000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444</v>
      </c>
      <c r="D37" s="12">
        <f>C37*111</f>
        <v>49284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>
        <v>2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4</v>
      </c>
      <c r="D44" s="12">
        <f>C44*120</f>
        <v>480</v>
      </c>
      <c r="F44" s="37" t="s">
        <v>163</v>
      </c>
      <c r="G44" s="76" t="s">
        <v>164</v>
      </c>
      <c r="H44" s="150">
        <v>101868</v>
      </c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 t="s">
        <v>163</v>
      </c>
      <c r="G45" s="76" t="s">
        <v>165</v>
      </c>
      <c r="H45" s="150">
        <v>191152</v>
      </c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11</v>
      </c>
      <c r="D49" s="12">
        <f>C49*42</f>
        <v>462</v>
      </c>
      <c r="F49" s="131" t="s">
        <v>86</v>
      </c>
      <c r="G49" s="133">
        <f>H34+H35+H36+H37+H38+H39+H40+H41+G42+H44+H45+H46</f>
        <v>324022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140</v>
      </c>
      <c r="G51" s="244">
        <f>G49-H29</f>
        <v>-398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50790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CBEF-6F6C-41D9-B171-AA7638A998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18BE-29B0-485D-A3A4-C99833CB9F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45996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4">
        <v>522</v>
      </c>
      <c r="D6" s="13">
        <f t="shared" ref="D6:D28" si="1">C6*L6</f>
        <v>384714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4">
        <v>3</v>
      </c>
      <c r="D7" s="13">
        <f t="shared" si="1"/>
        <v>2175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4">
        <v>50</v>
      </c>
      <c r="D8" s="13">
        <f t="shared" si="1"/>
        <v>51650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4">
        <v>51</v>
      </c>
      <c r="D9" s="13">
        <f t="shared" si="1"/>
        <v>36057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4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4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4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4">
        <v>22</v>
      </c>
      <c r="D13" s="48">
        <f t="shared" si="1"/>
        <v>6754</v>
      </c>
      <c r="F13" s="239" t="s">
        <v>36</v>
      </c>
      <c r="G13" s="203"/>
      <c r="H13" s="194">
        <f>D29</f>
        <v>481416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4">
        <v>6</v>
      </c>
      <c r="D14" s="31">
        <f t="shared" si="1"/>
        <v>66</v>
      </c>
      <c r="F14" s="197" t="s">
        <v>39</v>
      </c>
      <c r="G14" s="198"/>
      <c r="H14" s="199">
        <f>D54</f>
        <v>102241.5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4"/>
      <c r="D15" s="31">
        <f t="shared" si="1"/>
        <v>0</v>
      </c>
      <c r="F15" s="202" t="s">
        <v>40</v>
      </c>
      <c r="G15" s="203"/>
      <c r="H15" s="204">
        <f>H13-H14</f>
        <v>379174.5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>
        <f>3012</f>
        <v>3012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138</v>
      </c>
      <c r="C17" s="84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4"/>
      <c r="D22" s="48">
        <f t="shared" si="1"/>
        <v>0</v>
      </c>
      <c r="F22" s="77" t="s">
        <v>166</v>
      </c>
      <c r="G22" s="73">
        <v>7681</v>
      </c>
      <c r="H22" s="180">
        <v>45650</v>
      </c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137</v>
      </c>
      <c r="C26" s="84"/>
      <c r="D26" s="48">
        <f t="shared" si="1"/>
        <v>0</v>
      </c>
      <c r="F26" s="75"/>
      <c r="G26" s="65"/>
      <c r="H26" s="150"/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4"/>
      <c r="D27" s="44">
        <f t="shared" si="1"/>
        <v>0</v>
      </c>
      <c r="F27" s="71"/>
      <c r="G27" s="90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4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481416</v>
      </c>
      <c r="F29" s="111" t="s">
        <v>55</v>
      </c>
      <c r="G29" s="173"/>
      <c r="H29" s="133">
        <f>H15-H16-H17-H18-H19-H20-H22-H23-H24+H26+H27+H28</f>
        <v>330512.5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>
        <v>10</v>
      </c>
      <c r="D34" s="30">
        <f>C34*120</f>
        <v>1200</v>
      </c>
      <c r="F34" s="12">
        <v>1000</v>
      </c>
      <c r="G34" s="40">
        <v>278</v>
      </c>
      <c r="H34" s="155">
        <f t="shared" ref="H34:H39" si="2">F34*G34</f>
        <v>278000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102</v>
      </c>
      <c r="H35" s="155">
        <f t="shared" si="2"/>
        <v>51000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55">
        <f t="shared" si="2"/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838</v>
      </c>
      <c r="D37" s="12">
        <f>C37*111</f>
        <v>93018</v>
      </c>
      <c r="F37" s="12">
        <v>100</v>
      </c>
      <c r="G37" s="39">
        <v>9</v>
      </c>
      <c r="H37" s="155">
        <f t="shared" si="2"/>
        <v>900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>
        <v>3</v>
      </c>
      <c r="H38" s="155">
        <f t="shared" si="2"/>
        <v>150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>
        <v>25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>
        <v>41</v>
      </c>
      <c r="D44" s="12">
        <f>C44*120</f>
        <v>4920</v>
      </c>
      <c r="F44" s="37"/>
      <c r="G44" s="62"/>
      <c r="H44" s="150"/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9</v>
      </c>
      <c r="D46" s="12">
        <f>C46*1.5</f>
        <v>13.5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48</v>
      </c>
      <c r="D49" s="12">
        <f>C49*42</f>
        <v>2016</v>
      </c>
      <c r="F49" s="131" t="s">
        <v>86</v>
      </c>
      <c r="G49" s="133">
        <f>H34+H35+H36+H37+H38+H39+H40+H41+G42+H44+H45+H46</f>
        <v>330075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14</v>
      </c>
      <c r="D50" s="12">
        <f>C50*1.5</f>
        <v>21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131</v>
      </c>
      <c r="G51" s="244">
        <f>G49-H29</f>
        <v>-437.5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102241.5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333D-C745-474C-8FF0-9245C6796D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45996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186</v>
      </c>
      <c r="D6" s="13">
        <f t="shared" ref="D6:D28" si="1">C6*L6</f>
        <v>137082</v>
      </c>
      <c r="F6" s="218" t="s">
        <v>16</v>
      </c>
      <c r="G6" s="220" t="s">
        <v>141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2</v>
      </c>
      <c r="D7" s="13">
        <f t="shared" si="1"/>
        <v>1450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8</v>
      </c>
      <c r="D9" s="13">
        <f t="shared" si="1"/>
        <v>5656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5</v>
      </c>
      <c r="D13" s="48">
        <f t="shared" si="1"/>
        <v>1535</v>
      </c>
      <c r="F13" s="239" t="s">
        <v>36</v>
      </c>
      <c r="G13" s="203"/>
      <c r="H13" s="194">
        <f>D29</f>
        <v>148838.16666666666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16</v>
      </c>
      <c r="D14" s="31">
        <f t="shared" si="1"/>
        <v>176</v>
      </c>
      <c r="F14" s="197" t="s">
        <v>39</v>
      </c>
      <c r="G14" s="198"/>
      <c r="H14" s="199">
        <f>D54</f>
        <v>23934.75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124903.41666666666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>
        <v>5</v>
      </c>
      <c r="D25" s="48">
        <f t="shared" si="1"/>
        <v>584.16666666666663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>
        <v>3</v>
      </c>
      <c r="D28" s="48">
        <f t="shared" si="1"/>
        <v>2355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148838.16666666666</v>
      </c>
      <c r="F29" s="111" t="s">
        <v>55</v>
      </c>
      <c r="G29" s="173"/>
      <c r="H29" s="133">
        <f>H15-H16-H17-H18-H19-H20-H22-H23-H24+H26+H27</f>
        <v>124903.41666666666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91</v>
      </c>
      <c r="H34" s="155">
        <f>F34*G34</f>
        <v>91000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65</v>
      </c>
      <c r="H35" s="155">
        <f t="shared" ref="H35:H39" si="2">F35*G35</f>
        <v>32500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5">
        <f>F36*G36</f>
        <v>200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202</v>
      </c>
      <c r="D37" s="12">
        <f>C37*111</f>
        <v>22422</v>
      </c>
      <c r="F37" s="12">
        <v>100</v>
      </c>
      <c r="G37" s="39">
        <v>17</v>
      </c>
      <c r="H37" s="155">
        <f t="shared" si="2"/>
        <v>1700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10</v>
      </c>
      <c r="D38" s="12">
        <f>C38*84</f>
        <v>840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5">
        <v>11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91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2</v>
      </c>
      <c r="D49" s="12">
        <f>C49*42</f>
        <v>84</v>
      </c>
      <c r="F49" s="131" t="s">
        <v>86</v>
      </c>
      <c r="G49" s="133">
        <f>H34+H35+H36+H37+H38+H39+H40+H41+G42+H44+H45+H46</f>
        <v>125411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17</v>
      </c>
      <c r="D50" s="12">
        <f>C50*1.5</f>
        <v>25.5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155</v>
      </c>
      <c r="G51" s="141">
        <f>G49-H29</f>
        <v>507.58333333334303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23934.75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47494-3345-458E-8782-BD702A3573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45996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175</v>
      </c>
      <c r="D6" s="13">
        <f t="shared" ref="D6:D28" si="1">C6*L6</f>
        <v>128975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20</v>
      </c>
      <c r="D7" s="13">
        <f t="shared" si="1"/>
        <v>14500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17</v>
      </c>
      <c r="D9" s="13">
        <f t="shared" si="1"/>
        <v>12019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3</v>
      </c>
      <c r="D10" s="13">
        <f t="shared" si="1"/>
        <v>2916</v>
      </c>
      <c r="F10" s="218" t="s">
        <v>26</v>
      </c>
      <c r="G10" s="233" t="s">
        <v>135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>
        <v>1</v>
      </c>
      <c r="D11" s="13">
        <f t="shared" si="1"/>
        <v>1125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f>1+1</f>
        <v>2</v>
      </c>
      <c r="D12" s="48">
        <f t="shared" si="1"/>
        <v>1904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6</v>
      </c>
      <c r="D13" s="48">
        <f t="shared" si="1"/>
        <v>1842</v>
      </c>
      <c r="F13" s="239" t="s">
        <v>36</v>
      </c>
      <c r="G13" s="203"/>
      <c r="H13" s="194">
        <f>D29</f>
        <v>166256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24198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142058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300</f>
        <v>300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0">
        <v>50</v>
      </c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>
        <v>3</v>
      </c>
      <c r="D28" s="48">
        <f t="shared" si="1"/>
        <v>2355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166256</v>
      </c>
      <c r="F29" s="111" t="s">
        <v>55</v>
      </c>
      <c r="G29" s="173"/>
      <c r="H29" s="133">
        <f>H15-H16-H17-H18-H19-H20-H22-H23-H24+H26+H27</f>
        <v>141708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113</v>
      </c>
      <c r="H34" s="155">
        <f>F34*G34</f>
        <v>113000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37</v>
      </c>
      <c r="H35" s="155">
        <f>F35*G35</f>
        <v>18500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2</v>
      </c>
      <c r="H36" s="155">
        <f t="shared" ref="H36:H39" si="2">F36*G36</f>
        <v>400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51</v>
      </c>
      <c r="H37" s="155">
        <f t="shared" si="2"/>
        <v>5100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15</v>
      </c>
      <c r="H38" s="155">
        <f t="shared" si="2"/>
        <v>750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55">
        <f t="shared" si="2"/>
        <v>20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5">
        <v>127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3</v>
      </c>
      <c r="D44" s="12">
        <f>C44*120</f>
        <v>360</v>
      </c>
      <c r="F44" s="37" t="s">
        <v>145</v>
      </c>
      <c r="G44" s="76"/>
      <c r="H44" s="150">
        <v>3792</v>
      </c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6</v>
      </c>
      <c r="D46" s="12">
        <f>C46*1.5</f>
        <v>9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1</v>
      </c>
      <c r="D49" s="12">
        <f>C49*42</f>
        <v>42</v>
      </c>
      <c r="F49" s="131" t="s">
        <v>86</v>
      </c>
      <c r="G49" s="133">
        <f>H34+H35+H36+H37+H38+H39+H40+H41+G42+H44+H45+H46</f>
        <v>141689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12</v>
      </c>
      <c r="D50" s="12">
        <f>C50*1.5</f>
        <v>18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140</v>
      </c>
      <c r="G51" s="244">
        <f>G49-H29</f>
        <v>-19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24198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02144-84CA-4F0C-8D6A-20F5884C86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088B4-3EC0-40DB-9955-A051FFE9D53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45997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4">
        <v>407</v>
      </c>
      <c r="D6" s="13">
        <f t="shared" ref="D6:D28" si="1">C6*L6</f>
        <v>299959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4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4"/>
      <c r="D8" s="13">
        <f t="shared" si="1"/>
        <v>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4">
        <v>54</v>
      </c>
      <c r="D9" s="13">
        <f t="shared" si="1"/>
        <v>38178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4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4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4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4">
        <v>9</v>
      </c>
      <c r="D13" s="48">
        <f t="shared" si="1"/>
        <v>2763</v>
      </c>
      <c r="F13" s="239" t="s">
        <v>36</v>
      </c>
      <c r="G13" s="203"/>
      <c r="H13" s="194">
        <f>D29</f>
        <v>343299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4">
        <v>4</v>
      </c>
      <c r="D14" s="31">
        <f t="shared" si="1"/>
        <v>44</v>
      </c>
      <c r="F14" s="197" t="s">
        <v>39</v>
      </c>
      <c r="G14" s="198"/>
      <c r="H14" s="199">
        <f>D54</f>
        <v>83292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4"/>
      <c r="D15" s="31">
        <f t="shared" si="1"/>
        <v>0</v>
      </c>
      <c r="F15" s="202" t="s">
        <v>40</v>
      </c>
      <c r="G15" s="203"/>
      <c r="H15" s="204">
        <f>H13-H14</f>
        <v>260007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138</v>
      </c>
      <c r="C17" s="84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4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137</v>
      </c>
      <c r="C26" s="84"/>
      <c r="D26" s="48">
        <f t="shared" si="1"/>
        <v>0</v>
      </c>
      <c r="F26" s="75"/>
      <c r="G26" s="65"/>
      <c r="H26" s="150"/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4"/>
      <c r="D27" s="44">
        <f t="shared" si="1"/>
        <v>0</v>
      </c>
      <c r="F27" s="71"/>
      <c r="G27" s="90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4">
        <v>3</v>
      </c>
      <c r="D28" s="48">
        <f t="shared" si="1"/>
        <v>2355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343299</v>
      </c>
      <c r="F29" s="111" t="s">
        <v>55</v>
      </c>
      <c r="G29" s="173"/>
      <c r="H29" s="133">
        <f>H15-H16-H17-H18-H19-H20-H22-H23-H24+H26+H27+H28</f>
        <v>260007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53</v>
      </c>
      <c r="H34" s="155">
        <f t="shared" ref="H34:H39" si="2">F34*G34</f>
        <v>53000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55">
        <f t="shared" si="2"/>
        <v>21000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713</v>
      </c>
      <c r="D37" s="12">
        <f>C37*111</f>
        <v>79143</v>
      </c>
      <c r="F37" s="12">
        <v>100</v>
      </c>
      <c r="G37" s="39">
        <v>8</v>
      </c>
      <c r="H37" s="155">
        <f t="shared" si="2"/>
        <v>800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155">
        <f t="shared" si="2"/>
        <v>100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>
        <v>122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 t="s">
        <v>167</v>
      </c>
      <c r="G44" s="62" t="s">
        <v>168</v>
      </c>
      <c r="H44" s="150">
        <v>118353</v>
      </c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 t="s">
        <v>167</v>
      </c>
      <c r="G45" s="62" t="s">
        <v>169</v>
      </c>
      <c r="H45" s="150">
        <v>66364</v>
      </c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259739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7</v>
      </c>
      <c r="D50" s="12">
        <f>C50*1.5</f>
        <v>10.5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131</v>
      </c>
      <c r="G51" s="244">
        <f>G49-H29</f>
        <v>-268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83292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5111-FC87-4E15-A519-7A3A6FF5456B}">
  <dimension ref="A1:R59"/>
  <sheetViews>
    <sheetView topLeftCell="A25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45997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203</v>
      </c>
      <c r="D6" s="13">
        <f t="shared" ref="D6:D28" si="1">C6*L6</f>
        <v>149611</v>
      </c>
      <c r="F6" s="218" t="s">
        <v>16</v>
      </c>
      <c r="G6" s="220" t="s">
        <v>141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9</v>
      </c>
      <c r="D7" s="13">
        <f t="shared" si="1"/>
        <v>6525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>
        <v>1</v>
      </c>
      <c r="D8" s="13">
        <f t="shared" si="1"/>
        <v>1033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34</v>
      </c>
      <c r="D9" s="13">
        <f t="shared" si="1"/>
        <v>24038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1</v>
      </c>
      <c r="D10" s="13">
        <f t="shared" si="1"/>
        <v>972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1</v>
      </c>
      <c r="D12" s="48">
        <f t="shared" si="1"/>
        <v>952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6</v>
      </c>
      <c r="D13" s="48">
        <f t="shared" si="1"/>
        <v>1842</v>
      </c>
      <c r="F13" s="239" t="s">
        <v>36</v>
      </c>
      <c r="G13" s="203"/>
      <c r="H13" s="194">
        <f>D29</f>
        <v>186017.83333333334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13</v>
      </c>
      <c r="D14" s="31">
        <f t="shared" si="1"/>
        <v>143</v>
      </c>
      <c r="F14" s="197" t="s">
        <v>39</v>
      </c>
      <c r="G14" s="198"/>
      <c r="H14" s="199">
        <f>D54</f>
        <v>28258.5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157759.33333333334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>
        <v>1</v>
      </c>
      <c r="D28" s="48">
        <f t="shared" si="1"/>
        <v>785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186017.83333333334</v>
      </c>
      <c r="F29" s="111" t="s">
        <v>55</v>
      </c>
      <c r="G29" s="173"/>
      <c r="H29" s="133">
        <f>H15-H16-H17-H18-H19-H20-H22-H23-H24+H26+H27</f>
        <v>157759.33333333334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132</v>
      </c>
      <c r="H34" s="155">
        <f>F34*G34</f>
        <v>132000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155">
        <f t="shared" ref="H35:H39" si="2">F35*G35</f>
        <v>24500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>
        <v>9</v>
      </c>
      <c r="D36" s="12">
        <f>C36*1.5</f>
        <v>13.5</v>
      </c>
      <c r="F36" s="12">
        <v>200</v>
      </c>
      <c r="G36" s="37"/>
      <c r="H36" s="155">
        <f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11</v>
      </c>
      <c r="H37" s="155">
        <f t="shared" si="2"/>
        <v>1100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6</v>
      </c>
      <c r="H38" s="155">
        <f t="shared" si="2"/>
        <v>300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55">
        <f t="shared" si="2"/>
        <v>20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>
        <v>27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1</v>
      </c>
      <c r="D44" s="12">
        <f>C44*120</f>
        <v>120</v>
      </c>
      <c r="F44" s="37"/>
      <c r="G44" s="62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>
        <v>3</v>
      </c>
      <c r="D45" s="12">
        <f>C45*84</f>
        <v>252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18</v>
      </c>
      <c r="D46" s="12">
        <f>C46*1.5</f>
        <v>27</v>
      </c>
      <c r="F46" s="37"/>
      <c r="G46" s="91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157947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15</v>
      </c>
      <c r="D50" s="12">
        <f>C50*1.5</f>
        <v>22.5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155</v>
      </c>
      <c r="G51" s="141">
        <f>G49-H29</f>
        <v>187.66666666665697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28258.5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D65E3-7877-4F77-80B7-F654C62AF0B5}">
  <dimension ref="A1:R59"/>
  <sheetViews>
    <sheetView topLeftCell="A10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45997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365</v>
      </c>
      <c r="D6" s="13">
        <f t="shared" ref="D6:D28" si="1">C6*L6</f>
        <v>269005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3</v>
      </c>
      <c r="D7" s="13">
        <f t="shared" si="1"/>
        <v>2175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25</v>
      </c>
      <c r="D9" s="13">
        <f t="shared" si="1"/>
        <v>17675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2</v>
      </c>
      <c r="D10" s="13">
        <f t="shared" si="1"/>
        <v>1944</v>
      </c>
      <c r="F10" s="218" t="s">
        <v>26</v>
      </c>
      <c r="G10" s="233" t="s">
        <v>135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2</v>
      </c>
      <c r="D12" s="48">
        <f t="shared" si="1"/>
        <v>1904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10</v>
      </c>
      <c r="D13" s="48">
        <f t="shared" si="1"/>
        <v>3070</v>
      </c>
      <c r="F13" s="239" t="s">
        <v>36</v>
      </c>
      <c r="G13" s="203"/>
      <c r="H13" s="194">
        <f>D29</f>
        <v>297409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6</v>
      </c>
      <c r="D14" s="31">
        <f t="shared" si="1"/>
        <v>66</v>
      </c>
      <c r="F14" s="197" t="s">
        <v>39</v>
      </c>
      <c r="G14" s="198"/>
      <c r="H14" s="199">
        <f>D54</f>
        <v>44916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252493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612+702+750</f>
        <v>2064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>
        <v>2</v>
      </c>
      <c r="D28" s="48">
        <f t="shared" si="1"/>
        <v>1570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297409</v>
      </c>
      <c r="F29" s="111" t="s">
        <v>55</v>
      </c>
      <c r="G29" s="173"/>
      <c r="H29" s="133">
        <f>H15-H16-H17-H18-H19-H20-H22-H23-H24+H26+H27</f>
        <v>250429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103</v>
      </c>
      <c r="H34" s="155">
        <f>F34*G34</f>
        <v>103000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55">
        <f>F35*G35</f>
        <v>3500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4</v>
      </c>
      <c r="H37" s="155">
        <f t="shared" si="2"/>
        <v>400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55">
        <f t="shared" si="2"/>
        <v>50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4</v>
      </c>
      <c r="D42" s="12">
        <f>C42*2.25</f>
        <v>9</v>
      </c>
      <c r="F42" s="39" t="s">
        <v>79</v>
      </c>
      <c r="G42" s="155">
        <v>30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1</v>
      </c>
      <c r="D44" s="12">
        <f>C44*120</f>
        <v>120</v>
      </c>
      <c r="F44" s="37" t="s">
        <v>150</v>
      </c>
      <c r="G44" s="76" t="s">
        <v>170</v>
      </c>
      <c r="H44" s="150">
        <v>64639.5</v>
      </c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>
        <v>1</v>
      </c>
      <c r="D45" s="12">
        <f>C45*84</f>
        <v>84</v>
      </c>
      <c r="F45" s="37" t="s">
        <v>163</v>
      </c>
      <c r="G45" s="76" t="s">
        <v>171</v>
      </c>
      <c r="H45" s="150">
        <v>78155</v>
      </c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22</v>
      </c>
      <c r="D46" s="12">
        <f>C46*1.5</f>
        <v>33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249774.5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11</v>
      </c>
      <c r="D50" s="12">
        <f>C50*1.5</f>
        <v>16.5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140</v>
      </c>
      <c r="G51" s="244">
        <f>G49-H29</f>
        <v>-654.5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44916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80764-0C27-42F4-8DF5-27E70BF7B7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ED22-7B7E-4DC0-84A5-4A216B52F522}">
  <dimension ref="A1:R59"/>
  <sheetViews>
    <sheetView topLeftCell="A19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45999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4">
        <v>135</v>
      </c>
      <c r="D6" s="13">
        <f t="shared" ref="D6:D28" si="1">C6*L6</f>
        <v>99495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4">
        <v>10</v>
      </c>
      <c r="D7" s="13">
        <f t="shared" si="1"/>
        <v>7250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4"/>
      <c r="D8" s="13">
        <f t="shared" si="1"/>
        <v>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4">
        <v>27</v>
      </c>
      <c r="D9" s="13">
        <f t="shared" si="1"/>
        <v>19089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4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4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4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4">
        <v>4</v>
      </c>
      <c r="D13" s="48">
        <f t="shared" si="1"/>
        <v>1228</v>
      </c>
      <c r="F13" s="239" t="s">
        <v>36</v>
      </c>
      <c r="G13" s="203"/>
      <c r="H13" s="194">
        <f>D29</f>
        <v>128632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4"/>
      <c r="D14" s="31">
        <f t="shared" si="1"/>
        <v>0</v>
      </c>
      <c r="F14" s="197" t="s">
        <v>39</v>
      </c>
      <c r="G14" s="198"/>
      <c r="H14" s="199">
        <f>D54</f>
        <v>19241.25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4"/>
      <c r="D15" s="31">
        <f t="shared" si="1"/>
        <v>0</v>
      </c>
      <c r="F15" s="202" t="s">
        <v>40</v>
      </c>
      <c r="G15" s="203"/>
      <c r="H15" s="204">
        <f>H13-H14</f>
        <v>109390.75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138</v>
      </c>
      <c r="C17" s="84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4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137</v>
      </c>
      <c r="C26" s="84"/>
      <c r="D26" s="48">
        <f t="shared" si="1"/>
        <v>0</v>
      </c>
      <c r="F26" s="104" t="s">
        <v>172</v>
      </c>
      <c r="G26" s="65">
        <v>7681</v>
      </c>
      <c r="H26" s="150">
        <v>45650</v>
      </c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4"/>
      <c r="D27" s="44">
        <f t="shared" si="1"/>
        <v>0</v>
      </c>
      <c r="F27" s="71"/>
      <c r="G27" s="90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4">
        <v>2</v>
      </c>
      <c r="D28" s="48">
        <f t="shared" si="1"/>
        <v>1570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128632</v>
      </c>
      <c r="F29" s="111" t="s">
        <v>55</v>
      </c>
      <c r="G29" s="173"/>
      <c r="H29" s="133">
        <f>H15-H16-H17-H18-H19-H20-H22-H23-H24+H26+H27+H28</f>
        <v>155040.75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144</v>
      </c>
      <c r="H34" s="155">
        <f t="shared" ref="H34:H39" si="2">F34*G34</f>
        <v>144000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11</v>
      </c>
      <c r="H35" s="155">
        <f t="shared" si="2"/>
        <v>5500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2</v>
      </c>
      <c r="H37" s="155">
        <f t="shared" si="2"/>
        <v>200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55">
        <f t="shared" si="2"/>
        <v>50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5">
        <v>255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 t="s">
        <v>145</v>
      </c>
      <c r="G44" s="62"/>
      <c r="H44" s="150">
        <v>4994</v>
      </c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5</v>
      </c>
      <c r="D46" s="12">
        <f>C46*1.5</f>
        <v>7.5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1</v>
      </c>
      <c r="D49" s="12">
        <f>C49*42</f>
        <v>42</v>
      </c>
      <c r="F49" s="131" t="s">
        <v>86</v>
      </c>
      <c r="G49" s="133">
        <f>H34+H35+H36+H37+H38+H39+H40+H41+G42+H44+H45+H46</f>
        <v>154999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11</v>
      </c>
      <c r="D50" s="12">
        <f>C50*1.5</f>
        <v>16.5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131</v>
      </c>
      <c r="G51" s="244">
        <f>G49-H29</f>
        <v>-41.75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19241.25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44C58-F673-46DD-8B88-9E574B8DD6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45999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233</v>
      </c>
      <c r="D6" s="13">
        <f t="shared" ref="D6:D28" si="1">C6*L6</f>
        <v>171721</v>
      </c>
      <c r="F6" s="218" t="s">
        <v>16</v>
      </c>
      <c r="G6" s="220" t="s">
        <v>141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12</v>
      </c>
      <c r="D7" s="13">
        <f t="shared" si="1"/>
        <v>8700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24</v>
      </c>
      <c r="D9" s="13">
        <f t="shared" si="1"/>
        <v>16968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1</v>
      </c>
      <c r="D10" s="13">
        <f t="shared" si="1"/>
        <v>972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f>2+1</f>
        <v>3</v>
      </c>
      <c r="D12" s="48">
        <f t="shared" si="1"/>
        <v>2856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5</v>
      </c>
      <c r="D13" s="48">
        <f t="shared" si="1"/>
        <v>1535</v>
      </c>
      <c r="F13" s="239" t="s">
        <v>36</v>
      </c>
      <c r="G13" s="203"/>
      <c r="H13" s="194">
        <f>D29</f>
        <v>204048.33333333334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4</v>
      </c>
      <c r="D14" s="31">
        <f t="shared" si="1"/>
        <v>44</v>
      </c>
      <c r="F14" s="197" t="s">
        <v>39</v>
      </c>
      <c r="G14" s="198"/>
      <c r="H14" s="199">
        <f>D54</f>
        <v>31084.5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172963.83333333334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v>600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>
        <v>4</v>
      </c>
      <c r="D25" s="48">
        <f t="shared" si="1"/>
        <v>467.33333333333331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>
        <v>1</v>
      </c>
      <c r="D28" s="48">
        <f t="shared" si="1"/>
        <v>785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204048.33333333334</v>
      </c>
      <c r="F29" s="111" t="s">
        <v>55</v>
      </c>
      <c r="G29" s="173"/>
      <c r="H29" s="133">
        <f>H15-H16-H17-H18-H19-H20-H22-H23-H24+H26+H27</f>
        <v>172363.83333333334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157</v>
      </c>
      <c r="H34" s="155">
        <f>F34*G34</f>
        <v>157000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155">
        <f t="shared" ref="H35:H39" si="2">F35*G35</f>
        <v>15500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>
        <v>22</v>
      </c>
      <c r="D36" s="12">
        <f>C36*1.5</f>
        <v>33</v>
      </c>
      <c r="F36" s="12">
        <v>200</v>
      </c>
      <c r="G36" s="37"/>
      <c r="H36" s="155">
        <f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259</v>
      </c>
      <c r="D37" s="12">
        <f>C37*111</f>
        <v>28749</v>
      </c>
      <c r="F37" s="12">
        <v>100</v>
      </c>
      <c r="G37" s="39">
        <v>5</v>
      </c>
      <c r="H37" s="155">
        <f t="shared" si="2"/>
        <v>500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4</v>
      </c>
      <c r="H38" s="155">
        <f t="shared" si="2"/>
        <v>200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8</v>
      </c>
      <c r="D42" s="12">
        <f>C42*2.25</f>
        <v>18</v>
      </c>
      <c r="F42" s="39" t="s">
        <v>79</v>
      </c>
      <c r="G42" s="155">
        <v>2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2</v>
      </c>
      <c r="D44" s="12">
        <f>C44*120</f>
        <v>240</v>
      </c>
      <c r="F44" s="37"/>
      <c r="G44" s="62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>
        <v>2</v>
      </c>
      <c r="D45" s="12">
        <f>C45*84</f>
        <v>168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3</v>
      </c>
      <c r="D46" s="12">
        <f>C46*1.5</f>
        <v>4.5</v>
      </c>
      <c r="F46" s="37"/>
      <c r="G46" s="91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173202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32</v>
      </c>
      <c r="D50" s="12">
        <f>C50*1.5</f>
        <v>48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155</v>
      </c>
      <c r="G51" s="141">
        <f>G49-H29</f>
        <v>838.16666666665697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31084.5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E99B3-7E03-4098-9747-FAA0D0E9AE7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45999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386</v>
      </c>
      <c r="D6" s="13">
        <f t="shared" ref="D6:D28" si="1">C6*L6</f>
        <v>284482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10</v>
      </c>
      <c r="D7" s="13">
        <f t="shared" si="1"/>
        <v>7250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113</v>
      </c>
      <c r="D9" s="13">
        <f t="shared" si="1"/>
        <v>79891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5</v>
      </c>
      <c r="D10" s="13">
        <f t="shared" si="1"/>
        <v>4860</v>
      </c>
      <c r="F10" s="218" t="s">
        <v>26</v>
      </c>
      <c r="G10" s="233" t="s">
        <v>135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5</v>
      </c>
      <c r="D12" s="48">
        <f t="shared" si="1"/>
        <v>4760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392314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11</v>
      </c>
      <c r="D14" s="31">
        <f t="shared" si="1"/>
        <v>121</v>
      </c>
      <c r="F14" s="197" t="s">
        <v>39</v>
      </c>
      <c r="G14" s="198"/>
      <c r="H14" s="199">
        <f>D54</f>
        <v>44706.75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>
        <v>4</v>
      </c>
      <c r="D15" s="31">
        <f t="shared" si="1"/>
        <v>2480</v>
      </c>
      <c r="F15" s="202" t="s">
        <v>40</v>
      </c>
      <c r="G15" s="203"/>
      <c r="H15" s="204">
        <f>H13-H14</f>
        <v>347607.25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v>2712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>
        <v>10</v>
      </c>
      <c r="D28" s="48">
        <f t="shared" si="1"/>
        <v>7850</v>
      </c>
      <c r="F28" s="93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392314</v>
      </c>
      <c r="F29" s="111" t="s">
        <v>55</v>
      </c>
      <c r="G29" s="173"/>
      <c r="H29" s="133">
        <f>H15-H16-H17-H18-H19-H20-H22-H23-H24+H26+H27</f>
        <v>344895.25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36</v>
      </c>
      <c r="H34" s="155">
        <f>F34*G34</f>
        <v>36000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155">
        <f>F35*G35</f>
        <v>5000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8</v>
      </c>
      <c r="H37" s="155">
        <f t="shared" si="2"/>
        <v>800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55">
        <f t="shared" si="2"/>
        <v>50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155">
        <f t="shared" si="2"/>
        <v>20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1</v>
      </c>
      <c r="D42" s="12">
        <f>C42*2.25</f>
        <v>2.25</v>
      </c>
      <c r="F42" s="39" t="s">
        <v>79</v>
      </c>
      <c r="G42" s="155">
        <v>45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9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11</v>
      </c>
      <c r="D44" s="12">
        <f>C44*120</f>
        <v>1320</v>
      </c>
      <c r="F44" s="37" t="s">
        <v>150</v>
      </c>
      <c r="G44" s="76" t="s">
        <v>173</v>
      </c>
      <c r="H44" s="150">
        <v>303690</v>
      </c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10</v>
      </c>
      <c r="D46" s="12">
        <f>C46*1.5</f>
        <v>15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1</v>
      </c>
      <c r="D49" s="12">
        <f>C49*42</f>
        <v>42</v>
      </c>
      <c r="F49" s="131" t="s">
        <v>86</v>
      </c>
      <c r="G49" s="133">
        <f>H34+H35+H36+H37+H38+H39+H40+H41+G42+H44+H45+H46</f>
        <v>345605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1</v>
      </c>
      <c r="D50" s="12">
        <f>C50*1.5</f>
        <v>1.5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148</v>
      </c>
      <c r="G51" s="141">
        <f>G49-H29</f>
        <v>709.75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44706.75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3E97A-3D19-4F59-8E9B-06A2311825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E089-8E7B-4B94-B489-6840337C8D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46000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4">
        <v>270</v>
      </c>
      <c r="D6" s="13">
        <f t="shared" ref="D6:D28" si="1">C6*L6</f>
        <v>198990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4">
        <v>7</v>
      </c>
      <c r="D7" s="13">
        <f t="shared" si="1"/>
        <v>5075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4"/>
      <c r="D8" s="13">
        <f t="shared" si="1"/>
        <v>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4">
        <v>22</v>
      </c>
      <c r="D9" s="13">
        <f t="shared" si="1"/>
        <v>15554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4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4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4">
        <f>1+1</f>
        <v>2</v>
      </c>
      <c r="D12" s="48">
        <f t="shared" si="1"/>
        <v>1904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4">
        <v>4</v>
      </c>
      <c r="D13" s="48">
        <f t="shared" si="1"/>
        <v>1228</v>
      </c>
      <c r="F13" s="239" t="s">
        <v>36</v>
      </c>
      <c r="G13" s="203"/>
      <c r="H13" s="194">
        <f>D29</f>
        <v>224255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4">
        <v>9</v>
      </c>
      <c r="D14" s="31">
        <f t="shared" si="1"/>
        <v>99</v>
      </c>
      <c r="F14" s="197" t="s">
        <v>39</v>
      </c>
      <c r="G14" s="198"/>
      <c r="H14" s="199">
        <f>D54</f>
        <v>33251.25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4"/>
      <c r="D15" s="31">
        <f t="shared" si="1"/>
        <v>0</v>
      </c>
      <c r="F15" s="202" t="s">
        <v>40</v>
      </c>
      <c r="G15" s="203"/>
      <c r="H15" s="204">
        <f>H13-H14</f>
        <v>191003.75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138</v>
      </c>
      <c r="C17" s="84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4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137</v>
      </c>
      <c r="C26" s="84"/>
      <c r="D26" s="48">
        <f t="shared" si="1"/>
        <v>0</v>
      </c>
      <c r="F26" s="75"/>
      <c r="G26" s="65"/>
      <c r="H26" s="150"/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4"/>
      <c r="D27" s="44">
        <f t="shared" si="1"/>
        <v>0</v>
      </c>
      <c r="F27" s="71"/>
      <c r="G27" s="103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4">
        <v>1</v>
      </c>
      <c r="D28" s="48">
        <f t="shared" si="1"/>
        <v>785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224255</v>
      </c>
      <c r="F29" s="111" t="s">
        <v>55</v>
      </c>
      <c r="G29" s="173"/>
      <c r="H29" s="133">
        <f>H15-H16-H17-H18-H19-H20-H22-H23-H24+H26+H27+H28</f>
        <v>191003.75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55">
        <f t="shared" ref="H34:H39" si="2">F34*G34</f>
        <v>120000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155">
        <f t="shared" si="2"/>
        <v>46000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275</v>
      </c>
      <c r="D37" s="12">
        <f>C37*111</f>
        <v>30525</v>
      </c>
      <c r="F37" s="12">
        <v>100</v>
      </c>
      <c r="G37" s="39">
        <v>33</v>
      </c>
      <c r="H37" s="155">
        <f t="shared" si="2"/>
        <v>3300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155">
        <f t="shared" si="2"/>
        <v>50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3</v>
      </c>
      <c r="D42" s="12">
        <f>C42*2.25</f>
        <v>6.75</v>
      </c>
      <c r="F42" s="39" t="s">
        <v>79</v>
      </c>
      <c r="G42" s="155">
        <v>33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50">
        <v>21364</v>
      </c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>
        <v>1</v>
      </c>
      <c r="D45" s="12">
        <f>C45*84</f>
        <v>84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8</v>
      </c>
      <c r="D46" s="12">
        <f>C46*1.5</f>
        <v>12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190747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25</v>
      </c>
      <c r="D50" s="12">
        <f>C50*1.5</f>
        <v>37.5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131</v>
      </c>
      <c r="G51" s="244">
        <f>G49-H29</f>
        <v>-256.75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33251.25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D07C5-0932-4753-9140-C8E7227EE5F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46000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332</v>
      </c>
      <c r="D6" s="13">
        <f t="shared" ref="D6:D28" si="1">C6*L6</f>
        <v>244684</v>
      </c>
      <c r="F6" s="218" t="s">
        <v>16</v>
      </c>
      <c r="G6" s="220" t="s">
        <v>141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3</v>
      </c>
      <c r="D9" s="13">
        <f t="shared" si="1"/>
        <v>2121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5</v>
      </c>
      <c r="D10" s="13">
        <f t="shared" si="1"/>
        <v>4860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>
        <v>2</v>
      </c>
      <c r="D11" s="13">
        <f t="shared" si="1"/>
        <v>2250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2</v>
      </c>
      <c r="D12" s="48">
        <f t="shared" si="1"/>
        <v>1904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13</v>
      </c>
      <c r="D13" s="48">
        <f t="shared" si="1"/>
        <v>3991</v>
      </c>
      <c r="F13" s="239" t="s">
        <v>36</v>
      </c>
      <c r="G13" s="203"/>
      <c r="H13" s="194">
        <f>D29</f>
        <v>261815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5</v>
      </c>
      <c r="D14" s="31">
        <f t="shared" si="1"/>
        <v>55</v>
      </c>
      <c r="F14" s="197" t="s">
        <v>39</v>
      </c>
      <c r="G14" s="198"/>
      <c r="H14" s="199">
        <f>D54</f>
        <v>38712.75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223102.25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1854</f>
        <v>1854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261815</v>
      </c>
      <c r="F29" s="111" t="s">
        <v>55</v>
      </c>
      <c r="G29" s="173"/>
      <c r="H29" s="133">
        <f>H15-H16-H17-H18-H19-H20-H22-H23-H24+H26+H27</f>
        <v>221248.25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21</v>
      </c>
      <c r="H34" s="155">
        <f>F34*G34</f>
        <v>21000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ref="H35:H39" si="2"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338</v>
      </c>
      <c r="D37" s="12">
        <f>C37*111</f>
        <v>37518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1</v>
      </c>
      <c r="D42" s="12">
        <f>C42*2.25</f>
        <v>2.25</v>
      </c>
      <c r="F42" s="39" t="s">
        <v>79</v>
      </c>
      <c r="G42" s="155">
        <v>48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 t="s">
        <v>150</v>
      </c>
      <c r="G44" s="62" t="s">
        <v>174</v>
      </c>
      <c r="H44" s="150">
        <v>199178</v>
      </c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3</v>
      </c>
      <c r="D46" s="12">
        <f>C46*1.5</f>
        <v>4.5</v>
      </c>
      <c r="F46" s="37"/>
      <c r="G46" s="10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13</v>
      </c>
      <c r="D49" s="12">
        <f>C49*42</f>
        <v>546</v>
      </c>
      <c r="F49" s="131" t="s">
        <v>86</v>
      </c>
      <c r="G49" s="133">
        <f>H34+H35+H36+H37+H38+H39+H40+H41+G42+H44+H45+H46</f>
        <v>220226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25</v>
      </c>
      <c r="D50" s="12">
        <f>C50*1.5</f>
        <v>37.5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132</v>
      </c>
      <c r="G51" s="244">
        <f>G49-H29</f>
        <v>-1022.25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38712.75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F39D3-3D4B-46F3-B0DF-5BDCC39799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46000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377</v>
      </c>
      <c r="D6" s="13">
        <f t="shared" ref="D6:D28" si="1">C6*L6</f>
        <v>277849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25</v>
      </c>
      <c r="D7" s="13">
        <f t="shared" si="1"/>
        <v>18125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118</v>
      </c>
      <c r="D9" s="13">
        <f t="shared" si="1"/>
        <v>83426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135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3</v>
      </c>
      <c r="D12" s="48">
        <f t="shared" si="1"/>
        <v>2856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16</v>
      </c>
      <c r="D13" s="48">
        <f t="shared" si="1"/>
        <v>4912</v>
      </c>
      <c r="F13" s="239" t="s">
        <v>36</v>
      </c>
      <c r="G13" s="203"/>
      <c r="H13" s="194">
        <f>D29</f>
        <v>388760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2</v>
      </c>
      <c r="D14" s="31">
        <f t="shared" si="1"/>
        <v>22</v>
      </c>
      <c r="F14" s="197" t="s">
        <v>39</v>
      </c>
      <c r="G14" s="198"/>
      <c r="H14" s="199">
        <f>D54</f>
        <v>49567.5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339192.5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342+363*6</f>
        <v>2520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>
        <v>2</v>
      </c>
      <c r="D28" s="48">
        <f t="shared" si="1"/>
        <v>1570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388760</v>
      </c>
      <c r="F29" s="111" t="s">
        <v>55</v>
      </c>
      <c r="G29" s="173"/>
      <c r="H29" s="133">
        <f>H15-H16-H17-H18-H19-H20-H22-H23-H24+H26+H27</f>
        <v>336672.5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72</v>
      </c>
      <c r="H34" s="155">
        <f>F34*G34</f>
        <v>72000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155">
        <f>F35*G35</f>
        <v>46000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422</v>
      </c>
      <c r="D37" s="12">
        <f>C37*111</f>
        <v>46842</v>
      </c>
      <c r="F37" s="12">
        <v>100</v>
      </c>
      <c r="G37" s="39">
        <v>5</v>
      </c>
      <c r="H37" s="155">
        <f t="shared" si="2"/>
        <v>500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5</v>
      </c>
      <c r="H38" s="155">
        <f t="shared" si="2"/>
        <v>250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>
        <v>109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2</v>
      </c>
      <c r="D44" s="12">
        <f>C44*120</f>
        <v>240</v>
      </c>
      <c r="F44" s="37" t="s">
        <v>163</v>
      </c>
      <c r="G44" s="76" t="s">
        <v>175</v>
      </c>
      <c r="H44" s="150">
        <v>217387</v>
      </c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13</v>
      </c>
      <c r="D49" s="12">
        <f>C49*42</f>
        <v>546</v>
      </c>
      <c r="F49" s="131" t="s">
        <v>86</v>
      </c>
      <c r="G49" s="133">
        <f>H34+H35+H36+H37+H38+H39+H40+H41+G42+H44+H45+H46</f>
        <v>336246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2</v>
      </c>
      <c r="D50" s="12">
        <f>C50*1.5</f>
        <v>3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140</v>
      </c>
      <c r="G51" s="244">
        <f>G49-H29</f>
        <v>-426.5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49567.5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BDDD9-0359-4CAB-A269-1BB1CFCB83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BFAFF-028C-4C8A-BEF8-DB1BDF4DB2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46001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4"/>
      <c r="D6" s="13">
        <f t="shared" ref="D6:D28" si="1">C6*L6</f>
        <v>0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4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4"/>
      <c r="D8" s="13">
        <f t="shared" si="1"/>
        <v>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4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4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4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4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4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4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4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138</v>
      </c>
      <c r="C17" s="84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4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137</v>
      </c>
      <c r="C26" s="84"/>
      <c r="D26" s="48">
        <f t="shared" si="1"/>
        <v>0</v>
      </c>
      <c r="F26" s="75"/>
      <c r="G26" s="65"/>
      <c r="H26" s="150"/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4"/>
      <c r="D27" s="44">
        <f t="shared" si="1"/>
        <v>0</v>
      </c>
      <c r="F27" s="71"/>
      <c r="G27" s="103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4"/>
      <c r="D28" s="48">
        <f t="shared" si="1"/>
        <v>0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H15-H16-H17-H18-H19-H20-H22-H23-H24+H26+H27+H28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5">
        <f t="shared" ref="H34:H39" si="2"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si="2"/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131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06D7-EAC5-4C75-88D8-37EC6AE7CC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46001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422</v>
      </c>
      <c r="D6" s="13">
        <f t="shared" ref="D6:D28" si="1">C6*L6</f>
        <v>311014</v>
      </c>
      <c r="F6" s="218" t="s">
        <v>16</v>
      </c>
      <c r="G6" s="220" t="s">
        <v>141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5</v>
      </c>
      <c r="D7" s="13">
        <f t="shared" si="1"/>
        <v>3625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110</v>
      </c>
      <c r="D9" s="13">
        <f t="shared" si="1"/>
        <v>77770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2</v>
      </c>
      <c r="D10" s="13">
        <f t="shared" si="1"/>
        <v>1944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f>2</f>
        <v>2</v>
      </c>
      <c r="D12" s="48">
        <f t="shared" si="1"/>
        <v>1904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20</v>
      </c>
      <c r="D13" s="48">
        <f t="shared" si="1"/>
        <v>6140</v>
      </c>
      <c r="F13" s="239" t="s">
        <v>36</v>
      </c>
      <c r="G13" s="203"/>
      <c r="H13" s="194">
        <f>D29</f>
        <v>403697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92064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311633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252">
        <f>1194+1836</f>
        <v>3030</v>
      </c>
      <c r="I16" s="253"/>
      <c r="J16" s="25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2">
        <v>100</v>
      </c>
      <c r="I19" s="253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403697</v>
      </c>
      <c r="F29" s="111" t="s">
        <v>55</v>
      </c>
      <c r="G29" s="173"/>
      <c r="H29" s="133">
        <f>H15-H16-H17-H18-H19-H20-H22-H23-H24+H26+H27</f>
        <v>308503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155">
        <f>F34*G34</f>
        <v>142000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95</v>
      </c>
      <c r="H35" s="155">
        <f t="shared" ref="H35:H39" si="2">F35*G35</f>
        <v>47500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5">
        <f>F36*G36</f>
        <v>200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787</v>
      </c>
      <c r="D37" s="12">
        <f>C37*111</f>
        <v>87357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8</v>
      </c>
      <c r="D42" s="12">
        <f>C42*2.25</f>
        <v>18</v>
      </c>
      <c r="F42" s="39" t="s">
        <v>79</v>
      </c>
      <c r="G42" s="155">
        <v>79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3</v>
      </c>
      <c r="D44" s="12">
        <f>C44*120</f>
        <v>360</v>
      </c>
      <c r="F44" s="37" t="s">
        <v>150</v>
      </c>
      <c r="G44" s="62" t="s">
        <v>176</v>
      </c>
      <c r="H44" s="150">
        <v>119491</v>
      </c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>
        <v>1</v>
      </c>
      <c r="D45" s="12">
        <f>C45*84</f>
        <v>84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12</v>
      </c>
      <c r="D46" s="12">
        <f>C46*1.5</f>
        <v>18</v>
      </c>
      <c r="F46" s="37"/>
      <c r="G46" s="10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12</v>
      </c>
      <c r="D49" s="12">
        <f>C49*42</f>
        <v>504</v>
      </c>
      <c r="F49" s="131" t="s">
        <v>86</v>
      </c>
      <c r="G49" s="133">
        <f>H34+H35+H36+H37+H38+H39+H40+H41+G42+H44+H45+H46</f>
        <v>309270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26</v>
      </c>
      <c r="D50" s="12">
        <f>C50*1.5</f>
        <v>39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155</v>
      </c>
      <c r="G51" s="141">
        <f>G49-H29</f>
        <v>767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92064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4D21B-A26C-4A22-A87A-F20E490ECE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46001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174</v>
      </c>
      <c r="D6" s="13">
        <f t="shared" ref="D6:D28" si="1">C6*L6</f>
        <v>128238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65</v>
      </c>
      <c r="D9" s="13">
        <f t="shared" si="1"/>
        <v>45955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135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>
        <v>1</v>
      </c>
      <c r="D11" s="13">
        <f t="shared" si="1"/>
        <v>1125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1</v>
      </c>
      <c r="D12" s="48">
        <f t="shared" si="1"/>
        <v>952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5</v>
      </c>
      <c r="D13" s="48">
        <f t="shared" si="1"/>
        <v>1535</v>
      </c>
      <c r="F13" s="239" t="s">
        <v>36</v>
      </c>
      <c r="G13" s="203"/>
      <c r="H13" s="194">
        <f>D29</f>
        <v>179358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23</v>
      </c>
      <c r="D14" s="31">
        <f t="shared" si="1"/>
        <v>253</v>
      </c>
      <c r="F14" s="197" t="s">
        <v>39</v>
      </c>
      <c r="G14" s="198"/>
      <c r="H14" s="199">
        <f>D54</f>
        <v>18797.25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160560.75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v>456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179358</v>
      </c>
      <c r="F29" s="111" t="s">
        <v>55</v>
      </c>
      <c r="G29" s="173"/>
      <c r="H29" s="133">
        <f>H15-H16-H17-H18-H19-H20-H22-H23-H24+H26+H27</f>
        <v>160104.75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59</v>
      </c>
      <c r="H34" s="155">
        <f>F34*G34</f>
        <v>59000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105</v>
      </c>
      <c r="H35" s="155">
        <f>F35*G35</f>
        <v>52500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134</v>
      </c>
      <c r="D37" s="12">
        <f>C37*111</f>
        <v>14874</v>
      </c>
      <c r="F37" s="12">
        <v>100</v>
      </c>
      <c r="G37" s="39">
        <v>4</v>
      </c>
      <c r="H37" s="155">
        <f t="shared" si="2"/>
        <v>400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2</v>
      </c>
      <c r="H38" s="155">
        <f t="shared" si="2"/>
        <v>100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55">
        <f t="shared" si="2"/>
        <v>20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13</v>
      </c>
      <c r="D42" s="12">
        <f>C42*2.25</f>
        <v>29.25</v>
      </c>
      <c r="F42" s="39" t="s">
        <v>79</v>
      </c>
      <c r="G42" s="155">
        <v>31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5</v>
      </c>
      <c r="D44" s="12">
        <f>C44*120</f>
        <v>600</v>
      </c>
      <c r="F44" s="37" t="s">
        <v>150</v>
      </c>
      <c r="G44" s="76" t="s">
        <v>177</v>
      </c>
      <c r="H44" s="150">
        <v>48140</v>
      </c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>
        <v>1</v>
      </c>
      <c r="D45" s="12">
        <f>C45*84</f>
        <v>84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11</v>
      </c>
      <c r="D46" s="12">
        <f>C46*1.5</f>
        <v>16.5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160191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148</v>
      </c>
      <c r="G51" s="141">
        <f>G49-H29</f>
        <v>86.25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18797.25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8AADA-E78E-4C6F-A8ED-0E95154FB6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BA192-CC62-4BE6-8D5B-4408038152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46002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4">
        <v>739</v>
      </c>
      <c r="D6" s="13">
        <f t="shared" ref="D6:D28" si="1">C6*L6</f>
        <v>544643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4">
        <v>17</v>
      </c>
      <c r="D7" s="13">
        <f t="shared" si="1"/>
        <v>12325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4"/>
      <c r="D8" s="13">
        <f t="shared" si="1"/>
        <v>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4">
        <v>11</v>
      </c>
      <c r="D9" s="13">
        <f t="shared" si="1"/>
        <v>7777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4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4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4">
        <v>2</v>
      </c>
      <c r="D12" s="48">
        <f t="shared" si="1"/>
        <v>1904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4">
        <v>32</v>
      </c>
      <c r="D13" s="48">
        <f t="shared" si="1"/>
        <v>9824</v>
      </c>
      <c r="F13" s="239" t="s">
        <v>36</v>
      </c>
      <c r="G13" s="203"/>
      <c r="H13" s="194">
        <f>D29</f>
        <v>586934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4">
        <v>8</v>
      </c>
      <c r="D14" s="31">
        <f t="shared" si="1"/>
        <v>88</v>
      </c>
      <c r="F14" s="197" t="s">
        <v>39</v>
      </c>
      <c r="G14" s="198"/>
      <c r="H14" s="199">
        <f>D54</f>
        <v>80880.75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4"/>
      <c r="D15" s="31">
        <f t="shared" si="1"/>
        <v>0</v>
      </c>
      <c r="F15" s="202" t="s">
        <v>40</v>
      </c>
      <c r="G15" s="203"/>
      <c r="H15" s="204">
        <f>H13-H14</f>
        <v>506053.25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>
        <f>3960</f>
        <v>3960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138</v>
      </c>
      <c r="C17" s="84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136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4"/>
      <c r="D22" s="48">
        <f t="shared" si="1"/>
        <v>0</v>
      </c>
      <c r="F22" s="77" t="s">
        <v>147</v>
      </c>
      <c r="G22" s="73">
        <v>7830</v>
      </c>
      <c r="H22" s="180">
        <v>70727</v>
      </c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179</v>
      </c>
      <c r="C25" s="84">
        <v>12</v>
      </c>
      <c r="D25" s="48">
        <f t="shared" si="1"/>
        <v>520.5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143</v>
      </c>
      <c r="C26" s="84">
        <v>12</v>
      </c>
      <c r="D26" s="48">
        <f t="shared" si="1"/>
        <v>434</v>
      </c>
      <c r="F26" s="75" t="s">
        <v>147</v>
      </c>
      <c r="G26" s="65">
        <v>7541</v>
      </c>
      <c r="H26" s="150">
        <v>79918</v>
      </c>
      <c r="I26" s="150"/>
      <c r="J26" s="15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144</v>
      </c>
      <c r="C27" s="84">
        <v>12</v>
      </c>
      <c r="D27" s="44">
        <f t="shared" si="1"/>
        <v>444</v>
      </c>
      <c r="F27" s="71"/>
      <c r="G27" s="103"/>
      <c r="H27" s="242"/>
      <c r="I27" s="243"/>
      <c r="J27" s="243"/>
      <c r="L27" s="7">
        <f>852/24+1.5</f>
        <v>37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4">
        <v>10</v>
      </c>
      <c r="D28" s="48">
        <f t="shared" si="1"/>
        <v>7850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586934</v>
      </c>
      <c r="F29" s="111" t="s">
        <v>55</v>
      </c>
      <c r="G29" s="173"/>
      <c r="H29" s="133">
        <f>H15-H16-H17-H18-H19-H20-H22-H23-H24+H26+H27+H28</f>
        <v>511284.25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208</v>
      </c>
      <c r="H34" s="155">
        <f t="shared" ref="H34:H39" si="2">F34*G34</f>
        <v>208000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443</v>
      </c>
      <c r="H35" s="155">
        <f t="shared" si="2"/>
        <v>221500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55">
        <f t="shared" si="2"/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692</v>
      </c>
      <c r="D37" s="12">
        <f>C37*111</f>
        <v>76812</v>
      </c>
      <c r="F37" s="12">
        <v>100</v>
      </c>
      <c r="G37" s="39">
        <v>4</v>
      </c>
      <c r="H37" s="155">
        <f t="shared" si="2"/>
        <v>400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155">
        <f t="shared" si="2"/>
        <v>50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23</v>
      </c>
      <c r="D42" s="12">
        <f>C42*2.25</f>
        <v>51.75</v>
      </c>
      <c r="F42" s="39" t="s">
        <v>79</v>
      </c>
      <c r="G42" s="155">
        <v>38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>
        <v>2</v>
      </c>
      <c r="D44" s="12">
        <f>C44*120</f>
        <v>240</v>
      </c>
      <c r="F44" s="37" t="s">
        <v>163</v>
      </c>
      <c r="G44" s="105" t="s">
        <v>158</v>
      </c>
      <c r="H44" s="150">
        <v>79918</v>
      </c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>
        <v>1</v>
      </c>
      <c r="D45" s="12">
        <f>C45*84</f>
        <v>84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14</v>
      </c>
      <c r="D46" s="12">
        <f>C46*1.5</f>
        <v>21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9</v>
      </c>
      <c r="D49" s="12">
        <f>C49*42</f>
        <v>378</v>
      </c>
      <c r="F49" s="131" t="s">
        <v>86</v>
      </c>
      <c r="G49" s="133">
        <f>H34+H35+H36+H37+H38+H39+H40+H41+G42+H44+H45+H46</f>
        <v>509906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11</v>
      </c>
      <c r="D50" s="12">
        <f>C50*1.5</f>
        <v>16.5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131</v>
      </c>
      <c r="G51" s="244">
        <f>G49-H29</f>
        <v>-1378.25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80880.75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74413-1B41-4CD4-BDC2-F310EAEC9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46002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249</v>
      </c>
      <c r="D6" s="13">
        <f t="shared" ref="D6:D28" si="1">C6*L6</f>
        <v>183513</v>
      </c>
      <c r="F6" s="218" t="s">
        <v>16</v>
      </c>
      <c r="G6" s="220" t="s">
        <v>141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1</v>
      </c>
      <c r="D7" s="13">
        <f t="shared" si="1"/>
        <v>725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15</v>
      </c>
      <c r="D9" s="13">
        <f t="shared" si="1"/>
        <v>10605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11</v>
      </c>
      <c r="D13" s="48">
        <f t="shared" si="1"/>
        <v>3377</v>
      </c>
      <c r="F13" s="239" t="s">
        <v>36</v>
      </c>
      <c r="G13" s="203"/>
      <c r="H13" s="194">
        <f>D29</f>
        <v>198369.83333333334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3</v>
      </c>
      <c r="D14" s="31">
        <f t="shared" si="1"/>
        <v>33</v>
      </c>
      <c r="F14" s="197" t="s">
        <v>39</v>
      </c>
      <c r="G14" s="198"/>
      <c r="H14" s="199">
        <f>D54</f>
        <v>16148.25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182221.58333333334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v>1296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198369.83333333334</v>
      </c>
      <c r="F29" s="111" t="s">
        <v>55</v>
      </c>
      <c r="G29" s="173"/>
      <c r="H29" s="133">
        <f>H15-H16-H17-H18-H19-H20-H22-H23-H24+H26+H27</f>
        <v>180925.58333333334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121</v>
      </c>
      <c r="H34" s="155">
        <f>F34*G34</f>
        <v>121000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120</v>
      </c>
      <c r="H35" s="155">
        <f t="shared" ref="H35:H39" si="2">F35*G35</f>
        <v>60000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137</v>
      </c>
      <c r="D37" s="12">
        <f>C37*111</f>
        <v>15207</v>
      </c>
      <c r="F37" s="12">
        <v>100</v>
      </c>
      <c r="G37" s="39">
        <v>1</v>
      </c>
      <c r="H37" s="155">
        <f t="shared" si="2"/>
        <v>100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55">
        <f t="shared" si="2"/>
        <v>50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55">
        <f t="shared" si="2"/>
        <v>40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1</v>
      </c>
      <c r="D42" s="12">
        <f>C42*2.25</f>
        <v>2.25</v>
      </c>
      <c r="F42" s="39" t="s">
        <v>79</v>
      </c>
      <c r="G42" s="155">
        <v>31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10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6</v>
      </c>
      <c r="D49" s="12">
        <f>C49*42</f>
        <v>252</v>
      </c>
      <c r="F49" s="131" t="s">
        <v>86</v>
      </c>
      <c r="G49" s="133">
        <f>H34+H35+H36+H37+H38+H39+H40+H41+G42+H44+H45+H46</f>
        <v>181221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155</v>
      </c>
      <c r="G51" s="141">
        <f>G49-H29</f>
        <v>295.41666666665697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16148.25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793DB-2DFD-479E-A6A4-6924CDB5B12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46002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326</v>
      </c>
      <c r="D6" s="13">
        <f t="shared" ref="D6:D28" si="1">C6*L6</f>
        <v>240262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8</v>
      </c>
      <c r="D7" s="13">
        <f t="shared" si="1"/>
        <v>5800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>
        <v>1</v>
      </c>
      <c r="D8" s="13">
        <f t="shared" si="1"/>
        <v>1033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108</v>
      </c>
      <c r="D9" s="13">
        <f t="shared" si="1"/>
        <v>76356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3</v>
      </c>
      <c r="D10" s="13">
        <f t="shared" si="1"/>
        <v>2916</v>
      </c>
      <c r="F10" s="218" t="s">
        <v>26</v>
      </c>
      <c r="G10" s="233" t="s">
        <v>135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5</v>
      </c>
      <c r="D12" s="48">
        <f t="shared" si="1"/>
        <v>4760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14</v>
      </c>
      <c r="D13" s="48">
        <f t="shared" si="1"/>
        <v>4298</v>
      </c>
      <c r="F13" s="239" t="s">
        <v>36</v>
      </c>
      <c r="G13" s="203"/>
      <c r="H13" s="194">
        <f>D29</f>
        <v>336863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18</v>
      </c>
      <c r="D14" s="31">
        <f t="shared" si="1"/>
        <v>198</v>
      </c>
      <c r="F14" s="197" t="s">
        <v>39</v>
      </c>
      <c r="G14" s="198"/>
      <c r="H14" s="199">
        <f>D54</f>
        <v>51703.5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>
        <v>2</v>
      </c>
      <c r="D15" s="31">
        <f t="shared" si="1"/>
        <v>1240</v>
      </c>
      <c r="F15" s="202" t="s">
        <v>40</v>
      </c>
      <c r="G15" s="203"/>
      <c r="H15" s="204">
        <f>H13-H14</f>
        <v>285159.5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v>330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98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336863</v>
      </c>
      <c r="F29" s="111" t="s">
        <v>55</v>
      </c>
      <c r="G29" s="173"/>
      <c r="H29" s="133">
        <f>H15-H16-H17-H18-H19-H20-H22-H23-H24+H26+H27</f>
        <v>284829.5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129</v>
      </c>
      <c r="H34" s="155">
        <f>F34*G34</f>
        <v>129000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62</v>
      </c>
      <c r="H35" s="155">
        <f>F35*G35</f>
        <v>31000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425</v>
      </c>
      <c r="D37" s="12">
        <f>C37*111</f>
        <v>47175</v>
      </c>
      <c r="F37" s="12">
        <v>100</v>
      </c>
      <c r="G37" s="39">
        <v>60</v>
      </c>
      <c r="H37" s="155">
        <f t="shared" si="2"/>
        <v>6000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155">
        <f t="shared" si="2"/>
        <v>750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55">
        <f t="shared" si="2"/>
        <v>20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5">
        <v>234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1</v>
      </c>
      <c r="D44" s="12">
        <f>C44*120</f>
        <v>120</v>
      </c>
      <c r="F44" s="37" t="s">
        <v>152</v>
      </c>
      <c r="G44" s="76" t="s">
        <v>178</v>
      </c>
      <c r="H44" s="150">
        <v>118360</v>
      </c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>
        <v>1</v>
      </c>
      <c r="D45" s="12">
        <f>C45*84</f>
        <v>84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15</v>
      </c>
      <c r="D46" s="12">
        <f>C46*1.5</f>
        <v>22.5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27</v>
      </c>
      <c r="D48" s="12">
        <f>C48*78</f>
        <v>2106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285364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22</v>
      </c>
      <c r="D50" s="12">
        <f>C50*1.5</f>
        <v>33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148</v>
      </c>
      <c r="G51" s="141">
        <f>G49-H29</f>
        <v>534.5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51703.5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28A9F-B0B8-4AAD-B668-5ABB2F1910E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20AA0-3162-4C79-A476-874441927B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46003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4">
        <v>748</v>
      </c>
      <c r="D6" s="13">
        <f t="shared" ref="D6:D28" si="1">C6*L6</f>
        <v>551276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4">
        <v>98</v>
      </c>
      <c r="D7" s="13">
        <f t="shared" si="1"/>
        <v>71050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4">
        <v>5</v>
      </c>
      <c r="D8" s="13">
        <f t="shared" si="1"/>
        <v>5165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4">
        <v>221</v>
      </c>
      <c r="D9" s="13">
        <f t="shared" si="1"/>
        <v>156247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4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4">
        <v>10</v>
      </c>
      <c r="D11" s="13">
        <f t="shared" si="1"/>
        <v>11250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4">
        <v>10</v>
      </c>
      <c r="D12" s="48">
        <f t="shared" si="1"/>
        <v>9520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4">
        <v>15</v>
      </c>
      <c r="D13" s="48">
        <f t="shared" si="1"/>
        <v>4605</v>
      </c>
      <c r="F13" s="239" t="s">
        <v>36</v>
      </c>
      <c r="G13" s="203"/>
      <c r="H13" s="194">
        <f>D29</f>
        <v>813038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4"/>
      <c r="D14" s="31">
        <f t="shared" si="1"/>
        <v>0</v>
      </c>
      <c r="F14" s="197" t="s">
        <v>39</v>
      </c>
      <c r="G14" s="198"/>
      <c r="H14" s="199">
        <f>D54</f>
        <v>109269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4"/>
      <c r="D15" s="31">
        <f t="shared" si="1"/>
        <v>0</v>
      </c>
      <c r="F15" s="202" t="s">
        <v>40</v>
      </c>
      <c r="G15" s="203"/>
      <c r="H15" s="204">
        <f>H13-H14</f>
        <v>703769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>
        <v>6150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138</v>
      </c>
      <c r="C17" s="84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4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137</v>
      </c>
      <c r="C26" s="84"/>
      <c r="D26" s="48">
        <f t="shared" si="1"/>
        <v>0</v>
      </c>
      <c r="F26" s="75"/>
      <c r="G26" s="65"/>
      <c r="H26" s="150"/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4"/>
      <c r="D27" s="44">
        <f t="shared" si="1"/>
        <v>0</v>
      </c>
      <c r="F27" s="71"/>
      <c r="G27" s="103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4">
        <v>5</v>
      </c>
      <c r="D28" s="48">
        <f t="shared" si="1"/>
        <v>3925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813038</v>
      </c>
      <c r="F29" s="111" t="s">
        <v>55</v>
      </c>
      <c r="G29" s="173"/>
      <c r="H29" s="133">
        <f>H15-H16-H17-H18-H19-H20-H22-H23-H24+H26+H27+H28</f>
        <v>697619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32</v>
      </c>
      <c r="H34" s="155">
        <f t="shared" ref="H34:H39" si="2">F34*G34</f>
        <v>32000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155">
        <f t="shared" si="2"/>
        <v>9000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977</v>
      </c>
      <c r="D37" s="12">
        <f>C37*111</f>
        <v>108447</v>
      </c>
      <c r="F37" s="12">
        <v>100</v>
      </c>
      <c r="G37" s="39">
        <v>3</v>
      </c>
      <c r="H37" s="155">
        <f t="shared" si="2"/>
        <v>300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5">
        <v>35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>
        <v>5</v>
      </c>
      <c r="D44" s="12">
        <f>C44*120</f>
        <v>600</v>
      </c>
      <c r="F44" s="37" t="s">
        <v>150</v>
      </c>
      <c r="G44" s="62" t="s">
        <v>180</v>
      </c>
      <c r="H44" s="150">
        <v>656614</v>
      </c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697949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148</v>
      </c>
      <c r="G51" s="141">
        <f>G49-H29</f>
        <v>330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109269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CB486-29E7-4848-8159-45D973864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46003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216</v>
      </c>
      <c r="D6" s="13">
        <f t="shared" ref="D6:D28" si="1">C6*L6</f>
        <v>159192</v>
      </c>
      <c r="F6" s="218" t="s">
        <v>16</v>
      </c>
      <c r="G6" s="220" t="s">
        <v>141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7</v>
      </c>
      <c r="D7" s="13">
        <f t="shared" si="1"/>
        <v>5075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31</v>
      </c>
      <c r="D9" s="13">
        <f t="shared" si="1"/>
        <v>21917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1</v>
      </c>
      <c r="D10" s="13">
        <f t="shared" si="1"/>
        <v>972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1</v>
      </c>
      <c r="D12" s="48">
        <f t="shared" si="1"/>
        <v>952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4</v>
      </c>
      <c r="D13" s="48">
        <f t="shared" si="1"/>
        <v>1228</v>
      </c>
      <c r="F13" s="239" t="s">
        <v>36</v>
      </c>
      <c r="G13" s="203"/>
      <c r="H13" s="194">
        <f>D29</f>
        <v>189712.66666666666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13</v>
      </c>
      <c r="D14" s="31">
        <f t="shared" si="1"/>
        <v>143</v>
      </c>
      <c r="F14" s="197" t="s">
        <v>39</v>
      </c>
      <c r="G14" s="198"/>
      <c r="H14" s="199">
        <f>D54</f>
        <v>26337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163375.66666666666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v>672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>
        <v>2</v>
      </c>
      <c r="D25" s="48">
        <f t="shared" si="1"/>
        <v>233.66666666666666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189712.66666666666</v>
      </c>
      <c r="F29" s="111" t="s">
        <v>55</v>
      </c>
      <c r="G29" s="173"/>
      <c r="H29" s="133">
        <f>H15-H16-H17-H18-H19-H20-H22-H23-H24+H26+H27</f>
        <v>162703.66666666666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161</v>
      </c>
      <c r="H34" s="155">
        <f>F34*G34</f>
        <v>161000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ref="H35:H39" si="2"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</v>
      </c>
      <c r="H37" s="155">
        <f t="shared" si="2"/>
        <v>100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55">
        <f t="shared" si="2"/>
        <v>50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2</v>
      </c>
      <c r="D42" s="12">
        <f>C42*2.25</f>
        <v>4.5</v>
      </c>
      <c r="F42" s="39" t="s">
        <v>79</v>
      </c>
      <c r="G42" s="155">
        <v>241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>
        <v>1</v>
      </c>
      <c r="D45" s="12">
        <f>C45*84</f>
        <v>84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4</v>
      </c>
      <c r="D46" s="12">
        <f>C46*1.5</f>
        <v>6</v>
      </c>
      <c r="F46" s="37"/>
      <c r="G46" s="10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161391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14</v>
      </c>
      <c r="D50" s="12">
        <f>C50*1.5</f>
        <v>21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132</v>
      </c>
      <c r="G51" s="244">
        <f>G49-H29</f>
        <v>-1312.666666666657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26337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F3C68-3B18-4E9D-A936-0A70BED03F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46003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632</v>
      </c>
      <c r="D6" s="13">
        <f t="shared" ref="D6:D28" si="1">C6*L6</f>
        <v>465784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33</v>
      </c>
      <c r="D7" s="13">
        <f t="shared" si="1"/>
        <v>23925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115</v>
      </c>
      <c r="D9" s="13">
        <f t="shared" si="1"/>
        <v>81305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10</v>
      </c>
      <c r="D10" s="13">
        <f t="shared" si="1"/>
        <v>9720</v>
      </c>
      <c r="F10" s="218" t="s">
        <v>26</v>
      </c>
      <c r="G10" s="233" t="s">
        <v>135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f>9+2</f>
        <v>11</v>
      </c>
      <c r="D12" s="48">
        <f t="shared" si="1"/>
        <v>10472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26</v>
      </c>
      <c r="D13" s="48">
        <f t="shared" si="1"/>
        <v>7982</v>
      </c>
      <c r="F13" s="239" t="s">
        <v>36</v>
      </c>
      <c r="G13" s="203"/>
      <c r="H13" s="194">
        <f>D29</f>
        <v>599243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5</v>
      </c>
      <c r="D14" s="31">
        <f t="shared" si="1"/>
        <v>55</v>
      </c>
      <c r="F14" s="197" t="s">
        <v>39</v>
      </c>
      <c r="G14" s="198"/>
      <c r="H14" s="199">
        <f>D54</f>
        <v>81460.5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517782.5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1332+450+2448+330</f>
        <v>4560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599243</v>
      </c>
      <c r="F29" s="111" t="s">
        <v>55</v>
      </c>
      <c r="G29" s="173"/>
      <c r="H29" s="133">
        <f>H15-H16-H17-H18-H19-H20-H22-H23-H24+H26+H27</f>
        <v>513222.5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f>201+43</f>
        <v>244</v>
      </c>
      <c r="H34" s="155">
        <f>F34*G34</f>
        <v>244000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f>2+12</f>
        <v>14</v>
      </c>
      <c r="H35" s="155">
        <f>F35*G35</f>
        <v>7000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5">
        <f t="shared" ref="H36:H39" si="2">F36*G36</f>
        <v>200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700</v>
      </c>
      <c r="D37" s="12">
        <f>C37*111</f>
        <v>77700</v>
      </c>
      <c r="F37" s="12">
        <v>100</v>
      </c>
      <c r="G37" s="39">
        <f>6+10</f>
        <v>16</v>
      </c>
      <c r="H37" s="155">
        <f t="shared" si="2"/>
        <v>1600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</v>
      </c>
      <c r="H38" s="155">
        <f t="shared" si="2"/>
        <v>250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6</v>
      </c>
      <c r="H39" s="155">
        <f t="shared" si="2"/>
        <v>120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8</v>
      </c>
      <c r="D42" s="12">
        <f>C42*2.25</f>
        <v>18</v>
      </c>
      <c r="F42" s="39" t="s">
        <v>79</v>
      </c>
      <c r="G42" s="155">
        <v>108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5</v>
      </c>
      <c r="D44" s="12">
        <f>C44*120</f>
        <v>600</v>
      </c>
      <c r="F44" s="37" t="s">
        <v>163</v>
      </c>
      <c r="G44" s="76" t="s">
        <v>181</v>
      </c>
      <c r="H44" s="150">
        <v>258855</v>
      </c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10</v>
      </c>
      <c r="D46" s="12">
        <f>C46*1.5</f>
        <v>15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19</v>
      </c>
      <c r="D48" s="12">
        <f>C48*78</f>
        <v>1482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512133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8</v>
      </c>
      <c r="D50" s="12">
        <f>C50*1.5</f>
        <v>12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140</v>
      </c>
      <c r="G51" s="244">
        <f>G49-H29</f>
        <v>-1089.5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81460.5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118BE-97FB-4EBF-8ECD-A8FCC1B2A86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2F3BB-60D6-4785-AB99-4A4119E5B2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46004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4">
        <v>406</v>
      </c>
      <c r="D6" s="13">
        <f t="shared" ref="D6:D28" si="1">C6*L6</f>
        <v>299222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4">
        <v>1</v>
      </c>
      <c r="D7" s="13">
        <f t="shared" si="1"/>
        <v>725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4">
        <v>50</v>
      </c>
      <c r="D8" s="13">
        <f t="shared" si="1"/>
        <v>51650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4">
        <v>20</v>
      </c>
      <c r="D9" s="13">
        <f t="shared" si="1"/>
        <v>14140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4">
        <v>2</v>
      </c>
      <c r="D10" s="13">
        <f t="shared" si="1"/>
        <v>1944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4">
        <v>4</v>
      </c>
      <c r="D11" s="13">
        <f t="shared" si="1"/>
        <v>4500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4">
        <v>6</v>
      </c>
      <c r="D12" s="48">
        <f t="shared" si="1"/>
        <v>5712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4">
        <v>9</v>
      </c>
      <c r="D13" s="48">
        <f t="shared" si="1"/>
        <v>2763</v>
      </c>
      <c r="F13" s="239" t="s">
        <v>36</v>
      </c>
      <c r="G13" s="203"/>
      <c r="H13" s="194">
        <f>D29</f>
        <v>385716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4">
        <v>15</v>
      </c>
      <c r="D14" s="31">
        <f t="shared" si="1"/>
        <v>165</v>
      </c>
      <c r="F14" s="197" t="s">
        <v>39</v>
      </c>
      <c r="G14" s="198"/>
      <c r="H14" s="199">
        <f>D54</f>
        <v>56205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4">
        <v>2</v>
      </c>
      <c r="D15" s="31">
        <f t="shared" si="1"/>
        <v>1240</v>
      </c>
      <c r="F15" s="202" t="s">
        <v>40</v>
      </c>
      <c r="G15" s="203"/>
      <c r="H15" s="204">
        <f>H13-H14</f>
        <v>329511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138</v>
      </c>
      <c r="C17" s="84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4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137</v>
      </c>
      <c r="C26" s="84"/>
      <c r="D26" s="48">
        <f t="shared" si="1"/>
        <v>0</v>
      </c>
      <c r="F26" s="75"/>
      <c r="G26" s="65"/>
      <c r="H26" s="150"/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4"/>
      <c r="D27" s="44">
        <f t="shared" si="1"/>
        <v>0</v>
      </c>
      <c r="F27" s="71"/>
      <c r="G27" s="103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4">
        <v>3</v>
      </c>
      <c r="D28" s="48">
        <f t="shared" si="1"/>
        <v>2355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385716</v>
      </c>
      <c r="F29" s="111" t="s">
        <v>55</v>
      </c>
      <c r="G29" s="173"/>
      <c r="H29" s="133">
        <f>H15-H16-H17-H18-H19-H20-H22-H23-H24+H26+H27+H28</f>
        <v>329511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171</v>
      </c>
      <c r="H34" s="155">
        <f t="shared" ref="H34:H39" si="2">F34*G34</f>
        <v>171000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155">
        <f t="shared" si="2"/>
        <v>39000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55">
        <f t="shared" si="2"/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>
        <v>1</v>
      </c>
      <c r="H37" s="155">
        <f t="shared" si="2"/>
        <v>100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155">
        <f t="shared" si="2"/>
        <v>100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>
        <v>67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>
        <v>65</v>
      </c>
      <c r="D44" s="12">
        <f>C44*120</f>
        <v>7800</v>
      </c>
      <c r="F44" s="37" t="s">
        <v>167</v>
      </c>
      <c r="G44" s="62" t="s">
        <v>182</v>
      </c>
      <c r="H44" s="150">
        <v>72654</v>
      </c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>
        <v>2</v>
      </c>
      <c r="D45" s="12">
        <f>C45*84</f>
        <v>168</v>
      </c>
      <c r="F45" s="37" t="s">
        <v>167</v>
      </c>
      <c r="G45" s="62" t="s">
        <v>183</v>
      </c>
      <c r="H45" s="150">
        <v>33219</v>
      </c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23</v>
      </c>
      <c r="D46" s="12">
        <f>C46*1.5</f>
        <v>34.5</v>
      </c>
      <c r="F46" s="37" t="s">
        <v>145</v>
      </c>
      <c r="G46" s="62"/>
      <c r="H46" s="150">
        <v>13353</v>
      </c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1</v>
      </c>
      <c r="D49" s="12">
        <f>C49*42</f>
        <v>42</v>
      </c>
      <c r="F49" s="131" t="s">
        <v>86</v>
      </c>
      <c r="G49" s="133">
        <f>H34+H35+H36+H37+H38+H39+H40+H41+G42+H44+H45+H46</f>
        <v>329493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28</v>
      </c>
      <c r="D50" s="12">
        <f>C50*1.5</f>
        <v>42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131</v>
      </c>
      <c r="G51" s="244">
        <f>G49-H29</f>
        <v>-18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56205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8547-B1E6-475C-B18B-9AAC111283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46004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864</v>
      </c>
      <c r="D6" s="13">
        <f t="shared" ref="D6:D28" si="1">C6*L6</f>
        <v>636768</v>
      </c>
      <c r="F6" s="218" t="s">
        <v>16</v>
      </c>
      <c r="G6" s="220" t="s">
        <v>141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8</v>
      </c>
      <c r="D7" s="13">
        <f t="shared" si="1"/>
        <v>5800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158</v>
      </c>
      <c r="D9" s="13">
        <f t="shared" si="1"/>
        <v>111706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2</v>
      </c>
      <c r="D10" s="13">
        <f t="shared" si="1"/>
        <v>1944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1</v>
      </c>
      <c r="D12" s="48">
        <f t="shared" si="1"/>
        <v>952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32</v>
      </c>
      <c r="D13" s="48">
        <f t="shared" si="1"/>
        <v>9824</v>
      </c>
      <c r="F13" s="239" t="s">
        <v>36</v>
      </c>
      <c r="G13" s="203"/>
      <c r="H13" s="194">
        <f>D29</f>
        <v>768503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19</v>
      </c>
      <c r="D14" s="31">
        <f t="shared" si="1"/>
        <v>209</v>
      </c>
      <c r="F14" s="197" t="s">
        <v>39</v>
      </c>
      <c r="G14" s="198"/>
      <c r="H14" s="199">
        <f>D54</f>
        <v>41563.5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726939.5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3888+1200</f>
        <v>5088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136</v>
      </c>
      <c r="C21" s="10">
        <f>2</f>
        <v>2</v>
      </c>
      <c r="D21" s="48">
        <f t="shared" si="1"/>
        <v>1300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768503</v>
      </c>
      <c r="F29" s="111" t="s">
        <v>55</v>
      </c>
      <c r="G29" s="173"/>
      <c r="H29" s="133">
        <f>H15-H16-H17-H18-H19-H20-H22-H23-H24+H26+H27</f>
        <v>721851.5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110</v>
      </c>
      <c r="H34" s="155">
        <f>F34*G34</f>
        <v>110000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12</v>
      </c>
      <c r="H35" s="155">
        <f t="shared" ref="H35:H39" si="2">F35*G35</f>
        <v>6000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55">
        <f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320</v>
      </c>
      <c r="D37" s="12">
        <f>C37*111</f>
        <v>35520</v>
      </c>
      <c r="F37" s="12">
        <v>100</v>
      </c>
      <c r="G37" s="39">
        <v>4</v>
      </c>
      <c r="H37" s="155">
        <f t="shared" si="2"/>
        <v>400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51</v>
      </c>
      <c r="D38" s="12">
        <f>C38*84</f>
        <v>4284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184</v>
      </c>
      <c r="H44" s="150">
        <v>404660</v>
      </c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 t="s">
        <v>150</v>
      </c>
      <c r="G45" s="62" t="s">
        <v>185</v>
      </c>
      <c r="H45" s="150">
        <v>128884</v>
      </c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4</v>
      </c>
      <c r="D46" s="12">
        <f>C46*1.5</f>
        <v>6</v>
      </c>
      <c r="F46" s="37"/>
      <c r="G46" s="10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5</v>
      </c>
      <c r="D49" s="12">
        <f>C49*42</f>
        <v>210</v>
      </c>
      <c r="F49" s="131" t="s">
        <v>86</v>
      </c>
      <c r="G49" s="133">
        <f>H34+H35+H36+H37+H38+H39+H40+H41+G42+H44+H45+H46</f>
        <v>649944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13</v>
      </c>
      <c r="D50" s="12">
        <f>C50*1.5</f>
        <v>19.5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132</v>
      </c>
      <c r="G51" s="244">
        <f>G49-H29</f>
        <v>-71907.5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41563.5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79036-3A64-4FDB-A5E3-8C51971AE3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46004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287</v>
      </c>
      <c r="D6" s="13">
        <f t="shared" ref="D6:D28" si="1">C6*L6</f>
        <v>211519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3</v>
      </c>
      <c r="D7" s="13">
        <f t="shared" si="1"/>
        <v>2175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15</v>
      </c>
      <c r="D9" s="13">
        <f t="shared" si="1"/>
        <v>10605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30</v>
      </c>
      <c r="D10" s="13">
        <f t="shared" si="1"/>
        <v>29160</v>
      </c>
      <c r="F10" s="218" t="s">
        <v>26</v>
      </c>
      <c r="G10" s="233" t="s">
        <v>135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>
        <v>2</v>
      </c>
      <c r="D11" s="13">
        <f t="shared" si="1"/>
        <v>2250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f>9+2</f>
        <v>11</v>
      </c>
      <c r="D12" s="48">
        <f t="shared" si="1"/>
        <v>10472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10</v>
      </c>
      <c r="D13" s="48">
        <f t="shared" si="1"/>
        <v>3070</v>
      </c>
      <c r="F13" s="239" t="s">
        <v>36</v>
      </c>
      <c r="G13" s="203"/>
      <c r="H13" s="194">
        <f>D29</f>
        <v>269956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5</v>
      </c>
      <c r="D14" s="31">
        <f t="shared" si="1"/>
        <v>55</v>
      </c>
      <c r="F14" s="197" t="s">
        <v>39</v>
      </c>
      <c r="G14" s="198"/>
      <c r="H14" s="199">
        <f>D54</f>
        <v>39363.75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230592.25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312+1212</f>
        <v>1524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269956</v>
      </c>
      <c r="F29" s="111" t="s">
        <v>55</v>
      </c>
      <c r="G29" s="173"/>
      <c r="H29" s="133">
        <f>H15-H16-H17-H18-H19-H20-H22-H23-H24+H26+H27</f>
        <v>229068.25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>
        <v>7</v>
      </c>
      <c r="D34" s="30">
        <f>C34*120</f>
        <v>840</v>
      </c>
      <c r="F34" s="12">
        <v>1000</v>
      </c>
      <c r="G34" s="74">
        <v>46</v>
      </c>
      <c r="H34" s="155">
        <f>F34*G34</f>
        <v>46000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155">
        <f>F35*G35</f>
        <v>26500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>
        <v>9</v>
      </c>
      <c r="D36" s="12">
        <f>C36*1.5</f>
        <v>13.5</v>
      </c>
      <c r="F36" s="12">
        <v>200</v>
      </c>
      <c r="G36" s="37">
        <v>2</v>
      </c>
      <c r="H36" s="155">
        <f t="shared" ref="H36:H39" si="2">F36*G36</f>
        <v>400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105</v>
      </c>
      <c r="H37" s="155">
        <f t="shared" si="2"/>
        <v>10500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110</v>
      </c>
      <c r="H38" s="155">
        <f t="shared" si="2"/>
        <v>5500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55">
        <f t="shared" si="2"/>
        <v>20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1</v>
      </c>
      <c r="D42" s="12">
        <f>C42*2.25</f>
        <v>2.25</v>
      </c>
      <c r="F42" s="39" t="s">
        <v>79</v>
      </c>
      <c r="G42" s="155">
        <v>2088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12</v>
      </c>
      <c r="D44" s="12">
        <f>C44*120</f>
        <v>1440</v>
      </c>
      <c r="F44" s="37" t="s">
        <v>163</v>
      </c>
      <c r="G44" s="76" t="s">
        <v>186</v>
      </c>
      <c r="H44" s="150">
        <v>134102</v>
      </c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>
        <v>4</v>
      </c>
      <c r="D45" s="12">
        <f>C45*84</f>
        <v>336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1</v>
      </c>
      <c r="D46" s="12">
        <f>C46*1.5</f>
        <v>1.5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3</v>
      </c>
      <c r="D49" s="12">
        <f>C49*42</f>
        <v>126</v>
      </c>
      <c r="F49" s="131" t="s">
        <v>86</v>
      </c>
      <c r="G49" s="133">
        <f>H34+H35+H36+H37+H38+H39+H40+H41+G42+H44+H45+H46</f>
        <v>225110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4</v>
      </c>
      <c r="D50" s="12">
        <f>C50*1.5</f>
        <v>6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140</v>
      </c>
      <c r="G51" s="244">
        <f>G49-H29</f>
        <v>-3958.25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39363.75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5DA29-AA25-471C-A966-A80B969770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4F7D5-F2A9-4CDB-B186-F613712C4F02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46006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4">
        <v>702</v>
      </c>
      <c r="D6" s="13">
        <f t="shared" ref="D6:D28" si="1">C6*L6</f>
        <v>517374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4">
        <v>3</v>
      </c>
      <c r="D7" s="13">
        <f t="shared" si="1"/>
        <v>2175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4"/>
      <c r="D8" s="13">
        <f t="shared" si="1"/>
        <v>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4">
        <v>10</v>
      </c>
      <c r="D9" s="13">
        <f t="shared" si="1"/>
        <v>7070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4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4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4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4">
        <v>27</v>
      </c>
      <c r="D13" s="48">
        <f t="shared" si="1"/>
        <v>8289</v>
      </c>
      <c r="F13" s="239" t="s">
        <v>36</v>
      </c>
      <c r="G13" s="203"/>
      <c r="H13" s="194">
        <f>D29</f>
        <v>535040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4">
        <v>12</v>
      </c>
      <c r="D14" s="31">
        <f t="shared" si="1"/>
        <v>132</v>
      </c>
      <c r="F14" s="197" t="s">
        <v>39</v>
      </c>
      <c r="G14" s="198"/>
      <c r="H14" s="199">
        <f>D54</f>
        <v>108862.5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4"/>
      <c r="D15" s="31">
        <f t="shared" si="1"/>
        <v>0</v>
      </c>
      <c r="F15" s="202" t="s">
        <v>40</v>
      </c>
      <c r="G15" s="203"/>
      <c r="H15" s="204">
        <f>H13-H14</f>
        <v>426177.5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>
        <f>3882</f>
        <v>3882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138</v>
      </c>
      <c r="C17" s="84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4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137</v>
      </c>
      <c r="C26" s="84"/>
      <c r="D26" s="48">
        <f t="shared" si="1"/>
        <v>0</v>
      </c>
      <c r="F26" s="75"/>
      <c r="G26" s="65"/>
      <c r="H26" s="150"/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4"/>
      <c r="D27" s="44">
        <f t="shared" si="1"/>
        <v>0</v>
      </c>
      <c r="F27" s="71"/>
      <c r="G27" s="103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4"/>
      <c r="D28" s="48">
        <f t="shared" si="1"/>
        <v>0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535040</v>
      </c>
      <c r="F29" s="111" t="s">
        <v>55</v>
      </c>
      <c r="G29" s="173"/>
      <c r="H29" s="133">
        <f>H15-H16-H17-H18-H19-H20-H22-H23-H24+H26+H27+H28</f>
        <v>422295.5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33</v>
      </c>
      <c r="H34" s="155">
        <f t="shared" ref="H34:H39" si="2">F34*G34</f>
        <v>33000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15</v>
      </c>
      <c r="H35" s="155">
        <f t="shared" si="2"/>
        <v>7500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55">
        <f t="shared" si="2"/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924</v>
      </c>
      <c r="D37" s="12">
        <f>C37*111</f>
        <v>102564</v>
      </c>
      <c r="F37" s="12">
        <v>100</v>
      </c>
      <c r="G37" s="39">
        <v>20</v>
      </c>
      <c r="H37" s="155">
        <f t="shared" si="2"/>
        <v>2000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14</v>
      </c>
      <c r="D38" s="12">
        <f>C38*84</f>
        <v>1176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55">
        <f t="shared" si="2"/>
        <v>20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20</v>
      </c>
      <c r="D42" s="12">
        <f>C42*2.25</f>
        <v>45</v>
      </c>
      <c r="F42" s="39" t="s">
        <v>79</v>
      </c>
      <c r="G42" s="155">
        <v>39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>
        <v>10</v>
      </c>
      <c r="D44" s="12">
        <f>C44*120</f>
        <v>1200</v>
      </c>
      <c r="F44" s="37" t="s">
        <v>150</v>
      </c>
      <c r="G44" s="62" t="s">
        <v>187</v>
      </c>
      <c r="H44" s="150">
        <v>379729</v>
      </c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>
        <v>1</v>
      </c>
      <c r="D45" s="12">
        <f>C45*84</f>
        <v>84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17</v>
      </c>
      <c r="D46" s="12">
        <f>C46*1.5</f>
        <v>25.5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422288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18</v>
      </c>
      <c r="D50" s="12">
        <f>C50*1.5</f>
        <v>27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131</v>
      </c>
      <c r="G51" s="244">
        <f>G49-H29</f>
        <v>-7.5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108862.5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1EDEF-10C7-4790-A52F-2601DDA04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46006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602</v>
      </c>
      <c r="D6" s="13">
        <f t="shared" ref="D6:D28" si="1">C6*L6</f>
        <v>443674</v>
      </c>
      <c r="F6" s="218" t="s">
        <v>16</v>
      </c>
      <c r="G6" s="220" t="s">
        <v>141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11</v>
      </c>
      <c r="D7" s="13">
        <f t="shared" si="1"/>
        <v>7975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108</v>
      </c>
      <c r="D9" s="13">
        <f t="shared" si="1"/>
        <v>76356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22</v>
      </c>
      <c r="D13" s="48">
        <f t="shared" si="1"/>
        <v>6754</v>
      </c>
      <c r="F13" s="239" t="s">
        <v>36</v>
      </c>
      <c r="G13" s="203"/>
      <c r="H13" s="194">
        <f>D29</f>
        <v>534847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8</v>
      </c>
      <c r="D14" s="31">
        <f t="shared" si="1"/>
        <v>88</v>
      </c>
      <c r="F14" s="197" t="s">
        <v>39</v>
      </c>
      <c r="G14" s="198"/>
      <c r="H14" s="199">
        <f>D54</f>
        <v>105343.5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429503.5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3948</f>
        <v>3948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534847</v>
      </c>
      <c r="F29" s="111" t="s">
        <v>55</v>
      </c>
      <c r="G29" s="173"/>
      <c r="H29" s="133">
        <f>H15-H16-H17-H18-H19-H20-H22-H23-H24+H26+H27</f>
        <v>425555.5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31</v>
      </c>
      <c r="H34" s="155">
        <f>F34*G34</f>
        <v>31000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155">
        <f t="shared" ref="H35:H39" si="2">F35*G35</f>
        <v>8000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907</v>
      </c>
      <c r="D37" s="12">
        <f>C37*111</f>
        <v>100677</v>
      </c>
      <c r="F37" s="12">
        <v>100</v>
      </c>
      <c r="G37" s="39">
        <v>3</v>
      </c>
      <c r="H37" s="155">
        <f t="shared" si="2"/>
        <v>300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14</v>
      </c>
      <c r="D38" s="12">
        <f>C38*84</f>
        <v>1176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2</v>
      </c>
      <c r="D42" s="12">
        <f>C42*2.25</f>
        <v>4.5</v>
      </c>
      <c r="F42" s="39" t="s">
        <v>79</v>
      </c>
      <c r="G42" s="155">
        <v>48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 t="s">
        <v>150</v>
      </c>
      <c r="G44" s="62" t="s">
        <v>188</v>
      </c>
      <c r="H44" s="150">
        <v>457977</v>
      </c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10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30</v>
      </c>
      <c r="D49" s="12">
        <f>C49*42</f>
        <v>1260</v>
      </c>
      <c r="F49" s="131" t="s">
        <v>86</v>
      </c>
      <c r="G49" s="133">
        <f>H34+H35+H36+H37+H38+H39+H40+H41+G42+H44+H45+H46</f>
        <v>497325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15</v>
      </c>
      <c r="D50" s="12">
        <f>C50*1.5</f>
        <v>22.5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189</v>
      </c>
      <c r="G51" s="141">
        <f>G49-H29</f>
        <v>71769.5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105343.5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F28B4-E6BE-40BC-8DBA-96DCD1A9C6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46006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451</v>
      </c>
      <c r="D6" s="13">
        <f t="shared" ref="D6:D28" si="1">C6*L6</f>
        <v>332387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>
        <v>2</v>
      </c>
      <c r="D8" s="13">
        <f t="shared" si="1"/>
        <v>2066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117</v>
      </c>
      <c r="D9" s="13">
        <f t="shared" si="1"/>
        <v>82719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135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1</v>
      </c>
      <c r="D12" s="48">
        <f t="shared" si="1"/>
        <v>952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10</v>
      </c>
      <c r="D13" s="48">
        <f t="shared" si="1"/>
        <v>3070</v>
      </c>
      <c r="F13" s="239" t="s">
        <v>36</v>
      </c>
      <c r="G13" s="203"/>
      <c r="H13" s="194">
        <f>D29</f>
        <v>421370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16</v>
      </c>
      <c r="D14" s="31">
        <f t="shared" si="1"/>
        <v>176</v>
      </c>
      <c r="F14" s="197" t="s">
        <v>39</v>
      </c>
      <c r="G14" s="198"/>
      <c r="H14" s="199">
        <f>D54</f>
        <v>61642.5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359727.5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2604+600</f>
        <v>3204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0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421370</v>
      </c>
      <c r="F29" s="111" t="s">
        <v>55</v>
      </c>
      <c r="G29" s="173"/>
      <c r="H29" s="133">
        <f>H15-H16-H17-H18-H19-H20-H22-H23-H24+H26+H27</f>
        <v>356523.5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36</v>
      </c>
      <c r="H34" s="155">
        <f>F34*G34</f>
        <v>36000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55">
        <f>F35*G35</f>
        <v>40000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540</v>
      </c>
      <c r="D37" s="12">
        <f>C37*111</f>
        <v>59940</v>
      </c>
      <c r="F37" s="12">
        <v>100</v>
      </c>
      <c r="G37" s="39">
        <v>5</v>
      </c>
      <c r="H37" s="155">
        <f t="shared" si="2"/>
        <v>500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>
        <v>73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03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190</v>
      </c>
      <c r="H44" s="150">
        <v>283328</v>
      </c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>
        <v>1</v>
      </c>
      <c r="D45" s="12">
        <f>C45*84</f>
        <v>84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6</v>
      </c>
      <c r="D46" s="12">
        <f>C46*1.5</f>
        <v>9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359901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16</v>
      </c>
      <c r="D50" s="12">
        <f>C50*1.5</f>
        <v>24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148</v>
      </c>
      <c r="G51" s="141">
        <f>G49-H29</f>
        <v>3377.5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61642.5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D0D82-F1B5-43AA-9E9E-DB984341959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DE8B0-EC51-489D-BD2E-CDD4A1CD7C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46007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4">
        <v>295</v>
      </c>
      <c r="D6" s="13">
        <f t="shared" ref="D6:D28" si="1">C6*L6</f>
        <v>217415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4">
        <v>6</v>
      </c>
      <c r="D7" s="13">
        <f t="shared" si="1"/>
        <v>4350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4"/>
      <c r="D8" s="13">
        <f t="shared" si="1"/>
        <v>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4">
        <v>31</v>
      </c>
      <c r="D9" s="13">
        <f t="shared" si="1"/>
        <v>21917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4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4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4">
        <v>2</v>
      </c>
      <c r="D12" s="48">
        <f t="shared" si="1"/>
        <v>1904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4">
        <v>7</v>
      </c>
      <c r="D13" s="48">
        <f t="shared" si="1"/>
        <v>2149</v>
      </c>
      <c r="F13" s="239" t="s">
        <v>36</v>
      </c>
      <c r="G13" s="203"/>
      <c r="H13" s="194">
        <f>D29</f>
        <v>250143.5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4">
        <v>14</v>
      </c>
      <c r="D14" s="31">
        <f t="shared" si="1"/>
        <v>154</v>
      </c>
      <c r="F14" s="197" t="s">
        <v>39</v>
      </c>
      <c r="G14" s="198"/>
      <c r="H14" s="199">
        <f>D54</f>
        <v>34743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4"/>
      <c r="D15" s="31">
        <f t="shared" si="1"/>
        <v>0</v>
      </c>
      <c r="F15" s="202" t="s">
        <v>40</v>
      </c>
      <c r="G15" s="203"/>
      <c r="H15" s="204">
        <f>H13-H14</f>
        <v>215400.5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138</v>
      </c>
      <c r="C17" s="84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4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179</v>
      </c>
      <c r="C25" s="84">
        <v>12</v>
      </c>
      <c r="D25" s="48">
        <f t="shared" si="1"/>
        <v>520.5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143</v>
      </c>
      <c r="C26" s="84">
        <v>12</v>
      </c>
      <c r="D26" s="48">
        <f t="shared" si="1"/>
        <v>434</v>
      </c>
      <c r="F26" s="75"/>
      <c r="G26" s="65"/>
      <c r="H26" s="150"/>
      <c r="I26" s="150"/>
      <c r="J26" s="15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4"/>
      <c r="D27" s="44">
        <f t="shared" si="1"/>
        <v>0</v>
      </c>
      <c r="F27" s="71"/>
      <c r="G27" s="110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4"/>
      <c r="D28" s="48">
        <f t="shared" si="1"/>
        <v>0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250143.5</v>
      </c>
      <c r="F29" s="111" t="s">
        <v>55</v>
      </c>
      <c r="G29" s="173"/>
      <c r="H29" s="133">
        <f>H15-H16-H17-H18-H19-H20-H22-H23-H24+H26+H27+H28</f>
        <v>215400.5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195</v>
      </c>
      <c r="H34" s="155">
        <f t="shared" ref="H34:H39" si="2">F34*G34</f>
        <v>195000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55">
        <f t="shared" si="2"/>
        <v>16000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292</v>
      </c>
      <c r="D37" s="12">
        <f>C37*111</f>
        <v>32412</v>
      </c>
      <c r="F37" s="12">
        <v>100</v>
      </c>
      <c r="G37" s="39">
        <v>4</v>
      </c>
      <c r="H37" s="155">
        <f t="shared" si="2"/>
        <v>400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3</v>
      </c>
      <c r="H38" s="155">
        <f t="shared" si="2"/>
        <v>150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55">
        <f t="shared" si="2"/>
        <v>20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4</v>
      </c>
      <c r="D42" s="12">
        <f>C42*2.25</f>
        <v>9</v>
      </c>
      <c r="F42" s="39" t="s">
        <v>79</v>
      </c>
      <c r="G42" s="155">
        <v>2608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50">
        <v>1485</v>
      </c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>
        <v>1</v>
      </c>
      <c r="D45" s="12">
        <f>C45*84</f>
        <v>84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8</v>
      </c>
      <c r="D46" s="12">
        <f>C46*1.5</f>
        <v>12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215663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4</v>
      </c>
      <c r="D50" s="12">
        <f>C50*1.5</f>
        <v>6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148</v>
      </c>
      <c r="G51" s="141">
        <f>G49-H29</f>
        <v>262.5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34743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09BCD-5D02-4C90-A466-405BA1557C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46007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384</v>
      </c>
      <c r="D6" s="13">
        <f t="shared" ref="D6:D28" si="1">C6*L6</f>
        <v>283008</v>
      </c>
      <c r="F6" s="218" t="s">
        <v>16</v>
      </c>
      <c r="G6" s="220" t="s">
        <v>141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2</v>
      </c>
      <c r="D7" s="13">
        <f t="shared" si="1"/>
        <v>1450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64</v>
      </c>
      <c r="D9" s="13">
        <f t="shared" si="1"/>
        <v>45248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2</v>
      </c>
      <c r="D10" s="13">
        <f t="shared" si="1"/>
        <v>1944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1</v>
      </c>
      <c r="D12" s="48">
        <f t="shared" si="1"/>
        <v>952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14</v>
      </c>
      <c r="D13" s="48">
        <f t="shared" si="1"/>
        <v>4298</v>
      </c>
      <c r="F13" s="239" t="s">
        <v>36</v>
      </c>
      <c r="G13" s="203"/>
      <c r="H13" s="194">
        <f>D29</f>
        <v>343740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5</v>
      </c>
      <c r="D14" s="31">
        <f t="shared" si="1"/>
        <v>55</v>
      </c>
      <c r="F14" s="197" t="s">
        <v>39</v>
      </c>
      <c r="G14" s="198"/>
      <c r="H14" s="199">
        <f>D54</f>
        <v>42231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301509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654+1212</f>
        <v>1866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0">
        <v>50</v>
      </c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255" t="s">
        <v>191</v>
      </c>
      <c r="C20" s="10">
        <f>1+1+2</f>
        <v>4</v>
      </c>
      <c r="D20" s="13">
        <f t="shared" si="1"/>
        <v>4700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>
        <v>1</v>
      </c>
      <c r="D28" s="48">
        <f t="shared" si="1"/>
        <v>785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343740</v>
      </c>
      <c r="F29" s="111" t="s">
        <v>55</v>
      </c>
      <c r="G29" s="173"/>
      <c r="H29" s="133">
        <f>H15-H16-H17-H18-H19-H20-H22-H23-H24+H26+H27</f>
        <v>299593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147</v>
      </c>
      <c r="H34" s="155">
        <f>F34*G34</f>
        <v>147000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29</v>
      </c>
      <c r="H35" s="155">
        <f t="shared" ref="H35:H39" si="2">F35*G35</f>
        <v>14500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55">
        <f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3</v>
      </c>
      <c r="H37" s="155">
        <f t="shared" si="2"/>
        <v>300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3</v>
      </c>
      <c r="H38" s="155">
        <f t="shared" si="2"/>
        <v>150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14</v>
      </c>
      <c r="D42" s="12">
        <f>C42*2.25</f>
        <v>31.5</v>
      </c>
      <c r="F42" s="39" t="s">
        <v>79</v>
      </c>
      <c r="G42" s="155">
        <v>26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193</v>
      </c>
      <c r="H44" s="150">
        <v>128917</v>
      </c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>
        <v>1</v>
      </c>
      <c r="D45" s="12">
        <f>C45*84</f>
        <v>84</v>
      </c>
      <c r="F45" s="37" t="s">
        <v>145</v>
      </c>
      <c r="G45" s="62"/>
      <c r="H45" s="150">
        <v>8906</v>
      </c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12</v>
      </c>
      <c r="D46" s="12">
        <f>C46*1.5</f>
        <v>18</v>
      </c>
      <c r="F46" s="37"/>
      <c r="G46" s="109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6</v>
      </c>
      <c r="D49" s="12">
        <f>C49*42</f>
        <v>252</v>
      </c>
      <c r="F49" s="131" t="s">
        <v>86</v>
      </c>
      <c r="G49" s="133">
        <f>H34+H35+H36+H37+H38+H39+H40+H41+G42+H44+H45+H46</f>
        <v>299799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155</v>
      </c>
      <c r="G51" s="141">
        <f>G49-H29</f>
        <v>206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42231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C138-D8DE-42AD-998A-48A2089851FB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46007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590</v>
      </c>
      <c r="D6" s="13">
        <f t="shared" ref="D6:D28" si="1">C6*L6</f>
        <v>434830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5</v>
      </c>
      <c r="D7" s="13">
        <f t="shared" si="1"/>
        <v>3625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101</v>
      </c>
      <c r="D9" s="13">
        <f t="shared" si="1"/>
        <v>71407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2</v>
      </c>
      <c r="D10" s="13">
        <f t="shared" si="1"/>
        <v>1944</v>
      </c>
      <c r="F10" s="218" t="s">
        <v>26</v>
      </c>
      <c r="G10" s="233" t="s">
        <v>135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>
        <v>10</v>
      </c>
      <c r="D11" s="13">
        <f t="shared" si="1"/>
        <v>11250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22</v>
      </c>
      <c r="D12" s="48">
        <f t="shared" si="1"/>
        <v>20944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27</v>
      </c>
      <c r="D13" s="48">
        <f t="shared" si="1"/>
        <v>8289</v>
      </c>
      <c r="F13" s="239" t="s">
        <v>36</v>
      </c>
      <c r="G13" s="203"/>
      <c r="H13" s="194">
        <f>D29</f>
        <v>553085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</v>
      </c>
      <c r="D14" s="31">
        <f t="shared" si="1"/>
        <v>11</v>
      </c>
      <c r="F14" s="197" t="s">
        <v>39</v>
      </c>
      <c r="G14" s="198"/>
      <c r="H14" s="199">
        <f>D54</f>
        <v>75510.75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477574.25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>
        <f>2946+1140</f>
        <v>4086</v>
      </c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>
        <v>1</v>
      </c>
      <c r="D28" s="48">
        <f t="shared" si="1"/>
        <v>785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553085</v>
      </c>
      <c r="F29" s="111" t="s">
        <v>55</v>
      </c>
      <c r="G29" s="173"/>
      <c r="H29" s="133">
        <f>H15-H16-H17-H18-H19-H20-H22-H23-H24+H26+H27</f>
        <v>473488.25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74">
        <v>146</v>
      </c>
      <c r="H34" s="155">
        <f>F34*G34</f>
        <v>146000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155">
        <f>F35*G35</f>
        <v>20500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>
        <v>629</v>
      </c>
      <c r="D37" s="12">
        <f>C37*111</f>
        <v>69819</v>
      </c>
      <c r="F37" s="12">
        <v>100</v>
      </c>
      <c r="G37" s="39">
        <v>4</v>
      </c>
      <c r="H37" s="155">
        <f t="shared" si="2"/>
        <v>400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55">
        <f t="shared" si="2"/>
        <v>50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5">
        <v>25</v>
      </c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>
        <v>8</v>
      </c>
      <c r="D44" s="12">
        <f>C44*120</f>
        <v>960</v>
      </c>
      <c r="F44" s="37" t="s">
        <v>163</v>
      </c>
      <c r="G44" s="76" t="s">
        <v>192</v>
      </c>
      <c r="H44" s="150">
        <v>305278</v>
      </c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>
        <v>3</v>
      </c>
      <c r="D45" s="12">
        <f>C45*84</f>
        <v>252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>
        <v>6</v>
      </c>
      <c r="D46" s="12">
        <f>C46*1.5</f>
        <v>9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>
        <v>24</v>
      </c>
      <c r="D48" s="12">
        <f>C48*78</f>
        <v>1872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>
        <v>4</v>
      </c>
      <c r="D49" s="12">
        <f>C49*42</f>
        <v>168</v>
      </c>
      <c r="F49" s="131" t="s">
        <v>86</v>
      </c>
      <c r="G49" s="133">
        <f>H34+H35+H36+H37+H38+H39+H40+H41+G42+H44+H45+H46</f>
        <v>472253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>
        <v>6</v>
      </c>
      <c r="D50" s="12">
        <f>C50*1.5</f>
        <v>9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140</v>
      </c>
      <c r="G51" s="244">
        <f>G49-H29</f>
        <v>-1235.25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75510.75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0CC24-DAC2-49E4-9080-A4A43D6C765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EAED3-E71E-4B6B-AFC2-618AD06D83C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46008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4"/>
      <c r="D6" s="13">
        <f t="shared" ref="D6:D28" si="1">C6*L6</f>
        <v>0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4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4"/>
      <c r="D8" s="13">
        <f t="shared" si="1"/>
        <v>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4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4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4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4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4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4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4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138</v>
      </c>
      <c r="C17" s="84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4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137</v>
      </c>
      <c r="C26" s="84"/>
      <c r="D26" s="48">
        <f t="shared" si="1"/>
        <v>0</v>
      </c>
      <c r="F26" s="75"/>
      <c r="G26" s="65"/>
      <c r="H26" s="150"/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4"/>
      <c r="D27" s="44">
        <f t="shared" si="1"/>
        <v>0</v>
      </c>
      <c r="F27" s="71"/>
      <c r="G27" s="110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4"/>
      <c r="D28" s="48">
        <f t="shared" si="1"/>
        <v>0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H15-H16-H17-H18-H19-H20-H22-H23-H24+H26+H27+H28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5">
        <f t="shared" ref="H34:H39" si="2"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si="2"/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131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7A2E9-1AAA-4ABC-857C-59DD86C165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46008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141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>
        <f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ref="H35:H39" si="2"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109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132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22382-9A1B-48E8-961E-0EE1FFDEE1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46008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135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>
        <f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140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7DEF-F839-4D11-8BEF-F3238BE2011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9D960-F6DE-4522-9B80-C5DDADB362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46009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4"/>
      <c r="D6" s="13">
        <f t="shared" ref="D6:D28" si="1">C6*L6</f>
        <v>0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4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4"/>
      <c r="D8" s="13">
        <f t="shared" si="1"/>
        <v>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4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4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4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4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4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4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4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138</v>
      </c>
      <c r="C17" s="84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4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137</v>
      </c>
      <c r="C26" s="84"/>
      <c r="D26" s="48">
        <f t="shared" si="1"/>
        <v>0</v>
      </c>
      <c r="F26" s="75"/>
      <c r="G26" s="65"/>
      <c r="H26" s="150"/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4"/>
      <c r="D27" s="44">
        <f t="shared" si="1"/>
        <v>0</v>
      </c>
      <c r="F27" s="71"/>
      <c r="G27" s="110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4"/>
      <c r="D28" s="48">
        <f t="shared" si="1"/>
        <v>0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H15-H16-H17-H18-H19-H20-H22-H23-H24+H26+H27+H28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5">
        <f t="shared" ref="H34:H39" si="2"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si="2"/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131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8EC4A-1E22-4757-B935-DB894FA504B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46009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141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>
        <f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ref="H35:H39" si="2"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109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132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B71EF-C451-404E-884F-C34BE1CC48D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46009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135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>
        <f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140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A1AA8-83AE-483F-BABF-5166BF65F4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B3E69-E336-4B3E-A67F-0B6A8E8E4D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46010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4"/>
      <c r="D6" s="13">
        <f t="shared" ref="D6:D28" si="1">C6*L6</f>
        <v>0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4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4"/>
      <c r="D8" s="13">
        <f t="shared" si="1"/>
        <v>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4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4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4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4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4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4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4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138</v>
      </c>
      <c r="C17" s="84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4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137</v>
      </c>
      <c r="C26" s="84"/>
      <c r="D26" s="48">
        <f t="shared" si="1"/>
        <v>0</v>
      </c>
      <c r="F26" s="75"/>
      <c r="G26" s="65"/>
      <c r="H26" s="150"/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4"/>
      <c r="D27" s="44">
        <f t="shared" si="1"/>
        <v>0</v>
      </c>
      <c r="F27" s="71"/>
      <c r="G27" s="110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4"/>
      <c r="D28" s="48">
        <f t="shared" si="1"/>
        <v>0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H15-H16-H17-H18-H19-H20-H22-H23-H24+H26+H27+H28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5">
        <f t="shared" ref="H34:H39" si="2"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si="2"/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131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9409-0D01-4EEF-94F8-D87BC31EE6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46010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141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>
        <f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ref="H35:H39" si="2"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109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132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AE038-526B-4EE3-A973-CD08A0E1A3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46010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135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>
        <f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140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0740E-7CB9-4E1F-9B65-1629A07AD48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4802-86E2-48D2-A04C-1EC20312E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46011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4"/>
      <c r="D6" s="13">
        <f t="shared" ref="D6:D28" si="1">C6*L6</f>
        <v>0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4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4"/>
      <c r="D8" s="13">
        <f t="shared" si="1"/>
        <v>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4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4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4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4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4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4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4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138</v>
      </c>
      <c r="C17" s="84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4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137</v>
      </c>
      <c r="C26" s="84"/>
      <c r="D26" s="48">
        <f t="shared" si="1"/>
        <v>0</v>
      </c>
      <c r="F26" s="75"/>
      <c r="G26" s="65"/>
      <c r="H26" s="150"/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4"/>
      <c r="D27" s="44">
        <f t="shared" si="1"/>
        <v>0</v>
      </c>
      <c r="F27" s="71"/>
      <c r="G27" s="110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4"/>
      <c r="D28" s="48">
        <f t="shared" si="1"/>
        <v>0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H15-H16-H17-H18-H19-H20-H22-H23-H24+H26+H27+H28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5">
        <f t="shared" ref="H34:H39" si="2"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si="2"/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131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6D22F-9F81-4A42-BDB6-1D3B9C8870C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46011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141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>
        <f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ref="H35:H39" si="2"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109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132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B8415-F03B-41A4-AECC-57C3972522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46011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135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>
        <f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140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51DD5-5D1D-4F33-B62F-BB439BADD74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50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/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128</v>
      </c>
      <c r="G51" s="141">
        <f>G49-H29</f>
        <v>0</v>
      </c>
      <c r="H51" s="142"/>
      <c r="I51" s="142"/>
      <c r="J51" s="14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D3A0F-7C36-4CF5-BCE9-7146BB0035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46013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84"/>
      <c r="D6" s="13">
        <f t="shared" ref="D6:D28" si="1">C6*L6</f>
        <v>0</v>
      </c>
      <c r="F6" s="218" t="s">
        <v>16</v>
      </c>
      <c r="G6" s="220" t="s">
        <v>129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84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84"/>
      <c r="D8" s="13">
        <f t="shared" si="1"/>
        <v>0</v>
      </c>
      <c r="F8" s="226" t="s">
        <v>21</v>
      </c>
      <c r="G8" s="227" t="s">
        <v>112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84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84"/>
      <c r="D10" s="13">
        <f t="shared" si="1"/>
        <v>0</v>
      </c>
      <c r="F10" s="218" t="s">
        <v>26</v>
      </c>
      <c r="G10" s="233" t="s">
        <v>130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84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84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84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84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84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138</v>
      </c>
      <c r="C17" s="84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5"/>
      <c r="I19" s="175"/>
      <c r="J19" s="175"/>
      <c r="L19" s="6">
        <v>1102</v>
      </c>
      <c r="Q19" s="4"/>
      <c r="R19" s="5">
        <f t="shared" si="0"/>
        <v>0</v>
      </c>
    </row>
    <row r="20" spans="1:18" ht="15.75" x14ac:dyDescent="0.25">
      <c r="A20" s="153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127</v>
      </c>
      <c r="C22" s="84"/>
      <c r="D22" s="48">
        <f t="shared" si="1"/>
        <v>0</v>
      </c>
      <c r="F22" s="77"/>
      <c r="G22" s="73"/>
      <c r="H22" s="180"/>
      <c r="I22" s="180"/>
      <c r="J22" s="18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101</v>
      </c>
      <c r="C23" s="84"/>
      <c r="D23" s="48">
        <f t="shared" si="1"/>
        <v>0</v>
      </c>
      <c r="F23" s="77"/>
      <c r="G23" s="79"/>
      <c r="H23" s="240"/>
      <c r="I23" s="241"/>
      <c r="J23" s="241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121</v>
      </c>
      <c r="C24" s="84"/>
      <c r="D24" s="48">
        <f t="shared" si="1"/>
        <v>0</v>
      </c>
      <c r="F24" s="77"/>
      <c r="G24" s="79"/>
      <c r="H24" s="240"/>
      <c r="I24" s="241"/>
      <c r="J24" s="241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137</v>
      </c>
      <c r="C26" s="84"/>
      <c r="D26" s="48">
        <f t="shared" si="1"/>
        <v>0</v>
      </c>
      <c r="F26" s="75"/>
      <c r="G26" s="65"/>
      <c r="H26" s="150"/>
      <c r="I26" s="150"/>
      <c r="J26" s="150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110</v>
      </c>
      <c r="C27" s="84"/>
      <c r="D27" s="44">
        <f t="shared" si="1"/>
        <v>0</v>
      </c>
      <c r="F27" s="71"/>
      <c r="G27" s="110"/>
      <c r="H27" s="242"/>
      <c r="I27" s="243"/>
      <c r="J27" s="243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84"/>
      <c r="D28" s="48">
        <f t="shared" si="1"/>
        <v>0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H15-H16-H17-H18-H19-H20-H22-H23-H24+H26+H27+H28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5">
        <f t="shared" ref="H34:H39" si="2"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si="2"/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131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5AD73-F908-49DC-83AD-B22F7F8B4D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46013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141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114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115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93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1"/>
      <c r="I19" s="251"/>
      <c r="J19" s="25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5"/>
      <c r="I20" s="175"/>
      <c r="J20" s="17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2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25"/>
      <c r="G23" s="37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123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10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14"/>
      <c r="G27" s="14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>
        <f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 t="shared" ref="H35:H39" si="2"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109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132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9F5F9-427C-4D55-BE37-6EA785E932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46013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111</v>
      </c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119</v>
      </c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135</v>
      </c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39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38</v>
      </c>
      <c r="C15" s="10"/>
      <c r="D15" s="31">
        <f t="shared" si="1"/>
        <v>0</v>
      </c>
      <c r="F15" s="202" t="s">
        <v>40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t="s">
        <v>113</v>
      </c>
      <c r="C17" s="10"/>
      <c r="D17" s="48">
        <f t="shared" si="1"/>
        <v>0</v>
      </c>
      <c r="F17" s="56"/>
      <c r="G17" s="66" t="s">
        <v>45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0"/>
      <c r="I19" s="250"/>
      <c r="J19" s="2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3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7" t="s">
        <v>13</v>
      </c>
      <c r="I21" s="178"/>
      <c r="J21" s="17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 t="s">
        <v>104</v>
      </c>
      <c r="C22" s="10"/>
      <c r="D22" s="48">
        <f t="shared" si="1"/>
        <v>0</v>
      </c>
      <c r="F22" s="77"/>
      <c r="G22" s="73"/>
      <c r="H22" s="180"/>
      <c r="I22" s="180"/>
      <c r="J22" s="18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107</v>
      </c>
      <c r="C23" s="10"/>
      <c r="D23" s="48">
        <f t="shared" si="1"/>
        <v>0</v>
      </c>
      <c r="F23" s="78"/>
      <c r="G23" s="79"/>
      <c r="H23" s="181"/>
      <c r="I23" s="150"/>
      <c r="J23" s="15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101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2" t="s">
        <v>13</v>
      </c>
      <c r="I25" s="183"/>
      <c r="J25" s="18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105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 t="s">
        <v>109</v>
      </c>
      <c r="C27" s="10"/>
      <c r="D27" s="44">
        <f t="shared" si="1"/>
        <v>0</v>
      </c>
      <c r="F27" s="25"/>
      <c r="G27" s="80"/>
      <c r="H27" s="188"/>
      <c r="I27" s="189"/>
      <c r="J27" s="19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97</v>
      </c>
      <c r="C28" s="10"/>
      <c r="D28" s="48">
        <f t="shared" si="1"/>
        <v>0</v>
      </c>
      <c r="F28" s="107"/>
      <c r="G28" s="61"/>
      <c r="H28" s="191"/>
      <c r="I28" s="192"/>
      <c r="J28" s="19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55</v>
      </c>
      <c r="G29" s="173"/>
      <c r="H29" s="133">
        <f>H15-H16-H17-H18-H19-H20-H22-H23-H24+H26+H27</f>
        <v>0</v>
      </c>
      <c r="I29" s="134"/>
      <c r="J29" s="13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58</v>
      </c>
      <c r="B32" s="159"/>
      <c r="C32" s="159"/>
      <c r="D32" s="160"/>
      <c r="F32" s="161" t="s">
        <v>59</v>
      </c>
      <c r="G32" s="162"/>
      <c r="H32" s="162"/>
      <c r="I32" s="162"/>
      <c r="J32" s="16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1" t="s">
        <v>13</v>
      </c>
      <c r="I33" s="162"/>
      <c r="J33" s="16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5">
        <f>F34*G34</f>
        <v>0</v>
      </c>
      <c r="I34" s="156"/>
      <c r="J34" s="15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68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70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68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70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68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70</v>
      </c>
      <c r="C42" s="11"/>
      <c r="D42" s="12">
        <f>C42*2.25</f>
        <v>0</v>
      </c>
      <c r="F42" s="39" t="s">
        <v>79</v>
      </c>
      <c r="G42" s="155"/>
      <c r="H42" s="156"/>
      <c r="I42" s="156"/>
      <c r="J42" s="15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81</v>
      </c>
      <c r="C43" s="11"/>
      <c r="D43" s="12"/>
      <c r="F43" s="59" t="s">
        <v>82</v>
      </c>
      <c r="G43" s="110" t="s">
        <v>83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66</v>
      </c>
      <c r="C44" s="10"/>
      <c r="D44" s="12">
        <f>C44*120</f>
        <v>0</v>
      </c>
      <c r="F44" s="37"/>
      <c r="G44" s="76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68</v>
      </c>
      <c r="C45" s="33"/>
      <c r="D45" s="12">
        <f>C45*84</f>
        <v>0</v>
      </c>
      <c r="F45" s="37"/>
      <c r="G45" s="76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70</v>
      </c>
      <c r="C46" s="81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66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68</v>
      </c>
      <c r="C49" s="33"/>
      <c r="D49" s="12">
        <f>C49*42</f>
        <v>0</v>
      </c>
      <c r="F49" s="131" t="s">
        <v>86</v>
      </c>
      <c r="G49" s="133">
        <f>H34+H35+H36+H37+H38+H39+H40+H41+G42+H44+H45+H46</f>
        <v>0</v>
      </c>
      <c r="H49" s="134"/>
      <c r="I49" s="134"/>
      <c r="J49" s="13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70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140</v>
      </c>
      <c r="G51" s="244">
        <f>G49-H29</f>
        <v>0</v>
      </c>
      <c r="H51" s="245"/>
      <c r="I51" s="245"/>
      <c r="J51" s="2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1" t="s">
        <v>90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91</v>
      </c>
      <c r="B58" s="120"/>
      <c r="C58" s="120"/>
      <c r="D58" s="121"/>
      <c r="F58" s="119" t="s">
        <v>92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77</vt:i4>
      </vt:variant>
      <vt:variant>
        <vt:lpstr>Named Ranges</vt:lpstr>
      </vt:variant>
      <vt:variant>
        <vt:i4>76</vt:i4>
      </vt:variant>
    </vt:vector>
  </HeadingPairs>
  <TitlesOfParts>
    <vt:vector size="153" baseType="lpstr">
      <vt:lpstr>(December 2025)</vt:lpstr>
      <vt:lpstr>(01)</vt:lpstr>
      <vt:lpstr>01,12 R1</vt:lpstr>
      <vt:lpstr>01,12 R2</vt:lpstr>
      <vt:lpstr>01,12 R3</vt:lpstr>
      <vt:lpstr>(2)</vt:lpstr>
      <vt:lpstr>02,12 R1</vt:lpstr>
      <vt:lpstr>02,12 R2</vt:lpstr>
      <vt:lpstr>02,12 R3</vt:lpstr>
      <vt:lpstr>(3)</vt:lpstr>
      <vt:lpstr>03,12 R1</vt:lpstr>
      <vt:lpstr>03,12 R2</vt:lpstr>
      <vt:lpstr>03,12 R3</vt:lpstr>
      <vt:lpstr>(4)</vt:lpstr>
      <vt:lpstr>04,12 R1</vt:lpstr>
      <vt:lpstr>04,12 R2</vt:lpstr>
      <vt:lpstr>04,12 R3</vt:lpstr>
      <vt:lpstr>(5)</vt:lpstr>
      <vt:lpstr>05,12 R1</vt:lpstr>
      <vt:lpstr>05,12 R2</vt:lpstr>
      <vt:lpstr>05,12 R3</vt:lpstr>
      <vt:lpstr>(6)</vt:lpstr>
      <vt:lpstr>06,12 R1</vt:lpstr>
      <vt:lpstr>06,12 R2</vt:lpstr>
      <vt:lpstr>06,12 R3</vt:lpstr>
      <vt:lpstr>(8)</vt:lpstr>
      <vt:lpstr>08,12 R1</vt:lpstr>
      <vt:lpstr>08,12 R2</vt:lpstr>
      <vt:lpstr>08,12 R3</vt:lpstr>
      <vt:lpstr>(9)</vt:lpstr>
      <vt:lpstr>09,12 R1</vt:lpstr>
      <vt:lpstr>09,12 R2</vt:lpstr>
      <vt:lpstr>09,12 R3</vt:lpstr>
      <vt:lpstr>(10)</vt:lpstr>
      <vt:lpstr>10,12 R1 No Trip</vt:lpstr>
      <vt:lpstr>10,12 R2</vt:lpstr>
      <vt:lpstr>10,12 R3</vt:lpstr>
      <vt:lpstr>(11)</vt:lpstr>
      <vt:lpstr>11,12 R1</vt:lpstr>
      <vt:lpstr>11,12 R2</vt:lpstr>
      <vt:lpstr>11,12 R3</vt:lpstr>
      <vt:lpstr>(12)</vt:lpstr>
      <vt:lpstr>12,12 R1</vt:lpstr>
      <vt:lpstr>12,12 R2</vt:lpstr>
      <vt:lpstr>12,12 R3</vt:lpstr>
      <vt:lpstr>(13)</vt:lpstr>
      <vt:lpstr>13,12 R1</vt:lpstr>
      <vt:lpstr>13,12 R2</vt:lpstr>
      <vt:lpstr>13,12 R3</vt:lpstr>
      <vt:lpstr>(15)</vt:lpstr>
      <vt:lpstr>15,12 R1</vt:lpstr>
      <vt:lpstr>15,12 R2</vt:lpstr>
      <vt:lpstr>15,12 R3</vt:lpstr>
      <vt:lpstr>(16)</vt:lpstr>
      <vt:lpstr>16,12 R1</vt:lpstr>
      <vt:lpstr>16,12 R2</vt:lpstr>
      <vt:lpstr>16,12 R3</vt:lpstr>
      <vt:lpstr>(17)</vt:lpstr>
      <vt:lpstr>17,12 R1</vt:lpstr>
      <vt:lpstr>17,12 R2</vt:lpstr>
      <vt:lpstr>17,12 R3</vt:lpstr>
      <vt:lpstr>(18)</vt:lpstr>
      <vt:lpstr>18,12 R1</vt:lpstr>
      <vt:lpstr>18,12 R2</vt:lpstr>
      <vt:lpstr>18,12 R3</vt:lpstr>
      <vt:lpstr>(19)</vt:lpstr>
      <vt:lpstr>19,12 R1</vt:lpstr>
      <vt:lpstr>19,12 R2</vt:lpstr>
      <vt:lpstr>19,12 R3</vt:lpstr>
      <vt:lpstr>(20)</vt:lpstr>
      <vt:lpstr>20,12 R1</vt:lpstr>
      <vt:lpstr>20,12 R2</vt:lpstr>
      <vt:lpstr>20,12 R3</vt:lpstr>
      <vt:lpstr>(22)</vt:lpstr>
      <vt:lpstr>22,12 R1</vt:lpstr>
      <vt:lpstr>22,12 R2</vt:lpstr>
      <vt:lpstr>22,12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'01,12 R1'!Print_Area</vt:lpstr>
      <vt:lpstr>'01,12 R2'!Print_Area</vt:lpstr>
      <vt:lpstr>'01,12 R3'!Print_Area</vt:lpstr>
      <vt:lpstr>'02,12 R1'!Print_Area</vt:lpstr>
      <vt:lpstr>'02,12 R2'!Print_Area</vt:lpstr>
      <vt:lpstr>'02,12 R3'!Print_Area</vt:lpstr>
      <vt:lpstr>'03,12 R1'!Print_Area</vt:lpstr>
      <vt:lpstr>'03,12 R2'!Print_Area</vt:lpstr>
      <vt:lpstr>'03,12 R3'!Print_Area</vt:lpstr>
      <vt:lpstr>'04,12 R1'!Print_Area</vt:lpstr>
      <vt:lpstr>'04,12 R2'!Print_Area</vt:lpstr>
      <vt:lpstr>'04,12 R3'!Print_Area</vt:lpstr>
      <vt:lpstr>'05,12 R1'!Print_Area</vt:lpstr>
      <vt:lpstr>'05,12 R2'!Print_Area</vt:lpstr>
      <vt:lpstr>'05,12 R3'!Print_Area</vt:lpstr>
      <vt:lpstr>'06,12 R1'!Print_Area</vt:lpstr>
      <vt:lpstr>'06,12 R2'!Print_Area</vt:lpstr>
      <vt:lpstr>'06,12 R3'!Print_Area</vt:lpstr>
      <vt:lpstr>'08,12 R1'!Print_Area</vt:lpstr>
      <vt:lpstr>'08,12 R2'!Print_Area</vt:lpstr>
      <vt:lpstr>'08,12 R3'!Print_Area</vt:lpstr>
      <vt:lpstr>'09,12 R1'!Print_Area</vt:lpstr>
      <vt:lpstr>'09,12 R2'!Print_Area</vt:lpstr>
      <vt:lpstr>'09,12 R3'!Print_Area</vt:lpstr>
      <vt:lpstr>'10,12 R1 No Trip'!Print_Area</vt:lpstr>
      <vt:lpstr>'10,12 R2'!Print_Area</vt:lpstr>
      <vt:lpstr>'10,12 R3'!Print_Area</vt:lpstr>
      <vt:lpstr>'11,12 R1'!Print_Area</vt:lpstr>
      <vt:lpstr>'11,12 R2'!Print_Area</vt:lpstr>
      <vt:lpstr>'11,12 R3'!Print_Area</vt:lpstr>
      <vt:lpstr>'12,12 R1'!Print_Area</vt:lpstr>
      <vt:lpstr>'12,12 R2'!Print_Area</vt:lpstr>
      <vt:lpstr>'12,12 R3'!Print_Area</vt:lpstr>
      <vt:lpstr>'13,12 R1'!Print_Area</vt:lpstr>
      <vt:lpstr>'13,12 R2'!Print_Area</vt:lpstr>
      <vt:lpstr>'13,12 R3'!Print_Area</vt:lpstr>
      <vt:lpstr>'15,12 R1'!Print_Area</vt:lpstr>
      <vt:lpstr>'15,12 R2'!Print_Area</vt:lpstr>
      <vt:lpstr>'15,12 R3'!Print_Area</vt:lpstr>
      <vt:lpstr>'16,12 R1'!Print_Area</vt:lpstr>
      <vt:lpstr>'16,12 R2'!Print_Area</vt:lpstr>
      <vt:lpstr>'16,12 R3'!Print_Area</vt:lpstr>
      <vt:lpstr>'17,12 R1'!Print_Area</vt:lpstr>
      <vt:lpstr>'17,12 R2'!Print_Area</vt:lpstr>
      <vt:lpstr>'17,12 R3'!Print_Area</vt:lpstr>
      <vt:lpstr>'18,12 R1'!Print_Area</vt:lpstr>
      <vt:lpstr>'18,12 R2'!Print_Area</vt:lpstr>
      <vt:lpstr>'18,12 R3'!Print_Area</vt:lpstr>
      <vt:lpstr>'19,12 R1'!Print_Area</vt:lpstr>
      <vt:lpstr>'19,12 R2'!Print_Area</vt:lpstr>
      <vt:lpstr>'19,12 R3'!Print_Area</vt:lpstr>
      <vt:lpstr>'20,12 R1'!Print_Area</vt:lpstr>
      <vt:lpstr>'20,12 R2'!Print_Area</vt:lpstr>
      <vt:lpstr>'20,12 R3'!Print_Area</vt:lpstr>
      <vt:lpstr>'22,12 R1'!Print_Area</vt:lpstr>
      <vt:lpstr>'22,12 R2'!Print_Area</vt:lpstr>
      <vt:lpstr>'22,12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2025-12-17T00:24:30Z</cp:lastPrinted>
  <dcterms:created xsi:type="dcterms:W3CDTF">2024-09-01T23:36:50Z</dcterms:created>
  <dcterms:modified xsi:type="dcterms:W3CDTF">2025-12-17T00:26:20Z</dcterms:modified>
</cp:coreProperties>
</file>