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7A0DFA84-D17B-432E-85A1-6675867E5C0F}" xr6:coauthVersionLast="45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</sheets>
  <definedNames>
    <definedName name="_xlnm.Print_Area" localSheetId="1">'(01)'!$A$1:$J$60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G49" i="1564" s="1"/>
  <c r="D34" i="1564"/>
  <c r="D54" i="1564" s="1"/>
  <c r="H14" i="1564" s="1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29" i="1563" s="1"/>
  <c r="H13" i="1563" s="1"/>
  <c r="H15" i="1563" s="1"/>
  <c r="H29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G49" i="1563" s="1"/>
  <c r="D34" i="1563"/>
  <c r="D54" i="1563" s="1"/>
  <c r="H14" i="1563" s="1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L25" i="1563"/>
  <c r="D25" i="1563" s="1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29" i="1562" s="1"/>
  <c r="H13" i="1562" s="1"/>
  <c r="H15" i="1562" s="1"/>
  <c r="H29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G49" i="1562" s="1"/>
  <c r="D34" i="1562"/>
  <c r="D54" i="1562" s="1"/>
  <c r="H14" i="1562" s="1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29" i="1560" s="1"/>
  <c r="H13" i="1560" s="1"/>
  <c r="H15" i="1560" s="1"/>
  <c r="H29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G49" i="1560" s="1"/>
  <c r="G51" i="1560" s="1"/>
  <c r="D36" i="1560"/>
  <c r="R35" i="1560"/>
  <c r="L19" i="1560" s="1"/>
  <c r="D19" i="1560" s="1"/>
  <c r="H35" i="1560"/>
  <c r="D35" i="1560"/>
  <c r="R34" i="1560"/>
  <c r="H34" i="1560"/>
  <c r="D34" i="1560"/>
  <c r="D54" i="1560" s="1"/>
  <c r="H14" i="1560" s="1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G49" i="1559" s="1"/>
  <c r="D34" i="1559"/>
  <c r="D54" i="1559" s="1"/>
  <c r="H14" i="1559" s="1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L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D29" i="1559" s="1"/>
  <c r="H13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D54" i="1558" s="1"/>
  <c r="H14" i="1558" s="1"/>
  <c r="R35" i="1558"/>
  <c r="H35" i="1558"/>
  <c r="D35" i="1558"/>
  <c r="R34" i="1558"/>
  <c r="H34" i="1558"/>
  <c r="G49" i="1558" s="1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G49" i="1556" s="1"/>
  <c r="D34" i="1556"/>
  <c r="D54" i="1556" s="1"/>
  <c r="H14" i="1556" s="1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D54" i="1555" s="1"/>
  <c r="H14" i="1555" s="1"/>
  <c r="R34" i="1555"/>
  <c r="L12" i="1555" s="1"/>
  <c r="D12" i="1555" s="1"/>
  <c r="H34" i="1555"/>
  <c r="G49" i="1555" s="1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L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D54" i="1554" s="1"/>
  <c r="H14" i="1554" s="1"/>
  <c r="R35" i="1554"/>
  <c r="H35" i="1554"/>
  <c r="D35" i="1554"/>
  <c r="R34" i="1554"/>
  <c r="H34" i="1554"/>
  <c r="G49" i="1554" s="1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D54" i="1552"/>
  <c r="H14" i="1552" s="1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D54" i="1551" s="1"/>
  <c r="H14" i="1551" s="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L25" i="1551"/>
  <c r="D25" i="1551" s="1"/>
  <c r="R24" i="1551"/>
  <c r="L24" i="1551"/>
  <c r="D24" i="1551"/>
  <c r="R23" i="1551"/>
  <c r="L23" i="1551"/>
  <c r="D23" i="1551"/>
  <c r="R22" i="1551"/>
  <c r="L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D54" i="1550" s="1"/>
  <c r="H14" i="1550" s="1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L24" i="1550"/>
  <c r="D24" i="1550" s="1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G49" i="1548" s="1"/>
  <c r="D34" i="1548"/>
  <c r="D54" i="1548" s="1"/>
  <c r="H14" i="1548" s="1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G49" i="1547" s="1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D54" i="1547" s="1"/>
  <c r="H14" i="1547" s="1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G49" i="1546" s="1"/>
  <c r="D34" i="1546"/>
  <c r="D54" i="1546" s="1"/>
  <c r="H14" i="1546" s="1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D54" i="1544" s="1"/>
  <c r="H14" i="1544" s="1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G49" i="1543" s="1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D54" i="1543" s="1"/>
  <c r="H14" i="1543" s="1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L24" i="1543"/>
  <c r="D24" i="1543" s="1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G49" i="1542" s="1"/>
  <c r="D34" i="1542"/>
  <c r="D54" i="1542" s="1"/>
  <c r="H14" i="1542" s="1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D29" i="1564" l="1"/>
  <c r="H13" i="1564" s="1"/>
  <c r="H15" i="1564" s="1"/>
  <c r="H29" i="1564" s="1"/>
  <c r="G51" i="1564" s="1"/>
  <c r="G51" i="1563"/>
  <c r="G51" i="1562"/>
  <c r="D29" i="1561"/>
  <c r="H13" i="1561" s="1"/>
  <c r="H15" i="1561" s="1"/>
  <c r="H29" i="1561" s="1"/>
  <c r="G51" i="1561" s="1"/>
  <c r="H15" i="1559"/>
  <c r="H29" i="1559" s="1"/>
  <c r="G51" i="1559"/>
  <c r="D29" i="1558"/>
  <c r="H13" i="1558" s="1"/>
  <c r="H15" i="1558" s="1"/>
  <c r="H29" i="1558" s="1"/>
  <c r="G51" i="1558" s="1"/>
  <c r="D29" i="1557"/>
  <c r="H13" i="1557" s="1"/>
  <c r="H15" i="1557" s="1"/>
  <c r="H29" i="1557" s="1"/>
  <c r="G51" i="1557" s="1"/>
  <c r="D29" i="1556"/>
  <c r="H13" i="1556" s="1"/>
  <c r="H15" i="1556" s="1"/>
  <c r="H29" i="1556" s="1"/>
  <c r="G51" i="1556" s="1"/>
  <c r="D29" i="1555"/>
  <c r="H13" i="1555" s="1"/>
  <c r="H15" i="1555" s="1"/>
  <c r="H29" i="1555" s="1"/>
  <c r="G51" i="1555" s="1"/>
  <c r="D29" i="1554"/>
  <c r="H13" i="1554" s="1"/>
  <c r="H15" i="1554" s="1"/>
  <c r="H29" i="1554" s="1"/>
  <c r="G51" i="1554" s="1"/>
  <c r="D29" i="1553"/>
  <c r="H13" i="1553" s="1"/>
  <c r="H15" i="1553" s="1"/>
  <c r="H29" i="1553" s="1"/>
  <c r="G51" i="1553" s="1"/>
  <c r="D29" i="1552"/>
  <c r="H13" i="1552" s="1"/>
  <c r="H15" i="1552" s="1"/>
  <c r="H29" i="1552" s="1"/>
  <c r="G51" i="1552" s="1"/>
  <c r="D29" i="1551"/>
  <c r="H13" i="1551" s="1"/>
  <c r="H15" i="1551" s="1"/>
  <c r="H29" i="1551" s="1"/>
  <c r="G51" i="1551" s="1"/>
  <c r="D29" i="1550"/>
  <c r="H13" i="1550" s="1"/>
  <c r="H15" i="1550" s="1"/>
  <c r="H29" i="1550" s="1"/>
  <c r="G51" i="1550" s="1"/>
  <c r="D29" i="1549"/>
  <c r="H13" i="1549" s="1"/>
  <c r="H15" i="1549" s="1"/>
  <c r="H29" i="1549" s="1"/>
  <c r="G51" i="1549" s="1"/>
  <c r="D29" i="1548"/>
  <c r="H13" i="1548" s="1"/>
  <c r="H15" i="1548" s="1"/>
  <c r="H29" i="1548" s="1"/>
  <c r="G51" i="1548"/>
  <c r="D29" i="1547"/>
  <c r="H13" i="1547" s="1"/>
  <c r="H15" i="1547" s="1"/>
  <c r="H29" i="1547" s="1"/>
  <c r="G51" i="1547" s="1"/>
  <c r="D29" i="1546"/>
  <c r="H13" i="1546" s="1"/>
  <c r="H15" i="1546" s="1"/>
  <c r="H29" i="1546" s="1"/>
  <c r="G51" i="1546"/>
  <c r="D29" i="1545"/>
  <c r="H13" i="1545" s="1"/>
  <c r="H15" i="1545" s="1"/>
  <c r="H29" i="1545" s="1"/>
  <c r="G51" i="1545" s="1"/>
  <c r="D29" i="1544"/>
  <c r="H13" i="1544" s="1"/>
  <c r="H15" i="1544" s="1"/>
  <c r="H29" i="1544" s="1"/>
  <c r="G51" i="1544" s="1"/>
  <c r="D29" i="1543"/>
  <c r="H13" i="1543" s="1"/>
  <c r="H15" i="1543" s="1"/>
  <c r="H29" i="1543" s="1"/>
  <c r="G51" i="1543" s="1"/>
  <c r="D29" i="1542"/>
  <c r="H13" i="1542" s="1"/>
  <c r="H15" i="1542" s="1"/>
  <c r="H29" i="1542" s="1"/>
  <c r="G51" i="1542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G49" i="1539" l="1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<sst xmlns="http://schemas.openxmlformats.org/spreadsheetml/2006/main" count="3674" uniqueCount="150">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</sst>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1" t="s">
        <v>1</v>
      </c>
      <c r="O1" s="191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2" t="s">
        <v>7</v>
      </c>
      <c r="B4" s="143"/>
      <c r="C4" s="143"/>
      <c r="D4" s="144"/>
      <c r="F4" s="192" t="s">
        <v>8</v>
      </c>
      <c r="G4" s="194"/>
      <c r="H4" s="196" t="s">
        <v>9</v>
      </c>
      <c r="I4" s="198"/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202" t="s">
        <v>16</v>
      </c>
      <c r="G6" s="204"/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210" t="s">
        <v>21</v>
      </c>
      <c r="G8" s="211"/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202" t="s">
        <v>26</v>
      </c>
      <c r="G10" s="217"/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88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/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/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/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/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/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/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85" t="s">
        <v>83</v>
      </c>
      <c r="H43" s="131" t="s">
        <v>13</v>
      </c>
      <c r="I43" s="132"/>
      <c r="J43" s="133"/>
      <c r="K43" s="21"/>
      <c r="P43" s="4"/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P44" s="4"/>
      <c r="Q44" s="4"/>
      <c r="R44" s="5"/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128</v>
      </c>
      <c r="G51" s="125">
        <f>G49-H29</f>
        <v>0</v>
      </c>
      <c r="H51" s="126"/>
      <c r="I51" s="126"/>
      <c r="J51" s="12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128"/>
      <c r="H52" s="129"/>
      <c r="I52" s="129"/>
      <c r="J52" s="1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1</v>
      </c>
      <c r="H4" s="196" t="s">
        <v>9</v>
      </c>
      <c r="I4" s="198">
        <v>45992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4">
        <v>262</v>
      </c>
      <c r="D6" s="13">
        <f t="shared" ref="D6:D28" si="1">C6*L6</f>
        <v>193094</v>
      </c>
      <c r="F6" s="202" t="s">
        <v>16</v>
      </c>
      <c r="G6" s="204" t="s">
        <v>129</v>
      </c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4">
        <v>16</v>
      </c>
      <c r="D7" s="13">
        <f t="shared" si="1"/>
        <v>11600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4">
        <v>1</v>
      </c>
      <c r="D8" s="13">
        <f t="shared" si="1"/>
        <v>1033</v>
      </c>
      <c r="F8" s="210" t="s">
        <v>21</v>
      </c>
      <c r="G8" s="211" t="s">
        <v>112</v>
      </c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4">
        <v>20</v>
      </c>
      <c r="D9" s="13">
        <f t="shared" si="1"/>
        <v>14140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4">
        <v>2</v>
      </c>
      <c r="D10" s="13">
        <f t="shared" si="1"/>
        <v>1944</v>
      </c>
      <c r="F10" s="202" t="s">
        <v>26</v>
      </c>
      <c r="G10" s="217" t="s">
        <v>130</v>
      </c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4">
        <v>1</v>
      </c>
      <c r="D11" s="13">
        <f t="shared" si="1"/>
        <v>1125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4">
        <f>2</f>
        <v>2</v>
      </c>
      <c r="D12" s="48">
        <f t="shared" si="1"/>
        <v>1904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4">
        <v>9</v>
      </c>
      <c r="D13" s="48">
        <f t="shared" si="1"/>
        <v>2763</v>
      </c>
      <c r="F13" s="223" t="s">
        <v>36</v>
      </c>
      <c r="G13" s="187"/>
      <c r="H13" s="178">
        <f>D29</f>
        <v>240783.5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4">
        <v>3</v>
      </c>
      <c r="D14" s="31">
        <f t="shared" si="1"/>
        <v>33</v>
      </c>
      <c r="F14" s="181" t="s">
        <v>39</v>
      </c>
      <c r="G14" s="182"/>
      <c r="H14" s="183">
        <f>D54</f>
        <v>35187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4"/>
      <c r="D15" s="31">
        <f t="shared" si="1"/>
        <v>0</v>
      </c>
      <c r="F15" s="186" t="s">
        <v>40</v>
      </c>
      <c r="G15" s="187"/>
      <c r="H15" s="188">
        <f>H13-H14</f>
        <v>205596.5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64">
        <v>79918</v>
      </c>
      <c r="I22" s="164"/>
      <c r="J22" s="16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4"/>
      <c r="D23" s="48">
        <f t="shared" si="1"/>
        <v>0</v>
      </c>
      <c r="F23" s="77"/>
      <c r="G23" s="79"/>
      <c r="H23" s="230"/>
      <c r="I23" s="231"/>
      <c r="J23" s="23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30"/>
      <c r="I24" s="231"/>
      <c r="J24" s="23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34">
        <v>87410</v>
      </c>
      <c r="I26" s="134"/>
      <c r="J26" s="134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4"/>
      <c r="D27" s="44">
        <f t="shared" si="1"/>
        <v>0</v>
      </c>
      <c r="F27" s="71"/>
      <c r="G27" s="85"/>
      <c r="H27" s="232"/>
      <c r="I27" s="233"/>
      <c r="J27" s="23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4">
        <v>11</v>
      </c>
      <c r="D28" s="48">
        <f t="shared" si="1"/>
        <v>8635</v>
      </c>
      <c r="F28" s="88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240783.5</v>
      </c>
      <c r="F29" s="95" t="s">
        <v>55</v>
      </c>
      <c r="G29" s="157"/>
      <c r="H29" s="117">
        <f>H15-H16-H17-H18-H19-H20-H22-H23-H24+H26+H27+H28</f>
        <v>213088.5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139">
        <f t="shared" ref="H34:H39" si="2">F34*G34</f>
        <v>77000</v>
      </c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139">
        <f t="shared" si="2"/>
        <v>19000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39">
        <f t="shared" si="2"/>
        <v>400</v>
      </c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139">
        <f t="shared" si="2"/>
        <v>600</v>
      </c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139">
        <f t="shared" si="2"/>
        <v>350</v>
      </c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139">
        <f t="shared" si="2"/>
        <v>20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4</v>
      </c>
      <c r="D42" s="12">
        <f>C42*2.25</f>
        <v>9</v>
      </c>
      <c r="F42" s="39" t="s">
        <v>79</v>
      </c>
      <c r="G42" s="139">
        <v>25</v>
      </c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85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34">
        <v>15213</v>
      </c>
      <c r="I44" s="134"/>
      <c r="J44" s="13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0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34">
        <v>13245</v>
      </c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>
        <v>9</v>
      </c>
      <c r="D46" s="12">
        <f>C46*1.5</f>
        <v>13.5</v>
      </c>
      <c r="F46" s="237" t="s">
        <v>146</v>
      </c>
      <c r="G46" s="62"/>
      <c r="H46" s="134">
        <v>87410</v>
      </c>
      <c r="I46" s="134"/>
      <c r="J46" s="134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>
        <v>1</v>
      </c>
      <c r="D49" s="12">
        <f>C49*42</f>
        <v>42</v>
      </c>
      <c r="F49" s="115" t="s">
        <v>86</v>
      </c>
      <c r="G49" s="117">
        <f>H34+H35+H36+H37+H38+H39+H40+H41+G42+H44+H45+H46</f>
        <v>213263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>
        <v>12</v>
      </c>
      <c r="D50" s="12">
        <f>C50*1.5</f>
        <v>18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148</v>
      </c>
      <c r="G51" s="125">
        <f>G49-H29</f>
        <v>174.5</v>
      </c>
      <c r="H51" s="126"/>
      <c r="I51" s="126"/>
      <c r="J51" s="12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128"/>
      <c r="H52" s="129"/>
      <c r="I52" s="129"/>
      <c r="J52" s="1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2</v>
      </c>
      <c r="H4" s="196" t="s">
        <v>9</v>
      </c>
      <c r="I4" s="198">
        <v>45992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168</v>
      </c>
      <c r="D6" s="13">
        <f t="shared" ref="D6:D28" si="1">C6*L6</f>
        <v>123816</v>
      </c>
      <c r="F6" s="202" t="s">
        <v>16</v>
      </c>
      <c r="G6" s="204" t="s">
        <v>141</v>
      </c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</v>
      </c>
      <c r="D7" s="13">
        <f t="shared" si="1"/>
        <v>1450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114</v>
      </c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39</v>
      </c>
      <c r="D9" s="13">
        <f t="shared" si="1"/>
        <v>27573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115</v>
      </c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4</v>
      </c>
      <c r="D13" s="48">
        <f t="shared" si="1"/>
        <v>1228</v>
      </c>
      <c r="F13" s="223" t="s">
        <v>36</v>
      </c>
      <c r="G13" s="187"/>
      <c r="H13" s="178">
        <f>D29</f>
        <v>154078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</v>
      </c>
      <c r="D14" s="31">
        <f t="shared" si="1"/>
        <v>11</v>
      </c>
      <c r="F14" s="181" t="s">
        <v>39</v>
      </c>
      <c r="G14" s="182"/>
      <c r="H14" s="183">
        <f>D54</f>
        <v>24060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130018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>
        <v>1314</v>
      </c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>
        <v>50</v>
      </c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169"/>
      <c r="I26" s="170"/>
      <c r="J26" s="17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88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154078</v>
      </c>
      <c r="F29" s="95" t="s">
        <v>55</v>
      </c>
      <c r="G29" s="157"/>
      <c r="H29" s="117">
        <f>H15-H16-H17-H18-H19-H20-H22-H23-H24+H26+H27</f>
        <v>128654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39">
        <f>F34*G34</f>
        <v>101000</v>
      </c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39">
        <f t="shared" ref="H35:H39" si="2">F35*G35</f>
        <v>26500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>F36*G36</f>
        <v>0</v>
      </c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139">
        <f t="shared" si="2"/>
        <v>400</v>
      </c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39">
        <f t="shared" si="2"/>
        <v>50</v>
      </c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8</v>
      </c>
      <c r="D42" s="12">
        <f>C42*2.25</f>
        <v>18</v>
      </c>
      <c r="F42" s="39" t="s">
        <v>79</v>
      </c>
      <c r="G42" s="139">
        <v>35</v>
      </c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85" t="s">
        <v>83</v>
      </c>
      <c r="H43" s="131" t="s">
        <v>13</v>
      </c>
      <c r="I43" s="132"/>
      <c r="J43" s="133"/>
      <c r="K43" s="21"/>
      <c r="P43" s="4"/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P44" s="4"/>
      <c r="Q44" s="4"/>
      <c r="R44" s="5"/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>
        <v>1</v>
      </c>
      <c r="D46" s="12">
        <f>C46*1.5</f>
        <v>1.5</v>
      </c>
      <c r="F46" s="37"/>
      <c r="G46" s="86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>
        <v>1</v>
      </c>
      <c r="D49" s="12">
        <f>C49*42</f>
        <v>42</v>
      </c>
      <c r="F49" s="115" t="s">
        <v>86</v>
      </c>
      <c r="G49" s="117">
        <f>H34+H35+H36+H37+H38+H39+H40+H41+G42+H44+H45+H46</f>
        <v>127985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>
        <v>22</v>
      </c>
      <c r="D50" s="12">
        <f>C50*1.5</f>
        <v>33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132</v>
      </c>
      <c r="G51" s="224">
        <f>G49-H29</f>
        <v>-669</v>
      </c>
      <c r="H51" s="225"/>
      <c r="I51" s="225"/>
      <c r="J51" s="22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24060</v>
      </c>
      <c r="F54" s="21"/>
      <c r="J54" s="34"/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3</v>
      </c>
      <c r="H4" s="196" t="s">
        <v>9</v>
      </c>
      <c r="I4" s="198">
        <v>45992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211</v>
      </c>
      <c r="D6" s="13">
        <f t="shared" ref="D6:D28" si="1">C6*L6</f>
        <v>155507</v>
      </c>
      <c r="F6" s="202" t="s">
        <v>16</v>
      </c>
      <c r="G6" s="204" t="s">
        <v>111</v>
      </c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11</v>
      </c>
      <c r="D7" s="13">
        <f t="shared" si="1"/>
        <v>7975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1</v>
      </c>
      <c r="D8" s="13">
        <f t="shared" si="1"/>
        <v>1033</v>
      </c>
      <c r="F8" s="210" t="s">
        <v>21</v>
      </c>
      <c r="G8" s="211" t="s">
        <v>119</v>
      </c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18</v>
      </c>
      <c r="D9" s="13">
        <f t="shared" si="1"/>
        <v>12726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2</v>
      </c>
      <c r="D10" s="13">
        <f t="shared" si="1"/>
        <v>1944</v>
      </c>
      <c r="F10" s="202" t="s">
        <v>26</v>
      </c>
      <c r="G10" s="217" t="s">
        <v>135</v>
      </c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3</v>
      </c>
      <c r="D12" s="48">
        <f t="shared" si="1"/>
        <v>2856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5</v>
      </c>
      <c r="D13" s="48">
        <f t="shared" si="1"/>
        <v>1535</v>
      </c>
      <c r="F13" s="223" t="s">
        <v>36</v>
      </c>
      <c r="G13" s="187"/>
      <c r="H13" s="178">
        <f>D29</f>
        <v>197825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</v>
      </c>
      <c r="D14" s="31">
        <f t="shared" si="1"/>
        <v>11</v>
      </c>
      <c r="F14" s="181" t="s">
        <v>39</v>
      </c>
      <c r="G14" s="182"/>
      <c r="H14" s="183">
        <f>D54</f>
        <v>31160.25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166664.75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>
        <f>300</f>
        <v>300</v>
      </c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>
        <v>9</v>
      </c>
      <c r="D27" s="44">
        <f t="shared" si="1"/>
        <v>14238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88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197825</v>
      </c>
      <c r="F29" s="95" t="s">
        <v>55</v>
      </c>
      <c r="G29" s="157"/>
      <c r="H29" s="117">
        <f>H15-H16-H17-H18-H19-H20-H22-H23-H24+H26+H27</f>
        <v>166364.75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139">
        <f>F34*G34</f>
        <v>131000</v>
      </c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39">
        <f>F35*G35</f>
        <v>21000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39">
        <f t="shared" ref="H36:H39" si="2">F36*G36</f>
        <v>0</v>
      </c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9</v>
      </c>
      <c r="D42" s="12">
        <f>C42*2.25</f>
        <v>20.25</v>
      </c>
      <c r="F42" s="39" t="s">
        <v>79</v>
      </c>
      <c r="G42" s="139">
        <v>86</v>
      </c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85" t="s">
        <v>83</v>
      </c>
      <c r="H43" s="131" t="s">
        <v>13</v>
      </c>
      <c r="I43" s="132"/>
      <c r="J43" s="133"/>
      <c r="K43" s="21"/>
      <c r="P43" s="4"/>
      <c r="Q43" s="4"/>
      <c r="R43" s="5"/>
    </row>
    <row r="44" spans="1:18" ht="15.75" x14ac:dyDescent="0.25">
      <c r="A44" s="110"/>
      <c r="B44" s="27" t="s">
        <v>66</v>
      </c>
      <c r="C44" s="10">
        <v>2</v>
      </c>
      <c r="D44" s="12">
        <f>C44*120</f>
        <v>240</v>
      </c>
      <c r="F44" s="236" t="s">
        <v>149</v>
      </c>
      <c r="G44" s="76"/>
      <c r="H44" s="134">
        <v>14238</v>
      </c>
      <c r="I44" s="134"/>
      <c r="J44" s="134"/>
      <c r="K44" s="21"/>
      <c r="P44" s="4"/>
      <c r="Q44" s="4"/>
      <c r="R44" s="5"/>
    </row>
    <row r="45" spans="1:18" ht="15.75" x14ac:dyDescent="0.25">
      <c r="A45" s="110"/>
      <c r="B45" s="27" t="s">
        <v>68</v>
      </c>
      <c r="C45" s="33">
        <v>1</v>
      </c>
      <c r="D45" s="12">
        <f>C45*84</f>
        <v>84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>
        <v>11</v>
      </c>
      <c r="D46" s="12">
        <f>C46*1.5</f>
        <v>16.5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>
        <v>1</v>
      </c>
      <c r="D49" s="12">
        <f>C49*42</f>
        <v>42</v>
      </c>
      <c r="F49" s="115" t="s">
        <v>86</v>
      </c>
      <c r="G49" s="117">
        <f>H34+H35+H36+H37+H38+H39+H40+H41+G42+H44+H45+H46</f>
        <v>166324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>
        <v>6</v>
      </c>
      <c r="D50" s="12">
        <f>C50*1.5</f>
        <v>9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140</v>
      </c>
      <c r="G51" s="224">
        <f>G49-H29</f>
        <v>-40.75</v>
      </c>
      <c r="H51" s="225"/>
      <c r="I51" s="225"/>
      <c r="J51" s="22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31160.25</v>
      </c>
      <c r="F54" s="21"/>
      <c r="J54" s="34"/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2" t="s">
        <v>7</v>
      </c>
      <c r="B4" s="143"/>
      <c r="C4" s="143"/>
      <c r="D4" s="144"/>
      <c r="F4" s="192" t="s">
        <v>8</v>
      </c>
      <c r="G4" s="194"/>
      <c r="H4" s="196" t="s">
        <v>9</v>
      </c>
      <c r="I4" s="198"/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202" t="s">
        <v>16</v>
      </c>
      <c r="G6" s="204"/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210" t="s">
        <v>21</v>
      </c>
      <c r="G8" s="211"/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202" t="s">
        <v>26</v>
      </c>
      <c r="G10" s="217"/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/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/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/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/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/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/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P43" s="4"/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P44" s="4"/>
      <c r="Q44" s="4"/>
      <c r="R44" s="5"/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128</v>
      </c>
      <c r="G51" s="125">
        <f>G49-H29</f>
        <v>0</v>
      </c>
      <c r="H51" s="126"/>
      <c r="I51" s="126"/>
      <c r="J51" s="12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128"/>
      <c r="H52" s="129"/>
      <c r="I52" s="129"/>
      <c r="J52" s="1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1</v>
      </c>
      <c r="H4" s="196" t="s">
        <v>9</v>
      </c>
      <c r="I4" s="198">
        <v>45993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4"/>
      <c r="D6" s="13">
        <f t="shared" ref="D6:D28" si="1">C6*L6</f>
        <v>0</v>
      </c>
      <c r="F6" s="202" t="s">
        <v>16</v>
      </c>
      <c r="G6" s="204" t="s">
        <v>129</v>
      </c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4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4"/>
      <c r="D8" s="13">
        <f t="shared" si="1"/>
        <v>0</v>
      </c>
      <c r="F8" s="210" t="s">
        <v>21</v>
      </c>
      <c r="G8" s="211" t="s">
        <v>112</v>
      </c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4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4"/>
      <c r="D10" s="13">
        <f t="shared" si="1"/>
        <v>0</v>
      </c>
      <c r="F10" s="202" t="s">
        <v>26</v>
      </c>
      <c r="G10" s="217" t="s">
        <v>130</v>
      </c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4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4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4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4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4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4"/>
      <c r="D22" s="48">
        <f t="shared" si="1"/>
        <v>0</v>
      </c>
      <c r="F22" s="77"/>
      <c r="G22" s="73"/>
      <c r="H22" s="164"/>
      <c r="I22" s="164"/>
      <c r="J22" s="16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4"/>
      <c r="D23" s="48">
        <f t="shared" si="1"/>
        <v>0</v>
      </c>
      <c r="F23" s="77"/>
      <c r="G23" s="79"/>
      <c r="H23" s="230"/>
      <c r="I23" s="231"/>
      <c r="J23" s="23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4"/>
      <c r="D24" s="48">
        <f t="shared" si="1"/>
        <v>0</v>
      </c>
      <c r="F24" s="77"/>
      <c r="G24" s="79"/>
      <c r="H24" s="230"/>
      <c r="I24" s="231"/>
      <c r="J24" s="23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137</v>
      </c>
      <c r="C26" s="84"/>
      <c r="D26" s="48">
        <f t="shared" si="1"/>
        <v>0</v>
      </c>
      <c r="F26" s="75"/>
      <c r="G26" s="65"/>
      <c r="H26" s="134"/>
      <c r="I26" s="134"/>
      <c r="J26" s="13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4"/>
      <c r="D27" s="44">
        <f t="shared" si="1"/>
        <v>0</v>
      </c>
      <c r="F27" s="71"/>
      <c r="G27" s="90"/>
      <c r="H27" s="232"/>
      <c r="I27" s="233"/>
      <c r="J27" s="23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4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H15-H16-H17-H18-H19-H20-H22-H23-H24+H26+H27+H28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9">
        <f t="shared" ref="H34:H39" si="2">F34*G34</f>
        <v>0</v>
      </c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si="2"/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si="2"/>
        <v>0</v>
      </c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4"/>
      <c r="I46" s="134"/>
      <c r="J46" s="134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131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2</v>
      </c>
      <c r="H4" s="196" t="s">
        <v>9</v>
      </c>
      <c r="I4" s="198">
        <v>45993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202" t="s">
        <v>16</v>
      </c>
      <c r="G6" s="204" t="s">
        <v>141</v>
      </c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114</v>
      </c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115</v>
      </c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169"/>
      <c r="I26" s="170"/>
      <c r="J26" s="17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>
        <f>F34*G34</f>
        <v>0</v>
      </c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ref="H35:H39" si="2">F35*G35</f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>F36*G36</f>
        <v>0</v>
      </c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P43" s="4"/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P44" s="4"/>
      <c r="Q44" s="4"/>
      <c r="R44" s="5"/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91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132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3</v>
      </c>
      <c r="H4" s="196" t="s">
        <v>9</v>
      </c>
      <c r="I4" s="198">
        <v>45993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202" t="s">
        <v>16</v>
      </c>
      <c r="G6" s="204" t="s">
        <v>111</v>
      </c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119</v>
      </c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135</v>
      </c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>
        <f>F34*G34</f>
        <v>0</v>
      </c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>F35*G35</f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ref="H36:H39" si="2">F36*G36</f>
        <v>0</v>
      </c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P43" s="4"/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P44" s="4"/>
      <c r="Q44" s="4"/>
      <c r="R44" s="5"/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140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2" t="s">
        <v>7</v>
      </c>
      <c r="B4" s="143"/>
      <c r="C4" s="143"/>
      <c r="D4" s="144"/>
      <c r="F4" s="192" t="s">
        <v>8</v>
      </c>
      <c r="G4" s="194"/>
      <c r="H4" s="196" t="s">
        <v>9</v>
      </c>
      <c r="I4" s="198"/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202" t="s">
        <v>16</v>
      </c>
      <c r="G6" s="204"/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210" t="s">
        <v>21</v>
      </c>
      <c r="G8" s="211"/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202" t="s">
        <v>26</v>
      </c>
      <c r="G10" s="217"/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/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/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/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/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/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/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P43" s="4"/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P44" s="4"/>
      <c r="Q44" s="4"/>
      <c r="R44" s="5"/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128</v>
      </c>
      <c r="G51" s="125">
        <f>G49-H29</f>
        <v>0</v>
      </c>
      <c r="H51" s="126"/>
      <c r="I51" s="126"/>
      <c r="J51" s="12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128"/>
      <c r="H52" s="129"/>
      <c r="I52" s="129"/>
      <c r="J52" s="1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1</v>
      </c>
      <c r="H4" s="196" t="s">
        <v>9</v>
      </c>
      <c r="I4" s="198">
        <v>45994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4"/>
      <c r="D6" s="13">
        <f t="shared" ref="D6:D28" si="1">C6*L6</f>
        <v>0</v>
      </c>
      <c r="F6" s="202" t="s">
        <v>16</v>
      </c>
      <c r="G6" s="204" t="s">
        <v>129</v>
      </c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4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4"/>
      <c r="D8" s="13">
        <f t="shared" si="1"/>
        <v>0</v>
      </c>
      <c r="F8" s="210" t="s">
        <v>21</v>
      </c>
      <c r="G8" s="211" t="s">
        <v>112</v>
      </c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4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4"/>
      <c r="D10" s="13">
        <f t="shared" si="1"/>
        <v>0</v>
      </c>
      <c r="F10" s="202" t="s">
        <v>26</v>
      </c>
      <c r="G10" s="217" t="s">
        <v>130</v>
      </c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4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4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4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4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4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4"/>
      <c r="D22" s="48">
        <f t="shared" si="1"/>
        <v>0</v>
      </c>
      <c r="F22" s="77"/>
      <c r="G22" s="73"/>
      <c r="H22" s="164"/>
      <c r="I22" s="164"/>
      <c r="J22" s="16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4"/>
      <c r="D23" s="48">
        <f t="shared" si="1"/>
        <v>0</v>
      </c>
      <c r="F23" s="77"/>
      <c r="G23" s="79"/>
      <c r="H23" s="230"/>
      <c r="I23" s="231"/>
      <c r="J23" s="23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4"/>
      <c r="D24" s="48">
        <f t="shared" si="1"/>
        <v>0</v>
      </c>
      <c r="F24" s="77"/>
      <c r="G24" s="79"/>
      <c r="H24" s="230"/>
      <c r="I24" s="231"/>
      <c r="J24" s="23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137</v>
      </c>
      <c r="C26" s="84"/>
      <c r="D26" s="48">
        <f t="shared" si="1"/>
        <v>0</v>
      </c>
      <c r="F26" s="75"/>
      <c r="G26" s="65"/>
      <c r="H26" s="134"/>
      <c r="I26" s="134"/>
      <c r="J26" s="13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4"/>
      <c r="D27" s="44">
        <f t="shared" si="1"/>
        <v>0</v>
      </c>
      <c r="F27" s="71"/>
      <c r="G27" s="90"/>
      <c r="H27" s="232"/>
      <c r="I27" s="233"/>
      <c r="J27" s="23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4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H15-H16-H17-H18-H19-H20-H22-H23-H24+H26+H27+H28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9">
        <f t="shared" ref="H34:H39" si="2">F34*G34</f>
        <v>0</v>
      </c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si="2"/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si="2"/>
        <v>0</v>
      </c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4"/>
      <c r="I46" s="134"/>
      <c r="J46" s="134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131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2</v>
      </c>
      <c r="H4" s="196" t="s">
        <v>9</v>
      </c>
      <c r="I4" s="198">
        <v>45994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202" t="s">
        <v>16</v>
      </c>
      <c r="G6" s="204" t="s">
        <v>141</v>
      </c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114</v>
      </c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115</v>
      </c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169"/>
      <c r="I26" s="170"/>
      <c r="J26" s="17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>
        <f>F34*G34</f>
        <v>0</v>
      </c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ref="H35:H39" si="2">F35*G35</f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>F36*G36</f>
        <v>0</v>
      </c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P43" s="4"/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P44" s="4"/>
      <c r="Q44" s="4"/>
      <c r="R44" s="5"/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91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132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3</v>
      </c>
      <c r="H4" s="196" t="s">
        <v>9</v>
      </c>
      <c r="I4" s="198">
        <v>45994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202" t="s">
        <v>16</v>
      </c>
      <c r="G6" s="204" t="s">
        <v>111</v>
      </c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119</v>
      </c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135</v>
      </c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>
        <f>F34*G34</f>
        <v>0</v>
      </c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>F35*G35</f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ref="H36:H39" si="2">F36*G36</f>
        <v>0</v>
      </c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P43" s="4"/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P44" s="4"/>
      <c r="Q44" s="4"/>
      <c r="R44" s="5"/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140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2" t="s">
        <v>7</v>
      </c>
      <c r="B4" s="143"/>
      <c r="C4" s="143"/>
      <c r="D4" s="144"/>
      <c r="F4" s="192" t="s">
        <v>8</v>
      </c>
      <c r="G4" s="194"/>
      <c r="H4" s="196" t="s">
        <v>9</v>
      </c>
      <c r="I4" s="198"/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202" t="s">
        <v>16</v>
      </c>
      <c r="G6" s="204"/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210" t="s">
        <v>21</v>
      </c>
      <c r="G8" s="211"/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202" t="s">
        <v>26</v>
      </c>
      <c r="G10" s="217"/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/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/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/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/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/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/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P43" s="4"/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P44" s="4"/>
      <c r="Q44" s="4"/>
      <c r="R44" s="5"/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128</v>
      </c>
      <c r="G51" s="125">
        <f>G49-H29</f>
        <v>0</v>
      </c>
      <c r="H51" s="126"/>
      <c r="I51" s="126"/>
      <c r="J51" s="12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128"/>
      <c r="H52" s="129"/>
      <c r="I52" s="129"/>
      <c r="J52" s="1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1</v>
      </c>
      <c r="H4" s="196" t="s">
        <v>9</v>
      </c>
      <c r="I4" s="198">
        <v>45995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4"/>
      <c r="D6" s="13">
        <f t="shared" ref="D6:D28" si="1">C6*L6</f>
        <v>0</v>
      </c>
      <c r="F6" s="202" t="s">
        <v>16</v>
      </c>
      <c r="G6" s="204" t="s">
        <v>129</v>
      </c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4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4"/>
      <c r="D8" s="13">
        <f t="shared" si="1"/>
        <v>0</v>
      </c>
      <c r="F8" s="210" t="s">
        <v>21</v>
      </c>
      <c r="G8" s="211" t="s">
        <v>112</v>
      </c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4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4"/>
      <c r="D10" s="13">
        <f t="shared" si="1"/>
        <v>0</v>
      </c>
      <c r="F10" s="202" t="s">
        <v>26</v>
      </c>
      <c r="G10" s="217" t="s">
        <v>130</v>
      </c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4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4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4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4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4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4"/>
      <c r="D22" s="48">
        <f t="shared" si="1"/>
        <v>0</v>
      </c>
      <c r="F22" s="77"/>
      <c r="G22" s="73"/>
      <c r="H22" s="164"/>
      <c r="I22" s="164"/>
      <c r="J22" s="16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4"/>
      <c r="D23" s="48">
        <f t="shared" si="1"/>
        <v>0</v>
      </c>
      <c r="F23" s="77"/>
      <c r="G23" s="79"/>
      <c r="H23" s="230"/>
      <c r="I23" s="231"/>
      <c r="J23" s="23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4"/>
      <c r="D24" s="48">
        <f t="shared" si="1"/>
        <v>0</v>
      </c>
      <c r="F24" s="77"/>
      <c r="G24" s="79"/>
      <c r="H24" s="230"/>
      <c r="I24" s="231"/>
      <c r="J24" s="23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137</v>
      </c>
      <c r="C26" s="84"/>
      <c r="D26" s="48">
        <f t="shared" si="1"/>
        <v>0</v>
      </c>
      <c r="F26" s="75"/>
      <c r="G26" s="65"/>
      <c r="H26" s="134"/>
      <c r="I26" s="134"/>
      <c r="J26" s="13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4"/>
      <c r="D27" s="44">
        <f t="shared" si="1"/>
        <v>0</v>
      </c>
      <c r="F27" s="71"/>
      <c r="G27" s="90"/>
      <c r="H27" s="232"/>
      <c r="I27" s="233"/>
      <c r="J27" s="23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4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H15-H16-H17-H18-H19-H20-H22-H23-H24+H26+H27+H28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9">
        <f t="shared" ref="H34:H39" si="2">F34*G34</f>
        <v>0</v>
      </c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si="2"/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si="2"/>
        <v>0</v>
      </c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4"/>
      <c r="I46" s="134"/>
      <c r="J46" s="134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131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2</v>
      </c>
      <c r="H4" s="196" t="s">
        <v>9</v>
      </c>
      <c r="I4" s="198">
        <v>45995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202" t="s">
        <v>16</v>
      </c>
      <c r="G6" s="204" t="s">
        <v>141</v>
      </c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114</v>
      </c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115</v>
      </c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169"/>
      <c r="I26" s="170"/>
      <c r="J26" s="17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>
        <f>F34*G34</f>
        <v>0</v>
      </c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ref="H35:H39" si="2">F35*G35</f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>F36*G36</f>
        <v>0</v>
      </c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P43" s="4"/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P44" s="4"/>
      <c r="Q44" s="4"/>
      <c r="R44" s="5"/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91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132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3</v>
      </c>
      <c r="H4" s="196" t="s">
        <v>9</v>
      </c>
      <c r="I4" s="198">
        <v>45995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202" t="s">
        <v>16</v>
      </c>
      <c r="G6" s="204" t="s">
        <v>111</v>
      </c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119</v>
      </c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135</v>
      </c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>
        <f>F34*G34</f>
        <v>0</v>
      </c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>F35*G35</f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ref="H36:H39" si="2">F36*G36</f>
        <v>0</v>
      </c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P43" s="4"/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P44" s="4"/>
      <c r="Q44" s="4"/>
      <c r="R44" s="5"/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140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2" t="s">
        <v>7</v>
      </c>
      <c r="B4" s="143"/>
      <c r="C4" s="143"/>
      <c r="D4" s="144"/>
      <c r="F4" s="192" t="s">
        <v>8</v>
      </c>
      <c r="G4" s="194"/>
      <c r="H4" s="196" t="s">
        <v>9</v>
      </c>
      <c r="I4" s="198"/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202" t="s">
        <v>16</v>
      </c>
      <c r="G6" s="204"/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210" t="s">
        <v>21</v>
      </c>
      <c r="G8" s="211"/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202" t="s">
        <v>26</v>
      </c>
      <c r="G10" s="217"/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/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/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/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/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/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/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P43" s="4"/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P44" s="4"/>
      <c r="Q44" s="4"/>
      <c r="R44" s="5"/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128</v>
      </c>
      <c r="G51" s="125">
        <f>G49-H29</f>
        <v>0</v>
      </c>
      <c r="H51" s="126"/>
      <c r="I51" s="126"/>
      <c r="J51" s="12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128"/>
      <c r="H52" s="129"/>
      <c r="I52" s="129"/>
      <c r="J52" s="1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1</v>
      </c>
      <c r="H4" s="196" t="s">
        <v>9</v>
      </c>
      <c r="I4" s="198">
        <v>45996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4"/>
      <c r="D6" s="13">
        <f t="shared" ref="D6:D28" si="1">C6*L6</f>
        <v>0</v>
      </c>
      <c r="F6" s="202" t="s">
        <v>16</v>
      </c>
      <c r="G6" s="204" t="s">
        <v>129</v>
      </c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4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4"/>
      <c r="D8" s="13">
        <f t="shared" si="1"/>
        <v>0</v>
      </c>
      <c r="F8" s="210" t="s">
        <v>21</v>
      </c>
      <c r="G8" s="211" t="s">
        <v>112</v>
      </c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4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4"/>
      <c r="D10" s="13">
        <f t="shared" si="1"/>
        <v>0</v>
      </c>
      <c r="F10" s="202" t="s">
        <v>26</v>
      </c>
      <c r="G10" s="217" t="s">
        <v>130</v>
      </c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4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4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4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4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4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4"/>
      <c r="D22" s="48">
        <f t="shared" si="1"/>
        <v>0</v>
      </c>
      <c r="F22" s="77"/>
      <c r="G22" s="73"/>
      <c r="H22" s="164"/>
      <c r="I22" s="164"/>
      <c r="J22" s="16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4"/>
      <c r="D23" s="48">
        <f t="shared" si="1"/>
        <v>0</v>
      </c>
      <c r="F23" s="77"/>
      <c r="G23" s="79"/>
      <c r="H23" s="230"/>
      <c r="I23" s="231"/>
      <c r="J23" s="23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4"/>
      <c r="D24" s="48">
        <f t="shared" si="1"/>
        <v>0</v>
      </c>
      <c r="F24" s="77"/>
      <c r="G24" s="79"/>
      <c r="H24" s="230"/>
      <c r="I24" s="231"/>
      <c r="J24" s="23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137</v>
      </c>
      <c r="C26" s="84"/>
      <c r="D26" s="48">
        <f t="shared" si="1"/>
        <v>0</v>
      </c>
      <c r="F26" s="75"/>
      <c r="G26" s="65"/>
      <c r="H26" s="134"/>
      <c r="I26" s="134"/>
      <c r="J26" s="13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4"/>
      <c r="D27" s="44">
        <f t="shared" si="1"/>
        <v>0</v>
      </c>
      <c r="F27" s="71"/>
      <c r="G27" s="90"/>
      <c r="H27" s="232"/>
      <c r="I27" s="233"/>
      <c r="J27" s="23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4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H15-H16-H17-H18-H19-H20-H22-H23-H24+H26+H27+H28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9">
        <f t="shared" ref="H34:H39" si="2">F34*G34</f>
        <v>0</v>
      </c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si="2"/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si="2"/>
        <v>0</v>
      </c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4"/>
      <c r="I46" s="134"/>
      <c r="J46" s="134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131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2</v>
      </c>
      <c r="H4" s="196" t="s">
        <v>9</v>
      </c>
      <c r="I4" s="198">
        <v>45996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202" t="s">
        <v>16</v>
      </c>
      <c r="G6" s="204" t="s">
        <v>141</v>
      </c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114</v>
      </c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115</v>
      </c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169"/>
      <c r="I26" s="170"/>
      <c r="J26" s="17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>
        <f>F34*G34</f>
        <v>0</v>
      </c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ref="H35:H39" si="2">F35*G35</f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>F36*G36</f>
        <v>0</v>
      </c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P43" s="4"/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P44" s="4"/>
      <c r="Q44" s="4"/>
      <c r="R44" s="5"/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91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132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3</v>
      </c>
      <c r="H4" s="196" t="s">
        <v>9</v>
      </c>
      <c r="I4" s="198">
        <v>45996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202" t="s">
        <v>16</v>
      </c>
      <c r="G6" s="204" t="s">
        <v>111</v>
      </c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119</v>
      </c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135</v>
      </c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>
        <f>F34*G34</f>
        <v>0</v>
      </c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>F35*G35</f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ref="H36:H39" si="2">F36*G36</f>
        <v>0</v>
      </c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P43" s="4"/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P44" s="4"/>
      <c r="Q44" s="4"/>
      <c r="R44" s="5"/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140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2" t="s">
        <v>7</v>
      </c>
      <c r="B4" s="143"/>
      <c r="C4" s="143"/>
      <c r="D4" s="144"/>
      <c r="F4" s="192" t="s">
        <v>8</v>
      </c>
      <c r="G4" s="194"/>
      <c r="H4" s="196" t="s">
        <v>9</v>
      </c>
      <c r="I4" s="198"/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202" t="s">
        <v>16</v>
      </c>
      <c r="G6" s="204"/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210" t="s">
        <v>21</v>
      </c>
      <c r="G8" s="211"/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202" t="s">
        <v>26</v>
      </c>
      <c r="G10" s="217"/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/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/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/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/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/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/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P43" s="4"/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P44" s="4"/>
      <c r="Q44" s="4"/>
      <c r="R44" s="5"/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128</v>
      </c>
      <c r="G51" s="125">
        <f>G49-H29</f>
        <v>0</v>
      </c>
      <c r="H51" s="126"/>
      <c r="I51" s="126"/>
      <c r="J51" s="12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128"/>
      <c r="H52" s="129"/>
      <c r="I52" s="129"/>
      <c r="J52" s="1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1</v>
      </c>
      <c r="H4" s="196" t="s">
        <v>9</v>
      </c>
      <c r="I4" s="198">
        <v>45997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4"/>
      <c r="D6" s="13">
        <f t="shared" ref="D6:D28" si="1">C6*L6</f>
        <v>0</v>
      </c>
      <c r="F6" s="202" t="s">
        <v>16</v>
      </c>
      <c r="G6" s="204" t="s">
        <v>129</v>
      </c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4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4"/>
      <c r="D8" s="13">
        <f t="shared" si="1"/>
        <v>0</v>
      </c>
      <c r="F8" s="210" t="s">
        <v>21</v>
      </c>
      <c r="G8" s="211" t="s">
        <v>112</v>
      </c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4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4"/>
      <c r="D10" s="13">
        <f t="shared" si="1"/>
        <v>0</v>
      </c>
      <c r="F10" s="202" t="s">
        <v>26</v>
      </c>
      <c r="G10" s="217" t="s">
        <v>130</v>
      </c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4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4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4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4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4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4"/>
      <c r="D22" s="48">
        <f t="shared" si="1"/>
        <v>0</v>
      </c>
      <c r="F22" s="77"/>
      <c r="G22" s="73"/>
      <c r="H22" s="164"/>
      <c r="I22" s="164"/>
      <c r="J22" s="16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4"/>
      <c r="D23" s="48">
        <f t="shared" si="1"/>
        <v>0</v>
      </c>
      <c r="F23" s="77"/>
      <c r="G23" s="79"/>
      <c r="H23" s="230"/>
      <c r="I23" s="231"/>
      <c r="J23" s="23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4"/>
      <c r="D24" s="48">
        <f t="shared" si="1"/>
        <v>0</v>
      </c>
      <c r="F24" s="77"/>
      <c r="G24" s="79"/>
      <c r="H24" s="230"/>
      <c r="I24" s="231"/>
      <c r="J24" s="23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137</v>
      </c>
      <c r="C26" s="84"/>
      <c r="D26" s="48">
        <f t="shared" si="1"/>
        <v>0</v>
      </c>
      <c r="F26" s="75"/>
      <c r="G26" s="65"/>
      <c r="H26" s="134"/>
      <c r="I26" s="134"/>
      <c r="J26" s="13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4"/>
      <c r="D27" s="44">
        <f t="shared" si="1"/>
        <v>0</v>
      </c>
      <c r="F27" s="71"/>
      <c r="G27" s="90"/>
      <c r="H27" s="232"/>
      <c r="I27" s="233"/>
      <c r="J27" s="23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4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H15-H16-H17-H18-H19-H20-H22-H23-H24+H26+H27+H28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9">
        <f t="shared" ref="H34:H39" si="2">F34*G34</f>
        <v>0</v>
      </c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si="2"/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si="2"/>
        <v>0</v>
      </c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4"/>
      <c r="I46" s="134"/>
      <c r="J46" s="134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131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2</v>
      </c>
      <c r="H4" s="196" t="s">
        <v>9</v>
      </c>
      <c r="I4" s="198">
        <v>45997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202" t="s">
        <v>16</v>
      </c>
      <c r="G6" s="204" t="s">
        <v>141</v>
      </c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114</v>
      </c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115</v>
      </c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169"/>
      <c r="I26" s="170"/>
      <c r="J26" s="17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>
        <f>F34*G34</f>
        <v>0</v>
      </c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ref="H35:H39" si="2">F35*G35</f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>F36*G36</f>
        <v>0</v>
      </c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P43" s="4"/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P44" s="4"/>
      <c r="Q44" s="4"/>
      <c r="R44" s="5"/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91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132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3</v>
      </c>
      <c r="H4" s="196" t="s">
        <v>9</v>
      </c>
      <c r="I4" s="198">
        <v>45997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202" t="s">
        <v>16</v>
      </c>
      <c r="G6" s="204" t="s">
        <v>111</v>
      </c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119</v>
      </c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135</v>
      </c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>
        <f>F34*G34</f>
        <v>0</v>
      </c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>F35*G35</f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ref="H36:H39" si="2">F36*G36</f>
        <v>0</v>
      </c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P43" s="4"/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P44" s="4"/>
      <c r="Q44" s="4"/>
      <c r="R44" s="5"/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140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2" t="s">
        <v>7</v>
      </c>
      <c r="B4" s="143"/>
      <c r="C4" s="143"/>
      <c r="D4" s="144"/>
      <c r="F4" s="192" t="s">
        <v>8</v>
      </c>
      <c r="G4" s="194"/>
      <c r="H4" s="196" t="s">
        <v>9</v>
      </c>
      <c r="I4" s="198"/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202" t="s">
        <v>16</v>
      </c>
      <c r="G6" s="204"/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210" t="s">
        <v>21</v>
      </c>
      <c r="G8" s="211"/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202" t="s">
        <v>26</v>
      </c>
      <c r="G10" s="217"/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/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/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/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/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/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/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P43" s="4"/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P44" s="4"/>
      <c r="Q44" s="4"/>
      <c r="R44" s="5"/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128</v>
      </c>
      <c r="G51" s="125">
        <f>G49-H29</f>
        <v>0</v>
      </c>
      <c r="H51" s="126"/>
      <c r="I51" s="126"/>
      <c r="J51" s="12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128"/>
      <c r="H52" s="129"/>
      <c r="I52" s="129"/>
      <c r="J52" s="1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1</v>
      </c>
      <c r="H4" s="196" t="s">
        <v>9</v>
      </c>
      <c r="I4" s="198">
        <v>45999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4"/>
      <c r="D6" s="13">
        <f t="shared" ref="D6:D28" si="1">C6*L6</f>
        <v>0</v>
      </c>
      <c r="F6" s="202" t="s">
        <v>16</v>
      </c>
      <c r="G6" s="204" t="s">
        <v>129</v>
      </c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4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4"/>
      <c r="D8" s="13">
        <f t="shared" si="1"/>
        <v>0</v>
      </c>
      <c r="F8" s="210" t="s">
        <v>21</v>
      </c>
      <c r="G8" s="211" t="s">
        <v>112</v>
      </c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4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4"/>
      <c r="D10" s="13">
        <f t="shared" si="1"/>
        <v>0</v>
      </c>
      <c r="F10" s="202" t="s">
        <v>26</v>
      </c>
      <c r="G10" s="217" t="s">
        <v>130</v>
      </c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4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4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4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4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4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138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4"/>
      <c r="D22" s="48">
        <f t="shared" si="1"/>
        <v>0</v>
      </c>
      <c r="F22" s="77"/>
      <c r="G22" s="73"/>
      <c r="H22" s="164"/>
      <c r="I22" s="164"/>
      <c r="J22" s="16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4"/>
      <c r="D23" s="48">
        <f t="shared" si="1"/>
        <v>0</v>
      </c>
      <c r="F23" s="77"/>
      <c r="G23" s="79"/>
      <c r="H23" s="230"/>
      <c r="I23" s="231"/>
      <c r="J23" s="23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4"/>
      <c r="D24" s="48">
        <f t="shared" si="1"/>
        <v>0</v>
      </c>
      <c r="F24" s="77"/>
      <c r="G24" s="79"/>
      <c r="H24" s="230"/>
      <c r="I24" s="231"/>
      <c r="J24" s="23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137</v>
      </c>
      <c r="C26" s="84"/>
      <c r="D26" s="48">
        <f t="shared" si="1"/>
        <v>0</v>
      </c>
      <c r="F26" s="75"/>
      <c r="G26" s="65"/>
      <c r="H26" s="134"/>
      <c r="I26" s="134"/>
      <c r="J26" s="13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4"/>
      <c r="D27" s="44">
        <f t="shared" si="1"/>
        <v>0</v>
      </c>
      <c r="F27" s="71"/>
      <c r="G27" s="90"/>
      <c r="H27" s="232"/>
      <c r="I27" s="233"/>
      <c r="J27" s="23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4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H15-H16-H17-H18-H19-H20-H22-H23-H24+H26+H27+H28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9">
        <f t="shared" ref="H34:H39" si="2">F34*G34</f>
        <v>0</v>
      </c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si="2"/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si="2"/>
        <v>0</v>
      </c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4"/>
      <c r="I46" s="134"/>
      <c r="J46" s="134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131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2</v>
      </c>
      <c r="H4" s="196" t="s">
        <v>9</v>
      </c>
      <c r="I4" s="198">
        <v>45999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202" t="s">
        <v>16</v>
      </c>
      <c r="G6" s="204" t="s">
        <v>141</v>
      </c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114</v>
      </c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115</v>
      </c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169"/>
      <c r="I26" s="170"/>
      <c r="J26" s="17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>
        <f>F34*G34</f>
        <v>0</v>
      </c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ref="H35:H39" si="2">F35*G35</f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>F36*G36</f>
        <v>0</v>
      </c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P43" s="4"/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P44" s="4"/>
      <c r="Q44" s="4"/>
      <c r="R44" s="5"/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91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132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3</v>
      </c>
      <c r="H4" s="196" t="s">
        <v>9</v>
      </c>
      <c r="I4" s="198">
        <v>45999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202" t="s">
        <v>16</v>
      </c>
      <c r="G6" s="204" t="s">
        <v>111</v>
      </c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119</v>
      </c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135</v>
      </c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>
        <f>F34*G34</f>
        <v>0</v>
      </c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>F35*G35</f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ref="H36:H39" si="2">F36*G36</f>
        <v>0</v>
      </c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P43" s="4"/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P44" s="4"/>
      <c r="Q44" s="4"/>
      <c r="R44" s="5"/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140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'(01)'!Print_Area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2025-12-02T00:09:05Z</cp:lastPrinted>
  <dcterms:created xsi:type="dcterms:W3CDTF">2024-09-01T23:36:50Z</dcterms:created>
  <dcterms:modified xsi:type="dcterms:W3CDTF">2025-12-02T00:14:35Z</dcterms:modified>
</cp:coreProperties>
</file>