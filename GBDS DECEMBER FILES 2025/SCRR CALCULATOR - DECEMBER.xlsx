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A0194B75-9C7E-491C-8119-E0183D6DB740}" xr6:coauthVersionLast="45" xr6:coauthVersionMax="47" xr10:uidLastSave="{00000000-0000-0000-0000-000000000000}"/>
  <bookViews>
    <workbookView xWindow="-120" yWindow="-120" windowWidth="29040" windowHeight="15840" firstSheet="24" activeTab="35" xr2:uid="{00000000-000D-0000-FFFF-FFFF00000000}"/>
  </bookViews>
  <sheets>
    <sheet name="(December 2025)" sheetId="814" r:id="rId1"/>
    <sheet name="(01)" sheetId="1536" r:id="rId2"/>
    <sheet name="01,12 R1" sheetId="1537" r:id="rId3"/>
    <sheet name="01,12 R2" sheetId="1538" r:id="rId4"/>
    <sheet name="01,12 R3" sheetId="1539" r:id="rId5"/>
    <sheet name="(2)" sheetId="1541" r:id="rId6"/>
    <sheet name="02,12 R1" sheetId="1542" r:id="rId7"/>
    <sheet name="02,12 R2" sheetId="1543" r:id="rId8"/>
    <sheet name="02,12 R3" sheetId="1544" r:id="rId9"/>
    <sheet name="(3)" sheetId="1545" r:id="rId10"/>
    <sheet name="03,12 R1" sheetId="1546" r:id="rId11"/>
    <sheet name="03,12 R2" sheetId="1547" r:id="rId12"/>
    <sheet name="03,12 R3" sheetId="1548" r:id="rId13"/>
    <sheet name="(4)" sheetId="1549" r:id="rId14"/>
    <sheet name="04,12 R1" sheetId="1550" r:id="rId15"/>
    <sheet name="04,12 R2" sheetId="1551" r:id="rId16"/>
    <sheet name="04,12 R3" sheetId="1552" r:id="rId17"/>
    <sheet name="(5)" sheetId="1553" r:id="rId18"/>
    <sheet name="05,12 R1" sheetId="1554" r:id="rId19"/>
    <sheet name="05,12 R2" sheetId="1555" r:id="rId20"/>
    <sheet name="05,12 R3" sheetId="1556" r:id="rId21"/>
    <sheet name="(6)" sheetId="1557" r:id="rId22"/>
    <sheet name="06,12 R1" sheetId="1558" r:id="rId23"/>
    <sheet name="06,12 R2" sheetId="1559" r:id="rId24"/>
    <sheet name="06,12 R3" sheetId="1560" r:id="rId25"/>
    <sheet name="(8)" sheetId="1561" r:id="rId26"/>
    <sheet name="08,12 R1" sheetId="1562" r:id="rId27"/>
    <sheet name="08,12 R2" sheetId="1563" r:id="rId28"/>
    <sheet name="08,12 R3" sheetId="1564" r:id="rId29"/>
    <sheet name="(9)" sheetId="1565" r:id="rId30"/>
    <sheet name="09,12 R1" sheetId="1566" r:id="rId31"/>
    <sheet name="09,12 R2" sheetId="1567" r:id="rId32"/>
    <sheet name="09,12 R3" sheetId="1568" r:id="rId33"/>
    <sheet name="(10)" sheetId="1569" r:id="rId34"/>
    <sheet name="10,12 R1 No Trip" sheetId="1570" r:id="rId35"/>
    <sheet name="10,12 R2" sheetId="1571" r:id="rId36"/>
    <sheet name="10,12 R3" sheetId="1572" r:id="rId37"/>
    <sheet name="(11)" sheetId="1573" r:id="rId38"/>
    <sheet name="11,12 R1" sheetId="1574" r:id="rId39"/>
    <sheet name="11,12 R2" sheetId="1575" r:id="rId40"/>
    <sheet name="11,12 R3" sheetId="1576" r:id="rId41"/>
    <sheet name="(12)" sheetId="1577" r:id="rId42"/>
    <sheet name="12,12 R1" sheetId="1578" r:id="rId43"/>
    <sheet name="12,12 R2" sheetId="1579" r:id="rId44"/>
    <sheet name="12,12 R3" sheetId="1580" r:id="rId45"/>
    <sheet name="(13)" sheetId="1581" r:id="rId46"/>
    <sheet name="13,12 R1" sheetId="1582" r:id="rId47"/>
    <sheet name="13,12 R2" sheetId="1583" r:id="rId48"/>
    <sheet name="13,12 R3" sheetId="1584" r:id="rId49"/>
    <sheet name="(15)" sheetId="1585" r:id="rId50"/>
    <sheet name="15,12 R1" sheetId="1586" r:id="rId51"/>
    <sheet name="15,12 R2" sheetId="1587" r:id="rId52"/>
    <sheet name="15,12 R3" sheetId="1588" r:id="rId53"/>
  </sheets>
  <definedNames>
    <definedName name="_xlnm.Print_Area" localSheetId="1">'(01)'!$A$1:$J$60</definedName>
    <definedName name="_xlnm.Print_Area" localSheetId="33">'(10)'!$A$1:$J$60</definedName>
    <definedName name="_xlnm.Print_Area" localSheetId="37">'(11)'!$A$1:$J$60</definedName>
    <definedName name="_xlnm.Print_Area" localSheetId="41">'(12)'!$A$1:$J$60</definedName>
    <definedName name="_xlnm.Print_Area" localSheetId="45">'(13)'!$A$1:$J$60</definedName>
    <definedName name="_xlnm.Print_Area" localSheetId="49">'(15)'!$A$1:$J$60</definedName>
    <definedName name="_xlnm.Print_Area" localSheetId="5">'(2)'!$A$1:$J$60</definedName>
    <definedName name="_xlnm.Print_Area" localSheetId="9">'(3)'!$A$1:$J$60</definedName>
    <definedName name="_xlnm.Print_Area" localSheetId="13">'(4)'!$A$1:$J$60</definedName>
    <definedName name="_xlnm.Print_Area" localSheetId="17">'(5)'!$A$1:$J$60</definedName>
    <definedName name="_xlnm.Print_Area" localSheetId="21">'(6)'!$A$1:$J$60</definedName>
    <definedName name="_xlnm.Print_Area" localSheetId="25">'(8)'!$A$1:$J$60</definedName>
    <definedName name="_xlnm.Print_Area" localSheetId="29">'(9)'!$A$1:$J$60</definedName>
    <definedName name="_xlnm.Print_Area" localSheetId="2">'01,12 R1'!$A$1:$J$60</definedName>
    <definedName name="_xlnm.Print_Area" localSheetId="3">'01,12 R2'!$A$1:$J$60</definedName>
    <definedName name="_xlnm.Print_Area" localSheetId="4">'01,12 R3'!$A$1:$J$60</definedName>
    <definedName name="_xlnm.Print_Area" localSheetId="6">'02,12 R1'!$A$1:$J$60</definedName>
    <definedName name="_xlnm.Print_Area" localSheetId="7">'02,12 R2'!$A$1:$J$60</definedName>
    <definedName name="_xlnm.Print_Area" localSheetId="8">'02,12 R3'!$A$1:$J$60</definedName>
    <definedName name="_xlnm.Print_Area" localSheetId="10">'03,12 R1'!$A$1:$J$60</definedName>
    <definedName name="_xlnm.Print_Area" localSheetId="11">'03,12 R2'!$A$1:$J$60</definedName>
    <definedName name="_xlnm.Print_Area" localSheetId="12">'03,12 R3'!$A$1:$J$60</definedName>
    <definedName name="_xlnm.Print_Area" localSheetId="14">'04,12 R1'!$A$1:$J$60</definedName>
    <definedName name="_xlnm.Print_Area" localSheetId="15">'04,12 R2'!$A$1:$J$60</definedName>
    <definedName name="_xlnm.Print_Area" localSheetId="16">'04,12 R3'!$A$1:$J$60</definedName>
    <definedName name="_xlnm.Print_Area" localSheetId="18">'05,12 R1'!$A$1:$J$60</definedName>
    <definedName name="_xlnm.Print_Area" localSheetId="19">'05,12 R2'!$A$1:$J$60</definedName>
    <definedName name="_xlnm.Print_Area" localSheetId="20">'05,12 R3'!$A$1:$J$60</definedName>
    <definedName name="_xlnm.Print_Area" localSheetId="22">'06,12 R1'!$A$1:$J$60</definedName>
    <definedName name="_xlnm.Print_Area" localSheetId="23">'06,12 R2'!$A$1:$J$60</definedName>
    <definedName name="_xlnm.Print_Area" localSheetId="24">'06,12 R3'!$A$1:$J$60</definedName>
    <definedName name="_xlnm.Print_Area" localSheetId="26">'08,12 R1'!$A$1:$J$60</definedName>
    <definedName name="_xlnm.Print_Area" localSheetId="27">'08,12 R2'!$A$1:$J$60</definedName>
    <definedName name="_xlnm.Print_Area" localSheetId="28">'08,12 R3'!$A$1:$J$60</definedName>
    <definedName name="_xlnm.Print_Area" localSheetId="30">'09,12 R1'!$A$1:$J$60</definedName>
    <definedName name="_xlnm.Print_Area" localSheetId="31">'09,12 R2'!$A$1:$J$60</definedName>
    <definedName name="_xlnm.Print_Area" localSheetId="32">'09,12 R3'!$A$1:$J$60</definedName>
    <definedName name="_xlnm.Print_Area" localSheetId="34">'10,12 R1 No Trip'!$A$1:$J$60</definedName>
    <definedName name="_xlnm.Print_Area" localSheetId="35">'10,12 R2'!$A$1:$J$60</definedName>
    <definedName name="_xlnm.Print_Area" localSheetId="36">'10,12 R3'!$A$1:$J$60</definedName>
    <definedName name="_xlnm.Print_Area" localSheetId="38">'11,12 R1'!$A$1:$J$60</definedName>
    <definedName name="_xlnm.Print_Area" localSheetId="39">'11,12 R2'!$A$1:$J$60</definedName>
    <definedName name="_xlnm.Print_Area" localSheetId="40">'11,12 R3'!$A$1:$J$60</definedName>
    <definedName name="_xlnm.Print_Area" localSheetId="42">'12,12 R1'!$A$1:$J$60</definedName>
    <definedName name="_xlnm.Print_Area" localSheetId="43">'12,12 R2'!$A$1:$J$60</definedName>
    <definedName name="_xlnm.Print_Area" localSheetId="44">'12,12 R3'!$A$1:$J$60</definedName>
    <definedName name="_xlnm.Print_Area" localSheetId="46">'13,12 R1'!$A$1:$J$60</definedName>
    <definedName name="_xlnm.Print_Area" localSheetId="47">'13,12 R2'!$A$1:$J$60</definedName>
    <definedName name="_xlnm.Print_Area" localSheetId="48">'13,12 R3'!$A$1:$J$60</definedName>
    <definedName name="_xlnm.Print_Area" localSheetId="50">'15,12 R1'!$A$1:$J$60</definedName>
    <definedName name="_xlnm.Print_Area" localSheetId="51">'15,12 R2'!$A$1:$J$60</definedName>
    <definedName name="_xlnm.Print_Area" localSheetId="52">'15,12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571" l="1"/>
  <c r="C12" i="1571"/>
  <c r="C12" i="1566" l="1"/>
  <c r="H16" i="1568"/>
  <c r="H16" i="1567"/>
  <c r="L25" i="1563" l="1"/>
  <c r="G49" i="1562"/>
  <c r="C12" i="1563" l="1"/>
  <c r="L25" i="1559" l="1"/>
  <c r="R52" i="1588" l="1"/>
  <c r="R51" i="1588"/>
  <c r="D50" i="1588"/>
  <c r="R49" i="1588"/>
  <c r="D49" i="1588"/>
  <c r="R48" i="1588"/>
  <c r="D48" i="1588"/>
  <c r="D46" i="1588"/>
  <c r="D45" i="1588"/>
  <c r="D44" i="1588"/>
  <c r="R42" i="1588"/>
  <c r="L6" i="1588" s="1"/>
  <c r="D6" i="1588" s="1"/>
  <c r="D42" i="1588"/>
  <c r="R41" i="1588"/>
  <c r="L7" i="1588" s="1"/>
  <c r="D7" i="1588" s="1"/>
  <c r="D41" i="1588"/>
  <c r="R40" i="1588"/>
  <c r="D40" i="1588"/>
  <c r="R39" i="1588"/>
  <c r="H39" i="1588"/>
  <c r="D39" i="1588"/>
  <c r="R38" i="1588"/>
  <c r="H38" i="1588"/>
  <c r="D38" i="1588"/>
  <c r="R37" i="1588"/>
  <c r="H37" i="1588"/>
  <c r="D37" i="1588"/>
  <c r="R36" i="1588"/>
  <c r="H36" i="1588"/>
  <c r="D36" i="1588"/>
  <c r="D54" i="1588" s="1"/>
  <c r="H14" i="1588" s="1"/>
  <c r="R35" i="1588"/>
  <c r="L19" i="1588" s="1"/>
  <c r="D19" i="1588" s="1"/>
  <c r="H35" i="1588"/>
  <c r="G49" i="1588" s="1"/>
  <c r="D35" i="1588"/>
  <c r="R34" i="1588"/>
  <c r="L12" i="1588" s="1"/>
  <c r="D12" i="1588" s="1"/>
  <c r="H34" i="1588"/>
  <c r="D34" i="1588"/>
  <c r="R33" i="1588"/>
  <c r="R32" i="1588"/>
  <c r="L11" i="1588" s="1"/>
  <c r="D11" i="1588" s="1"/>
  <c r="R31" i="1588"/>
  <c r="R30" i="1588"/>
  <c r="R29" i="1588"/>
  <c r="R28" i="1588"/>
  <c r="L16" i="1588" s="1"/>
  <c r="D16" i="1588" s="1"/>
  <c r="D28" i="1588"/>
  <c r="R27" i="1588"/>
  <c r="D27" i="1588"/>
  <c r="R26" i="1588"/>
  <c r="L26" i="1588"/>
  <c r="D26" i="1588"/>
  <c r="R25" i="1588"/>
  <c r="L25" i="1588"/>
  <c r="D25" i="1588" s="1"/>
  <c r="R24" i="1588"/>
  <c r="D24" i="1588"/>
  <c r="R23" i="1588"/>
  <c r="L23" i="1588"/>
  <c r="D23" i="1588" s="1"/>
  <c r="R22" i="1588"/>
  <c r="L22" i="1588"/>
  <c r="D22" i="1588"/>
  <c r="R21" i="1588"/>
  <c r="D21" i="1588"/>
  <c r="R20" i="1588"/>
  <c r="L20" i="1588"/>
  <c r="D20" i="1588"/>
  <c r="R19" i="1588"/>
  <c r="R18" i="1588"/>
  <c r="D18" i="1588"/>
  <c r="R17" i="1588"/>
  <c r="D17" i="1588"/>
  <c r="R16" i="1588"/>
  <c r="R15" i="1588"/>
  <c r="D15" i="1588"/>
  <c r="R14" i="1588"/>
  <c r="D14" i="1588"/>
  <c r="R13" i="1588"/>
  <c r="D13" i="1588"/>
  <c r="R12" i="1588"/>
  <c r="R11" i="1588"/>
  <c r="L10" i="1588"/>
  <c r="D10" i="1588"/>
  <c r="L9" i="1588"/>
  <c r="D9" i="1588"/>
  <c r="L8" i="1588"/>
  <c r="D8" i="1588" s="1"/>
  <c r="R6" i="1588"/>
  <c r="R5" i="1588"/>
  <c r="R4" i="1588"/>
  <c r="R52" i="1587"/>
  <c r="R51" i="1587"/>
  <c r="D50" i="1587"/>
  <c r="R49" i="1587"/>
  <c r="D49" i="1587"/>
  <c r="R48" i="1587"/>
  <c r="D48" i="1587"/>
  <c r="D46" i="1587"/>
  <c r="D45" i="1587"/>
  <c r="D44" i="1587"/>
  <c r="R42" i="1587"/>
  <c r="L6" i="1587" s="1"/>
  <c r="D6" i="1587" s="1"/>
  <c r="D29" i="1587" s="1"/>
  <c r="H13" i="1587" s="1"/>
  <c r="H15" i="1587" s="1"/>
  <c r="H29" i="1587" s="1"/>
  <c r="D42" i="1587"/>
  <c r="R41" i="1587"/>
  <c r="L7" i="1587" s="1"/>
  <c r="D7" i="1587" s="1"/>
  <c r="D41" i="1587"/>
  <c r="R40" i="1587"/>
  <c r="L8" i="1587" s="1"/>
  <c r="D8" i="1587" s="1"/>
  <c r="D40" i="1587"/>
  <c r="R39" i="1587"/>
  <c r="H39" i="1587"/>
  <c r="D39" i="1587"/>
  <c r="R38" i="1587"/>
  <c r="L9" i="1587" s="1"/>
  <c r="D9" i="1587" s="1"/>
  <c r="H38" i="1587"/>
  <c r="D38" i="1587"/>
  <c r="R37" i="1587"/>
  <c r="H37" i="1587"/>
  <c r="D37" i="1587"/>
  <c r="R36" i="1587"/>
  <c r="L10" i="1587" s="1"/>
  <c r="D10" i="1587" s="1"/>
  <c r="H36" i="1587"/>
  <c r="G49" i="1587" s="1"/>
  <c r="D36" i="1587"/>
  <c r="R35" i="1587"/>
  <c r="L19" i="1587" s="1"/>
  <c r="D19" i="1587" s="1"/>
  <c r="H35" i="1587"/>
  <c r="D35" i="1587"/>
  <c r="R34" i="1587"/>
  <c r="H34" i="1587"/>
  <c r="D34" i="1587"/>
  <c r="D54" i="1587" s="1"/>
  <c r="H14" i="1587" s="1"/>
  <c r="R33" i="1587"/>
  <c r="R32" i="1587"/>
  <c r="R31" i="1587"/>
  <c r="R30" i="1587"/>
  <c r="R29" i="1587"/>
  <c r="R28" i="1587"/>
  <c r="D28" i="1587"/>
  <c r="R27" i="1587"/>
  <c r="D27" i="1587"/>
  <c r="R26" i="1587"/>
  <c r="L26" i="1587"/>
  <c r="D26" i="1587" s="1"/>
  <c r="R25" i="1587"/>
  <c r="L25" i="1587"/>
  <c r="D25" i="1587" s="1"/>
  <c r="R24" i="1587"/>
  <c r="L24" i="1587"/>
  <c r="D24" i="1587" s="1"/>
  <c r="R23" i="1587"/>
  <c r="L23" i="1587"/>
  <c r="D23" i="1587"/>
  <c r="R22" i="1587"/>
  <c r="L22" i="1587"/>
  <c r="D22" i="1587" s="1"/>
  <c r="R21" i="1587"/>
  <c r="L17" i="1587" s="1"/>
  <c r="D17" i="1587" s="1"/>
  <c r="D21" i="1587"/>
  <c r="R20" i="1587"/>
  <c r="L20" i="1587"/>
  <c r="D20" i="1587" s="1"/>
  <c r="R19" i="1587"/>
  <c r="R18" i="1587"/>
  <c r="D18" i="1587"/>
  <c r="R17" i="1587"/>
  <c r="R16" i="1587"/>
  <c r="L16" i="1587"/>
  <c r="D16" i="1587" s="1"/>
  <c r="R15" i="1587"/>
  <c r="D15" i="1587"/>
  <c r="R14" i="1587"/>
  <c r="D14" i="1587"/>
  <c r="R13" i="1587"/>
  <c r="D13" i="1587"/>
  <c r="R12" i="1587"/>
  <c r="L12" i="1587"/>
  <c r="D12" i="1587" s="1"/>
  <c r="R11" i="1587"/>
  <c r="L11" i="1587"/>
  <c r="D11" i="1587"/>
  <c r="R6" i="1587"/>
  <c r="R5" i="1587"/>
  <c r="R4" i="1587"/>
  <c r="R52" i="1586"/>
  <c r="R51" i="1586"/>
  <c r="D50" i="1586"/>
  <c r="R49" i="1586"/>
  <c r="D49" i="1586"/>
  <c r="R48" i="1586"/>
  <c r="D48" i="1586"/>
  <c r="D46" i="1586"/>
  <c r="D45" i="1586"/>
  <c r="P44" i="1586"/>
  <c r="R44" i="1586" s="1"/>
  <c r="D44" i="1586"/>
  <c r="R42" i="1586"/>
  <c r="L6" i="1586" s="1"/>
  <c r="D6" i="1586" s="1"/>
  <c r="D42" i="1586"/>
  <c r="R41" i="1586"/>
  <c r="L7" i="1586" s="1"/>
  <c r="D7" i="1586" s="1"/>
  <c r="D41" i="1586"/>
  <c r="R40" i="1586"/>
  <c r="D40" i="1586"/>
  <c r="R39" i="1586"/>
  <c r="H39" i="1586"/>
  <c r="D39" i="1586"/>
  <c r="R38" i="1586"/>
  <c r="H38" i="1586"/>
  <c r="D38" i="1586"/>
  <c r="R37" i="1586"/>
  <c r="H37" i="1586"/>
  <c r="D37" i="1586"/>
  <c r="R36" i="1586"/>
  <c r="L10" i="1586" s="1"/>
  <c r="D10" i="1586" s="1"/>
  <c r="H36" i="1586"/>
  <c r="D36" i="1586"/>
  <c r="D54" i="1586" s="1"/>
  <c r="H14" i="1586" s="1"/>
  <c r="R35" i="1586"/>
  <c r="H35" i="1586"/>
  <c r="D35" i="1586"/>
  <c r="R34" i="1586"/>
  <c r="H34" i="1586"/>
  <c r="G49" i="1586" s="1"/>
  <c r="D34" i="1586"/>
  <c r="R33" i="1586"/>
  <c r="R32" i="1586"/>
  <c r="R31" i="1586"/>
  <c r="R30" i="1586"/>
  <c r="R29" i="1586"/>
  <c r="R28" i="1586"/>
  <c r="L16" i="1586" s="1"/>
  <c r="D16" i="1586" s="1"/>
  <c r="D28" i="1586"/>
  <c r="R27" i="1586"/>
  <c r="D27" i="1586"/>
  <c r="R26" i="1586"/>
  <c r="L26" i="1586"/>
  <c r="D26" i="1586"/>
  <c r="R25" i="1586"/>
  <c r="L25" i="1586"/>
  <c r="D25" i="1586"/>
  <c r="R24" i="1586"/>
  <c r="L24" i="1586"/>
  <c r="D24" i="1586"/>
  <c r="R23" i="1586"/>
  <c r="D23" i="1586"/>
  <c r="R22" i="1586"/>
  <c r="D22" i="1586"/>
  <c r="R21" i="1586"/>
  <c r="D21" i="1586"/>
  <c r="R20" i="1586"/>
  <c r="L20" i="1586"/>
  <c r="D20" i="1586" s="1"/>
  <c r="R19" i="1586"/>
  <c r="D19" i="1586"/>
  <c r="R18" i="1586"/>
  <c r="D18" i="1586"/>
  <c r="R17" i="1586"/>
  <c r="L17" i="1586"/>
  <c r="D17" i="1586"/>
  <c r="R16" i="1586"/>
  <c r="R15" i="1586"/>
  <c r="D15" i="1586"/>
  <c r="R14" i="1586"/>
  <c r="D14" i="1586"/>
  <c r="R13" i="1586"/>
  <c r="D13" i="1586"/>
  <c r="R12" i="1586"/>
  <c r="L12" i="1586"/>
  <c r="D12" i="1586" s="1"/>
  <c r="R11" i="1586"/>
  <c r="L11" i="1586"/>
  <c r="D11" i="1586"/>
  <c r="L9" i="1586"/>
  <c r="D9" i="1586" s="1"/>
  <c r="L8" i="1586"/>
  <c r="D8" i="1586" s="1"/>
  <c r="R6" i="1586"/>
  <c r="R5" i="1586"/>
  <c r="R4" i="1586"/>
  <c r="R52" i="1585"/>
  <c r="R51" i="1585"/>
  <c r="D50" i="1585"/>
  <c r="R49" i="1585"/>
  <c r="G49" i="1585"/>
  <c r="D49" i="1585"/>
  <c r="R48" i="1585"/>
  <c r="D48" i="1585"/>
  <c r="D46" i="1585"/>
  <c r="D45" i="1585"/>
  <c r="D44" i="1585"/>
  <c r="R42" i="1585"/>
  <c r="L6" i="1585" s="1"/>
  <c r="D6" i="1585" s="1"/>
  <c r="D42" i="1585"/>
  <c r="R41" i="1585"/>
  <c r="D41" i="1585"/>
  <c r="R40" i="1585"/>
  <c r="D40" i="1585"/>
  <c r="R39" i="1585"/>
  <c r="D39" i="1585"/>
  <c r="R38" i="1585"/>
  <c r="D38" i="1585"/>
  <c r="R37" i="1585"/>
  <c r="D37" i="1585"/>
  <c r="R36" i="1585"/>
  <c r="L10" i="1585" s="1"/>
  <c r="D10" i="1585" s="1"/>
  <c r="D36" i="1585"/>
  <c r="R35" i="1585"/>
  <c r="L19" i="1585" s="1"/>
  <c r="D19" i="1585" s="1"/>
  <c r="D35" i="1585"/>
  <c r="R34" i="1585"/>
  <c r="L12" i="1585" s="1"/>
  <c r="D12" i="1585" s="1"/>
  <c r="D34" i="1585"/>
  <c r="D54" i="1585" s="1"/>
  <c r="H14" i="1585" s="1"/>
  <c r="R33" i="1585"/>
  <c r="L23" i="1585" s="1"/>
  <c r="D23" i="1585" s="1"/>
  <c r="R32" i="1585"/>
  <c r="R31" i="1585"/>
  <c r="R30" i="1585"/>
  <c r="R29" i="1585"/>
  <c r="R28" i="1585"/>
  <c r="L16" i="1585" s="1"/>
  <c r="D16" i="1585" s="1"/>
  <c r="D28" i="1585"/>
  <c r="R27" i="1585"/>
  <c r="D27" i="1585"/>
  <c r="R26" i="1585"/>
  <c r="L26" i="1585"/>
  <c r="D26" i="1585" s="1"/>
  <c r="R25" i="1585"/>
  <c r="L25" i="1585"/>
  <c r="D25" i="1585" s="1"/>
  <c r="R24" i="1585"/>
  <c r="D24" i="1585"/>
  <c r="R23" i="1585"/>
  <c r="R22" i="1585"/>
  <c r="L22" i="1585"/>
  <c r="D22" i="1585" s="1"/>
  <c r="R21" i="1585"/>
  <c r="D21" i="1585"/>
  <c r="R20" i="1585"/>
  <c r="L20" i="1585"/>
  <c r="D20" i="1585" s="1"/>
  <c r="R19" i="1585"/>
  <c r="R18" i="1585"/>
  <c r="D18" i="1585"/>
  <c r="R17" i="1585"/>
  <c r="D17" i="1585"/>
  <c r="R16" i="1585"/>
  <c r="S15" i="1585"/>
  <c r="R15" i="1585"/>
  <c r="D15" i="1585"/>
  <c r="S14" i="1585"/>
  <c r="R14" i="1585"/>
  <c r="D14" i="1585"/>
  <c r="R13" i="1585"/>
  <c r="D13" i="1585"/>
  <c r="R12" i="1585"/>
  <c r="R11" i="1585"/>
  <c r="L11" i="1585"/>
  <c r="D11" i="1585" s="1"/>
  <c r="L9" i="1585"/>
  <c r="D9" i="1585"/>
  <c r="L8" i="1585"/>
  <c r="D8" i="1585"/>
  <c r="L7" i="1585"/>
  <c r="D7" i="1585" s="1"/>
  <c r="R6" i="1585"/>
  <c r="R5" i="1585"/>
  <c r="R4" i="1585"/>
  <c r="R52" i="1584"/>
  <c r="R51" i="1584"/>
  <c r="D50" i="1584"/>
  <c r="R49" i="1584"/>
  <c r="D49" i="1584"/>
  <c r="R48" i="1584"/>
  <c r="D48" i="1584"/>
  <c r="D46" i="1584"/>
  <c r="D45" i="1584"/>
  <c r="D44" i="1584"/>
  <c r="R42" i="1584"/>
  <c r="L6" i="1584" s="1"/>
  <c r="D6" i="1584" s="1"/>
  <c r="D42" i="1584"/>
  <c r="R41" i="1584"/>
  <c r="L7" i="1584" s="1"/>
  <c r="D7" i="1584" s="1"/>
  <c r="D41" i="1584"/>
  <c r="R40" i="1584"/>
  <c r="D40" i="1584"/>
  <c r="R39" i="1584"/>
  <c r="H39" i="1584"/>
  <c r="D39" i="1584"/>
  <c r="R38" i="1584"/>
  <c r="H38" i="1584"/>
  <c r="D38" i="1584"/>
  <c r="R37" i="1584"/>
  <c r="H37" i="1584"/>
  <c r="D37" i="1584"/>
  <c r="R36" i="1584"/>
  <c r="H36" i="1584"/>
  <c r="D36" i="1584"/>
  <c r="R35" i="1584"/>
  <c r="L19" i="1584" s="1"/>
  <c r="D19" i="1584" s="1"/>
  <c r="H35" i="1584"/>
  <c r="G49" i="1584" s="1"/>
  <c r="D35" i="1584"/>
  <c r="D54" i="1584" s="1"/>
  <c r="H14" i="1584" s="1"/>
  <c r="R34" i="1584"/>
  <c r="H34" i="1584"/>
  <c r="D34" i="1584"/>
  <c r="R33" i="1584"/>
  <c r="R32" i="1584"/>
  <c r="R31" i="1584"/>
  <c r="R30" i="1584"/>
  <c r="R29" i="1584"/>
  <c r="R28" i="1584"/>
  <c r="L16" i="1584" s="1"/>
  <c r="D16" i="1584" s="1"/>
  <c r="D28" i="1584"/>
  <c r="R27" i="1584"/>
  <c r="D27" i="1584"/>
  <c r="R26" i="1584"/>
  <c r="L26" i="1584"/>
  <c r="D26" i="1584" s="1"/>
  <c r="R25" i="1584"/>
  <c r="L25" i="1584"/>
  <c r="D25" i="1584" s="1"/>
  <c r="R24" i="1584"/>
  <c r="D24" i="1584"/>
  <c r="R23" i="1584"/>
  <c r="L23" i="1584"/>
  <c r="D23" i="1584"/>
  <c r="R22" i="1584"/>
  <c r="L22" i="1584"/>
  <c r="D22" i="1584"/>
  <c r="R21" i="1584"/>
  <c r="D21" i="1584"/>
  <c r="R20" i="1584"/>
  <c r="L20" i="1584"/>
  <c r="D20" i="1584" s="1"/>
  <c r="R19" i="1584"/>
  <c r="R18" i="1584"/>
  <c r="D18" i="1584"/>
  <c r="R17" i="1584"/>
  <c r="D17" i="1584"/>
  <c r="R16" i="1584"/>
  <c r="R15" i="1584"/>
  <c r="D15" i="1584"/>
  <c r="R14" i="1584"/>
  <c r="D14" i="1584"/>
  <c r="R13" i="1584"/>
  <c r="D13" i="1584"/>
  <c r="R12" i="1584"/>
  <c r="L12" i="1584"/>
  <c r="D12" i="1584" s="1"/>
  <c r="R11" i="1584"/>
  <c r="L11" i="1584"/>
  <c r="D11" i="1584" s="1"/>
  <c r="L10" i="1584"/>
  <c r="D10" i="1584"/>
  <c r="L9" i="1584"/>
  <c r="D9" i="1584"/>
  <c r="L8" i="1584"/>
  <c r="D8" i="1584"/>
  <c r="R6" i="1584"/>
  <c r="R5" i="1584"/>
  <c r="R4" i="1584"/>
  <c r="R52" i="1583"/>
  <c r="R51" i="1583"/>
  <c r="D50" i="1583"/>
  <c r="R49" i="1583"/>
  <c r="D49" i="1583"/>
  <c r="R48" i="1583"/>
  <c r="D48" i="1583"/>
  <c r="D46" i="1583"/>
  <c r="D45" i="1583"/>
  <c r="D44" i="1583"/>
  <c r="R42" i="1583"/>
  <c r="L6" i="1583" s="1"/>
  <c r="D6" i="1583" s="1"/>
  <c r="D29" i="1583" s="1"/>
  <c r="H13" i="1583" s="1"/>
  <c r="D42" i="1583"/>
  <c r="R41" i="1583"/>
  <c r="D41" i="1583"/>
  <c r="R40" i="1583"/>
  <c r="D40" i="1583"/>
  <c r="R39" i="1583"/>
  <c r="H39" i="1583"/>
  <c r="D39" i="1583"/>
  <c r="R38" i="1583"/>
  <c r="H38" i="1583"/>
  <c r="D38" i="1583"/>
  <c r="R37" i="1583"/>
  <c r="H37" i="1583"/>
  <c r="D37" i="1583"/>
  <c r="R36" i="1583"/>
  <c r="H36" i="1583"/>
  <c r="D36" i="1583"/>
  <c r="R35" i="1583"/>
  <c r="H35" i="1583"/>
  <c r="D35" i="1583"/>
  <c r="R34" i="1583"/>
  <c r="L12" i="1583" s="1"/>
  <c r="D12" i="1583" s="1"/>
  <c r="H34" i="1583"/>
  <c r="G49" i="1583" s="1"/>
  <c r="D34" i="1583"/>
  <c r="D54" i="1583" s="1"/>
  <c r="H14" i="1583" s="1"/>
  <c r="R33" i="1583"/>
  <c r="L23" i="1583" s="1"/>
  <c r="D23" i="1583" s="1"/>
  <c r="R32" i="1583"/>
  <c r="R31" i="1583"/>
  <c r="R30" i="1583"/>
  <c r="R29" i="1583"/>
  <c r="R28" i="1583"/>
  <c r="D28" i="1583"/>
  <c r="R27" i="1583"/>
  <c r="D27" i="1583"/>
  <c r="R26" i="1583"/>
  <c r="L26" i="1583"/>
  <c r="D26" i="1583"/>
  <c r="R25" i="1583"/>
  <c r="L25" i="1583"/>
  <c r="D25" i="1583"/>
  <c r="R24" i="1583"/>
  <c r="L24" i="1583"/>
  <c r="D24" i="1583" s="1"/>
  <c r="R23" i="1583"/>
  <c r="R22" i="1583"/>
  <c r="L22" i="1583"/>
  <c r="D22" i="1583"/>
  <c r="R21" i="1583"/>
  <c r="D21" i="1583"/>
  <c r="R20" i="1583"/>
  <c r="L20" i="1583"/>
  <c r="D20" i="1583" s="1"/>
  <c r="R19" i="1583"/>
  <c r="L19" i="1583"/>
  <c r="D19" i="1583" s="1"/>
  <c r="R18" i="1583"/>
  <c r="D18" i="1583"/>
  <c r="R17" i="1583"/>
  <c r="L17" i="1583"/>
  <c r="D17" i="1583"/>
  <c r="R16" i="1583"/>
  <c r="L16" i="1583"/>
  <c r="D16" i="1583"/>
  <c r="R15" i="1583"/>
  <c r="D15" i="1583"/>
  <c r="R14" i="1583"/>
  <c r="D14" i="1583"/>
  <c r="R13" i="1583"/>
  <c r="D13" i="1583"/>
  <c r="R12" i="1583"/>
  <c r="R11" i="1583"/>
  <c r="L11" i="1583"/>
  <c r="D11" i="1583" s="1"/>
  <c r="L10" i="1583"/>
  <c r="D10" i="1583"/>
  <c r="L9" i="1583"/>
  <c r="D9" i="1583"/>
  <c r="L8" i="1583"/>
  <c r="D8" i="1583" s="1"/>
  <c r="L7" i="1583"/>
  <c r="D7" i="1583"/>
  <c r="R6" i="1583"/>
  <c r="R5" i="1583"/>
  <c r="R4" i="1583"/>
  <c r="R52" i="1582"/>
  <c r="R51" i="1582"/>
  <c r="D50" i="1582"/>
  <c r="R49" i="1582"/>
  <c r="D49" i="1582"/>
  <c r="R48" i="1582"/>
  <c r="D48" i="1582"/>
  <c r="D46" i="1582"/>
  <c r="D45" i="1582"/>
  <c r="P44" i="1582"/>
  <c r="R44" i="1582" s="1"/>
  <c r="D44" i="1582"/>
  <c r="R42" i="1582"/>
  <c r="L6" i="1582" s="1"/>
  <c r="D6" i="1582" s="1"/>
  <c r="D42" i="1582"/>
  <c r="R41" i="1582"/>
  <c r="L7" i="1582" s="1"/>
  <c r="D7" i="1582" s="1"/>
  <c r="D41" i="1582"/>
  <c r="R40" i="1582"/>
  <c r="D40" i="1582"/>
  <c r="R39" i="1582"/>
  <c r="L20" i="1582" s="1"/>
  <c r="D20" i="1582" s="1"/>
  <c r="H39" i="1582"/>
  <c r="D39" i="1582"/>
  <c r="R38" i="1582"/>
  <c r="H38" i="1582"/>
  <c r="D38" i="1582"/>
  <c r="R37" i="1582"/>
  <c r="H37" i="1582"/>
  <c r="D37" i="1582"/>
  <c r="R36" i="1582"/>
  <c r="L10" i="1582" s="1"/>
  <c r="D10" i="1582" s="1"/>
  <c r="H36" i="1582"/>
  <c r="D36" i="1582"/>
  <c r="D54" i="1582" s="1"/>
  <c r="H14" i="1582" s="1"/>
  <c r="R35" i="1582"/>
  <c r="H35" i="1582"/>
  <c r="D35" i="1582"/>
  <c r="R34" i="1582"/>
  <c r="H34" i="1582"/>
  <c r="G49" i="1582" s="1"/>
  <c r="D34" i="1582"/>
  <c r="R33" i="1582"/>
  <c r="R32" i="1582"/>
  <c r="R31" i="1582"/>
  <c r="R30" i="1582"/>
  <c r="R29" i="1582"/>
  <c r="R28" i="1582"/>
  <c r="L16" i="1582" s="1"/>
  <c r="D16" i="1582" s="1"/>
  <c r="D28" i="1582"/>
  <c r="R27" i="1582"/>
  <c r="D27" i="1582"/>
  <c r="R26" i="1582"/>
  <c r="L26" i="1582"/>
  <c r="D26" i="1582"/>
  <c r="R25" i="1582"/>
  <c r="L25" i="1582"/>
  <c r="D25" i="1582"/>
  <c r="R24" i="1582"/>
  <c r="L24" i="1582"/>
  <c r="D24" i="1582"/>
  <c r="R23" i="1582"/>
  <c r="D23" i="1582"/>
  <c r="R22" i="1582"/>
  <c r="D22" i="1582"/>
  <c r="R21" i="1582"/>
  <c r="D21" i="1582"/>
  <c r="R20" i="1582"/>
  <c r="R19" i="1582"/>
  <c r="D19" i="1582"/>
  <c r="R18" i="1582"/>
  <c r="D18" i="1582"/>
  <c r="R17" i="1582"/>
  <c r="L17" i="1582"/>
  <c r="D17" i="1582"/>
  <c r="R16" i="1582"/>
  <c r="R15" i="1582"/>
  <c r="D15" i="1582"/>
  <c r="R14" i="1582"/>
  <c r="D14" i="1582"/>
  <c r="R13" i="1582"/>
  <c r="D13" i="1582"/>
  <c r="R12" i="1582"/>
  <c r="L12" i="1582"/>
  <c r="D12" i="1582" s="1"/>
  <c r="R11" i="1582"/>
  <c r="L11" i="1582"/>
  <c r="D11" i="1582" s="1"/>
  <c r="L9" i="1582"/>
  <c r="D9" i="1582" s="1"/>
  <c r="L8" i="1582"/>
  <c r="D8" i="1582" s="1"/>
  <c r="R6" i="1582"/>
  <c r="R5" i="1582"/>
  <c r="R4" i="1582"/>
  <c r="R52" i="1581"/>
  <c r="R51" i="1581"/>
  <c r="D50" i="1581"/>
  <c r="R49" i="1581"/>
  <c r="G49" i="1581"/>
  <c r="D49" i="1581"/>
  <c r="R48" i="1581"/>
  <c r="D48" i="1581"/>
  <c r="D46" i="1581"/>
  <c r="D45" i="1581"/>
  <c r="D44" i="1581"/>
  <c r="R42" i="1581"/>
  <c r="D42" i="1581"/>
  <c r="R41" i="1581"/>
  <c r="L7" i="1581" s="1"/>
  <c r="D7" i="1581" s="1"/>
  <c r="D41" i="1581"/>
  <c r="R40" i="1581"/>
  <c r="L8" i="1581" s="1"/>
  <c r="D8" i="1581" s="1"/>
  <c r="D40" i="1581"/>
  <c r="R39" i="1581"/>
  <c r="D39" i="1581"/>
  <c r="R38" i="1581"/>
  <c r="L9" i="1581" s="1"/>
  <c r="D9" i="1581" s="1"/>
  <c r="D38" i="1581"/>
  <c r="R37" i="1581"/>
  <c r="D37" i="1581"/>
  <c r="R36" i="1581"/>
  <c r="L10" i="1581" s="1"/>
  <c r="D10" i="1581" s="1"/>
  <c r="D36" i="1581"/>
  <c r="R35" i="1581"/>
  <c r="L19" i="1581" s="1"/>
  <c r="D19" i="1581" s="1"/>
  <c r="D35" i="1581"/>
  <c r="R34" i="1581"/>
  <c r="L12" i="1581" s="1"/>
  <c r="D12" i="1581" s="1"/>
  <c r="D34" i="1581"/>
  <c r="D54" i="1581" s="1"/>
  <c r="H14" i="1581" s="1"/>
  <c r="R33" i="1581"/>
  <c r="L23" i="1581" s="1"/>
  <c r="D23" i="1581" s="1"/>
  <c r="R32" i="1581"/>
  <c r="R31" i="1581"/>
  <c r="R30" i="1581"/>
  <c r="R29" i="1581"/>
  <c r="R28" i="1581"/>
  <c r="D28" i="1581"/>
  <c r="R27" i="1581"/>
  <c r="D27" i="1581"/>
  <c r="R26" i="1581"/>
  <c r="L26" i="1581"/>
  <c r="D26" i="1581" s="1"/>
  <c r="R25" i="1581"/>
  <c r="L25" i="1581"/>
  <c r="D25" i="1581"/>
  <c r="R24" i="1581"/>
  <c r="D24" i="1581"/>
  <c r="R23" i="1581"/>
  <c r="R22" i="1581"/>
  <c r="L22" i="1581"/>
  <c r="D22" i="1581"/>
  <c r="R21" i="1581"/>
  <c r="D21" i="1581"/>
  <c r="R20" i="1581"/>
  <c r="L20" i="1581"/>
  <c r="D20" i="1581" s="1"/>
  <c r="R19" i="1581"/>
  <c r="R18" i="1581"/>
  <c r="D18" i="1581"/>
  <c r="R17" i="1581"/>
  <c r="D17" i="1581"/>
  <c r="R16" i="1581"/>
  <c r="L16" i="1581"/>
  <c r="D16" i="1581" s="1"/>
  <c r="S15" i="1581"/>
  <c r="R15" i="1581"/>
  <c r="D15" i="1581"/>
  <c r="S14" i="1581"/>
  <c r="R14" i="1581"/>
  <c r="D14" i="1581"/>
  <c r="R13" i="1581"/>
  <c r="D13" i="1581"/>
  <c r="R12" i="1581"/>
  <c r="R11" i="1581"/>
  <c r="L11" i="1581"/>
  <c r="D11" i="1581"/>
  <c r="R6" i="1581"/>
  <c r="L6" i="1581"/>
  <c r="D6" i="1581" s="1"/>
  <c r="R5" i="1581"/>
  <c r="R4" i="1581"/>
  <c r="R52" i="1580"/>
  <c r="R51" i="1580"/>
  <c r="D50" i="1580"/>
  <c r="R49" i="1580"/>
  <c r="D49" i="1580"/>
  <c r="R48" i="1580"/>
  <c r="D48" i="1580"/>
  <c r="D46" i="1580"/>
  <c r="D45" i="1580"/>
  <c r="D44" i="1580"/>
  <c r="R42" i="1580"/>
  <c r="D42" i="1580"/>
  <c r="R41" i="1580"/>
  <c r="D41" i="1580"/>
  <c r="R40" i="1580"/>
  <c r="D40" i="1580"/>
  <c r="R39" i="1580"/>
  <c r="H39" i="1580"/>
  <c r="D39" i="1580"/>
  <c r="R38" i="1580"/>
  <c r="H38" i="1580"/>
  <c r="D38" i="1580"/>
  <c r="R37" i="1580"/>
  <c r="H37" i="1580"/>
  <c r="D37" i="1580"/>
  <c r="R36" i="1580"/>
  <c r="H36" i="1580"/>
  <c r="D36" i="1580"/>
  <c r="R35" i="1580"/>
  <c r="H35" i="1580"/>
  <c r="D35" i="1580"/>
  <c r="R34" i="1580"/>
  <c r="L12" i="1580" s="1"/>
  <c r="D12" i="1580" s="1"/>
  <c r="H34" i="1580"/>
  <c r="G49" i="1580" s="1"/>
  <c r="D34" i="1580"/>
  <c r="D54" i="1580" s="1"/>
  <c r="H14" i="1580" s="1"/>
  <c r="R33" i="1580"/>
  <c r="R32" i="1580"/>
  <c r="R31" i="1580"/>
  <c r="R30" i="1580"/>
  <c r="R29" i="1580"/>
  <c r="R28" i="1580"/>
  <c r="L16" i="1580" s="1"/>
  <c r="D16" i="1580" s="1"/>
  <c r="D28" i="1580"/>
  <c r="R27" i="1580"/>
  <c r="D27" i="1580"/>
  <c r="R26" i="1580"/>
  <c r="L26" i="1580"/>
  <c r="D26" i="1580" s="1"/>
  <c r="R25" i="1580"/>
  <c r="L25" i="1580"/>
  <c r="D25" i="1580" s="1"/>
  <c r="R24" i="1580"/>
  <c r="D24" i="1580"/>
  <c r="R23" i="1580"/>
  <c r="L23" i="1580"/>
  <c r="D23" i="1580" s="1"/>
  <c r="R22" i="1580"/>
  <c r="L22" i="1580"/>
  <c r="D22" i="1580"/>
  <c r="R21" i="1580"/>
  <c r="D21" i="1580"/>
  <c r="R20" i="1580"/>
  <c r="L20" i="1580"/>
  <c r="D20" i="1580" s="1"/>
  <c r="R19" i="1580"/>
  <c r="L19" i="1580"/>
  <c r="D19" i="1580" s="1"/>
  <c r="R18" i="1580"/>
  <c r="D18" i="1580"/>
  <c r="R17" i="1580"/>
  <c r="D17" i="1580"/>
  <c r="R16" i="1580"/>
  <c r="R15" i="1580"/>
  <c r="D15" i="1580"/>
  <c r="R14" i="1580"/>
  <c r="D14" i="1580"/>
  <c r="R13" i="1580"/>
  <c r="D13" i="1580"/>
  <c r="R12" i="1580"/>
  <c r="R11" i="1580"/>
  <c r="L11" i="1580"/>
  <c r="D11" i="1580" s="1"/>
  <c r="L10" i="1580"/>
  <c r="D10" i="1580"/>
  <c r="L9" i="1580"/>
  <c r="D9" i="1580"/>
  <c r="L8" i="1580"/>
  <c r="D8" i="1580"/>
  <c r="L7" i="1580"/>
  <c r="D7" i="1580" s="1"/>
  <c r="R6" i="1580"/>
  <c r="L6" i="1580"/>
  <c r="D6" i="1580" s="1"/>
  <c r="R5" i="1580"/>
  <c r="R4" i="1580"/>
  <c r="R52" i="1579"/>
  <c r="R51" i="1579"/>
  <c r="D50" i="1579"/>
  <c r="R49" i="1579"/>
  <c r="D49" i="1579"/>
  <c r="R48" i="1579"/>
  <c r="D48" i="1579"/>
  <c r="D46" i="1579"/>
  <c r="D45" i="1579"/>
  <c r="D44" i="1579"/>
  <c r="R42" i="1579"/>
  <c r="D42" i="1579"/>
  <c r="R41" i="1579"/>
  <c r="L7" i="1579" s="1"/>
  <c r="D7" i="1579" s="1"/>
  <c r="D41" i="1579"/>
  <c r="R40" i="1579"/>
  <c r="L8" i="1579" s="1"/>
  <c r="D8" i="1579" s="1"/>
  <c r="D40" i="1579"/>
  <c r="R39" i="1579"/>
  <c r="L20" i="1579" s="1"/>
  <c r="D20" i="1579" s="1"/>
  <c r="H39" i="1579"/>
  <c r="D39" i="1579"/>
  <c r="R38" i="1579"/>
  <c r="L9" i="1579" s="1"/>
  <c r="D9" i="1579" s="1"/>
  <c r="H38" i="1579"/>
  <c r="G49" i="1579" s="1"/>
  <c r="D38" i="1579"/>
  <c r="R37" i="1579"/>
  <c r="H37" i="1579"/>
  <c r="D37" i="1579"/>
  <c r="R36" i="1579"/>
  <c r="H36" i="1579"/>
  <c r="D36" i="1579"/>
  <c r="R35" i="1579"/>
  <c r="H35" i="1579"/>
  <c r="D35" i="1579"/>
  <c r="D54" i="1579" s="1"/>
  <c r="H14" i="1579" s="1"/>
  <c r="R34" i="1579"/>
  <c r="L12" i="1579" s="1"/>
  <c r="D12" i="1579" s="1"/>
  <c r="H34" i="1579"/>
  <c r="D34" i="1579"/>
  <c r="R33" i="1579"/>
  <c r="L23" i="1579" s="1"/>
  <c r="D23" i="1579" s="1"/>
  <c r="R32" i="1579"/>
  <c r="L11" i="1579" s="1"/>
  <c r="D11" i="1579" s="1"/>
  <c r="R31" i="1579"/>
  <c r="R30" i="1579"/>
  <c r="R29" i="1579"/>
  <c r="R28" i="1579"/>
  <c r="L16" i="1579" s="1"/>
  <c r="D16" i="1579" s="1"/>
  <c r="D28" i="1579"/>
  <c r="R27" i="1579"/>
  <c r="D27" i="1579"/>
  <c r="R26" i="1579"/>
  <c r="L26" i="1579"/>
  <c r="D26" i="1579" s="1"/>
  <c r="R25" i="1579"/>
  <c r="L25" i="1579"/>
  <c r="D25" i="1579"/>
  <c r="R24" i="1579"/>
  <c r="L24" i="1579"/>
  <c r="D24" i="1579" s="1"/>
  <c r="R23" i="1579"/>
  <c r="R22" i="1579"/>
  <c r="L22" i="1579"/>
  <c r="D22" i="1579"/>
  <c r="R21" i="1579"/>
  <c r="L17" i="1579" s="1"/>
  <c r="D17" i="1579" s="1"/>
  <c r="D21" i="1579"/>
  <c r="R20" i="1579"/>
  <c r="R19" i="1579"/>
  <c r="L19" i="1579"/>
  <c r="D19" i="1579"/>
  <c r="R18" i="1579"/>
  <c r="D18" i="1579"/>
  <c r="R17" i="1579"/>
  <c r="R16" i="1579"/>
  <c r="R15" i="1579"/>
  <c r="D15" i="1579"/>
  <c r="R14" i="1579"/>
  <c r="D14" i="1579"/>
  <c r="R13" i="1579"/>
  <c r="D13" i="1579"/>
  <c r="R12" i="1579"/>
  <c r="R11" i="1579"/>
  <c r="L10" i="1579"/>
  <c r="D10" i="1579"/>
  <c r="R6" i="1579"/>
  <c r="L6" i="1579"/>
  <c r="D6" i="1579" s="1"/>
  <c r="R5" i="1579"/>
  <c r="R4" i="1579"/>
  <c r="R52" i="1578"/>
  <c r="R51" i="1578"/>
  <c r="D50" i="1578"/>
  <c r="R49" i="1578"/>
  <c r="D49" i="1578"/>
  <c r="R48" i="1578"/>
  <c r="D48" i="1578"/>
  <c r="D46" i="1578"/>
  <c r="D45" i="1578"/>
  <c r="R44" i="1578"/>
  <c r="P44" i="1578"/>
  <c r="D44" i="1578"/>
  <c r="R42" i="1578"/>
  <c r="L6" i="1578" s="1"/>
  <c r="D6" i="1578" s="1"/>
  <c r="D42" i="1578"/>
  <c r="R41" i="1578"/>
  <c r="D41" i="1578"/>
  <c r="R40" i="1578"/>
  <c r="L8" i="1578" s="1"/>
  <c r="D8" i="1578" s="1"/>
  <c r="D40" i="1578"/>
  <c r="R39" i="1578"/>
  <c r="H39" i="1578"/>
  <c r="D39" i="1578"/>
  <c r="R38" i="1578"/>
  <c r="L9" i="1578" s="1"/>
  <c r="D9" i="1578" s="1"/>
  <c r="H38" i="1578"/>
  <c r="D38" i="1578"/>
  <c r="R37" i="1578"/>
  <c r="H37" i="1578"/>
  <c r="D37" i="1578"/>
  <c r="R36" i="1578"/>
  <c r="H36" i="1578"/>
  <c r="D36" i="1578"/>
  <c r="R35" i="1578"/>
  <c r="H35" i="1578"/>
  <c r="D35" i="1578"/>
  <c r="D54" i="1578" s="1"/>
  <c r="H14" i="1578" s="1"/>
  <c r="R34" i="1578"/>
  <c r="H34" i="1578"/>
  <c r="G49" i="1578" s="1"/>
  <c r="D34" i="1578"/>
  <c r="R33" i="1578"/>
  <c r="R32" i="1578"/>
  <c r="L11" i="1578" s="1"/>
  <c r="D11" i="1578" s="1"/>
  <c r="R31" i="1578"/>
  <c r="R30" i="1578"/>
  <c r="R29" i="1578"/>
  <c r="R28" i="1578"/>
  <c r="D28" i="1578"/>
  <c r="R27" i="1578"/>
  <c r="D27" i="1578"/>
  <c r="R26" i="1578"/>
  <c r="L26" i="1578"/>
  <c r="D26" i="1578" s="1"/>
  <c r="R25" i="1578"/>
  <c r="L25" i="1578"/>
  <c r="D25" i="1578"/>
  <c r="R24" i="1578"/>
  <c r="L24" i="1578"/>
  <c r="D24" i="1578" s="1"/>
  <c r="R23" i="1578"/>
  <c r="D23" i="1578"/>
  <c r="R22" i="1578"/>
  <c r="D22" i="1578"/>
  <c r="R21" i="1578"/>
  <c r="D21" i="1578"/>
  <c r="R20" i="1578"/>
  <c r="L20" i="1578"/>
  <c r="D20" i="1578"/>
  <c r="R19" i="1578"/>
  <c r="D19" i="1578"/>
  <c r="R18" i="1578"/>
  <c r="D18" i="1578"/>
  <c r="R17" i="1578"/>
  <c r="L17" i="1578"/>
  <c r="D17" i="1578" s="1"/>
  <c r="R16" i="1578"/>
  <c r="L16" i="1578"/>
  <c r="D16" i="1578" s="1"/>
  <c r="R15" i="1578"/>
  <c r="D15" i="1578"/>
  <c r="R14" i="1578"/>
  <c r="D14" i="1578"/>
  <c r="R13" i="1578"/>
  <c r="D13" i="1578"/>
  <c r="R12" i="1578"/>
  <c r="L12" i="1578"/>
  <c r="D12" i="1578"/>
  <c r="R11" i="1578"/>
  <c r="L10" i="1578"/>
  <c r="D10" i="1578" s="1"/>
  <c r="L7" i="1578"/>
  <c r="D7" i="1578" s="1"/>
  <c r="R6" i="1578"/>
  <c r="R5" i="1578"/>
  <c r="R4" i="1578"/>
  <c r="R52" i="1577"/>
  <c r="R51" i="1577"/>
  <c r="D50" i="1577"/>
  <c r="R49" i="1577"/>
  <c r="G49" i="1577"/>
  <c r="D49" i="1577"/>
  <c r="R48" i="1577"/>
  <c r="D48" i="1577"/>
  <c r="D46" i="1577"/>
  <c r="D45" i="1577"/>
  <c r="D44" i="1577"/>
  <c r="R42" i="1577"/>
  <c r="L6" i="1577" s="1"/>
  <c r="D6" i="1577" s="1"/>
  <c r="D42" i="1577"/>
  <c r="R41" i="1577"/>
  <c r="L7" i="1577" s="1"/>
  <c r="D7" i="1577" s="1"/>
  <c r="D41" i="1577"/>
  <c r="R40" i="1577"/>
  <c r="D40" i="1577"/>
  <c r="R39" i="1577"/>
  <c r="D39" i="1577"/>
  <c r="R38" i="1577"/>
  <c r="L9" i="1577" s="1"/>
  <c r="D9" i="1577" s="1"/>
  <c r="D38" i="1577"/>
  <c r="R37" i="1577"/>
  <c r="D37" i="1577"/>
  <c r="R36" i="1577"/>
  <c r="L10" i="1577" s="1"/>
  <c r="D10" i="1577" s="1"/>
  <c r="D36" i="1577"/>
  <c r="R35" i="1577"/>
  <c r="L19" i="1577" s="1"/>
  <c r="D19" i="1577" s="1"/>
  <c r="D35" i="1577"/>
  <c r="R34" i="1577"/>
  <c r="L12" i="1577" s="1"/>
  <c r="D12" i="1577" s="1"/>
  <c r="D34" i="1577"/>
  <c r="D54" i="1577" s="1"/>
  <c r="H14" i="1577" s="1"/>
  <c r="R33" i="1577"/>
  <c r="L23" i="1577" s="1"/>
  <c r="D23" i="1577" s="1"/>
  <c r="R32" i="1577"/>
  <c r="R31" i="1577"/>
  <c r="R30" i="1577"/>
  <c r="R29" i="1577"/>
  <c r="R28" i="1577"/>
  <c r="D28" i="1577"/>
  <c r="R27" i="1577"/>
  <c r="D27" i="1577"/>
  <c r="R26" i="1577"/>
  <c r="L26" i="1577"/>
  <c r="D26" i="1577"/>
  <c r="R25" i="1577"/>
  <c r="L25" i="1577"/>
  <c r="D25" i="1577"/>
  <c r="R24" i="1577"/>
  <c r="D24" i="1577"/>
  <c r="R23" i="1577"/>
  <c r="R22" i="1577"/>
  <c r="L22" i="1577"/>
  <c r="D22" i="1577"/>
  <c r="R21" i="1577"/>
  <c r="D21" i="1577"/>
  <c r="R20" i="1577"/>
  <c r="L20" i="1577"/>
  <c r="D20" i="1577"/>
  <c r="R19" i="1577"/>
  <c r="R18" i="1577"/>
  <c r="D18" i="1577"/>
  <c r="R17" i="1577"/>
  <c r="D17" i="1577"/>
  <c r="R16" i="1577"/>
  <c r="L16" i="1577"/>
  <c r="D16" i="1577" s="1"/>
  <c r="S15" i="1577"/>
  <c r="R15" i="1577"/>
  <c r="D15" i="1577"/>
  <c r="S14" i="1577"/>
  <c r="R14" i="1577"/>
  <c r="D14" i="1577"/>
  <c r="R13" i="1577"/>
  <c r="D13" i="1577"/>
  <c r="R12" i="1577"/>
  <c r="R11" i="1577"/>
  <c r="L11" i="1577"/>
  <c r="D11" i="1577"/>
  <c r="L8" i="1577"/>
  <c r="D8" i="1577"/>
  <c r="R6" i="1577"/>
  <c r="R5" i="1577"/>
  <c r="R4" i="1577"/>
  <c r="R52" i="1576"/>
  <c r="R51" i="1576"/>
  <c r="D50" i="1576"/>
  <c r="R49" i="1576"/>
  <c r="D49" i="1576"/>
  <c r="R48" i="1576"/>
  <c r="D48" i="1576"/>
  <c r="D46" i="1576"/>
  <c r="D45" i="1576"/>
  <c r="D44" i="1576"/>
  <c r="R42" i="1576"/>
  <c r="L6" i="1576" s="1"/>
  <c r="D6" i="1576" s="1"/>
  <c r="D42" i="1576"/>
  <c r="R41" i="1576"/>
  <c r="L7" i="1576" s="1"/>
  <c r="D7" i="1576" s="1"/>
  <c r="D41" i="1576"/>
  <c r="R40" i="1576"/>
  <c r="D40" i="1576"/>
  <c r="R39" i="1576"/>
  <c r="H39" i="1576"/>
  <c r="D39" i="1576"/>
  <c r="R38" i="1576"/>
  <c r="H38" i="1576"/>
  <c r="D38" i="1576"/>
  <c r="R37" i="1576"/>
  <c r="H37" i="1576"/>
  <c r="D37" i="1576"/>
  <c r="R36" i="1576"/>
  <c r="H36" i="1576"/>
  <c r="G49" i="1576" s="1"/>
  <c r="D36" i="1576"/>
  <c r="R35" i="1576"/>
  <c r="L19" i="1576" s="1"/>
  <c r="D19" i="1576" s="1"/>
  <c r="H35" i="1576"/>
  <c r="D35" i="1576"/>
  <c r="R34" i="1576"/>
  <c r="H34" i="1576"/>
  <c r="D34" i="1576"/>
  <c r="D54" i="1576" s="1"/>
  <c r="H14" i="1576" s="1"/>
  <c r="R33" i="1576"/>
  <c r="R32" i="1576"/>
  <c r="R31" i="1576"/>
  <c r="R30" i="1576"/>
  <c r="R29" i="1576"/>
  <c r="R28" i="1576"/>
  <c r="L16" i="1576" s="1"/>
  <c r="D16" i="1576" s="1"/>
  <c r="D28" i="1576"/>
  <c r="R27" i="1576"/>
  <c r="D27" i="1576"/>
  <c r="R26" i="1576"/>
  <c r="L26" i="1576"/>
  <c r="D26" i="1576"/>
  <c r="R25" i="1576"/>
  <c r="L25" i="1576"/>
  <c r="D25" i="1576"/>
  <c r="R24" i="1576"/>
  <c r="D24" i="1576"/>
  <c r="R23" i="1576"/>
  <c r="L23" i="1576"/>
  <c r="D23" i="1576" s="1"/>
  <c r="R22" i="1576"/>
  <c r="L22" i="1576"/>
  <c r="D22" i="1576"/>
  <c r="R21" i="1576"/>
  <c r="D21" i="1576"/>
  <c r="R20" i="1576"/>
  <c r="L20" i="1576"/>
  <c r="D20" i="1576"/>
  <c r="R19" i="1576"/>
  <c r="R18" i="1576"/>
  <c r="D18" i="1576"/>
  <c r="R17" i="1576"/>
  <c r="D17" i="1576"/>
  <c r="R16" i="1576"/>
  <c r="R15" i="1576"/>
  <c r="D15" i="1576"/>
  <c r="R14" i="1576"/>
  <c r="D14" i="1576"/>
  <c r="R13" i="1576"/>
  <c r="D13" i="1576"/>
  <c r="R12" i="1576"/>
  <c r="L12" i="1576"/>
  <c r="D12" i="1576"/>
  <c r="R11" i="1576"/>
  <c r="L11" i="1576"/>
  <c r="D11" i="1576" s="1"/>
  <c r="L10" i="1576"/>
  <c r="D10" i="1576"/>
  <c r="L9" i="1576"/>
  <c r="D9" i="1576"/>
  <c r="L8" i="1576"/>
  <c r="D8" i="1576" s="1"/>
  <c r="R6" i="1576"/>
  <c r="R5" i="1576"/>
  <c r="R4" i="1576"/>
  <c r="R52" i="1575"/>
  <c r="R51" i="1575"/>
  <c r="D50" i="1575"/>
  <c r="R49" i="1575"/>
  <c r="D49" i="1575"/>
  <c r="R48" i="1575"/>
  <c r="D48" i="1575"/>
  <c r="D46" i="1575"/>
  <c r="D45" i="1575"/>
  <c r="D44" i="1575"/>
  <c r="R42" i="1575"/>
  <c r="L6" i="1575" s="1"/>
  <c r="D6" i="1575" s="1"/>
  <c r="D42" i="1575"/>
  <c r="R41" i="1575"/>
  <c r="D41" i="1575"/>
  <c r="R40" i="1575"/>
  <c r="D40" i="1575"/>
  <c r="R39" i="1575"/>
  <c r="H39" i="1575"/>
  <c r="D39" i="1575"/>
  <c r="R38" i="1575"/>
  <c r="H38" i="1575"/>
  <c r="D38" i="1575"/>
  <c r="R37" i="1575"/>
  <c r="H37" i="1575"/>
  <c r="D37" i="1575"/>
  <c r="R36" i="1575"/>
  <c r="L10" i="1575" s="1"/>
  <c r="D10" i="1575" s="1"/>
  <c r="H36" i="1575"/>
  <c r="D36" i="1575"/>
  <c r="R35" i="1575"/>
  <c r="H35" i="1575"/>
  <c r="D35" i="1575"/>
  <c r="R34" i="1575"/>
  <c r="L12" i="1575" s="1"/>
  <c r="D12" i="1575" s="1"/>
  <c r="H34" i="1575"/>
  <c r="G49" i="1575" s="1"/>
  <c r="D34" i="1575"/>
  <c r="D54" i="1575" s="1"/>
  <c r="H14" i="1575" s="1"/>
  <c r="R33" i="1575"/>
  <c r="R32" i="1575"/>
  <c r="R31" i="1575"/>
  <c r="R30" i="1575"/>
  <c r="R29" i="1575"/>
  <c r="R28" i="1575"/>
  <c r="L16" i="1575" s="1"/>
  <c r="D16" i="1575" s="1"/>
  <c r="D28" i="1575"/>
  <c r="R27" i="1575"/>
  <c r="D27" i="1575"/>
  <c r="R26" i="1575"/>
  <c r="L26" i="1575"/>
  <c r="D26" i="1575"/>
  <c r="R25" i="1575"/>
  <c r="L25" i="1575"/>
  <c r="D25" i="1575" s="1"/>
  <c r="R24" i="1575"/>
  <c r="L24" i="1575"/>
  <c r="D24" i="1575"/>
  <c r="R23" i="1575"/>
  <c r="L23" i="1575"/>
  <c r="D23" i="1575" s="1"/>
  <c r="R22" i="1575"/>
  <c r="L22" i="1575"/>
  <c r="D22" i="1575"/>
  <c r="R21" i="1575"/>
  <c r="D21" i="1575"/>
  <c r="R20" i="1575"/>
  <c r="L20" i="1575"/>
  <c r="D20" i="1575"/>
  <c r="R19" i="1575"/>
  <c r="L19" i="1575"/>
  <c r="D19" i="1575" s="1"/>
  <c r="R18" i="1575"/>
  <c r="D18" i="1575"/>
  <c r="R17" i="1575"/>
  <c r="L17" i="1575"/>
  <c r="D17" i="1575" s="1"/>
  <c r="R16" i="1575"/>
  <c r="R15" i="1575"/>
  <c r="D15" i="1575"/>
  <c r="R14" i="1575"/>
  <c r="D14" i="1575"/>
  <c r="R13" i="1575"/>
  <c r="D13" i="1575"/>
  <c r="R12" i="1575"/>
  <c r="R11" i="1575"/>
  <c r="L11" i="1575"/>
  <c r="D11" i="1575" s="1"/>
  <c r="L9" i="1575"/>
  <c r="D9" i="1575"/>
  <c r="L8" i="1575"/>
  <c r="D8" i="1575"/>
  <c r="L7" i="1575"/>
  <c r="D7" i="1575" s="1"/>
  <c r="R6" i="1575"/>
  <c r="R5" i="1575"/>
  <c r="R4" i="1575"/>
  <c r="R52" i="1574"/>
  <c r="R51" i="1574"/>
  <c r="D50" i="1574"/>
  <c r="R49" i="1574"/>
  <c r="D49" i="1574"/>
  <c r="R48" i="1574"/>
  <c r="D48" i="1574"/>
  <c r="D46" i="1574"/>
  <c r="D45" i="1574"/>
  <c r="R44" i="1574"/>
  <c r="P44" i="1574"/>
  <c r="D44" i="1574"/>
  <c r="R42" i="1574"/>
  <c r="L6" i="1574" s="1"/>
  <c r="D6" i="1574" s="1"/>
  <c r="D42" i="1574"/>
  <c r="R41" i="1574"/>
  <c r="D41" i="1574"/>
  <c r="R40" i="1574"/>
  <c r="L8" i="1574" s="1"/>
  <c r="D8" i="1574" s="1"/>
  <c r="D40" i="1574"/>
  <c r="R39" i="1574"/>
  <c r="H39" i="1574"/>
  <c r="D39" i="1574"/>
  <c r="R38" i="1574"/>
  <c r="H38" i="1574"/>
  <c r="D38" i="1574"/>
  <c r="R37" i="1574"/>
  <c r="H37" i="1574"/>
  <c r="D37" i="1574"/>
  <c r="R36" i="1574"/>
  <c r="L10" i="1574" s="1"/>
  <c r="D10" i="1574" s="1"/>
  <c r="H36" i="1574"/>
  <c r="D36" i="1574"/>
  <c r="R35" i="1574"/>
  <c r="H35" i="1574"/>
  <c r="G49" i="1574" s="1"/>
  <c r="D35" i="1574"/>
  <c r="D54" i="1574" s="1"/>
  <c r="H14" i="1574" s="1"/>
  <c r="R34" i="1574"/>
  <c r="L12" i="1574" s="1"/>
  <c r="D12" i="1574" s="1"/>
  <c r="H34" i="1574"/>
  <c r="D34" i="1574"/>
  <c r="R33" i="1574"/>
  <c r="R32" i="1574"/>
  <c r="R31" i="1574"/>
  <c r="R30" i="1574"/>
  <c r="R29" i="1574"/>
  <c r="R28" i="1574"/>
  <c r="L16" i="1574" s="1"/>
  <c r="D16" i="1574" s="1"/>
  <c r="D28" i="1574"/>
  <c r="R27" i="1574"/>
  <c r="D27" i="1574"/>
  <c r="R26" i="1574"/>
  <c r="L26" i="1574"/>
  <c r="D26" i="1574"/>
  <c r="R25" i="1574"/>
  <c r="L25" i="1574"/>
  <c r="D25" i="1574" s="1"/>
  <c r="R24" i="1574"/>
  <c r="L24" i="1574"/>
  <c r="D24" i="1574"/>
  <c r="R23" i="1574"/>
  <c r="D23" i="1574"/>
  <c r="R22" i="1574"/>
  <c r="D22" i="1574"/>
  <c r="R21" i="1574"/>
  <c r="D21" i="1574"/>
  <c r="R20" i="1574"/>
  <c r="L20" i="1574"/>
  <c r="D20" i="1574"/>
  <c r="R19" i="1574"/>
  <c r="D19" i="1574"/>
  <c r="R18" i="1574"/>
  <c r="D18" i="1574"/>
  <c r="R17" i="1574"/>
  <c r="L17" i="1574"/>
  <c r="D17" i="1574"/>
  <c r="R16" i="1574"/>
  <c r="R15" i="1574"/>
  <c r="D15" i="1574"/>
  <c r="R14" i="1574"/>
  <c r="D14" i="1574"/>
  <c r="R13" i="1574"/>
  <c r="D13" i="1574"/>
  <c r="R12" i="1574"/>
  <c r="R11" i="1574"/>
  <c r="L11" i="1574"/>
  <c r="D11" i="1574" s="1"/>
  <c r="L9" i="1574"/>
  <c r="D9" i="1574"/>
  <c r="L7" i="1574"/>
  <c r="D7" i="1574"/>
  <c r="R6" i="1574"/>
  <c r="R5" i="1574"/>
  <c r="R4" i="1574"/>
  <c r="R52" i="1573"/>
  <c r="R51" i="1573"/>
  <c r="D50" i="1573"/>
  <c r="R49" i="1573"/>
  <c r="G49" i="1573"/>
  <c r="D49" i="1573"/>
  <c r="R48" i="1573"/>
  <c r="D48" i="1573"/>
  <c r="D46" i="1573"/>
  <c r="D45" i="1573"/>
  <c r="D44" i="1573"/>
  <c r="R42" i="1573"/>
  <c r="L6" i="1573" s="1"/>
  <c r="D6" i="1573" s="1"/>
  <c r="D29" i="1573" s="1"/>
  <c r="H13" i="1573" s="1"/>
  <c r="D42" i="1573"/>
  <c r="R41" i="1573"/>
  <c r="L7" i="1573" s="1"/>
  <c r="D7" i="1573" s="1"/>
  <c r="D41" i="1573"/>
  <c r="R40" i="1573"/>
  <c r="D40" i="1573"/>
  <c r="R39" i="1573"/>
  <c r="D39" i="1573"/>
  <c r="R38" i="1573"/>
  <c r="L9" i="1573" s="1"/>
  <c r="D9" i="1573" s="1"/>
  <c r="D38" i="1573"/>
  <c r="R37" i="1573"/>
  <c r="D37" i="1573"/>
  <c r="R36" i="1573"/>
  <c r="L10" i="1573" s="1"/>
  <c r="D10" i="1573" s="1"/>
  <c r="D36" i="1573"/>
  <c r="R35" i="1573"/>
  <c r="D35" i="1573"/>
  <c r="R34" i="1573"/>
  <c r="L12" i="1573" s="1"/>
  <c r="D12" i="1573" s="1"/>
  <c r="D34" i="1573"/>
  <c r="D54" i="1573" s="1"/>
  <c r="H14" i="1573" s="1"/>
  <c r="R33" i="1573"/>
  <c r="L23" i="1573" s="1"/>
  <c r="D23" i="1573" s="1"/>
  <c r="R32" i="1573"/>
  <c r="R31" i="1573"/>
  <c r="R30" i="1573"/>
  <c r="R29" i="1573"/>
  <c r="R28" i="1573"/>
  <c r="L16" i="1573" s="1"/>
  <c r="D16" i="1573" s="1"/>
  <c r="D28" i="1573"/>
  <c r="R27" i="1573"/>
  <c r="D27" i="1573"/>
  <c r="R26" i="1573"/>
  <c r="L26" i="1573"/>
  <c r="D26" i="1573"/>
  <c r="R25" i="1573"/>
  <c r="L25" i="1573"/>
  <c r="D25" i="1573"/>
  <c r="R24" i="1573"/>
  <c r="D24" i="1573"/>
  <c r="R23" i="1573"/>
  <c r="R22" i="1573"/>
  <c r="L22" i="1573"/>
  <c r="D22" i="1573" s="1"/>
  <c r="R21" i="1573"/>
  <c r="D21" i="1573"/>
  <c r="R20" i="1573"/>
  <c r="L20" i="1573"/>
  <c r="D20" i="1573"/>
  <c r="R19" i="1573"/>
  <c r="L19" i="1573"/>
  <c r="D19" i="1573"/>
  <c r="R18" i="1573"/>
  <c r="D18" i="1573"/>
  <c r="R17" i="1573"/>
  <c r="D17" i="1573"/>
  <c r="R16" i="1573"/>
  <c r="S15" i="1573"/>
  <c r="R15" i="1573"/>
  <c r="D15" i="1573"/>
  <c r="S14" i="1573"/>
  <c r="R14" i="1573"/>
  <c r="D14" i="1573"/>
  <c r="R13" i="1573"/>
  <c r="D13" i="1573"/>
  <c r="R12" i="1573"/>
  <c r="R11" i="1573"/>
  <c r="L11" i="1573"/>
  <c r="D11" i="1573" s="1"/>
  <c r="L8" i="1573"/>
  <c r="D8" i="1573"/>
  <c r="R6" i="1573"/>
  <c r="R5" i="1573"/>
  <c r="R4" i="1573"/>
  <c r="R52" i="1572"/>
  <c r="R51" i="1572"/>
  <c r="D50" i="1572"/>
  <c r="R49" i="1572"/>
  <c r="D49" i="1572"/>
  <c r="R48" i="1572"/>
  <c r="D48" i="1572"/>
  <c r="D46" i="1572"/>
  <c r="D45" i="1572"/>
  <c r="D44" i="1572"/>
  <c r="R42" i="1572"/>
  <c r="L6" i="1572" s="1"/>
  <c r="D6" i="1572" s="1"/>
  <c r="D42" i="1572"/>
  <c r="R41" i="1572"/>
  <c r="D41" i="1572"/>
  <c r="R40" i="1572"/>
  <c r="L8" i="1572" s="1"/>
  <c r="D8" i="1572" s="1"/>
  <c r="D40" i="1572"/>
  <c r="R39" i="1572"/>
  <c r="H39" i="1572"/>
  <c r="D39" i="1572"/>
  <c r="R38" i="1572"/>
  <c r="H38" i="1572"/>
  <c r="D38" i="1572"/>
  <c r="R37" i="1572"/>
  <c r="H37" i="1572"/>
  <c r="D37" i="1572"/>
  <c r="R36" i="1572"/>
  <c r="L10" i="1572" s="1"/>
  <c r="D10" i="1572" s="1"/>
  <c r="H36" i="1572"/>
  <c r="D36" i="1572"/>
  <c r="R35" i="1572"/>
  <c r="L19" i="1572" s="1"/>
  <c r="D19" i="1572" s="1"/>
  <c r="H35" i="1572"/>
  <c r="D35" i="1572"/>
  <c r="R34" i="1572"/>
  <c r="L12" i="1572" s="1"/>
  <c r="D12" i="1572" s="1"/>
  <c r="H34" i="1572"/>
  <c r="D34" i="1572"/>
  <c r="R33" i="1572"/>
  <c r="R32" i="1572"/>
  <c r="R31" i="1572"/>
  <c r="R30" i="1572"/>
  <c r="R29" i="1572"/>
  <c r="R28" i="1572"/>
  <c r="L16" i="1572" s="1"/>
  <c r="D16" i="1572" s="1"/>
  <c r="D28" i="1572"/>
  <c r="R27" i="1572"/>
  <c r="D27" i="1572"/>
  <c r="R26" i="1572"/>
  <c r="L26" i="1572"/>
  <c r="D26" i="1572"/>
  <c r="R25" i="1572"/>
  <c r="L25" i="1572"/>
  <c r="D25" i="1572" s="1"/>
  <c r="R24" i="1572"/>
  <c r="D24" i="1572"/>
  <c r="R23" i="1572"/>
  <c r="L23" i="1572"/>
  <c r="D23" i="1572"/>
  <c r="R22" i="1572"/>
  <c r="L22" i="1572"/>
  <c r="D22" i="1572"/>
  <c r="R21" i="1572"/>
  <c r="D21" i="1572"/>
  <c r="R20" i="1572"/>
  <c r="L20" i="1572"/>
  <c r="D20" i="1572"/>
  <c r="R19" i="1572"/>
  <c r="R18" i="1572"/>
  <c r="D18" i="1572"/>
  <c r="R17" i="1572"/>
  <c r="D17" i="1572"/>
  <c r="R16" i="1572"/>
  <c r="R15" i="1572"/>
  <c r="D15" i="1572"/>
  <c r="R14" i="1572"/>
  <c r="D14" i="1572"/>
  <c r="R13" i="1572"/>
  <c r="D13" i="1572"/>
  <c r="R12" i="1572"/>
  <c r="R11" i="1572"/>
  <c r="L11" i="1572"/>
  <c r="D11" i="1572"/>
  <c r="L9" i="1572"/>
  <c r="D9" i="1572" s="1"/>
  <c r="L7" i="1572"/>
  <c r="D7" i="1572" s="1"/>
  <c r="R6" i="1572"/>
  <c r="R5" i="1572"/>
  <c r="R4" i="1572"/>
  <c r="R52" i="1571"/>
  <c r="R51" i="1571"/>
  <c r="D50" i="1571"/>
  <c r="R49" i="1571"/>
  <c r="D49" i="1571"/>
  <c r="R48" i="1571"/>
  <c r="D48" i="1571"/>
  <c r="D46" i="1571"/>
  <c r="D45" i="1571"/>
  <c r="D44" i="1571"/>
  <c r="R42" i="1571"/>
  <c r="L6" i="1571" s="1"/>
  <c r="D6" i="1571" s="1"/>
  <c r="D42" i="1571"/>
  <c r="R41" i="1571"/>
  <c r="L7" i="1571" s="1"/>
  <c r="D7" i="1571" s="1"/>
  <c r="D41" i="1571"/>
  <c r="R40" i="1571"/>
  <c r="D40" i="1571"/>
  <c r="R39" i="1571"/>
  <c r="H39" i="1571"/>
  <c r="D39" i="1571"/>
  <c r="R38" i="1571"/>
  <c r="H38" i="1571"/>
  <c r="D38" i="1571"/>
  <c r="R37" i="1571"/>
  <c r="H37" i="1571"/>
  <c r="D37" i="1571"/>
  <c r="R36" i="1571"/>
  <c r="H36" i="1571"/>
  <c r="D36" i="1571"/>
  <c r="R35" i="1571"/>
  <c r="L19" i="1571" s="1"/>
  <c r="D19" i="1571" s="1"/>
  <c r="H35" i="1571"/>
  <c r="D35" i="1571"/>
  <c r="R34" i="1571"/>
  <c r="L12" i="1571" s="1"/>
  <c r="D12" i="1571" s="1"/>
  <c r="H34" i="1571"/>
  <c r="G49" i="1571" s="1"/>
  <c r="D34" i="1571"/>
  <c r="R33" i="1571"/>
  <c r="R32" i="1571"/>
  <c r="R31" i="1571"/>
  <c r="R30" i="1571"/>
  <c r="R29" i="1571"/>
  <c r="R28" i="1571"/>
  <c r="D28" i="1571"/>
  <c r="R27" i="1571"/>
  <c r="D27" i="1571"/>
  <c r="R26" i="1571"/>
  <c r="L26" i="1571"/>
  <c r="D26" i="1571"/>
  <c r="R25" i="1571"/>
  <c r="L25" i="1571"/>
  <c r="D25" i="1571"/>
  <c r="R24" i="1571"/>
  <c r="L24" i="1571"/>
  <c r="D24" i="1571"/>
  <c r="R23" i="1571"/>
  <c r="L23" i="1571"/>
  <c r="D23" i="1571"/>
  <c r="R22" i="1571"/>
  <c r="L22" i="1571"/>
  <c r="D22" i="1571" s="1"/>
  <c r="R21" i="1571"/>
  <c r="L17" i="1571" s="1"/>
  <c r="D17" i="1571" s="1"/>
  <c r="D21" i="1571"/>
  <c r="R20" i="1571"/>
  <c r="L20" i="1571"/>
  <c r="D20" i="1571" s="1"/>
  <c r="R19" i="1571"/>
  <c r="R18" i="1571"/>
  <c r="D18" i="1571"/>
  <c r="R17" i="1571"/>
  <c r="R16" i="1571"/>
  <c r="L16" i="1571"/>
  <c r="D16" i="1571" s="1"/>
  <c r="R15" i="1571"/>
  <c r="D15" i="1571"/>
  <c r="R14" i="1571"/>
  <c r="D14" i="1571"/>
  <c r="R13" i="1571"/>
  <c r="D13" i="1571"/>
  <c r="R12" i="1571"/>
  <c r="R11" i="1571"/>
  <c r="L11" i="1571"/>
  <c r="D11" i="1571"/>
  <c r="L10" i="1571"/>
  <c r="D10" i="1571"/>
  <c r="L9" i="1571"/>
  <c r="D9" i="1571"/>
  <c r="L8" i="1571"/>
  <c r="D8" i="1571" s="1"/>
  <c r="R6" i="1571"/>
  <c r="R5" i="1571"/>
  <c r="R4" i="1571"/>
  <c r="R52" i="1570"/>
  <c r="R51" i="1570"/>
  <c r="D50" i="1570"/>
  <c r="R49" i="1570"/>
  <c r="D49" i="1570"/>
  <c r="R48" i="1570"/>
  <c r="D48" i="1570"/>
  <c r="D46" i="1570"/>
  <c r="D45" i="1570"/>
  <c r="P44" i="1570"/>
  <c r="R44" i="1570" s="1"/>
  <c r="D44" i="1570"/>
  <c r="R42" i="1570"/>
  <c r="D42" i="1570"/>
  <c r="R41" i="1570"/>
  <c r="D41" i="1570"/>
  <c r="R40" i="1570"/>
  <c r="L8" i="1570" s="1"/>
  <c r="D8" i="1570" s="1"/>
  <c r="D40" i="1570"/>
  <c r="R39" i="1570"/>
  <c r="H39" i="1570"/>
  <c r="D39" i="1570"/>
  <c r="R38" i="1570"/>
  <c r="H38" i="1570"/>
  <c r="D38" i="1570"/>
  <c r="R37" i="1570"/>
  <c r="H37" i="1570"/>
  <c r="D37" i="1570"/>
  <c r="R36" i="1570"/>
  <c r="H36" i="1570"/>
  <c r="D36" i="1570"/>
  <c r="R35" i="1570"/>
  <c r="H35" i="1570"/>
  <c r="G49" i="1570" s="1"/>
  <c r="D35" i="1570"/>
  <c r="D54" i="1570" s="1"/>
  <c r="H14" i="1570" s="1"/>
  <c r="R34" i="1570"/>
  <c r="L12" i="1570" s="1"/>
  <c r="D12" i="1570" s="1"/>
  <c r="H34" i="1570"/>
  <c r="D34" i="1570"/>
  <c r="R33" i="1570"/>
  <c r="R32" i="1570"/>
  <c r="R31" i="1570"/>
  <c r="R30" i="1570"/>
  <c r="R29" i="1570"/>
  <c r="R28" i="1570"/>
  <c r="D28" i="1570"/>
  <c r="R27" i="1570"/>
  <c r="D27" i="1570"/>
  <c r="R26" i="1570"/>
  <c r="L26" i="1570"/>
  <c r="D26" i="1570"/>
  <c r="R25" i="1570"/>
  <c r="L25" i="1570"/>
  <c r="D25" i="1570" s="1"/>
  <c r="R24" i="1570"/>
  <c r="L24" i="1570"/>
  <c r="D24" i="1570"/>
  <c r="R23" i="1570"/>
  <c r="D23" i="1570"/>
  <c r="R22" i="1570"/>
  <c r="D22" i="1570"/>
  <c r="R21" i="1570"/>
  <c r="D21" i="1570"/>
  <c r="R20" i="1570"/>
  <c r="L20" i="1570"/>
  <c r="D20" i="1570"/>
  <c r="R19" i="1570"/>
  <c r="D19" i="1570"/>
  <c r="R18" i="1570"/>
  <c r="D18" i="1570"/>
  <c r="R17" i="1570"/>
  <c r="L17" i="1570"/>
  <c r="D17" i="1570"/>
  <c r="R16" i="1570"/>
  <c r="L16" i="1570"/>
  <c r="D16" i="1570"/>
  <c r="R15" i="1570"/>
  <c r="D15" i="1570"/>
  <c r="R14" i="1570"/>
  <c r="D14" i="1570"/>
  <c r="R13" i="1570"/>
  <c r="D13" i="1570"/>
  <c r="R12" i="1570"/>
  <c r="R11" i="1570"/>
  <c r="L11" i="1570"/>
  <c r="D11" i="1570" s="1"/>
  <c r="L10" i="1570"/>
  <c r="D10" i="1570" s="1"/>
  <c r="L9" i="1570"/>
  <c r="D9" i="1570"/>
  <c r="L7" i="1570"/>
  <c r="D7" i="1570"/>
  <c r="R6" i="1570"/>
  <c r="L6" i="1570"/>
  <c r="D6" i="1570" s="1"/>
  <c r="R5" i="1570"/>
  <c r="R4" i="1570"/>
  <c r="R52" i="1569"/>
  <c r="R51" i="1569"/>
  <c r="D50" i="1569"/>
  <c r="R49" i="1569"/>
  <c r="G49" i="1569"/>
  <c r="D49" i="1569"/>
  <c r="R48" i="1569"/>
  <c r="D48" i="1569"/>
  <c r="D46" i="1569"/>
  <c r="D45" i="1569"/>
  <c r="D44" i="1569"/>
  <c r="R42" i="1569"/>
  <c r="L6" i="1569" s="1"/>
  <c r="D6" i="1569" s="1"/>
  <c r="D42" i="1569"/>
  <c r="R41" i="1569"/>
  <c r="L7" i="1569" s="1"/>
  <c r="D7" i="1569" s="1"/>
  <c r="D41" i="1569"/>
  <c r="R40" i="1569"/>
  <c r="D40" i="1569"/>
  <c r="R39" i="1569"/>
  <c r="D39" i="1569"/>
  <c r="R38" i="1569"/>
  <c r="D38" i="1569"/>
  <c r="R37" i="1569"/>
  <c r="D37" i="1569"/>
  <c r="R36" i="1569"/>
  <c r="L10" i="1569" s="1"/>
  <c r="D10" i="1569" s="1"/>
  <c r="D36" i="1569"/>
  <c r="R35" i="1569"/>
  <c r="D35" i="1569"/>
  <c r="R34" i="1569"/>
  <c r="L12" i="1569" s="1"/>
  <c r="D12" i="1569" s="1"/>
  <c r="D34" i="1569"/>
  <c r="D54" i="1569" s="1"/>
  <c r="H14" i="1569" s="1"/>
  <c r="R33" i="1569"/>
  <c r="L23" i="1569" s="1"/>
  <c r="D23" i="1569" s="1"/>
  <c r="R32" i="1569"/>
  <c r="R31" i="1569"/>
  <c r="R30" i="1569"/>
  <c r="R29" i="1569"/>
  <c r="R28" i="1569"/>
  <c r="L16" i="1569" s="1"/>
  <c r="D16" i="1569" s="1"/>
  <c r="D28" i="1569"/>
  <c r="R27" i="1569"/>
  <c r="D27" i="1569"/>
  <c r="R26" i="1569"/>
  <c r="L26" i="1569"/>
  <c r="D26" i="1569"/>
  <c r="R25" i="1569"/>
  <c r="L25" i="1569"/>
  <c r="D25" i="1569"/>
  <c r="R24" i="1569"/>
  <c r="D24" i="1569"/>
  <c r="R23" i="1569"/>
  <c r="R22" i="1569"/>
  <c r="L22" i="1569"/>
  <c r="D22" i="1569" s="1"/>
  <c r="R21" i="1569"/>
  <c r="D21" i="1569"/>
  <c r="R20" i="1569"/>
  <c r="L20" i="1569"/>
  <c r="D20" i="1569"/>
  <c r="R19" i="1569"/>
  <c r="L19" i="1569"/>
  <c r="D19" i="1569"/>
  <c r="R18" i="1569"/>
  <c r="D18" i="1569"/>
  <c r="R17" i="1569"/>
  <c r="D17" i="1569"/>
  <c r="R16" i="1569"/>
  <c r="S15" i="1569"/>
  <c r="R15" i="1569"/>
  <c r="D15" i="1569"/>
  <c r="S14" i="1569"/>
  <c r="R14" i="1569"/>
  <c r="D14" i="1569"/>
  <c r="R13" i="1569"/>
  <c r="D13" i="1569"/>
  <c r="R12" i="1569"/>
  <c r="R11" i="1569"/>
  <c r="L11" i="1569"/>
  <c r="D11" i="1569" s="1"/>
  <c r="L9" i="1569"/>
  <c r="D9" i="1569"/>
  <c r="L8" i="1569"/>
  <c r="D8" i="1569"/>
  <c r="R6" i="1569"/>
  <c r="R5" i="1569"/>
  <c r="R4" i="1569"/>
  <c r="R52" i="1568"/>
  <c r="R51" i="1568"/>
  <c r="D50" i="1568"/>
  <c r="R49" i="1568"/>
  <c r="G49" i="1568"/>
  <c r="D49" i="1568"/>
  <c r="R48" i="1568"/>
  <c r="D48" i="1568"/>
  <c r="D46" i="1568"/>
  <c r="D45" i="1568"/>
  <c r="D44" i="1568"/>
  <c r="R42" i="1568"/>
  <c r="L6" i="1568" s="1"/>
  <c r="D6" i="1568" s="1"/>
  <c r="D42" i="1568"/>
  <c r="R41" i="1568"/>
  <c r="L7" i="1568" s="1"/>
  <c r="D7" i="1568" s="1"/>
  <c r="D41" i="1568"/>
  <c r="R40" i="1568"/>
  <c r="L8" i="1568" s="1"/>
  <c r="D8" i="1568" s="1"/>
  <c r="D40" i="1568"/>
  <c r="R39" i="1568"/>
  <c r="H39" i="1568"/>
  <c r="D39" i="1568"/>
  <c r="R38" i="1568"/>
  <c r="L9" i="1568" s="1"/>
  <c r="D9" i="1568" s="1"/>
  <c r="H38" i="1568"/>
  <c r="D38" i="1568"/>
  <c r="R37" i="1568"/>
  <c r="H37" i="1568"/>
  <c r="D37" i="1568"/>
  <c r="R36" i="1568"/>
  <c r="H36" i="1568"/>
  <c r="D36" i="1568"/>
  <c r="R35" i="1568"/>
  <c r="L19" i="1568" s="1"/>
  <c r="D19" i="1568" s="1"/>
  <c r="H35" i="1568"/>
  <c r="D35" i="1568"/>
  <c r="R34" i="1568"/>
  <c r="H34" i="1568"/>
  <c r="D34" i="1568"/>
  <c r="R33" i="1568"/>
  <c r="L23" i="1568" s="1"/>
  <c r="D23" i="1568" s="1"/>
  <c r="R32" i="1568"/>
  <c r="L11" i="1568" s="1"/>
  <c r="D11" i="1568" s="1"/>
  <c r="R31" i="1568"/>
  <c r="R30" i="1568"/>
  <c r="R29" i="1568"/>
  <c r="R28" i="1568"/>
  <c r="L16" i="1568" s="1"/>
  <c r="D16" i="1568" s="1"/>
  <c r="D28" i="1568"/>
  <c r="R27" i="1568"/>
  <c r="D27" i="1568"/>
  <c r="R26" i="1568"/>
  <c r="L26" i="1568"/>
  <c r="D26" i="1568" s="1"/>
  <c r="R25" i="1568"/>
  <c r="L25" i="1568"/>
  <c r="D25" i="1568"/>
  <c r="R24" i="1568"/>
  <c r="D24" i="1568"/>
  <c r="R23" i="1568"/>
  <c r="R22" i="1568"/>
  <c r="L22" i="1568"/>
  <c r="D22" i="1568"/>
  <c r="R21" i="1568"/>
  <c r="D21" i="1568"/>
  <c r="R20" i="1568"/>
  <c r="L20" i="1568"/>
  <c r="D20" i="1568" s="1"/>
  <c r="R19" i="1568"/>
  <c r="R18" i="1568"/>
  <c r="D18" i="1568"/>
  <c r="R17" i="1568"/>
  <c r="D17" i="1568"/>
  <c r="R16" i="1568"/>
  <c r="R15" i="1568"/>
  <c r="D15" i="1568"/>
  <c r="R14" i="1568"/>
  <c r="D14" i="1568"/>
  <c r="R13" i="1568"/>
  <c r="D13" i="1568"/>
  <c r="R12" i="1568"/>
  <c r="L12" i="1568"/>
  <c r="D12" i="1568" s="1"/>
  <c r="R11" i="1568"/>
  <c r="L10" i="1568"/>
  <c r="D10" i="1568"/>
  <c r="R6" i="1568"/>
  <c r="R5" i="1568"/>
  <c r="R4" i="1568"/>
  <c r="R52" i="1567"/>
  <c r="R51" i="1567"/>
  <c r="D50" i="1567"/>
  <c r="R49" i="1567"/>
  <c r="D49" i="1567"/>
  <c r="R48" i="1567"/>
  <c r="D48" i="1567"/>
  <c r="D46" i="1567"/>
  <c r="D45" i="1567"/>
  <c r="D44" i="1567"/>
  <c r="R42" i="1567"/>
  <c r="D42" i="1567"/>
  <c r="R41" i="1567"/>
  <c r="L7" i="1567" s="1"/>
  <c r="D7" i="1567" s="1"/>
  <c r="D41" i="1567"/>
  <c r="R40" i="1567"/>
  <c r="D40" i="1567"/>
  <c r="R39" i="1567"/>
  <c r="L20" i="1567" s="1"/>
  <c r="D20" i="1567" s="1"/>
  <c r="H39" i="1567"/>
  <c r="D39" i="1567"/>
  <c r="R38" i="1567"/>
  <c r="H38" i="1567"/>
  <c r="D38" i="1567"/>
  <c r="R37" i="1567"/>
  <c r="H37" i="1567"/>
  <c r="D37" i="1567"/>
  <c r="R36" i="1567"/>
  <c r="L10" i="1567" s="1"/>
  <c r="D10" i="1567" s="1"/>
  <c r="H36" i="1567"/>
  <c r="D36" i="1567"/>
  <c r="R35" i="1567"/>
  <c r="L19" i="1567" s="1"/>
  <c r="D19" i="1567" s="1"/>
  <c r="H35" i="1567"/>
  <c r="D35" i="1567"/>
  <c r="R34" i="1567"/>
  <c r="L12" i="1567" s="1"/>
  <c r="D12" i="1567" s="1"/>
  <c r="H34" i="1567"/>
  <c r="G49" i="1567" s="1"/>
  <c r="D34" i="1567"/>
  <c r="R33" i="1567"/>
  <c r="L23" i="1567" s="1"/>
  <c r="D23" i="1567" s="1"/>
  <c r="R32" i="1567"/>
  <c r="R31" i="1567"/>
  <c r="R30" i="1567"/>
  <c r="R29" i="1567"/>
  <c r="R28" i="1567"/>
  <c r="D28" i="1567"/>
  <c r="R27" i="1567"/>
  <c r="D27" i="1567"/>
  <c r="R26" i="1567"/>
  <c r="L26" i="1567"/>
  <c r="D26" i="1567"/>
  <c r="R25" i="1567"/>
  <c r="L25" i="1567"/>
  <c r="D25" i="1567"/>
  <c r="R24" i="1567"/>
  <c r="L24" i="1567"/>
  <c r="D24" i="1567"/>
  <c r="R23" i="1567"/>
  <c r="R22" i="1567"/>
  <c r="L22" i="1567"/>
  <c r="D22" i="1567" s="1"/>
  <c r="R21" i="1567"/>
  <c r="L17" i="1567" s="1"/>
  <c r="D17" i="1567" s="1"/>
  <c r="D21" i="1567"/>
  <c r="R20" i="1567"/>
  <c r="R19" i="1567"/>
  <c r="R18" i="1567"/>
  <c r="D18" i="1567"/>
  <c r="R17" i="1567"/>
  <c r="R16" i="1567"/>
  <c r="L16" i="1567"/>
  <c r="D16" i="1567" s="1"/>
  <c r="R15" i="1567"/>
  <c r="D15" i="1567"/>
  <c r="R14" i="1567"/>
  <c r="D14" i="1567"/>
  <c r="R13" i="1567"/>
  <c r="D13" i="1567"/>
  <c r="R12" i="1567"/>
  <c r="R11" i="1567"/>
  <c r="L11" i="1567"/>
  <c r="D11" i="1567"/>
  <c r="L9" i="1567"/>
  <c r="D9" i="1567" s="1"/>
  <c r="L8" i="1567"/>
  <c r="D8" i="1567"/>
  <c r="R6" i="1567"/>
  <c r="L6" i="1567"/>
  <c r="D6" i="1567"/>
  <c r="R5" i="1567"/>
  <c r="R4" i="1567"/>
  <c r="R52" i="1566"/>
  <c r="R51" i="1566"/>
  <c r="D50" i="1566"/>
  <c r="R49" i="1566"/>
  <c r="D49" i="1566"/>
  <c r="R48" i="1566"/>
  <c r="D48" i="1566"/>
  <c r="D46" i="1566"/>
  <c r="D45" i="1566"/>
  <c r="P44" i="1566"/>
  <c r="R44" i="1566" s="1"/>
  <c r="D44" i="1566"/>
  <c r="R42" i="1566"/>
  <c r="L6" i="1566" s="1"/>
  <c r="D6" i="1566" s="1"/>
  <c r="D42" i="1566"/>
  <c r="R41" i="1566"/>
  <c r="L7" i="1566" s="1"/>
  <c r="D7" i="1566" s="1"/>
  <c r="D41" i="1566"/>
  <c r="R40" i="1566"/>
  <c r="D40" i="1566"/>
  <c r="R39" i="1566"/>
  <c r="H39" i="1566"/>
  <c r="D39" i="1566"/>
  <c r="R38" i="1566"/>
  <c r="H38" i="1566"/>
  <c r="D38" i="1566"/>
  <c r="R37" i="1566"/>
  <c r="H37" i="1566"/>
  <c r="D37" i="1566"/>
  <c r="R36" i="1566"/>
  <c r="H36" i="1566"/>
  <c r="D36" i="1566"/>
  <c r="R35" i="1566"/>
  <c r="H35" i="1566"/>
  <c r="D35" i="1566"/>
  <c r="R34" i="1566"/>
  <c r="H34" i="1566"/>
  <c r="D34" i="1566"/>
  <c r="R33" i="1566"/>
  <c r="R32" i="1566"/>
  <c r="R31" i="1566"/>
  <c r="R30" i="1566"/>
  <c r="R29" i="1566"/>
  <c r="R28" i="1566"/>
  <c r="L16" i="1566" s="1"/>
  <c r="D16" i="1566" s="1"/>
  <c r="D28" i="1566"/>
  <c r="R27" i="1566"/>
  <c r="D27" i="1566"/>
  <c r="R26" i="1566"/>
  <c r="L26" i="1566"/>
  <c r="D26" i="1566"/>
  <c r="R25" i="1566"/>
  <c r="L25" i="1566"/>
  <c r="D25" i="1566" s="1"/>
  <c r="R24" i="1566"/>
  <c r="L24" i="1566"/>
  <c r="D24" i="1566"/>
  <c r="R23" i="1566"/>
  <c r="D23" i="1566"/>
  <c r="R22" i="1566"/>
  <c r="D22" i="1566"/>
  <c r="R21" i="1566"/>
  <c r="D21" i="1566"/>
  <c r="R20" i="1566"/>
  <c r="L20" i="1566"/>
  <c r="D20" i="1566" s="1"/>
  <c r="R19" i="1566"/>
  <c r="D19" i="1566"/>
  <c r="R18" i="1566"/>
  <c r="D18" i="1566"/>
  <c r="R17" i="1566"/>
  <c r="L17" i="1566"/>
  <c r="D17" i="1566"/>
  <c r="R16" i="1566"/>
  <c r="R15" i="1566"/>
  <c r="D15" i="1566"/>
  <c r="R14" i="1566"/>
  <c r="D14" i="1566"/>
  <c r="R13" i="1566"/>
  <c r="D13" i="1566"/>
  <c r="R12" i="1566"/>
  <c r="L12" i="1566"/>
  <c r="D12" i="1566"/>
  <c r="R11" i="1566"/>
  <c r="L11" i="1566"/>
  <c r="D11" i="1566" s="1"/>
  <c r="L10" i="1566"/>
  <c r="D10" i="1566" s="1"/>
  <c r="L9" i="1566"/>
  <c r="D9" i="1566"/>
  <c r="L8" i="1566"/>
  <c r="D8" i="1566" s="1"/>
  <c r="R6" i="1566"/>
  <c r="R5" i="1566"/>
  <c r="R4" i="1566"/>
  <c r="R52" i="1565"/>
  <c r="R51" i="1565"/>
  <c r="D50" i="1565"/>
  <c r="R49" i="1565"/>
  <c r="G49" i="1565"/>
  <c r="D49" i="1565"/>
  <c r="R48" i="1565"/>
  <c r="D48" i="1565"/>
  <c r="D46" i="1565"/>
  <c r="D45" i="1565"/>
  <c r="D44" i="1565"/>
  <c r="R42" i="1565"/>
  <c r="L6" i="1565" s="1"/>
  <c r="D6" i="1565" s="1"/>
  <c r="D42" i="1565"/>
  <c r="R41" i="1565"/>
  <c r="D41" i="1565"/>
  <c r="R40" i="1565"/>
  <c r="D40" i="1565"/>
  <c r="R39" i="1565"/>
  <c r="D39" i="1565"/>
  <c r="R38" i="1565"/>
  <c r="D38" i="1565"/>
  <c r="R37" i="1565"/>
  <c r="D37" i="1565"/>
  <c r="R36" i="1565"/>
  <c r="L10" i="1565" s="1"/>
  <c r="D10" i="1565" s="1"/>
  <c r="D36" i="1565"/>
  <c r="R35" i="1565"/>
  <c r="L19" i="1565" s="1"/>
  <c r="D19" i="1565" s="1"/>
  <c r="D35" i="1565"/>
  <c r="D54" i="1565" s="1"/>
  <c r="H14" i="1565" s="1"/>
  <c r="R34" i="1565"/>
  <c r="L12" i="1565" s="1"/>
  <c r="D12" i="1565" s="1"/>
  <c r="D34" i="1565"/>
  <c r="R33" i="1565"/>
  <c r="R32" i="1565"/>
  <c r="R31" i="1565"/>
  <c r="R30" i="1565"/>
  <c r="R29" i="1565"/>
  <c r="R28" i="1565"/>
  <c r="L16" i="1565" s="1"/>
  <c r="D16" i="1565" s="1"/>
  <c r="D28" i="1565"/>
  <c r="R27" i="1565"/>
  <c r="D27" i="1565"/>
  <c r="R26" i="1565"/>
  <c r="L26" i="1565"/>
  <c r="D26" i="1565" s="1"/>
  <c r="R25" i="1565"/>
  <c r="L25" i="1565"/>
  <c r="D25" i="1565" s="1"/>
  <c r="R24" i="1565"/>
  <c r="D24" i="1565"/>
  <c r="R23" i="1565"/>
  <c r="L23" i="1565"/>
  <c r="D23" i="1565"/>
  <c r="R22" i="1565"/>
  <c r="L22" i="1565"/>
  <c r="D22" i="1565" s="1"/>
  <c r="R21" i="1565"/>
  <c r="D21" i="1565"/>
  <c r="R20" i="1565"/>
  <c r="L20" i="1565"/>
  <c r="D20" i="1565"/>
  <c r="R19" i="1565"/>
  <c r="R18" i="1565"/>
  <c r="D18" i="1565"/>
  <c r="R17" i="1565"/>
  <c r="D17" i="1565"/>
  <c r="R16" i="1565"/>
  <c r="S15" i="1565"/>
  <c r="R15" i="1565"/>
  <c r="D15" i="1565"/>
  <c r="S14" i="1565"/>
  <c r="R14" i="1565"/>
  <c r="D14" i="1565"/>
  <c r="R13" i="1565"/>
  <c r="D13" i="1565"/>
  <c r="R12" i="1565"/>
  <c r="R11" i="1565"/>
  <c r="L11" i="1565"/>
  <c r="D11" i="1565" s="1"/>
  <c r="L9" i="1565"/>
  <c r="D9" i="1565"/>
  <c r="L8" i="1565"/>
  <c r="D8" i="1565"/>
  <c r="L7" i="1565"/>
  <c r="D7" i="1565" s="1"/>
  <c r="R6" i="1565"/>
  <c r="R5" i="1565"/>
  <c r="R4" i="1565"/>
  <c r="G49" i="1572" l="1"/>
  <c r="D54" i="1572"/>
  <c r="H14" i="1572" s="1"/>
  <c r="D29" i="1572"/>
  <c r="H13" i="1572" s="1"/>
  <c r="D54" i="1571"/>
  <c r="H14" i="1571" s="1"/>
  <c r="D54" i="1568"/>
  <c r="H14" i="1568" s="1"/>
  <c r="D54" i="1567"/>
  <c r="H14" i="1567" s="1"/>
  <c r="D54" i="1566"/>
  <c r="H14" i="1566" s="1"/>
  <c r="G49" i="1566"/>
  <c r="D29" i="1588"/>
  <c r="H13" i="1588" s="1"/>
  <c r="H15" i="1588" s="1"/>
  <c r="H29" i="1588" s="1"/>
  <c r="G51" i="1588" s="1"/>
  <c r="G51" i="1587"/>
  <c r="D29" i="1586"/>
  <c r="H13" i="1586" s="1"/>
  <c r="H15" i="1586" s="1"/>
  <c r="H29" i="1586" s="1"/>
  <c r="G51" i="1586" s="1"/>
  <c r="D29" i="1585"/>
  <c r="H13" i="1585" s="1"/>
  <c r="H15" i="1585" s="1"/>
  <c r="H29" i="1585" s="1"/>
  <c r="G51" i="1585" s="1"/>
  <c r="D29" i="1584"/>
  <c r="H13" i="1584" s="1"/>
  <c r="H15" i="1584" s="1"/>
  <c r="H29" i="1584" s="1"/>
  <c r="G51" i="1584" s="1"/>
  <c r="H15" i="1583"/>
  <c r="H29" i="1583" s="1"/>
  <c r="G51" i="1583" s="1"/>
  <c r="D29" i="1582"/>
  <c r="H13" i="1582" s="1"/>
  <c r="H15" i="1582" s="1"/>
  <c r="H29" i="1582" s="1"/>
  <c r="G51" i="1582"/>
  <c r="D29" i="1581"/>
  <c r="H13" i="1581" s="1"/>
  <c r="H15" i="1581" s="1"/>
  <c r="H29" i="1581" s="1"/>
  <c r="G51" i="1581"/>
  <c r="D29" i="1580"/>
  <c r="H13" i="1580" s="1"/>
  <c r="H15" i="1580" s="1"/>
  <c r="H29" i="1580" s="1"/>
  <c r="G51" i="1580" s="1"/>
  <c r="D29" i="1579"/>
  <c r="H13" i="1579" s="1"/>
  <c r="H15" i="1579" s="1"/>
  <c r="H29" i="1579" s="1"/>
  <c r="G51" i="1579" s="1"/>
  <c r="D29" i="1578"/>
  <c r="H13" i="1578" s="1"/>
  <c r="H15" i="1578" s="1"/>
  <c r="H29" i="1578" s="1"/>
  <c r="G51" i="1578"/>
  <c r="D29" i="1577"/>
  <c r="H13" i="1577" s="1"/>
  <c r="H15" i="1577" s="1"/>
  <c r="H29" i="1577" s="1"/>
  <c r="G51" i="1577" s="1"/>
  <c r="D29" i="1576"/>
  <c r="H13" i="1576" s="1"/>
  <c r="H15" i="1576" s="1"/>
  <c r="H29" i="1576" s="1"/>
  <c r="G51" i="1576" s="1"/>
  <c r="D29" i="1575"/>
  <c r="H13" i="1575" s="1"/>
  <c r="H15" i="1575" s="1"/>
  <c r="H29" i="1575" s="1"/>
  <c r="G51" i="1575" s="1"/>
  <c r="G51" i="1574"/>
  <c r="D29" i="1574"/>
  <c r="H13" i="1574" s="1"/>
  <c r="H15" i="1574" s="1"/>
  <c r="H29" i="1574" s="1"/>
  <c r="H15" i="1573"/>
  <c r="H29" i="1573" s="1"/>
  <c r="G51" i="1573"/>
  <c r="D29" i="1571"/>
  <c r="H13" i="1571" s="1"/>
  <c r="G51" i="1570"/>
  <c r="D29" i="1570"/>
  <c r="H13" i="1570" s="1"/>
  <c r="H15" i="1570" s="1"/>
  <c r="H29" i="1570" s="1"/>
  <c r="D29" i="1569"/>
  <c r="H13" i="1569" s="1"/>
  <c r="H15" i="1569" s="1"/>
  <c r="H29" i="1569" s="1"/>
  <c r="G51" i="1569" s="1"/>
  <c r="D29" i="1568"/>
  <c r="H13" i="1568" s="1"/>
  <c r="D29" i="1567"/>
  <c r="H13" i="1567" s="1"/>
  <c r="D29" i="1566"/>
  <c r="H13" i="1566" s="1"/>
  <c r="D29" i="1565"/>
  <c r="H13" i="1565" s="1"/>
  <c r="H15" i="1565" s="1"/>
  <c r="H29" i="1565" s="1"/>
  <c r="G51" i="1565" s="1"/>
  <c r="H16" i="1560"/>
  <c r="H15" i="1572" l="1"/>
  <c r="H29" i="1572" s="1"/>
  <c r="G51" i="1572" s="1"/>
  <c r="H15" i="1571"/>
  <c r="H29" i="1571" s="1"/>
  <c r="G51" i="1571" s="1"/>
  <c r="H15" i="1568"/>
  <c r="H29" i="1568" s="1"/>
  <c r="G51" i="1568" s="1"/>
  <c r="H15" i="1567"/>
  <c r="H29" i="1567" s="1"/>
  <c r="G51" i="1567" s="1"/>
  <c r="H15" i="1566"/>
  <c r="H29" i="1566" s="1"/>
  <c r="G51" i="1566" s="1"/>
  <c r="H16" i="1556"/>
  <c r="H16" i="1554"/>
  <c r="C12" i="1556"/>
  <c r="L25" i="1555"/>
  <c r="H16" i="1552" l="1"/>
  <c r="H16" i="1551"/>
  <c r="C12" i="1552" l="1"/>
  <c r="L25" i="1551"/>
  <c r="C20" i="1551"/>
  <c r="C21" i="1551"/>
  <c r="L24" i="1550"/>
  <c r="G49" i="1548" l="1"/>
  <c r="H16" i="1548" l="1"/>
  <c r="H29" i="1548"/>
  <c r="H16" i="1547"/>
  <c r="C12" i="1548" l="1"/>
  <c r="C6" i="1547"/>
  <c r="C21" i="1546"/>
  <c r="C21" i="1543" l="1"/>
  <c r="C19" i="1542"/>
  <c r="C21" i="1542"/>
  <c r="H16" i="1544"/>
  <c r="H16" i="1543"/>
  <c r="H16" i="1539" l="1"/>
  <c r="L26" i="1537"/>
  <c r="L25" i="1537"/>
  <c r="C12" i="1537"/>
  <c r="C21" i="1537"/>
  <c r="R52" i="1564" l="1"/>
  <c r="R51" i="1564"/>
  <c r="D50" i="1564"/>
  <c r="R49" i="1564"/>
  <c r="D49" i="1564"/>
  <c r="R48" i="1564"/>
  <c r="D48" i="1564"/>
  <c r="D46" i="1564"/>
  <c r="D45" i="1564"/>
  <c r="D44" i="1564"/>
  <c r="R42" i="1564"/>
  <c r="D42" i="1564"/>
  <c r="R41" i="1564"/>
  <c r="L7" i="1564" s="1"/>
  <c r="D7" i="1564" s="1"/>
  <c r="D41" i="1564"/>
  <c r="R40" i="1564"/>
  <c r="L8" i="1564" s="1"/>
  <c r="D8" i="1564" s="1"/>
  <c r="D40" i="1564"/>
  <c r="R39" i="1564"/>
  <c r="H39" i="1564"/>
  <c r="D39" i="1564"/>
  <c r="R38" i="1564"/>
  <c r="H38" i="1564"/>
  <c r="D38" i="1564"/>
  <c r="R37" i="1564"/>
  <c r="H37" i="1564"/>
  <c r="D37" i="1564"/>
  <c r="R36" i="1564"/>
  <c r="L10" i="1564" s="1"/>
  <c r="D10" i="1564" s="1"/>
  <c r="H36" i="1564"/>
  <c r="D36" i="1564"/>
  <c r="R35" i="1564"/>
  <c r="L19" i="1564" s="1"/>
  <c r="D19" i="1564" s="1"/>
  <c r="H35" i="1564"/>
  <c r="D35" i="1564"/>
  <c r="R34" i="1564"/>
  <c r="H34" i="1564"/>
  <c r="D34" i="1564"/>
  <c r="R33" i="1564"/>
  <c r="L23" i="1564" s="1"/>
  <c r="D23" i="1564" s="1"/>
  <c r="R32" i="1564"/>
  <c r="R31" i="1564"/>
  <c r="R30" i="1564"/>
  <c r="R29" i="1564"/>
  <c r="R28" i="1564"/>
  <c r="L16" i="1564" s="1"/>
  <c r="D16" i="1564" s="1"/>
  <c r="D28" i="1564"/>
  <c r="R27" i="1564"/>
  <c r="D27" i="1564"/>
  <c r="R26" i="1564"/>
  <c r="L26" i="1564"/>
  <c r="D26" i="1564" s="1"/>
  <c r="R25" i="1564"/>
  <c r="L25" i="1564"/>
  <c r="D25" i="1564"/>
  <c r="R24" i="1564"/>
  <c r="D24" i="1564"/>
  <c r="R23" i="1564"/>
  <c r="R22" i="1564"/>
  <c r="L22" i="1564"/>
  <c r="D22" i="1564" s="1"/>
  <c r="R21" i="1564"/>
  <c r="D21" i="1564"/>
  <c r="R20" i="1564"/>
  <c r="L20" i="1564"/>
  <c r="D20" i="1564" s="1"/>
  <c r="R19" i="1564"/>
  <c r="R18" i="1564"/>
  <c r="D18" i="1564"/>
  <c r="R17" i="1564"/>
  <c r="D17" i="1564"/>
  <c r="R16" i="1564"/>
  <c r="R15" i="1564"/>
  <c r="D15" i="1564"/>
  <c r="R14" i="1564"/>
  <c r="D14" i="1564"/>
  <c r="R13" i="1564"/>
  <c r="D13" i="1564"/>
  <c r="R12" i="1564"/>
  <c r="L12" i="1564"/>
  <c r="D12" i="1564"/>
  <c r="R11" i="1564"/>
  <c r="L11" i="1564"/>
  <c r="D11" i="1564"/>
  <c r="L9" i="1564"/>
  <c r="D9" i="1564"/>
  <c r="R6" i="1564"/>
  <c r="L6" i="1564"/>
  <c r="D6" i="1564" s="1"/>
  <c r="R5" i="1564"/>
  <c r="R4" i="1564"/>
  <c r="R52" i="1563"/>
  <c r="R51" i="1563"/>
  <c r="D50" i="1563"/>
  <c r="R49" i="1563"/>
  <c r="D49" i="1563"/>
  <c r="R48" i="1563"/>
  <c r="D48" i="1563"/>
  <c r="D46" i="1563"/>
  <c r="D45" i="1563"/>
  <c r="D44" i="1563"/>
  <c r="R42" i="1563"/>
  <c r="L6" i="1563" s="1"/>
  <c r="D6" i="1563" s="1"/>
  <c r="D42" i="1563"/>
  <c r="R41" i="1563"/>
  <c r="L7" i="1563" s="1"/>
  <c r="D7" i="1563" s="1"/>
  <c r="D41" i="1563"/>
  <c r="R40" i="1563"/>
  <c r="D40" i="1563"/>
  <c r="R39" i="1563"/>
  <c r="L20" i="1563" s="1"/>
  <c r="D20" i="1563" s="1"/>
  <c r="H39" i="1563"/>
  <c r="D39" i="1563"/>
  <c r="R38" i="1563"/>
  <c r="H38" i="1563"/>
  <c r="D38" i="1563"/>
  <c r="R37" i="1563"/>
  <c r="H37" i="1563"/>
  <c r="D37" i="1563"/>
  <c r="R36" i="1563"/>
  <c r="H36" i="1563"/>
  <c r="D36" i="1563"/>
  <c r="R35" i="1563"/>
  <c r="L19" i="1563" s="1"/>
  <c r="D19" i="1563" s="1"/>
  <c r="H35" i="1563"/>
  <c r="D35" i="1563"/>
  <c r="R34" i="1563"/>
  <c r="L12" i="1563" s="1"/>
  <c r="D12" i="1563" s="1"/>
  <c r="H34" i="1563"/>
  <c r="D34" i="1563"/>
  <c r="R33" i="1563"/>
  <c r="R32" i="1563"/>
  <c r="R31" i="1563"/>
  <c r="R30" i="1563"/>
  <c r="R29" i="1563"/>
  <c r="R28" i="1563"/>
  <c r="D28" i="1563"/>
  <c r="R27" i="1563"/>
  <c r="D27" i="1563"/>
  <c r="R26" i="1563"/>
  <c r="L26" i="1563"/>
  <c r="D26" i="1563" s="1"/>
  <c r="R25" i="1563"/>
  <c r="D25" i="1563"/>
  <c r="R24" i="1563"/>
  <c r="L24" i="1563"/>
  <c r="D24" i="1563"/>
  <c r="R23" i="1563"/>
  <c r="L23" i="1563"/>
  <c r="D23" i="1563"/>
  <c r="R22" i="1563"/>
  <c r="L22" i="1563"/>
  <c r="D22" i="1563"/>
  <c r="R21" i="1563"/>
  <c r="L17" i="1563" s="1"/>
  <c r="D17" i="1563" s="1"/>
  <c r="D21" i="1563"/>
  <c r="R20" i="1563"/>
  <c r="R19" i="1563"/>
  <c r="R18" i="1563"/>
  <c r="D18" i="1563"/>
  <c r="R17" i="1563"/>
  <c r="R16" i="1563"/>
  <c r="L16" i="1563"/>
  <c r="D16" i="1563"/>
  <c r="R15" i="1563"/>
  <c r="D15" i="1563"/>
  <c r="R14" i="1563"/>
  <c r="D14" i="1563"/>
  <c r="R13" i="1563"/>
  <c r="D13" i="1563"/>
  <c r="R12" i="1563"/>
  <c r="R11" i="1563"/>
  <c r="L11" i="1563"/>
  <c r="D11" i="1563"/>
  <c r="L10" i="1563"/>
  <c r="D10" i="1563"/>
  <c r="L9" i="1563"/>
  <c r="D9" i="1563" s="1"/>
  <c r="L8" i="1563"/>
  <c r="D8" i="1563"/>
  <c r="R6" i="1563"/>
  <c r="R5" i="1563"/>
  <c r="R4" i="1563"/>
  <c r="R52" i="1562"/>
  <c r="R51" i="1562"/>
  <c r="D50" i="1562"/>
  <c r="R49" i="1562"/>
  <c r="D49" i="1562"/>
  <c r="R48" i="1562"/>
  <c r="D48" i="1562"/>
  <c r="D46" i="1562"/>
  <c r="D45" i="1562"/>
  <c r="P44" i="1562"/>
  <c r="R44" i="1562" s="1"/>
  <c r="D44" i="1562"/>
  <c r="R42" i="1562"/>
  <c r="L6" i="1562" s="1"/>
  <c r="D6" i="1562" s="1"/>
  <c r="D42" i="1562"/>
  <c r="R41" i="1562"/>
  <c r="D41" i="1562"/>
  <c r="R40" i="1562"/>
  <c r="L8" i="1562" s="1"/>
  <c r="D8" i="1562" s="1"/>
  <c r="D40" i="1562"/>
  <c r="R39" i="1562"/>
  <c r="H39" i="1562"/>
  <c r="D39" i="1562"/>
  <c r="R38" i="1562"/>
  <c r="H38" i="1562"/>
  <c r="D38" i="1562"/>
  <c r="R37" i="1562"/>
  <c r="H37" i="1562"/>
  <c r="D37" i="1562"/>
  <c r="R36" i="1562"/>
  <c r="H36" i="1562"/>
  <c r="D36" i="1562"/>
  <c r="R35" i="1562"/>
  <c r="H35" i="1562"/>
  <c r="D35" i="1562"/>
  <c r="R34" i="1562"/>
  <c r="H34" i="1562"/>
  <c r="D34" i="1562"/>
  <c r="R33" i="1562"/>
  <c r="R32" i="1562"/>
  <c r="R31" i="1562"/>
  <c r="R30" i="1562"/>
  <c r="R29" i="1562"/>
  <c r="R28" i="1562"/>
  <c r="D28" i="1562"/>
  <c r="R27" i="1562"/>
  <c r="D27" i="1562"/>
  <c r="R26" i="1562"/>
  <c r="L26" i="1562"/>
  <c r="D26" i="1562" s="1"/>
  <c r="R25" i="1562"/>
  <c r="L25" i="1562"/>
  <c r="D25" i="1562" s="1"/>
  <c r="R24" i="1562"/>
  <c r="L24" i="1562"/>
  <c r="D24" i="1562"/>
  <c r="R23" i="1562"/>
  <c r="D23" i="1562"/>
  <c r="R22" i="1562"/>
  <c r="D22" i="1562"/>
  <c r="R21" i="1562"/>
  <c r="D21" i="1562"/>
  <c r="R20" i="1562"/>
  <c r="L20" i="1562"/>
  <c r="D20" i="1562" s="1"/>
  <c r="R19" i="1562"/>
  <c r="D19" i="1562"/>
  <c r="R18" i="1562"/>
  <c r="D18" i="1562"/>
  <c r="R17" i="1562"/>
  <c r="L17" i="1562"/>
  <c r="D17" i="1562"/>
  <c r="R16" i="1562"/>
  <c r="L16" i="1562"/>
  <c r="D16" i="1562"/>
  <c r="R15" i="1562"/>
  <c r="D15" i="1562"/>
  <c r="R14" i="1562"/>
  <c r="D14" i="1562"/>
  <c r="R13" i="1562"/>
  <c r="D13" i="1562"/>
  <c r="R12" i="1562"/>
  <c r="L12" i="1562"/>
  <c r="D12" i="1562" s="1"/>
  <c r="R11" i="1562"/>
  <c r="L11" i="1562"/>
  <c r="D11" i="1562" s="1"/>
  <c r="L10" i="1562"/>
  <c r="D10" i="1562" s="1"/>
  <c r="L9" i="1562"/>
  <c r="D9" i="1562" s="1"/>
  <c r="L7" i="1562"/>
  <c r="D7" i="1562" s="1"/>
  <c r="R6" i="1562"/>
  <c r="R5" i="1562"/>
  <c r="R4" i="1562"/>
  <c r="R52" i="1561"/>
  <c r="R51" i="1561"/>
  <c r="D50" i="1561"/>
  <c r="R49" i="1561"/>
  <c r="G49" i="1561"/>
  <c r="D49" i="1561"/>
  <c r="R48" i="1561"/>
  <c r="D48" i="1561"/>
  <c r="D46" i="1561"/>
  <c r="D45" i="1561"/>
  <c r="D44" i="1561"/>
  <c r="R42" i="1561"/>
  <c r="L6" i="1561" s="1"/>
  <c r="D6" i="1561" s="1"/>
  <c r="D42" i="1561"/>
  <c r="R41" i="1561"/>
  <c r="L7" i="1561" s="1"/>
  <c r="D7" i="1561" s="1"/>
  <c r="D41" i="1561"/>
  <c r="R40" i="1561"/>
  <c r="D40" i="1561"/>
  <c r="R39" i="1561"/>
  <c r="D39" i="1561"/>
  <c r="R38" i="1561"/>
  <c r="D38" i="1561"/>
  <c r="R37" i="1561"/>
  <c r="D37" i="1561"/>
  <c r="R36" i="1561"/>
  <c r="L10" i="1561" s="1"/>
  <c r="D10" i="1561" s="1"/>
  <c r="D36" i="1561"/>
  <c r="R35" i="1561"/>
  <c r="D35" i="1561"/>
  <c r="R34" i="1561"/>
  <c r="L12" i="1561" s="1"/>
  <c r="D12" i="1561" s="1"/>
  <c r="D34" i="1561"/>
  <c r="D54" i="1561" s="1"/>
  <c r="H14" i="1561" s="1"/>
  <c r="R33" i="1561"/>
  <c r="L23" i="1561" s="1"/>
  <c r="D23" i="1561" s="1"/>
  <c r="R32" i="1561"/>
  <c r="R31" i="1561"/>
  <c r="R30" i="1561"/>
  <c r="R29" i="1561"/>
  <c r="R28" i="1561"/>
  <c r="L16" i="1561" s="1"/>
  <c r="D16" i="1561" s="1"/>
  <c r="D28" i="1561"/>
  <c r="R27" i="1561"/>
  <c r="D27" i="1561"/>
  <c r="R26" i="1561"/>
  <c r="L26" i="1561"/>
  <c r="D26" i="1561"/>
  <c r="R25" i="1561"/>
  <c r="L25" i="1561"/>
  <c r="D25" i="1561"/>
  <c r="R24" i="1561"/>
  <c r="D24" i="1561"/>
  <c r="R23" i="1561"/>
  <c r="R22" i="1561"/>
  <c r="L22" i="1561"/>
  <c r="D22" i="1561"/>
  <c r="R21" i="1561"/>
  <c r="D21" i="1561"/>
  <c r="R20" i="1561"/>
  <c r="L20" i="1561"/>
  <c r="D20" i="1561"/>
  <c r="R19" i="1561"/>
  <c r="L19" i="1561"/>
  <c r="D19" i="1561"/>
  <c r="R18" i="1561"/>
  <c r="D18" i="1561"/>
  <c r="R17" i="1561"/>
  <c r="D17" i="1561"/>
  <c r="R16" i="1561"/>
  <c r="S15" i="1561"/>
  <c r="R15" i="1561"/>
  <c r="D15" i="1561"/>
  <c r="S14" i="1561"/>
  <c r="R14" i="1561"/>
  <c r="D14" i="1561"/>
  <c r="R13" i="1561"/>
  <c r="D13" i="1561"/>
  <c r="R12" i="1561"/>
  <c r="R11" i="1561"/>
  <c r="L11" i="1561"/>
  <c r="D11" i="1561"/>
  <c r="L9" i="1561"/>
  <c r="D9" i="1561"/>
  <c r="L8" i="1561"/>
  <c r="D8" i="1561"/>
  <c r="R6" i="1561"/>
  <c r="R5" i="1561"/>
  <c r="R4" i="1561"/>
  <c r="R52" i="1560"/>
  <c r="R51" i="1560"/>
  <c r="D50" i="1560"/>
  <c r="R49" i="1560"/>
  <c r="D49" i="1560"/>
  <c r="R48" i="1560"/>
  <c r="D48" i="1560"/>
  <c r="D46" i="1560"/>
  <c r="D45" i="1560"/>
  <c r="D44" i="1560"/>
  <c r="R42" i="1560"/>
  <c r="L6" i="1560" s="1"/>
  <c r="D6" i="1560" s="1"/>
  <c r="D42" i="1560"/>
  <c r="R41" i="1560"/>
  <c r="L7" i="1560" s="1"/>
  <c r="D7" i="1560" s="1"/>
  <c r="D41" i="1560"/>
  <c r="R40" i="1560"/>
  <c r="D40" i="1560"/>
  <c r="R39" i="1560"/>
  <c r="H39" i="1560"/>
  <c r="D39" i="1560"/>
  <c r="R38" i="1560"/>
  <c r="H38" i="1560"/>
  <c r="D38" i="1560"/>
  <c r="R37" i="1560"/>
  <c r="H37" i="1560"/>
  <c r="D37" i="1560"/>
  <c r="R36" i="1560"/>
  <c r="H36" i="1560"/>
  <c r="D36" i="1560"/>
  <c r="R35" i="1560"/>
  <c r="L19" i="1560" s="1"/>
  <c r="D19" i="1560" s="1"/>
  <c r="H35" i="1560"/>
  <c r="D35" i="1560"/>
  <c r="R34" i="1560"/>
  <c r="H34" i="1560"/>
  <c r="D34" i="1560"/>
  <c r="R33" i="1560"/>
  <c r="L23" i="1560" s="1"/>
  <c r="D23" i="1560" s="1"/>
  <c r="R32" i="1560"/>
  <c r="R31" i="1560"/>
  <c r="R30" i="1560"/>
  <c r="R29" i="1560"/>
  <c r="R28" i="1560"/>
  <c r="D28" i="1560"/>
  <c r="R27" i="1560"/>
  <c r="D27" i="1560"/>
  <c r="R26" i="1560"/>
  <c r="L26" i="1560"/>
  <c r="D26" i="1560"/>
  <c r="R25" i="1560"/>
  <c r="L25" i="1560"/>
  <c r="D25" i="1560"/>
  <c r="R24" i="1560"/>
  <c r="D24" i="1560"/>
  <c r="R23" i="1560"/>
  <c r="R22" i="1560"/>
  <c r="L22" i="1560"/>
  <c r="D22" i="1560"/>
  <c r="R21" i="1560"/>
  <c r="D21" i="1560"/>
  <c r="R20" i="1560"/>
  <c r="L20" i="1560"/>
  <c r="D20" i="1560"/>
  <c r="R19" i="1560"/>
  <c r="R18" i="1560"/>
  <c r="D18" i="1560"/>
  <c r="R17" i="1560"/>
  <c r="D17" i="1560"/>
  <c r="R16" i="1560"/>
  <c r="L16" i="1560"/>
  <c r="D16" i="1560" s="1"/>
  <c r="R15" i="1560"/>
  <c r="D15" i="1560"/>
  <c r="R14" i="1560"/>
  <c r="D14" i="1560"/>
  <c r="R13" i="1560"/>
  <c r="D13" i="1560"/>
  <c r="R12" i="1560"/>
  <c r="L12" i="1560"/>
  <c r="D12" i="1560"/>
  <c r="R11" i="1560"/>
  <c r="L11" i="1560"/>
  <c r="D11" i="1560"/>
  <c r="L10" i="1560"/>
  <c r="D10" i="1560"/>
  <c r="L9" i="1560"/>
  <c r="D9" i="1560"/>
  <c r="L8" i="1560"/>
  <c r="D8" i="1560"/>
  <c r="R6" i="1560"/>
  <c r="R5" i="1560"/>
  <c r="R4" i="1560"/>
  <c r="R52" i="1559"/>
  <c r="R51" i="1559"/>
  <c r="D50" i="1559"/>
  <c r="R49" i="1559"/>
  <c r="D49" i="1559"/>
  <c r="R48" i="1559"/>
  <c r="D48" i="1559"/>
  <c r="D46" i="1559"/>
  <c r="D45" i="1559"/>
  <c r="D44" i="1559"/>
  <c r="R42" i="1559"/>
  <c r="D42" i="1559"/>
  <c r="R41" i="1559"/>
  <c r="L7" i="1559" s="1"/>
  <c r="D7" i="1559" s="1"/>
  <c r="D41" i="1559"/>
  <c r="R40" i="1559"/>
  <c r="D40" i="1559"/>
  <c r="R39" i="1559"/>
  <c r="H39" i="1559"/>
  <c r="D39" i="1559"/>
  <c r="R38" i="1559"/>
  <c r="H38" i="1559"/>
  <c r="D38" i="1559"/>
  <c r="R37" i="1559"/>
  <c r="H37" i="1559"/>
  <c r="D37" i="1559"/>
  <c r="R36" i="1559"/>
  <c r="L10" i="1559" s="1"/>
  <c r="D10" i="1559" s="1"/>
  <c r="H36" i="1559"/>
  <c r="D36" i="1559"/>
  <c r="R35" i="1559"/>
  <c r="L19" i="1559" s="1"/>
  <c r="D19" i="1559" s="1"/>
  <c r="H35" i="1559"/>
  <c r="D35" i="1559"/>
  <c r="R34" i="1559"/>
  <c r="H34" i="1559"/>
  <c r="D34" i="1559"/>
  <c r="R33" i="1559"/>
  <c r="L23" i="1559" s="1"/>
  <c r="D23" i="1559" s="1"/>
  <c r="R32" i="1559"/>
  <c r="R31" i="1559"/>
  <c r="R30" i="1559"/>
  <c r="R29" i="1559"/>
  <c r="R28" i="1559"/>
  <c r="L16" i="1559" s="1"/>
  <c r="D16" i="1559" s="1"/>
  <c r="D28" i="1559"/>
  <c r="R27" i="1559"/>
  <c r="D27" i="1559"/>
  <c r="R26" i="1559"/>
  <c r="L26" i="1559"/>
  <c r="D26" i="1559" s="1"/>
  <c r="R25" i="1559"/>
  <c r="D25" i="1559"/>
  <c r="R24" i="1559"/>
  <c r="L24" i="1559"/>
  <c r="D24" i="1559"/>
  <c r="R23" i="1559"/>
  <c r="R22" i="1559"/>
  <c r="L22" i="1559"/>
  <c r="D22" i="1559"/>
  <c r="R21" i="1559"/>
  <c r="L17" i="1559" s="1"/>
  <c r="D17" i="1559" s="1"/>
  <c r="D21" i="1559"/>
  <c r="R20" i="1559"/>
  <c r="L20" i="1559"/>
  <c r="D20" i="1559"/>
  <c r="R19" i="1559"/>
  <c r="R18" i="1559"/>
  <c r="D18" i="1559"/>
  <c r="R17" i="1559"/>
  <c r="R16" i="1559"/>
  <c r="R15" i="1559"/>
  <c r="D15" i="1559"/>
  <c r="R14" i="1559"/>
  <c r="D14" i="1559"/>
  <c r="R13" i="1559"/>
  <c r="D13" i="1559"/>
  <c r="R12" i="1559"/>
  <c r="L12" i="1559"/>
  <c r="D12" i="1559" s="1"/>
  <c r="R11" i="1559"/>
  <c r="L11" i="1559"/>
  <c r="D11" i="1559" s="1"/>
  <c r="L9" i="1559"/>
  <c r="D9" i="1559"/>
  <c r="L8" i="1559"/>
  <c r="D8" i="1559"/>
  <c r="R6" i="1559"/>
  <c r="L6" i="1559"/>
  <c r="D6" i="1559" s="1"/>
  <c r="R5" i="1559"/>
  <c r="R4" i="1559"/>
  <c r="R52" i="1558"/>
  <c r="R51" i="1558"/>
  <c r="D50" i="1558"/>
  <c r="R49" i="1558"/>
  <c r="D49" i="1558"/>
  <c r="R48" i="1558"/>
  <c r="D48" i="1558"/>
  <c r="D46" i="1558"/>
  <c r="D45" i="1558"/>
  <c r="P44" i="1558"/>
  <c r="R44" i="1558" s="1"/>
  <c r="D44" i="1558"/>
  <c r="R42" i="1558"/>
  <c r="L6" i="1558" s="1"/>
  <c r="D6" i="1558" s="1"/>
  <c r="D42" i="1558"/>
  <c r="R41" i="1558"/>
  <c r="L7" i="1558" s="1"/>
  <c r="D7" i="1558" s="1"/>
  <c r="D41" i="1558"/>
  <c r="R40" i="1558"/>
  <c r="D40" i="1558"/>
  <c r="R39" i="1558"/>
  <c r="L20" i="1558" s="1"/>
  <c r="D20" i="1558" s="1"/>
  <c r="H39" i="1558"/>
  <c r="D39" i="1558"/>
  <c r="R38" i="1558"/>
  <c r="H38" i="1558"/>
  <c r="D38" i="1558"/>
  <c r="R37" i="1558"/>
  <c r="H37" i="1558"/>
  <c r="D37" i="1558"/>
  <c r="R36" i="1558"/>
  <c r="L10" i="1558" s="1"/>
  <c r="D10" i="1558" s="1"/>
  <c r="H36" i="1558"/>
  <c r="D36" i="1558"/>
  <c r="R35" i="1558"/>
  <c r="H35" i="1558"/>
  <c r="D35" i="1558"/>
  <c r="R34" i="1558"/>
  <c r="H34" i="1558"/>
  <c r="D34" i="1558"/>
  <c r="R33" i="1558"/>
  <c r="R32" i="1558"/>
  <c r="L11" i="1558" s="1"/>
  <c r="D11" i="1558" s="1"/>
  <c r="R31" i="1558"/>
  <c r="R30" i="1558"/>
  <c r="R29" i="1558"/>
  <c r="R28" i="1558"/>
  <c r="L16" i="1558" s="1"/>
  <c r="D16" i="1558" s="1"/>
  <c r="D28" i="1558"/>
  <c r="R27" i="1558"/>
  <c r="D27" i="1558"/>
  <c r="R26" i="1558"/>
  <c r="L26" i="1558"/>
  <c r="D26" i="1558"/>
  <c r="R25" i="1558"/>
  <c r="L25" i="1558"/>
  <c r="D25" i="1558"/>
  <c r="R24" i="1558"/>
  <c r="L24" i="1558"/>
  <c r="D24" i="1558"/>
  <c r="R23" i="1558"/>
  <c r="D23" i="1558"/>
  <c r="R22" i="1558"/>
  <c r="D22" i="1558"/>
  <c r="R21" i="1558"/>
  <c r="D21" i="1558"/>
  <c r="R20" i="1558"/>
  <c r="R19" i="1558"/>
  <c r="D19" i="1558"/>
  <c r="R18" i="1558"/>
  <c r="D18" i="1558"/>
  <c r="R17" i="1558"/>
  <c r="L17" i="1558"/>
  <c r="D17" i="1558"/>
  <c r="R16" i="1558"/>
  <c r="R15" i="1558"/>
  <c r="D15" i="1558"/>
  <c r="R14" i="1558"/>
  <c r="D14" i="1558"/>
  <c r="R13" i="1558"/>
  <c r="D13" i="1558"/>
  <c r="R12" i="1558"/>
  <c r="L12" i="1558"/>
  <c r="D12" i="1558" s="1"/>
  <c r="R11" i="1558"/>
  <c r="L9" i="1558"/>
  <c r="D9" i="1558"/>
  <c r="L8" i="1558"/>
  <c r="D8" i="1558" s="1"/>
  <c r="R6" i="1558"/>
  <c r="R5" i="1558"/>
  <c r="R4" i="1558"/>
  <c r="R52" i="1557"/>
  <c r="R51" i="1557"/>
  <c r="D50" i="1557"/>
  <c r="R49" i="1557"/>
  <c r="G49" i="1557"/>
  <c r="D49" i="1557"/>
  <c r="R48" i="1557"/>
  <c r="D48" i="1557"/>
  <c r="D46" i="1557"/>
  <c r="D45" i="1557"/>
  <c r="D44" i="1557"/>
  <c r="R42" i="1557"/>
  <c r="D42" i="1557"/>
  <c r="R41" i="1557"/>
  <c r="L7" i="1557" s="1"/>
  <c r="D7" i="1557" s="1"/>
  <c r="D41" i="1557"/>
  <c r="R40" i="1557"/>
  <c r="L8" i="1557" s="1"/>
  <c r="D8" i="1557" s="1"/>
  <c r="D40" i="1557"/>
  <c r="R39" i="1557"/>
  <c r="D39" i="1557"/>
  <c r="R38" i="1557"/>
  <c r="L9" i="1557" s="1"/>
  <c r="D9" i="1557" s="1"/>
  <c r="D38" i="1557"/>
  <c r="R37" i="1557"/>
  <c r="D37" i="1557"/>
  <c r="R36" i="1557"/>
  <c r="D36" i="1557"/>
  <c r="R35" i="1557"/>
  <c r="D35" i="1557"/>
  <c r="R34" i="1557"/>
  <c r="D34" i="1557"/>
  <c r="D54" i="1557" s="1"/>
  <c r="H14" i="1557" s="1"/>
  <c r="R33" i="1557"/>
  <c r="L23" i="1557" s="1"/>
  <c r="D23" i="1557" s="1"/>
  <c r="R32" i="1557"/>
  <c r="R31" i="1557"/>
  <c r="R30" i="1557"/>
  <c r="R29" i="1557"/>
  <c r="R28" i="1557"/>
  <c r="D28" i="1557"/>
  <c r="R27" i="1557"/>
  <c r="D27" i="1557"/>
  <c r="R26" i="1557"/>
  <c r="L26" i="1557"/>
  <c r="D26" i="1557" s="1"/>
  <c r="R25" i="1557"/>
  <c r="L25" i="1557"/>
  <c r="D25" i="1557"/>
  <c r="R24" i="1557"/>
  <c r="D24" i="1557"/>
  <c r="R23" i="1557"/>
  <c r="R22" i="1557"/>
  <c r="L22" i="1557"/>
  <c r="D22" i="1557"/>
  <c r="R21" i="1557"/>
  <c r="D21" i="1557"/>
  <c r="R20" i="1557"/>
  <c r="L20" i="1557"/>
  <c r="D20" i="1557"/>
  <c r="R19" i="1557"/>
  <c r="L19" i="1557"/>
  <c r="D19" i="1557"/>
  <c r="R18" i="1557"/>
  <c r="D18" i="1557"/>
  <c r="R17" i="1557"/>
  <c r="D17" i="1557"/>
  <c r="R16" i="1557"/>
  <c r="L16" i="1557"/>
  <c r="D16" i="1557" s="1"/>
  <c r="S15" i="1557"/>
  <c r="R15" i="1557"/>
  <c r="D15" i="1557"/>
  <c r="S14" i="1557"/>
  <c r="R14" i="1557"/>
  <c r="D14" i="1557"/>
  <c r="R13" i="1557"/>
  <c r="D13" i="1557"/>
  <c r="R12" i="1557"/>
  <c r="L12" i="1557"/>
  <c r="D12" i="1557" s="1"/>
  <c r="R11" i="1557"/>
  <c r="L11" i="1557"/>
  <c r="D11" i="1557"/>
  <c r="L10" i="1557"/>
  <c r="D10" i="1557" s="1"/>
  <c r="R6" i="1557"/>
  <c r="L6" i="1557"/>
  <c r="D6" i="1557"/>
  <c r="R5" i="1557"/>
  <c r="R4" i="1557"/>
  <c r="R52" i="1556"/>
  <c r="R51" i="1556"/>
  <c r="D50" i="1556"/>
  <c r="R49" i="1556"/>
  <c r="D49" i="1556"/>
  <c r="R48" i="1556"/>
  <c r="D48" i="1556"/>
  <c r="D46" i="1556"/>
  <c r="D45" i="1556"/>
  <c r="D44" i="1556"/>
  <c r="R42" i="1556"/>
  <c r="D42" i="1556"/>
  <c r="R41" i="1556"/>
  <c r="D41" i="1556"/>
  <c r="R40" i="1556"/>
  <c r="L8" i="1556" s="1"/>
  <c r="D8" i="1556" s="1"/>
  <c r="D40" i="1556"/>
  <c r="R39" i="1556"/>
  <c r="H39" i="1556"/>
  <c r="D39" i="1556"/>
  <c r="R38" i="1556"/>
  <c r="H38" i="1556"/>
  <c r="D38" i="1556"/>
  <c r="R37" i="1556"/>
  <c r="H37" i="1556"/>
  <c r="D37" i="1556"/>
  <c r="R36" i="1556"/>
  <c r="H36" i="1556"/>
  <c r="D36" i="1556"/>
  <c r="R35" i="1556"/>
  <c r="L19" i="1556" s="1"/>
  <c r="D19" i="1556" s="1"/>
  <c r="H35" i="1556"/>
  <c r="D35" i="1556"/>
  <c r="R34" i="1556"/>
  <c r="L12" i="1556" s="1"/>
  <c r="D12" i="1556" s="1"/>
  <c r="H34" i="1556"/>
  <c r="D34" i="1556"/>
  <c r="R33" i="1556"/>
  <c r="L23" i="1556" s="1"/>
  <c r="D23" i="1556" s="1"/>
  <c r="R32" i="1556"/>
  <c r="R31" i="1556"/>
  <c r="R30" i="1556"/>
  <c r="R29" i="1556"/>
  <c r="R28" i="1556"/>
  <c r="L16" i="1556" s="1"/>
  <c r="D16" i="1556" s="1"/>
  <c r="D28" i="1556"/>
  <c r="R27" i="1556"/>
  <c r="D27" i="1556"/>
  <c r="R26" i="1556"/>
  <c r="L26" i="1556"/>
  <c r="D26" i="1556"/>
  <c r="R25" i="1556"/>
  <c r="L25" i="1556"/>
  <c r="D25" i="1556"/>
  <c r="R24" i="1556"/>
  <c r="D24" i="1556"/>
  <c r="R23" i="1556"/>
  <c r="R22" i="1556"/>
  <c r="L22" i="1556"/>
  <c r="D22" i="1556"/>
  <c r="R21" i="1556"/>
  <c r="D21" i="1556"/>
  <c r="R20" i="1556"/>
  <c r="L20" i="1556"/>
  <c r="D20" i="1556"/>
  <c r="R19" i="1556"/>
  <c r="R18" i="1556"/>
  <c r="D18" i="1556"/>
  <c r="R17" i="1556"/>
  <c r="D17" i="1556"/>
  <c r="R16" i="1556"/>
  <c r="R15" i="1556"/>
  <c r="D15" i="1556"/>
  <c r="R14" i="1556"/>
  <c r="D14" i="1556"/>
  <c r="R13" i="1556"/>
  <c r="D13" i="1556"/>
  <c r="R12" i="1556"/>
  <c r="R11" i="1556"/>
  <c r="L11" i="1556"/>
  <c r="D11" i="1556" s="1"/>
  <c r="L10" i="1556"/>
  <c r="D10" i="1556"/>
  <c r="L9" i="1556"/>
  <c r="D9" i="1556"/>
  <c r="L7" i="1556"/>
  <c r="D7" i="1556" s="1"/>
  <c r="R6" i="1556"/>
  <c r="L6" i="1556"/>
  <c r="D6" i="1556" s="1"/>
  <c r="R5" i="1556"/>
  <c r="R4" i="1556"/>
  <c r="R52" i="1555"/>
  <c r="R51" i="1555"/>
  <c r="D50" i="1555"/>
  <c r="R49" i="1555"/>
  <c r="D49" i="1555"/>
  <c r="R48" i="1555"/>
  <c r="D48" i="1555"/>
  <c r="D46" i="1555"/>
  <c r="D45" i="1555"/>
  <c r="D44" i="1555"/>
  <c r="R42" i="1555"/>
  <c r="L6" i="1555" s="1"/>
  <c r="D6" i="1555" s="1"/>
  <c r="D42" i="1555"/>
  <c r="R41" i="1555"/>
  <c r="D41" i="1555"/>
  <c r="R40" i="1555"/>
  <c r="D40" i="1555"/>
  <c r="R39" i="1555"/>
  <c r="H39" i="1555"/>
  <c r="D39" i="1555"/>
  <c r="R38" i="1555"/>
  <c r="H38" i="1555"/>
  <c r="D38" i="1555"/>
  <c r="R37" i="1555"/>
  <c r="H37" i="1555"/>
  <c r="D37" i="1555"/>
  <c r="R36" i="1555"/>
  <c r="L10" i="1555" s="1"/>
  <c r="D10" i="1555" s="1"/>
  <c r="H36" i="1555"/>
  <c r="D36" i="1555"/>
  <c r="R35" i="1555"/>
  <c r="H35" i="1555"/>
  <c r="D35" i="1555"/>
  <c r="R34" i="1555"/>
  <c r="L12" i="1555" s="1"/>
  <c r="D12" i="1555" s="1"/>
  <c r="H34" i="1555"/>
  <c r="D34" i="1555"/>
  <c r="R33" i="1555"/>
  <c r="R32" i="1555"/>
  <c r="R31" i="1555"/>
  <c r="R30" i="1555"/>
  <c r="R29" i="1555"/>
  <c r="R28" i="1555"/>
  <c r="D28" i="1555"/>
  <c r="R27" i="1555"/>
  <c r="D27" i="1555"/>
  <c r="R26" i="1555"/>
  <c r="L26" i="1555"/>
  <c r="D26" i="1555"/>
  <c r="R25" i="1555"/>
  <c r="D25" i="1555"/>
  <c r="R24" i="1555"/>
  <c r="L24" i="1555"/>
  <c r="D24" i="1555"/>
  <c r="R23" i="1555"/>
  <c r="L23" i="1555"/>
  <c r="D23" i="1555" s="1"/>
  <c r="R22" i="1555"/>
  <c r="L22" i="1555"/>
  <c r="D22" i="1555" s="1"/>
  <c r="R21" i="1555"/>
  <c r="D21" i="1555"/>
  <c r="R20" i="1555"/>
  <c r="L20" i="1555"/>
  <c r="D20" i="1555" s="1"/>
  <c r="R19" i="1555"/>
  <c r="L19" i="1555"/>
  <c r="D19" i="1555" s="1"/>
  <c r="R18" i="1555"/>
  <c r="D18" i="1555"/>
  <c r="R17" i="1555"/>
  <c r="L17" i="1555"/>
  <c r="D17" i="1555" s="1"/>
  <c r="R16" i="1555"/>
  <c r="L16" i="1555"/>
  <c r="D16" i="1555" s="1"/>
  <c r="R15" i="1555"/>
  <c r="D15" i="1555"/>
  <c r="R14" i="1555"/>
  <c r="D14" i="1555"/>
  <c r="R13" i="1555"/>
  <c r="D13" i="1555"/>
  <c r="R12" i="1555"/>
  <c r="R11" i="1555"/>
  <c r="L11" i="1555"/>
  <c r="D11" i="1555"/>
  <c r="L9" i="1555"/>
  <c r="D9" i="1555"/>
  <c r="L8" i="1555"/>
  <c r="D8" i="1555" s="1"/>
  <c r="L7" i="1555"/>
  <c r="D7" i="1555"/>
  <c r="R6" i="1555"/>
  <c r="R5" i="1555"/>
  <c r="R4" i="1555"/>
  <c r="R52" i="1554"/>
  <c r="R51" i="1554"/>
  <c r="D50" i="1554"/>
  <c r="R49" i="1554"/>
  <c r="D49" i="1554"/>
  <c r="R48" i="1554"/>
  <c r="D48" i="1554"/>
  <c r="D46" i="1554"/>
  <c r="D45" i="1554"/>
  <c r="P44" i="1554"/>
  <c r="R44" i="1554" s="1"/>
  <c r="D44" i="1554"/>
  <c r="R42" i="1554"/>
  <c r="L6" i="1554" s="1"/>
  <c r="D6" i="1554" s="1"/>
  <c r="D42" i="1554"/>
  <c r="R41" i="1554"/>
  <c r="D41" i="1554"/>
  <c r="R40" i="1554"/>
  <c r="D40" i="1554"/>
  <c r="R39" i="1554"/>
  <c r="L20" i="1554" s="1"/>
  <c r="D20" i="1554" s="1"/>
  <c r="H39" i="1554"/>
  <c r="D39" i="1554"/>
  <c r="R38" i="1554"/>
  <c r="L9" i="1554" s="1"/>
  <c r="D9" i="1554" s="1"/>
  <c r="H38" i="1554"/>
  <c r="D38" i="1554"/>
  <c r="R37" i="1554"/>
  <c r="H37" i="1554"/>
  <c r="D37" i="1554"/>
  <c r="R36" i="1554"/>
  <c r="H36" i="1554"/>
  <c r="D36" i="1554"/>
  <c r="R35" i="1554"/>
  <c r="H35" i="1554"/>
  <c r="D35" i="1554"/>
  <c r="R34" i="1554"/>
  <c r="H34" i="1554"/>
  <c r="D34" i="1554"/>
  <c r="R33" i="1554"/>
  <c r="R32" i="1554"/>
  <c r="L11" i="1554" s="1"/>
  <c r="D11" i="1554" s="1"/>
  <c r="R31" i="1554"/>
  <c r="R30" i="1554"/>
  <c r="R29" i="1554"/>
  <c r="R28" i="1554"/>
  <c r="D28" i="1554"/>
  <c r="R27" i="1554"/>
  <c r="D27" i="1554"/>
  <c r="R26" i="1554"/>
  <c r="L26" i="1554"/>
  <c r="D26" i="1554"/>
  <c r="R25" i="1554"/>
  <c r="L25" i="1554"/>
  <c r="D25" i="1554"/>
  <c r="R24" i="1554"/>
  <c r="L24" i="1554"/>
  <c r="D24" i="1554"/>
  <c r="R23" i="1554"/>
  <c r="D23" i="1554"/>
  <c r="R22" i="1554"/>
  <c r="D22" i="1554"/>
  <c r="R21" i="1554"/>
  <c r="D21" i="1554"/>
  <c r="R20" i="1554"/>
  <c r="R19" i="1554"/>
  <c r="D19" i="1554"/>
  <c r="R18" i="1554"/>
  <c r="D18" i="1554"/>
  <c r="R17" i="1554"/>
  <c r="L17" i="1554"/>
  <c r="D17" i="1554"/>
  <c r="R16" i="1554"/>
  <c r="L16" i="1554"/>
  <c r="D16" i="1554"/>
  <c r="R15" i="1554"/>
  <c r="D15" i="1554"/>
  <c r="R14" i="1554"/>
  <c r="D14" i="1554"/>
  <c r="R13" i="1554"/>
  <c r="D13" i="1554"/>
  <c r="R12" i="1554"/>
  <c r="L12" i="1554"/>
  <c r="D12" i="1554" s="1"/>
  <c r="R11" i="1554"/>
  <c r="L10" i="1554"/>
  <c r="D10" i="1554" s="1"/>
  <c r="L8" i="1554"/>
  <c r="D8" i="1554"/>
  <c r="L7" i="1554"/>
  <c r="D7" i="1554"/>
  <c r="R6" i="1554"/>
  <c r="R5" i="1554"/>
  <c r="R4" i="1554"/>
  <c r="R52" i="1553"/>
  <c r="R51" i="1553"/>
  <c r="D50" i="1553"/>
  <c r="R49" i="1553"/>
  <c r="G49" i="1553"/>
  <c r="D49" i="1553"/>
  <c r="R48" i="1553"/>
  <c r="D48" i="1553"/>
  <c r="D46" i="1553"/>
  <c r="D45" i="1553"/>
  <c r="D44" i="1553"/>
  <c r="R42" i="1553"/>
  <c r="D42" i="1553"/>
  <c r="R41" i="1553"/>
  <c r="L7" i="1553" s="1"/>
  <c r="D7" i="1553" s="1"/>
  <c r="D41" i="1553"/>
  <c r="R40" i="1553"/>
  <c r="D40" i="1553"/>
  <c r="R39" i="1553"/>
  <c r="D39" i="1553"/>
  <c r="R38" i="1553"/>
  <c r="D38" i="1553"/>
  <c r="R37" i="1553"/>
  <c r="D37" i="1553"/>
  <c r="R36" i="1553"/>
  <c r="D36" i="1553"/>
  <c r="D54" i="1553" s="1"/>
  <c r="H14" i="1553" s="1"/>
  <c r="R35" i="1553"/>
  <c r="L19" i="1553" s="1"/>
  <c r="D19" i="1553" s="1"/>
  <c r="D35" i="1553"/>
  <c r="R34" i="1553"/>
  <c r="D34" i="1553"/>
  <c r="R33" i="1553"/>
  <c r="L23" i="1553" s="1"/>
  <c r="D23" i="1553" s="1"/>
  <c r="R32" i="1553"/>
  <c r="L11" i="1553" s="1"/>
  <c r="D11" i="1553" s="1"/>
  <c r="R31" i="1553"/>
  <c r="R30" i="1553"/>
  <c r="R29" i="1553"/>
  <c r="R28" i="1553"/>
  <c r="D28" i="1553"/>
  <c r="R27" i="1553"/>
  <c r="D27" i="1553"/>
  <c r="R26" i="1553"/>
  <c r="L26" i="1553"/>
  <c r="D26" i="1553" s="1"/>
  <c r="R25" i="1553"/>
  <c r="L25" i="1553"/>
  <c r="D25" i="1553"/>
  <c r="R24" i="1553"/>
  <c r="D24" i="1553"/>
  <c r="R23" i="1553"/>
  <c r="R22" i="1553"/>
  <c r="L22" i="1553"/>
  <c r="D22" i="1553" s="1"/>
  <c r="R21" i="1553"/>
  <c r="D21" i="1553"/>
  <c r="R20" i="1553"/>
  <c r="L20" i="1553"/>
  <c r="D20" i="1553" s="1"/>
  <c r="R19" i="1553"/>
  <c r="R18" i="1553"/>
  <c r="D18" i="1553"/>
  <c r="R17" i="1553"/>
  <c r="D17" i="1553"/>
  <c r="R16" i="1553"/>
  <c r="L16" i="1553"/>
  <c r="D16" i="1553" s="1"/>
  <c r="S15" i="1553"/>
  <c r="R15" i="1553"/>
  <c r="D15" i="1553"/>
  <c r="S14" i="1553"/>
  <c r="R14" i="1553"/>
  <c r="D14" i="1553"/>
  <c r="R13" i="1553"/>
  <c r="D13" i="1553"/>
  <c r="R12" i="1553"/>
  <c r="L12" i="1553"/>
  <c r="D12" i="1553" s="1"/>
  <c r="R11" i="1553"/>
  <c r="L10" i="1553"/>
  <c r="D10" i="1553"/>
  <c r="L9" i="1553"/>
  <c r="D9" i="1553" s="1"/>
  <c r="L8" i="1553"/>
  <c r="D8" i="1553" s="1"/>
  <c r="R6" i="1553"/>
  <c r="L6" i="1553"/>
  <c r="D6" i="1553"/>
  <c r="R5" i="1553"/>
  <c r="R4" i="1553"/>
  <c r="R52" i="1552"/>
  <c r="R51" i="1552"/>
  <c r="D50" i="1552"/>
  <c r="R49" i="1552"/>
  <c r="D49" i="1552"/>
  <c r="R48" i="1552"/>
  <c r="D48" i="1552"/>
  <c r="D46" i="1552"/>
  <c r="D45" i="1552"/>
  <c r="D44" i="1552"/>
  <c r="R42" i="1552"/>
  <c r="L6" i="1552" s="1"/>
  <c r="D6" i="1552" s="1"/>
  <c r="D42" i="1552"/>
  <c r="R41" i="1552"/>
  <c r="L7" i="1552" s="1"/>
  <c r="D7" i="1552" s="1"/>
  <c r="D41" i="1552"/>
  <c r="R40" i="1552"/>
  <c r="D40" i="1552"/>
  <c r="R39" i="1552"/>
  <c r="H39" i="1552"/>
  <c r="D39" i="1552"/>
  <c r="R38" i="1552"/>
  <c r="H38" i="1552"/>
  <c r="D38" i="1552"/>
  <c r="R37" i="1552"/>
  <c r="H37" i="1552"/>
  <c r="D37" i="1552"/>
  <c r="R36" i="1552"/>
  <c r="H36" i="1552"/>
  <c r="D36" i="1552"/>
  <c r="R35" i="1552"/>
  <c r="L19" i="1552" s="1"/>
  <c r="D19" i="1552" s="1"/>
  <c r="H35" i="1552"/>
  <c r="D35" i="1552"/>
  <c r="R34" i="1552"/>
  <c r="H34" i="1552"/>
  <c r="G49" i="1552" s="1"/>
  <c r="D34" i="1552"/>
  <c r="R33" i="1552"/>
  <c r="R32" i="1552"/>
  <c r="R31" i="1552"/>
  <c r="R30" i="1552"/>
  <c r="R29" i="1552"/>
  <c r="R28" i="1552"/>
  <c r="D28" i="1552"/>
  <c r="R27" i="1552"/>
  <c r="D27" i="1552"/>
  <c r="R26" i="1552"/>
  <c r="L26" i="1552"/>
  <c r="D26" i="1552" s="1"/>
  <c r="R25" i="1552"/>
  <c r="L25" i="1552"/>
  <c r="D25" i="1552"/>
  <c r="R24" i="1552"/>
  <c r="D24" i="1552"/>
  <c r="R23" i="1552"/>
  <c r="L23" i="1552"/>
  <c r="D23" i="1552" s="1"/>
  <c r="R22" i="1552"/>
  <c r="L22" i="1552"/>
  <c r="D22" i="1552"/>
  <c r="R21" i="1552"/>
  <c r="D21" i="1552"/>
  <c r="R20" i="1552"/>
  <c r="L20" i="1552"/>
  <c r="D20" i="1552" s="1"/>
  <c r="R19" i="1552"/>
  <c r="R18" i="1552"/>
  <c r="D18" i="1552"/>
  <c r="R17" i="1552"/>
  <c r="D17" i="1552"/>
  <c r="R16" i="1552"/>
  <c r="L16" i="1552"/>
  <c r="D16" i="1552" s="1"/>
  <c r="R15" i="1552"/>
  <c r="D15" i="1552"/>
  <c r="R14" i="1552"/>
  <c r="D14" i="1552"/>
  <c r="R13" i="1552"/>
  <c r="D13" i="1552"/>
  <c r="R12" i="1552"/>
  <c r="L12" i="1552"/>
  <c r="D12" i="1552"/>
  <c r="R11" i="1552"/>
  <c r="L11" i="1552"/>
  <c r="D11" i="1552"/>
  <c r="L10" i="1552"/>
  <c r="D10" i="1552"/>
  <c r="L9" i="1552"/>
  <c r="D9" i="1552"/>
  <c r="L8" i="1552"/>
  <c r="D8" i="1552" s="1"/>
  <c r="R6" i="1552"/>
  <c r="R5" i="1552"/>
  <c r="R4" i="1552"/>
  <c r="R52" i="1551"/>
  <c r="R51" i="1551"/>
  <c r="D50" i="1551"/>
  <c r="R49" i="1551"/>
  <c r="D49" i="1551"/>
  <c r="R48" i="1551"/>
  <c r="D48" i="1551"/>
  <c r="D46" i="1551"/>
  <c r="D45" i="1551"/>
  <c r="D44" i="1551"/>
  <c r="R42" i="1551"/>
  <c r="L6" i="1551" s="1"/>
  <c r="D6" i="1551" s="1"/>
  <c r="D42" i="1551"/>
  <c r="R41" i="1551"/>
  <c r="D41" i="1551"/>
  <c r="R40" i="1551"/>
  <c r="L8" i="1551" s="1"/>
  <c r="D8" i="1551" s="1"/>
  <c r="D40" i="1551"/>
  <c r="R39" i="1551"/>
  <c r="L20" i="1551" s="1"/>
  <c r="D20" i="1551" s="1"/>
  <c r="H39" i="1551"/>
  <c r="D39" i="1551"/>
  <c r="R38" i="1551"/>
  <c r="H38" i="1551"/>
  <c r="D38" i="1551"/>
  <c r="R37" i="1551"/>
  <c r="H37" i="1551"/>
  <c r="D37" i="1551"/>
  <c r="R36" i="1551"/>
  <c r="H36" i="1551"/>
  <c r="D36" i="1551"/>
  <c r="R35" i="1551"/>
  <c r="L19" i="1551" s="1"/>
  <c r="D19" i="1551" s="1"/>
  <c r="H35" i="1551"/>
  <c r="D35" i="1551"/>
  <c r="R34" i="1551"/>
  <c r="H34" i="1551"/>
  <c r="G49" i="1551" s="1"/>
  <c r="D34" i="1551"/>
  <c r="R33" i="1551"/>
  <c r="R32" i="1551"/>
  <c r="L11" i="1551" s="1"/>
  <c r="D11" i="1551" s="1"/>
  <c r="R31" i="1551"/>
  <c r="R30" i="1551"/>
  <c r="R29" i="1551"/>
  <c r="R28" i="1551"/>
  <c r="D28" i="1551"/>
  <c r="R27" i="1551"/>
  <c r="D27" i="1551"/>
  <c r="R26" i="1551"/>
  <c r="L26" i="1551"/>
  <c r="D26" i="1551" s="1"/>
  <c r="R25" i="1551"/>
  <c r="D25" i="1551"/>
  <c r="R24" i="1551"/>
  <c r="L24" i="1551"/>
  <c r="D24" i="1551"/>
  <c r="R23" i="1551"/>
  <c r="L23" i="1551"/>
  <c r="D23" i="1551"/>
  <c r="R22" i="1551"/>
  <c r="D22" i="1551"/>
  <c r="R21" i="1551"/>
  <c r="L17" i="1551" s="1"/>
  <c r="D17" i="1551" s="1"/>
  <c r="D21" i="1551"/>
  <c r="R20" i="1551"/>
  <c r="R19" i="1551"/>
  <c r="R18" i="1551"/>
  <c r="D18" i="1551"/>
  <c r="R17" i="1551"/>
  <c r="R16" i="1551"/>
  <c r="L16" i="1551"/>
  <c r="D16" i="1551"/>
  <c r="R15" i="1551"/>
  <c r="D15" i="1551"/>
  <c r="R14" i="1551"/>
  <c r="D14" i="1551"/>
  <c r="R13" i="1551"/>
  <c r="D13" i="1551"/>
  <c r="R12" i="1551"/>
  <c r="L12" i="1551"/>
  <c r="D12" i="1551"/>
  <c r="R11" i="1551"/>
  <c r="L10" i="1551"/>
  <c r="D10" i="1551"/>
  <c r="L9" i="1551"/>
  <c r="D9" i="1551"/>
  <c r="L7" i="1551"/>
  <c r="D7" i="1551" s="1"/>
  <c r="R6" i="1551"/>
  <c r="R5" i="1551"/>
  <c r="R4" i="1551"/>
  <c r="R52" i="1550"/>
  <c r="R51" i="1550"/>
  <c r="D50" i="1550"/>
  <c r="R49" i="1550"/>
  <c r="D49" i="1550"/>
  <c r="R48" i="1550"/>
  <c r="D48" i="1550"/>
  <c r="D46" i="1550"/>
  <c r="D45" i="1550"/>
  <c r="P44" i="1550"/>
  <c r="R44" i="1550" s="1"/>
  <c r="D44" i="1550"/>
  <c r="R42" i="1550"/>
  <c r="D42" i="1550"/>
  <c r="R41" i="1550"/>
  <c r="D41" i="1550"/>
  <c r="R40" i="1550"/>
  <c r="L8" i="1550" s="1"/>
  <c r="D8" i="1550" s="1"/>
  <c r="D40" i="1550"/>
  <c r="R39" i="1550"/>
  <c r="L20" i="1550" s="1"/>
  <c r="D20" i="1550" s="1"/>
  <c r="H39" i="1550"/>
  <c r="D39" i="1550"/>
  <c r="R38" i="1550"/>
  <c r="L9" i="1550" s="1"/>
  <c r="D9" i="1550" s="1"/>
  <c r="H38" i="1550"/>
  <c r="D38" i="1550"/>
  <c r="R37" i="1550"/>
  <c r="H37" i="1550"/>
  <c r="D37" i="1550"/>
  <c r="R36" i="1550"/>
  <c r="H36" i="1550"/>
  <c r="D36" i="1550"/>
  <c r="R35" i="1550"/>
  <c r="H35" i="1550"/>
  <c r="D35" i="1550"/>
  <c r="R34" i="1550"/>
  <c r="H34" i="1550"/>
  <c r="G49" i="1550" s="1"/>
  <c r="D34" i="1550"/>
  <c r="R33" i="1550"/>
  <c r="R32" i="1550"/>
  <c r="L11" i="1550" s="1"/>
  <c r="D11" i="1550" s="1"/>
  <c r="R31" i="1550"/>
  <c r="R30" i="1550"/>
  <c r="R29" i="1550"/>
  <c r="R28" i="1550"/>
  <c r="D28" i="1550"/>
  <c r="R27" i="1550"/>
  <c r="D27" i="1550"/>
  <c r="R26" i="1550"/>
  <c r="L26" i="1550"/>
  <c r="D26" i="1550" s="1"/>
  <c r="R25" i="1550"/>
  <c r="L25" i="1550"/>
  <c r="D25" i="1550"/>
  <c r="R24" i="1550"/>
  <c r="D24" i="1550"/>
  <c r="R23" i="1550"/>
  <c r="D23" i="1550"/>
  <c r="R22" i="1550"/>
  <c r="D22" i="1550"/>
  <c r="R21" i="1550"/>
  <c r="D21" i="1550"/>
  <c r="R20" i="1550"/>
  <c r="R19" i="1550"/>
  <c r="D19" i="1550"/>
  <c r="R18" i="1550"/>
  <c r="D18" i="1550"/>
  <c r="R17" i="1550"/>
  <c r="L17" i="1550"/>
  <c r="D17" i="1550" s="1"/>
  <c r="R16" i="1550"/>
  <c r="L16" i="1550"/>
  <c r="D16" i="1550"/>
  <c r="R15" i="1550"/>
  <c r="D15" i="1550"/>
  <c r="R14" i="1550"/>
  <c r="D14" i="1550"/>
  <c r="R13" i="1550"/>
  <c r="D13" i="1550"/>
  <c r="R12" i="1550"/>
  <c r="L12" i="1550"/>
  <c r="D12" i="1550"/>
  <c r="R11" i="1550"/>
  <c r="L10" i="1550"/>
  <c r="D10" i="1550" s="1"/>
  <c r="L7" i="1550"/>
  <c r="D7" i="1550" s="1"/>
  <c r="R6" i="1550"/>
  <c r="L6" i="1550"/>
  <c r="D6" i="1550" s="1"/>
  <c r="R5" i="1550"/>
  <c r="R4" i="1550"/>
  <c r="D54" i="1549"/>
  <c r="H14" i="1549" s="1"/>
  <c r="R52" i="1549"/>
  <c r="R51" i="1549"/>
  <c r="D50" i="1549"/>
  <c r="R49" i="1549"/>
  <c r="G49" i="1549"/>
  <c r="D49" i="1549"/>
  <c r="R48" i="1549"/>
  <c r="D48" i="1549"/>
  <c r="D46" i="1549"/>
  <c r="D45" i="1549"/>
  <c r="D44" i="1549"/>
  <c r="R42" i="1549"/>
  <c r="D42" i="1549"/>
  <c r="R41" i="1549"/>
  <c r="L7" i="1549" s="1"/>
  <c r="D7" i="1549" s="1"/>
  <c r="D41" i="1549"/>
  <c r="R40" i="1549"/>
  <c r="L8" i="1549" s="1"/>
  <c r="D8" i="1549" s="1"/>
  <c r="D40" i="1549"/>
  <c r="R39" i="1549"/>
  <c r="D39" i="1549"/>
  <c r="R38" i="1549"/>
  <c r="L9" i="1549" s="1"/>
  <c r="D9" i="1549" s="1"/>
  <c r="D38" i="1549"/>
  <c r="R37" i="1549"/>
  <c r="D37" i="1549"/>
  <c r="R36" i="1549"/>
  <c r="L10" i="1549" s="1"/>
  <c r="D10" i="1549" s="1"/>
  <c r="D36" i="1549"/>
  <c r="R35" i="1549"/>
  <c r="D35" i="1549"/>
  <c r="R34" i="1549"/>
  <c r="D34" i="1549"/>
  <c r="R33" i="1549"/>
  <c r="L23" i="1549" s="1"/>
  <c r="D23" i="1549" s="1"/>
  <c r="R32" i="1549"/>
  <c r="L11" i="1549" s="1"/>
  <c r="D11" i="1549" s="1"/>
  <c r="R31" i="1549"/>
  <c r="R30" i="1549"/>
  <c r="R29" i="1549"/>
  <c r="R28" i="1549"/>
  <c r="L16" i="1549" s="1"/>
  <c r="D16" i="1549" s="1"/>
  <c r="D28" i="1549"/>
  <c r="R27" i="1549"/>
  <c r="D27" i="1549"/>
  <c r="R26" i="1549"/>
  <c r="L26" i="1549"/>
  <c r="D26" i="1549"/>
  <c r="R25" i="1549"/>
  <c r="L25" i="1549"/>
  <c r="D25" i="1549"/>
  <c r="R24" i="1549"/>
  <c r="D24" i="1549"/>
  <c r="R23" i="1549"/>
  <c r="R22" i="1549"/>
  <c r="L22" i="1549"/>
  <c r="D22" i="1549" s="1"/>
  <c r="R21" i="1549"/>
  <c r="D21" i="1549"/>
  <c r="R20" i="1549"/>
  <c r="L20" i="1549"/>
  <c r="D20" i="1549"/>
  <c r="R19" i="1549"/>
  <c r="L19" i="1549"/>
  <c r="D19" i="1549"/>
  <c r="R18" i="1549"/>
  <c r="D18" i="1549"/>
  <c r="R17" i="1549"/>
  <c r="D17" i="1549"/>
  <c r="R16" i="1549"/>
  <c r="S15" i="1549"/>
  <c r="R15" i="1549"/>
  <c r="D15" i="1549"/>
  <c r="S14" i="1549"/>
  <c r="R14" i="1549"/>
  <c r="D14" i="1549"/>
  <c r="R13" i="1549"/>
  <c r="D13" i="1549"/>
  <c r="R12" i="1549"/>
  <c r="L12" i="1549"/>
  <c r="D12" i="1549" s="1"/>
  <c r="R11" i="1549"/>
  <c r="R6" i="1549"/>
  <c r="L6" i="1549"/>
  <c r="D6" i="1549" s="1"/>
  <c r="R5" i="1549"/>
  <c r="R4" i="1549"/>
  <c r="R52" i="1548"/>
  <c r="R51" i="1548"/>
  <c r="D50" i="1548"/>
  <c r="R49" i="1548"/>
  <c r="D49" i="1548"/>
  <c r="R48" i="1548"/>
  <c r="D48" i="1548"/>
  <c r="D46" i="1548"/>
  <c r="D45" i="1548"/>
  <c r="D44" i="1548"/>
  <c r="R42" i="1548"/>
  <c r="D42" i="1548"/>
  <c r="R41" i="1548"/>
  <c r="D41" i="1548"/>
  <c r="R40" i="1548"/>
  <c r="L8" i="1548" s="1"/>
  <c r="D8" i="1548" s="1"/>
  <c r="D40" i="1548"/>
  <c r="R39" i="1548"/>
  <c r="H39" i="1548"/>
  <c r="D39" i="1548"/>
  <c r="R38" i="1548"/>
  <c r="L9" i="1548" s="1"/>
  <c r="D9" i="1548" s="1"/>
  <c r="H38" i="1548"/>
  <c r="D38" i="1548"/>
  <c r="R37" i="1548"/>
  <c r="H37" i="1548"/>
  <c r="D37" i="1548"/>
  <c r="R36" i="1548"/>
  <c r="H36" i="1548"/>
  <c r="D36" i="1548"/>
  <c r="R35" i="1548"/>
  <c r="H35" i="1548"/>
  <c r="D35" i="1548"/>
  <c r="R34" i="1548"/>
  <c r="H34" i="1548"/>
  <c r="D34" i="1548"/>
  <c r="R33" i="1548"/>
  <c r="L23" i="1548" s="1"/>
  <c r="D23" i="1548" s="1"/>
  <c r="R32" i="1548"/>
  <c r="R31" i="1548"/>
  <c r="R30" i="1548"/>
  <c r="R29" i="1548"/>
  <c r="R28" i="1548"/>
  <c r="L16" i="1548" s="1"/>
  <c r="D16" i="1548" s="1"/>
  <c r="D28" i="1548"/>
  <c r="R27" i="1548"/>
  <c r="D27" i="1548"/>
  <c r="R26" i="1548"/>
  <c r="L26" i="1548"/>
  <c r="D26" i="1548"/>
  <c r="R25" i="1548"/>
  <c r="L25" i="1548"/>
  <c r="D25" i="1548"/>
  <c r="R24" i="1548"/>
  <c r="D24" i="1548"/>
  <c r="R23" i="1548"/>
  <c r="R22" i="1548"/>
  <c r="L22" i="1548"/>
  <c r="D22" i="1548"/>
  <c r="R21" i="1548"/>
  <c r="D21" i="1548"/>
  <c r="R20" i="1548"/>
  <c r="L20" i="1548"/>
  <c r="D20" i="1548"/>
  <c r="R19" i="1548"/>
  <c r="L19" i="1548"/>
  <c r="D19" i="1548" s="1"/>
  <c r="R18" i="1548"/>
  <c r="D18" i="1548"/>
  <c r="R17" i="1548"/>
  <c r="D17" i="1548"/>
  <c r="R16" i="1548"/>
  <c r="R15" i="1548"/>
  <c r="D15" i="1548"/>
  <c r="R14" i="1548"/>
  <c r="D14" i="1548"/>
  <c r="R13" i="1548"/>
  <c r="D13" i="1548"/>
  <c r="R12" i="1548"/>
  <c r="L12" i="1548"/>
  <c r="D12" i="1548" s="1"/>
  <c r="R11" i="1548"/>
  <c r="L11" i="1548"/>
  <c r="D11" i="1548" s="1"/>
  <c r="L10" i="1548"/>
  <c r="D10" i="1548"/>
  <c r="L7" i="1548"/>
  <c r="D7" i="1548"/>
  <c r="R6" i="1548"/>
  <c r="L6" i="1548"/>
  <c r="D6" i="1548" s="1"/>
  <c r="R5" i="1548"/>
  <c r="R4" i="1548"/>
  <c r="R52" i="1547"/>
  <c r="R51" i="1547"/>
  <c r="D50" i="1547"/>
  <c r="R49" i="1547"/>
  <c r="D49" i="1547"/>
  <c r="R48" i="1547"/>
  <c r="D48" i="1547"/>
  <c r="D46" i="1547"/>
  <c r="D45" i="1547"/>
  <c r="D44" i="1547"/>
  <c r="R42" i="1547"/>
  <c r="D42" i="1547"/>
  <c r="R41" i="1547"/>
  <c r="L7" i="1547" s="1"/>
  <c r="D7" i="1547" s="1"/>
  <c r="D41" i="1547"/>
  <c r="R40" i="1547"/>
  <c r="L8" i="1547" s="1"/>
  <c r="D8" i="1547" s="1"/>
  <c r="D40" i="1547"/>
  <c r="R39" i="1547"/>
  <c r="L20" i="1547" s="1"/>
  <c r="D20" i="1547" s="1"/>
  <c r="H39" i="1547"/>
  <c r="D39" i="1547"/>
  <c r="R38" i="1547"/>
  <c r="H38" i="1547"/>
  <c r="D38" i="1547"/>
  <c r="R37" i="1547"/>
  <c r="H37" i="1547"/>
  <c r="D37" i="1547"/>
  <c r="R36" i="1547"/>
  <c r="L10" i="1547" s="1"/>
  <c r="D10" i="1547" s="1"/>
  <c r="H36" i="1547"/>
  <c r="D36" i="1547"/>
  <c r="R35" i="1547"/>
  <c r="H35" i="1547"/>
  <c r="D35" i="1547"/>
  <c r="R34" i="1547"/>
  <c r="H34" i="1547"/>
  <c r="D34" i="1547"/>
  <c r="R33" i="1547"/>
  <c r="L23" i="1547" s="1"/>
  <c r="D23" i="1547" s="1"/>
  <c r="R32" i="1547"/>
  <c r="L11" i="1547" s="1"/>
  <c r="D11" i="1547" s="1"/>
  <c r="R31" i="1547"/>
  <c r="R30" i="1547"/>
  <c r="R29" i="1547"/>
  <c r="R28" i="1547"/>
  <c r="D28" i="1547"/>
  <c r="R27" i="1547"/>
  <c r="D27" i="1547"/>
  <c r="R26" i="1547"/>
  <c r="L26" i="1547"/>
  <c r="D26" i="1547" s="1"/>
  <c r="R25" i="1547"/>
  <c r="L25" i="1547"/>
  <c r="D25" i="1547"/>
  <c r="R24" i="1547"/>
  <c r="L24" i="1547"/>
  <c r="D24" i="1547"/>
  <c r="R23" i="1547"/>
  <c r="R22" i="1547"/>
  <c r="L22" i="1547"/>
  <c r="D22" i="1547" s="1"/>
  <c r="R21" i="1547"/>
  <c r="L17" i="1547" s="1"/>
  <c r="D17" i="1547" s="1"/>
  <c r="D21" i="1547"/>
  <c r="R20" i="1547"/>
  <c r="R19" i="1547"/>
  <c r="L19" i="1547"/>
  <c r="D19" i="1547"/>
  <c r="R18" i="1547"/>
  <c r="D18" i="1547"/>
  <c r="R17" i="1547"/>
  <c r="R16" i="1547"/>
  <c r="L16" i="1547"/>
  <c r="D16" i="1547" s="1"/>
  <c r="R15" i="1547"/>
  <c r="D15" i="1547"/>
  <c r="R14" i="1547"/>
  <c r="D14" i="1547"/>
  <c r="R13" i="1547"/>
  <c r="D13" i="1547"/>
  <c r="R12" i="1547"/>
  <c r="L12" i="1547"/>
  <c r="D12" i="1547" s="1"/>
  <c r="R11" i="1547"/>
  <c r="L9" i="1547"/>
  <c r="D9" i="1547"/>
  <c r="R6" i="1547"/>
  <c r="L6" i="1547"/>
  <c r="D6" i="1547"/>
  <c r="R5" i="1547"/>
  <c r="R4" i="1547"/>
  <c r="R52" i="1546"/>
  <c r="R51" i="1546"/>
  <c r="D50" i="1546"/>
  <c r="R49" i="1546"/>
  <c r="D49" i="1546"/>
  <c r="R48" i="1546"/>
  <c r="D48" i="1546"/>
  <c r="D46" i="1546"/>
  <c r="D45" i="1546"/>
  <c r="P44" i="1546"/>
  <c r="R44" i="1546" s="1"/>
  <c r="D44" i="1546"/>
  <c r="R42" i="1546"/>
  <c r="D42" i="1546"/>
  <c r="R41" i="1546"/>
  <c r="D41" i="1546"/>
  <c r="R40" i="1546"/>
  <c r="L8" i="1546" s="1"/>
  <c r="D8" i="1546" s="1"/>
  <c r="D40" i="1546"/>
  <c r="R39" i="1546"/>
  <c r="L20" i="1546" s="1"/>
  <c r="D20" i="1546" s="1"/>
  <c r="H39" i="1546"/>
  <c r="D39" i="1546"/>
  <c r="R38" i="1546"/>
  <c r="L9" i="1546" s="1"/>
  <c r="D9" i="1546" s="1"/>
  <c r="H38" i="1546"/>
  <c r="D38" i="1546"/>
  <c r="R37" i="1546"/>
  <c r="H37" i="1546"/>
  <c r="D37" i="1546"/>
  <c r="R36" i="1546"/>
  <c r="H36" i="1546"/>
  <c r="D36" i="1546"/>
  <c r="R35" i="1546"/>
  <c r="H35" i="1546"/>
  <c r="D35" i="1546"/>
  <c r="R34" i="1546"/>
  <c r="L12" i="1546" s="1"/>
  <c r="D12" i="1546" s="1"/>
  <c r="H34" i="1546"/>
  <c r="D34" i="1546"/>
  <c r="R33" i="1546"/>
  <c r="R32" i="1546"/>
  <c r="R31" i="1546"/>
  <c r="R30" i="1546"/>
  <c r="R29" i="1546"/>
  <c r="R28" i="1546"/>
  <c r="D28" i="1546"/>
  <c r="R27" i="1546"/>
  <c r="D27" i="1546"/>
  <c r="R26" i="1546"/>
  <c r="L26" i="1546"/>
  <c r="D26" i="1546"/>
  <c r="R25" i="1546"/>
  <c r="L25" i="1546"/>
  <c r="D25" i="1546" s="1"/>
  <c r="R24" i="1546"/>
  <c r="L24" i="1546"/>
  <c r="D24" i="1546"/>
  <c r="R23" i="1546"/>
  <c r="D23" i="1546"/>
  <c r="R22" i="1546"/>
  <c r="D22" i="1546"/>
  <c r="R21" i="1546"/>
  <c r="D21" i="1546"/>
  <c r="R20" i="1546"/>
  <c r="R19" i="1546"/>
  <c r="D19" i="1546"/>
  <c r="R18" i="1546"/>
  <c r="D18" i="1546"/>
  <c r="R17" i="1546"/>
  <c r="L17" i="1546"/>
  <c r="D17" i="1546"/>
  <c r="R16" i="1546"/>
  <c r="L16" i="1546"/>
  <c r="D16" i="1546"/>
  <c r="R15" i="1546"/>
  <c r="D15" i="1546"/>
  <c r="R14" i="1546"/>
  <c r="D14" i="1546"/>
  <c r="R13" i="1546"/>
  <c r="D13" i="1546"/>
  <c r="R12" i="1546"/>
  <c r="R11" i="1546"/>
  <c r="L11" i="1546"/>
  <c r="D11" i="1546" s="1"/>
  <c r="L10" i="1546"/>
  <c r="D10" i="1546" s="1"/>
  <c r="L7" i="1546"/>
  <c r="D7" i="1546"/>
  <c r="R6" i="1546"/>
  <c r="L6" i="1546"/>
  <c r="D6" i="1546" s="1"/>
  <c r="R5" i="1546"/>
  <c r="R4" i="1546"/>
  <c r="R52" i="1545"/>
  <c r="R51" i="1545"/>
  <c r="D50" i="1545"/>
  <c r="R49" i="1545"/>
  <c r="G49" i="1545"/>
  <c r="D49" i="1545"/>
  <c r="R48" i="1545"/>
  <c r="D48" i="1545"/>
  <c r="D46" i="1545"/>
  <c r="D45" i="1545"/>
  <c r="D44" i="1545"/>
  <c r="R42" i="1545"/>
  <c r="L6" i="1545" s="1"/>
  <c r="D6" i="1545" s="1"/>
  <c r="D42" i="1545"/>
  <c r="R41" i="1545"/>
  <c r="L7" i="1545" s="1"/>
  <c r="D7" i="1545" s="1"/>
  <c r="D41" i="1545"/>
  <c r="R40" i="1545"/>
  <c r="L8" i="1545" s="1"/>
  <c r="D8" i="1545" s="1"/>
  <c r="D40" i="1545"/>
  <c r="R39" i="1545"/>
  <c r="D39" i="1545"/>
  <c r="R38" i="1545"/>
  <c r="D38" i="1545"/>
  <c r="R37" i="1545"/>
  <c r="D37" i="1545"/>
  <c r="R36" i="1545"/>
  <c r="L10" i="1545" s="1"/>
  <c r="D10" i="1545" s="1"/>
  <c r="D36" i="1545"/>
  <c r="R35" i="1545"/>
  <c r="D35" i="1545"/>
  <c r="R34" i="1545"/>
  <c r="L12" i="1545" s="1"/>
  <c r="D12" i="1545" s="1"/>
  <c r="D34" i="1545"/>
  <c r="D54" i="1545" s="1"/>
  <c r="H14" i="1545" s="1"/>
  <c r="R33" i="1545"/>
  <c r="L23" i="1545" s="1"/>
  <c r="D23" i="1545" s="1"/>
  <c r="R32" i="1545"/>
  <c r="R31" i="1545"/>
  <c r="R30" i="1545"/>
  <c r="R29" i="1545"/>
  <c r="R28" i="1545"/>
  <c r="D28" i="1545"/>
  <c r="R27" i="1545"/>
  <c r="D27" i="1545"/>
  <c r="R26" i="1545"/>
  <c r="L26" i="1545"/>
  <c r="D26" i="1545"/>
  <c r="R25" i="1545"/>
  <c r="L25" i="1545"/>
  <c r="D25" i="1545"/>
  <c r="R24" i="1545"/>
  <c r="D24" i="1545"/>
  <c r="R23" i="1545"/>
  <c r="R22" i="1545"/>
  <c r="L22" i="1545"/>
  <c r="D22" i="1545"/>
  <c r="R21" i="1545"/>
  <c r="D21" i="1545"/>
  <c r="R20" i="1545"/>
  <c r="L20" i="1545"/>
  <c r="D20" i="1545"/>
  <c r="R19" i="1545"/>
  <c r="L19" i="1545"/>
  <c r="D19" i="1545"/>
  <c r="R18" i="1545"/>
  <c r="D18" i="1545"/>
  <c r="R17" i="1545"/>
  <c r="D17" i="1545"/>
  <c r="R16" i="1545"/>
  <c r="L16" i="1545"/>
  <c r="D16" i="1545" s="1"/>
  <c r="S15" i="1545"/>
  <c r="R15" i="1545"/>
  <c r="D15" i="1545"/>
  <c r="S14" i="1545"/>
  <c r="R14" i="1545"/>
  <c r="D14" i="1545"/>
  <c r="R13" i="1545"/>
  <c r="D13" i="1545"/>
  <c r="R12" i="1545"/>
  <c r="R11" i="1545"/>
  <c r="L11" i="1545"/>
  <c r="D11" i="1545"/>
  <c r="L9" i="1545"/>
  <c r="D9" i="1545"/>
  <c r="R6" i="1545"/>
  <c r="R5" i="1545"/>
  <c r="R4" i="1545"/>
  <c r="R52" i="1544"/>
  <c r="R51" i="1544"/>
  <c r="D50" i="1544"/>
  <c r="R49" i="1544"/>
  <c r="D49" i="1544"/>
  <c r="R48" i="1544"/>
  <c r="D48" i="1544"/>
  <c r="D46" i="1544"/>
  <c r="D45" i="1544"/>
  <c r="D44" i="1544"/>
  <c r="R42" i="1544"/>
  <c r="D42" i="1544"/>
  <c r="R41" i="1544"/>
  <c r="L7" i="1544" s="1"/>
  <c r="D7" i="1544" s="1"/>
  <c r="D41" i="1544"/>
  <c r="R40" i="1544"/>
  <c r="L8" i="1544" s="1"/>
  <c r="D8" i="1544" s="1"/>
  <c r="D40" i="1544"/>
  <c r="R39" i="1544"/>
  <c r="H39" i="1544"/>
  <c r="D39" i="1544"/>
  <c r="R38" i="1544"/>
  <c r="H38" i="1544"/>
  <c r="D38" i="1544"/>
  <c r="R37" i="1544"/>
  <c r="H37" i="1544"/>
  <c r="D37" i="1544"/>
  <c r="R36" i="1544"/>
  <c r="L10" i="1544" s="1"/>
  <c r="D10" i="1544" s="1"/>
  <c r="H36" i="1544"/>
  <c r="D36" i="1544"/>
  <c r="R35" i="1544"/>
  <c r="L19" i="1544" s="1"/>
  <c r="D19" i="1544" s="1"/>
  <c r="H35" i="1544"/>
  <c r="D35" i="1544"/>
  <c r="R34" i="1544"/>
  <c r="H34" i="1544"/>
  <c r="G49" i="1544" s="1"/>
  <c r="D34" i="1544"/>
  <c r="R33" i="1544"/>
  <c r="L23" i="1544" s="1"/>
  <c r="D23" i="1544" s="1"/>
  <c r="R32" i="1544"/>
  <c r="L11" i="1544" s="1"/>
  <c r="D11" i="1544" s="1"/>
  <c r="R31" i="1544"/>
  <c r="R30" i="1544"/>
  <c r="R29" i="1544"/>
  <c r="R28" i="1544"/>
  <c r="L16" i="1544" s="1"/>
  <c r="D16" i="1544" s="1"/>
  <c r="D28" i="1544"/>
  <c r="R27" i="1544"/>
  <c r="D27" i="1544"/>
  <c r="R26" i="1544"/>
  <c r="L26" i="1544"/>
  <c r="D26" i="1544"/>
  <c r="R25" i="1544"/>
  <c r="L25" i="1544"/>
  <c r="D25" i="1544" s="1"/>
  <c r="R24" i="1544"/>
  <c r="D24" i="1544"/>
  <c r="R23" i="1544"/>
  <c r="R22" i="1544"/>
  <c r="L22" i="1544"/>
  <c r="D22" i="1544" s="1"/>
  <c r="R21" i="1544"/>
  <c r="D21" i="1544"/>
  <c r="R20" i="1544"/>
  <c r="L20" i="1544"/>
  <c r="D20" i="1544"/>
  <c r="R19" i="1544"/>
  <c r="R18" i="1544"/>
  <c r="D18" i="1544"/>
  <c r="R17" i="1544"/>
  <c r="D17" i="1544"/>
  <c r="R16" i="1544"/>
  <c r="R15" i="1544"/>
  <c r="D15" i="1544"/>
  <c r="R14" i="1544"/>
  <c r="D14" i="1544"/>
  <c r="R13" i="1544"/>
  <c r="D13" i="1544"/>
  <c r="R12" i="1544"/>
  <c r="L12" i="1544"/>
  <c r="D12" i="1544" s="1"/>
  <c r="R11" i="1544"/>
  <c r="L9" i="1544"/>
  <c r="D9" i="1544"/>
  <c r="R6" i="1544"/>
  <c r="L6" i="1544"/>
  <c r="D6" i="1544" s="1"/>
  <c r="R5" i="1544"/>
  <c r="R4" i="1544"/>
  <c r="R52" i="1543"/>
  <c r="R51" i="1543"/>
  <c r="D50" i="1543"/>
  <c r="R49" i="1543"/>
  <c r="D49" i="1543"/>
  <c r="R48" i="1543"/>
  <c r="D48" i="1543"/>
  <c r="D46" i="1543"/>
  <c r="D45" i="1543"/>
  <c r="D44" i="1543"/>
  <c r="R42" i="1543"/>
  <c r="D42" i="1543"/>
  <c r="R41" i="1543"/>
  <c r="L7" i="1543" s="1"/>
  <c r="D7" i="1543" s="1"/>
  <c r="D41" i="1543"/>
  <c r="R40" i="1543"/>
  <c r="L8" i="1543" s="1"/>
  <c r="D8" i="1543" s="1"/>
  <c r="D40" i="1543"/>
  <c r="R39" i="1543"/>
  <c r="L20" i="1543" s="1"/>
  <c r="D20" i="1543" s="1"/>
  <c r="H39" i="1543"/>
  <c r="D39" i="1543"/>
  <c r="R38" i="1543"/>
  <c r="L9" i="1543" s="1"/>
  <c r="D9" i="1543" s="1"/>
  <c r="H38" i="1543"/>
  <c r="D38" i="1543"/>
  <c r="R37" i="1543"/>
  <c r="H37" i="1543"/>
  <c r="D37" i="1543"/>
  <c r="R36" i="1543"/>
  <c r="L10" i="1543" s="1"/>
  <c r="D10" i="1543" s="1"/>
  <c r="H36" i="1543"/>
  <c r="D36" i="1543"/>
  <c r="R35" i="1543"/>
  <c r="L19" i="1543" s="1"/>
  <c r="D19" i="1543" s="1"/>
  <c r="H35" i="1543"/>
  <c r="D35" i="1543"/>
  <c r="R34" i="1543"/>
  <c r="H34" i="1543"/>
  <c r="D34" i="1543"/>
  <c r="R33" i="1543"/>
  <c r="L23" i="1543" s="1"/>
  <c r="D23" i="1543" s="1"/>
  <c r="R32" i="1543"/>
  <c r="L11" i="1543" s="1"/>
  <c r="D11" i="1543" s="1"/>
  <c r="R31" i="1543"/>
  <c r="R30" i="1543"/>
  <c r="R29" i="1543"/>
  <c r="R28" i="1543"/>
  <c r="D28" i="1543"/>
  <c r="R27" i="1543"/>
  <c r="D27" i="1543"/>
  <c r="R26" i="1543"/>
  <c r="L26" i="1543"/>
  <c r="D26" i="1543" s="1"/>
  <c r="R25" i="1543"/>
  <c r="L25" i="1543"/>
  <c r="D25" i="1543"/>
  <c r="R24" i="1543"/>
  <c r="L24" i="1543"/>
  <c r="D24" i="1543" s="1"/>
  <c r="R23" i="1543"/>
  <c r="R22" i="1543"/>
  <c r="L22" i="1543"/>
  <c r="D22" i="1543" s="1"/>
  <c r="R21" i="1543"/>
  <c r="L17" i="1543" s="1"/>
  <c r="D17" i="1543" s="1"/>
  <c r="D21" i="1543"/>
  <c r="R20" i="1543"/>
  <c r="R19" i="1543"/>
  <c r="R18" i="1543"/>
  <c r="D18" i="1543"/>
  <c r="R17" i="1543"/>
  <c r="R16" i="1543"/>
  <c r="L16" i="1543"/>
  <c r="D16" i="1543" s="1"/>
  <c r="R15" i="1543"/>
  <c r="D15" i="1543"/>
  <c r="R14" i="1543"/>
  <c r="D14" i="1543"/>
  <c r="R13" i="1543"/>
  <c r="D13" i="1543"/>
  <c r="R12" i="1543"/>
  <c r="L12" i="1543"/>
  <c r="D12" i="1543"/>
  <c r="R11" i="1543"/>
  <c r="R6" i="1543"/>
  <c r="L6" i="1543"/>
  <c r="D6" i="1543" s="1"/>
  <c r="R5" i="1543"/>
  <c r="R4" i="1543"/>
  <c r="R52" i="1542"/>
  <c r="R51" i="1542"/>
  <c r="D50" i="1542"/>
  <c r="R49" i="1542"/>
  <c r="D49" i="1542"/>
  <c r="R48" i="1542"/>
  <c r="D48" i="1542"/>
  <c r="D46" i="1542"/>
  <c r="D45" i="1542"/>
  <c r="P44" i="1542"/>
  <c r="R44" i="1542" s="1"/>
  <c r="D44" i="1542"/>
  <c r="R42" i="1542"/>
  <c r="L6" i="1542" s="1"/>
  <c r="D6" i="1542" s="1"/>
  <c r="D42" i="1542"/>
  <c r="R41" i="1542"/>
  <c r="L7" i="1542" s="1"/>
  <c r="D7" i="1542" s="1"/>
  <c r="D41" i="1542"/>
  <c r="R40" i="1542"/>
  <c r="D40" i="1542"/>
  <c r="R39" i="1542"/>
  <c r="L20" i="1542" s="1"/>
  <c r="D20" i="1542" s="1"/>
  <c r="H39" i="1542"/>
  <c r="D39" i="1542"/>
  <c r="R38" i="1542"/>
  <c r="H38" i="1542"/>
  <c r="D38" i="1542"/>
  <c r="R37" i="1542"/>
  <c r="H37" i="1542"/>
  <c r="D37" i="1542"/>
  <c r="R36" i="1542"/>
  <c r="H36" i="1542"/>
  <c r="D36" i="1542"/>
  <c r="R35" i="1542"/>
  <c r="H35" i="1542"/>
  <c r="D35" i="1542"/>
  <c r="R34" i="1542"/>
  <c r="H34" i="1542"/>
  <c r="D34" i="1542"/>
  <c r="R33" i="1542"/>
  <c r="R32" i="1542"/>
  <c r="R31" i="1542"/>
  <c r="R30" i="1542"/>
  <c r="R29" i="1542"/>
  <c r="R28" i="1542"/>
  <c r="D28" i="1542"/>
  <c r="R27" i="1542"/>
  <c r="D27" i="1542"/>
  <c r="R26" i="1542"/>
  <c r="L26" i="1542"/>
  <c r="D26" i="1542"/>
  <c r="R25" i="1542"/>
  <c r="L25" i="1542"/>
  <c r="D25" i="1542"/>
  <c r="R24" i="1542"/>
  <c r="L24" i="1542"/>
  <c r="D24" i="1542"/>
  <c r="R23" i="1542"/>
  <c r="D23" i="1542"/>
  <c r="R22" i="1542"/>
  <c r="D22" i="1542"/>
  <c r="R21" i="1542"/>
  <c r="D21" i="1542"/>
  <c r="R20" i="1542"/>
  <c r="R19" i="1542"/>
  <c r="D19" i="1542"/>
  <c r="R18" i="1542"/>
  <c r="D18" i="1542"/>
  <c r="R17" i="1542"/>
  <c r="L17" i="1542"/>
  <c r="D17" i="1542"/>
  <c r="R16" i="1542"/>
  <c r="L16" i="1542"/>
  <c r="D16" i="1542"/>
  <c r="R15" i="1542"/>
  <c r="D15" i="1542"/>
  <c r="R14" i="1542"/>
  <c r="D14" i="1542"/>
  <c r="R13" i="1542"/>
  <c r="D13" i="1542"/>
  <c r="R12" i="1542"/>
  <c r="L12" i="1542"/>
  <c r="D12" i="1542"/>
  <c r="R11" i="1542"/>
  <c r="L11" i="1542"/>
  <c r="D11" i="1542"/>
  <c r="L10" i="1542"/>
  <c r="D10" i="1542" s="1"/>
  <c r="L9" i="1542"/>
  <c r="D9" i="1542" s="1"/>
  <c r="L8" i="1542"/>
  <c r="D8" i="1542"/>
  <c r="R6" i="1542"/>
  <c r="R5" i="1542"/>
  <c r="R4" i="1542"/>
  <c r="D54" i="1541"/>
  <c r="H14" i="1541" s="1"/>
  <c r="R52" i="1541"/>
  <c r="R51" i="1541"/>
  <c r="D50" i="1541"/>
  <c r="R49" i="1541"/>
  <c r="G49" i="1541"/>
  <c r="D49" i="1541"/>
  <c r="R48" i="1541"/>
  <c r="D48" i="1541"/>
  <c r="D46" i="1541"/>
  <c r="D45" i="1541"/>
  <c r="D44" i="1541"/>
  <c r="R42" i="1541"/>
  <c r="D42" i="1541"/>
  <c r="R41" i="1541"/>
  <c r="L7" i="1541" s="1"/>
  <c r="D7" i="1541" s="1"/>
  <c r="D41" i="1541"/>
  <c r="R40" i="1541"/>
  <c r="L8" i="1541" s="1"/>
  <c r="D8" i="1541" s="1"/>
  <c r="D40" i="1541"/>
  <c r="R39" i="1541"/>
  <c r="D39" i="1541"/>
  <c r="R38" i="1541"/>
  <c r="D38" i="1541"/>
  <c r="R37" i="1541"/>
  <c r="D37" i="1541"/>
  <c r="R36" i="1541"/>
  <c r="D36" i="1541"/>
  <c r="R35" i="1541"/>
  <c r="D35" i="1541"/>
  <c r="R34" i="1541"/>
  <c r="L12" i="1541" s="1"/>
  <c r="D12" i="1541" s="1"/>
  <c r="D34" i="1541"/>
  <c r="R33" i="1541"/>
  <c r="L23" i="1541" s="1"/>
  <c r="D23" i="1541" s="1"/>
  <c r="R32" i="1541"/>
  <c r="L11" i="1541" s="1"/>
  <c r="D11" i="1541" s="1"/>
  <c r="R31" i="1541"/>
  <c r="R30" i="1541"/>
  <c r="R29" i="1541"/>
  <c r="R28" i="1541"/>
  <c r="L16" i="1541" s="1"/>
  <c r="D16" i="1541" s="1"/>
  <c r="D28" i="1541"/>
  <c r="R27" i="1541"/>
  <c r="D27" i="1541"/>
  <c r="R26" i="1541"/>
  <c r="L26" i="1541"/>
  <c r="D26" i="1541"/>
  <c r="R25" i="1541"/>
  <c r="L25" i="1541"/>
  <c r="D25" i="1541"/>
  <c r="R24" i="1541"/>
  <c r="D24" i="1541"/>
  <c r="R23" i="1541"/>
  <c r="R22" i="1541"/>
  <c r="L22" i="1541"/>
  <c r="D22" i="1541"/>
  <c r="R21" i="1541"/>
  <c r="D21" i="1541"/>
  <c r="R20" i="1541"/>
  <c r="L20" i="1541"/>
  <c r="D20" i="1541"/>
  <c r="R19" i="1541"/>
  <c r="L19" i="1541"/>
  <c r="D19" i="1541"/>
  <c r="R18" i="1541"/>
  <c r="D18" i="1541"/>
  <c r="R17" i="1541"/>
  <c r="D17" i="1541"/>
  <c r="R16" i="1541"/>
  <c r="S15" i="1541"/>
  <c r="R15" i="1541"/>
  <c r="D15" i="1541"/>
  <c r="S14" i="1541"/>
  <c r="R14" i="1541"/>
  <c r="D14" i="1541"/>
  <c r="R13" i="1541"/>
  <c r="D13" i="1541"/>
  <c r="R12" i="1541"/>
  <c r="R11" i="1541"/>
  <c r="L10" i="1541"/>
  <c r="D10" i="1541"/>
  <c r="L9" i="1541"/>
  <c r="D9" i="1541"/>
  <c r="R6" i="1541"/>
  <c r="L6" i="1541"/>
  <c r="D6" i="1541" s="1"/>
  <c r="R5" i="1541"/>
  <c r="R4" i="1541"/>
  <c r="G49" i="1564" l="1"/>
  <c r="G49" i="1563"/>
  <c r="D54" i="1564"/>
  <c r="H14" i="1564" s="1"/>
  <c r="D54" i="1563"/>
  <c r="H14" i="1563" s="1"/>
  <c r="D29" i="1563"/>
  <c r="H13" i="1563" s="1"/>
  <c r="D54" i="1562"/>
  <c r="H14" i="1562" s="1"/>
  <c r="D29" i="1562"/>
  <c r="H13" i="1562" s="1"/>
  <c r="D54" i="1560"/>
  <c r="H14" i="1560" s="1"/>
  <c r="D29" i="1560"/>
  <c r="H13" i="1560" s="1"/>
  <c r="D54" i="1559"/>
  <c r="H14" i="1559" s="1"/>
  <c r="D29" i="1559"/>
  <c r="H13" i="1559" s="1"/>
  <c r="D54" i="1558"/>
  <c r="H14" i="1558" s="1"/>
  <c r="G49" i="1560"/>
  <c r="G49" i="1559"/>
  <c r="G49" i="1558"/>
  <c r="G49" i="1556"/>
  <c r="G49" i="1555"/>
  <c r="G49" i="1554"/>
  <c r="D54" i="1556"/>
  <c r="H14" i="1556" s="1"/>
  <c r="D54" i="1555"/>
  <c r="H14" i="1555" s="1"/>
  <c r="D54" i="1554"/>
  <c r="H14" i="1554" s="1"/>
  <c r="D54" i="1552"/>
  <c r="H14" i="1552" s="1"/>
  <c r="D54" i="1551"/>
  <c r="H14" i="1551" s="1"/>
  <c r="D54" i="1550"/>
  <c r="H14" i="1550" s="1"/>
  <c r="G49" i="1547"/>
  <c r="G49" i="1546"/>
  <c r="D54" i="1548"/>
  <c r="H14" i="1548" s="1"/>
  <c r="D54" i="1547"/>
  <c r="H14" i="1547" s="1"/>
  <c r="D54" i="1546"/>
  <c r="H14" i="1546" s="1"/>
  <c r="D54" i="1544"/>
  <c r="H14" i="1544" s="1"/>
  <c r="D54" i="1543"/>
  <c r="H14" i="1543" s="1"/>
  <c r="D54" i="1542"/>
  <c r="H14" i="1542" s="1"/>
  <c r="G49" i="1543"/>
  <c r="G49" i="1542"/>
  <c r="D29" i="1564"/>
  <c r="H13" i="1564" s="1"/>
  <c r="D29" i="1561"/>
  <c r="H13" i="1561" s="1"/>
  <c r="H15" i="1561" s="1"/>
  <c r="H29" i="1561" s="1"/>
  <c r="G51" i="1561" s="1"/>
  <c r="D29" i="1558"/>
  <c r="H13" i="1558" s="1"/>
  <c r="D29" i="1557"/>
  <c r="H13" i="1557" s="1"/>
  <c r="H15" i="1557" s="1"/>
  <c r="H29" i="1557" s="1"/>
  <c r="G51" i="1557" s="1"/>
  <c r="D29" i="1556"/>
  <c r="H13" i="1556" s="1"/>
  <c r="D29" i="1555"/>
  <c r="H13" i="1555" s="1"/>
  <c r="D29" i="1554"/>
  <c r="H13" i="1554" s="1"/>
  <c r="H15" i="1554" s="1"/>
  <c r="H29" i="1554" s="1"/>
  <c r="D29" i="1553"/>
  <c r="H13" i="1553" s="1"/>
  <c r="H15" i="1553" s="1"/>
  <c r="H29" i="1553" s="1"/>
  <c r="G51" i="1553" s="1"/>
  <c r="D29" i="1552"/>
  <c r="H13" i="1552" s="1"/>
  <c r="D29" i="1551"/>
  <c r="H13" i="1551" s="1"/>
  <c r="H15" i="1551" s="1"/>
  <c r="H29" i="1551" s="1"/>
  <c r="G51" i="1551" s="1"/>
  <c r="D29" i="1550"/>
  <c r="H13" i="1550" s="1"/>
  <c r="D29" i="1549"/>
  <c r="H13" i="1549" s="1"/>
  <c r="H15" i="1549" s="1"/>
  <c r="H29" i="1549" s="1"/>
  <c r="G51" i="1549" s="1"/>
  <c r="D29" i="1548"/>
  <c r="H13" i="1548" s="1"/>
  <c r="D29" i="1547"/>
  <c r="H13" i="1547" s="1"/>
  <c r="D29" i="1546"/>
  <c r="H13" i="1546" s="1"/>
  <c r="H15" i="1546" s="1"/>
  <c r="H29" i="1546" s="1"/>
  <c r="G51" i="1546" s="1"/>
  <c r="D29" i="1545"/>
  <c r="H13" i="1545" s="1"/>
  <c r="H15" i="1545" s="1"/>
  <c r="H29" i="1545" s="1"/>
  <c r="G51" i="1545" s="1"/>
  <c r="D29" i="1544"/>
  <c r="H13" i="1544" s="1"/>
  <c r="D29" i="1543"/>
  <c r="H13" i="1543" s="1"/>
  <c r="D29" i="1542"/>
  <c r="H13" i="1542" s="1"/>
  <c r="D29" i="1541"/>
  <c r="H13" i="1541" s="1"/>
  <c r="H15" i="1541" s="1"/>
  <c r="H29" i="1541" s="1"/>
  <c r="G51" i="1541" s="1"/>
  <c r="R52" i="1539"/>
  <c r="R51" i="1539"/>
  <c r="D50" i="1539"/>
  <c r="R49" i="1539"/>
  <c r="D49" i="1539"/>
  <c r="R48" i="1539"/>
  <c r="D48" i="1539"/>
  <c r="D46" i="1539"/>
  <c r="D45" i="1539"/>
  <c r="D44" i="1539"/>
  <c r="R42" i="1539"/>
  <c r="L6" i="1539" s="1"/>
  <c r="D6" i="1539" s="1"/>
  <c r="D42" i="1539"/>
  <c r="R41" i="1539"/>
  <c r="L7" i="1539" s="1"/>
  <c r="D7" i="1539" s="1"/>
  <c r="D41" i="1539"/>
  <c r="R40" i="1539"/>
  <c r="L8" i="1539" s="1"/>
  <c r="D8" i="1539" s="1"/>
  <c r="D40" i="1539"/>
  <c r="R39" i="1539"/>
  <c r="H39" i="1539"/>
  <c r="D39" i="1539"/>
  <c r="R38" i="1539"/>
  <c r="H38" i="1539"/>
  <c r="D38" i="1539"/>
  <c r="R37" i="1539"/>
  <c r="H37" i="1539"/>
  <c r="D37" i="1539"/>
  <c r="R36" i="1539"/>
  <c r="H36" i="1539"/>
  <c r="D36" i="1539"/>
  <c r="R35" i="1539"/>
  <c r="H35" i="1539"/>
  <c r="D35" i="1539"/>
  <c r="R34" i="1539"/>
  <c r="H34" i="1539"/>
  <c r="D34" i="1539"/>
  <c r="R33" i="1539"/>
  <c r="L23" i="1539" s="1"/>
  <c r="D23" i="1539" s="1"/>
  <c r="R32" i="1539"/>
  <c r="R31" i="1539"/>
  <c r="R30" i="1539"/>
  <c r="R29" i="1539"/>
  <c r="R28" i="1539"/>
  <c r="D28" i="1539"/>
  <c r="R27" i="1539"/>
  <c r="D27" i="1539"/>
  <c r="R26" i="1539"/>
  <c r="L26" i="1539"/>
  <c r="D26" i="1539" s="1"/>
  <c r="R25" i="1539"/>
  <c r="L25" i="1539"/>
  <c r="D25" i="1539" s="1"/>
  <c r="R24" i="1539"/>
  <c r="D24" i="1539"/>
  <c r="R23" i="1539"/>
  <c r="R22" i="1539"/>
  <c r="L22" i="1539"/>
  <c r="D22" i="1539"/>
  <c r="R21" i="1539"/>
  <c r="D21" i="1539"/>
  <c r="R20" i="1539"/>
  <c r="L20" i="1539"/>
  <c r="D20" i="1539" s="1"/>
  <c r="R19" i="1539"/>
  <c r="L19" i="1539"/>
  <c r="D19" i="1539" s="1"/>
  <c r="R18" i="1539"/>
  <c r="D18" i="1539"/>
  <c r="R17" i="1539"/>
  <c r="D17" i="1539"/>
  <c r="R16" i="1539"/>
  <c r="L16" i="1539"/>
  <c r="D16" i="1539" s="1"/>
  <c r="R15" i="1539"/>
  <c r="D15" i="1539"/>
  <c r="R14" i="1539"/>
  <c r="D14" i="1539"/>
  <c r="R13" i="1539"/>
  <c r="D13" i="1539"/>
  <c r="R12" i="1539"/>
  <c r="L12" i="1539"/>
  <c r="D12" i="1539" s="1"/>
  <c r="R11" i="1539"/>
  <c r="L11" i="1539"/>
  <c r="D11" i="1539"/>
  <c r="L10" i="1539"/>
  <c r="D10" i="1539"/>
  <c r="L9" i="1539"/>
  <c r="D9" i="1539"/>
  <c r="R6" i="1539"/>
  <c r="R5" i="1539"/>
  <c r="R4" i="1539"/>
  <c r="R52" i="1538"/>
  <c r="R51" i="1538"/>
  <c r="D50" i="1538"/>
  <c r="R49" i="1538"/>
  <c r="D49" i="1538"/>
  <c r="R48" i="1538"/>
  <c r="D48" i="1538"/>
  <c r="D46" i="1538"/>
  <c r="D45" i="1538"/>
  <c r="D44" i="1538"/>
  <c r="R42" i="1538"/>
  <c r="D42" i="1538"/>
  <c r="R41" i="1538"/>
  <c r="D41" i="1538"/>
  <c r="R40" i="1538"/>
  <c r="D40" i="1538"/>
  <c r="R39" i="1538"/>
  <c r="H39" i="1538"/>
  <c r="D39" i="1538"/>
  <c r="R38" i="1538"/>
  <c r="H38" i="1538"/>
  <c r="D38" i="1538"/>
  <c r="R37" i="1538"/>
  <c r="H37" i="1538"/>
  <c r="D37" i="1538"/>
  <c r="R36" i="1538"/>
  <c r="L10" i="1538" s="1"/>
  <c r="D10" i="1538" s="1"/>
  <c r="H36" i="1538"/>
  <c r="D36" i="1538"/>
  <c r="R35" i="1538"/>
  <c r="H35" i="1538"/>
  <c r="D35" i="1538"/>
  <c r="R34" i="1538"/>
  <c r="L12" i="1538" s="1"/>
  <c r="D12" i="1538" s="1"/>
  <c r="H34" i="1538"/>
  <c r="D34" i="1538"/>
  <c r="R33" i="1538"/>
  <c r="R32" i="1538"/>
  <c r="L11" i="1538" s="1"/>
  <c r="D11" i="1538" s="1"/>
  <c r="R31" i="1538"/>
  <c r="R30" i="1538"/>
  <c r="R29" i="1538"/>
  <c r="R28" i="1538"/>
  <c r="D28" i="1538"/>
  <c r="R27" i="1538"/>
  <c r="D27" i="1538"/>
  <c r="R26" i="1538"/>
  <c r="L26" i="1538"/>
  <c r="D26" i="1538"/>
  <c r="R25" i="1538"/>
  <c r="L25" i="1538"/>
  <c r="D25" i="1538"/>
  <c r="R24" i="1538"/>
  <c r="L24" i="1538"/>
  <c r="D24" i="1538" s="1"/>
  <c r="R23" i="1538"/>
  <c r="L23" i="1538"/>
  <c r="D23" i="1538" s="1"/>
  <c r="R22" i="1538"/>
  <c r="L22" i="1538"/>
  <c r="D22" i="1538" s="1"/>
  <c r="R21" i="1538"/>
  <c r="D21" i="1538"/>
  <c r="R20" i="1538"/>
  <c r="L20" i="1538"/>
  <c r="D20" i="1538" s="1"/>
  <c r="R19" i="1538"/>
  <c r="L19" i="1538"/>
  <c r="D19" i="1538"/>
  <c r="R18" i="1538"/>
  <c r="D18" i="1538"/>
  <c r="R17" i="1538"/>
  <c r="L17" i="1538"/>
  <c r="D17" i="1538" s="1"/>
  <c r="R16" i="1538"/>
  <c r="L16" i="1538"/>
  <c r="D16" i="1538" s="1"/>
  <c r="R15" i="1538"/>
  <c r="D15" i="1538"/>
  <c r="R14" i="1538"/>
  <c r="D14" i="1538"/>
  <c r="R13" i="1538"/>
  <c r="D13" i="1538"/>
  <c r="R12" i="1538"/>
  <c r="R11" i="1538"/>
  <c r="L9" i="1538"/>
  <c r="D9" i="1538"/>
  <c r="L8" i="1538"/>
  <c r="D8" i="1538" s="1"/>
  <c r="L7" i="1538"/>
  <c r="D7" i="1538"/>
  <c r="R6" i="1538"/>
  <c r="L6" i="1538"/>
  <c r="D6" i="1538" s="1"/>
  <c r="R5" i="1538"/>
  <c r="R4" i="1538"/>
  <c r="R52" i="1537"/>
  <c r="R51" i="1537"/>
  <c r="D50" i="1537"/>
  <c r="R49" i="1537"/>
  <c r="D49" i="1537"/>
  <c r="R48" i="1537"/>
  <c r="D48" i="1537"/>
  <c r="D46" i="1537"/>
  <c r="D45" i="1537"/>
  <c r="P44" i="1537"/>
  <c r="R44" i="1537" s="1"/>
  <c r="D44" i="1537"/>
  <c r="R42" i="1537"/>
  <c r="L6" i="1537" s="1"/>
  <c r="D6" i="1537" s="1"/>
  <c r="D42" i="1537"/>
  <c r="R41" i="1537"/>
  <c r="L7" i="1537" s="1"/>
  <c r="D7" i="1537" s="1"/>
  <c r="D41" i="1537"/>
  <c r="R40" i="1537"/>
  <c r="D40" i="1537"/>
  <c r="R39" i="1537"/>
  <c r="L20" i="1537" s="1"/>
  <c r="D20" i="1537" s="1"/>
  <c r="H39" i="1537"/>
  <c r="D39" i="1537"/>
  <c r="R38" i="1537"/>
  <c r="H38" i="1537"/>
  <c r="D38" i="1537"/>
  <c r="R37" i="1537"/>
  <c r="H37" i="1537"/>
  <c r="D37" i="1537"/>
  <c r="R36" i="1537"/>
  <c r="H36" i="1537"/>
  <c r="D36" i="1537"/>
  <c r="R35" i="1537"/>
  <c r="H35" i="1537"/>
  <c r="D35" i="1537"/>
  <c r="R34" i="1537"/>
  <c r="L12" i="1537" s="1"/>
  <c r="D12" i="1537" s="1"/>
  <c r="H34" i="1537"/>
  <c r="D34" i="1537"/>
  <c r="R33" i="1537"/>
  <c r="R32" i="1537"/>
  <c r="R31" i="1537"/>
  <c r="R30" i="1537"/>
  <c r="R29" i="1537"/>
  <c r="R28" i="1537"/>
  <c r="D28" i="1537"/>
  <c r="R27" i="1537"/>
  <c r="D27" i="1537"/>
  <c r="R26" i="1537"/>
  <c r="D26" i="1537"/>
  <c r="R25" i="1537"/>
  <c r="D25" i="1537"/>
  <c r="R24" i="1537"/>
  <c r="L24" i="1537"/>
  <c r="D24" i="1537"/>
  <c r="R23" i="1537"/>
  <c r="D23" i="1537"/>
  <c r="R22" i="1537"/>
  <c r="D22" i="1537"/>
  <c r="R21" i="1537"/>
  <c r="D21" i="1537"/>
  <c r="R20" i="1537"/>
  <c r="R19" i="1537"/>
  <c r="D19" i="1537"/>
  <c r="R18" i="1537"/>
  <c r="D18" i="1537"/>
  <c r="R17" i="1537"/>
  <c r="L17" i="1537"/>
  <c r="D17" i="1537"/>
  <c r="R16" i="1537"/>
  <c r="L16" i="1537"/>
  <c r="D16" i="1537"/>
  <c r="R15" i="1537"/>
  <c r="D15" i="1537"/>
  <c r="R14" i="1537"/>
  <c r="D14" i="1537"/>
  <c r="R13" i="1537"/>
  <c r="D13" i="1537"/>
  <c r="R12" i="1537"/>
  <c r="R11" i="1537"/>
  <c r="L11" i="1537"/>
  <c r="D11" i="1537"/>
  <c r="L10" i="1537"/>
  <c r="D10" i="1537" s="1"/>
  <c r="L9" i="1537"/>
  <c r="D9" i="1537" s="1"/>
  <c r="L8" i="1537"/>
  <c r="D8" i="1537"/>
  <c r="R6" i="1537"/>
  <c r="R5" i="1537"/>
  <c r="R4" i="1537"/>
  <c r="R52" i="1536"/>
  <c r="R51" i="1536"/>
  <c r="D50" i="1536"/>
  <c r="R49" i="1536"/>
  <c r="G49" i="1536"/>
  <c r="D49" i="1536"/>
  <c r="R48" i="1536"/>
  <c r="D48" i="1536"/>
  <c r="D46" i="1536"/>
  <c r="D45" i="1536"/>
  <c r="D44" i="1536"/>
  <c r="R42" i="1536"/>
  <c r="D42" i="1536"/>
  <c r="R41" i="1536"/>
  <c r="L7" i="1536" s="1"/>
  <c r="D7" i="1536" s="1"/>
  <c r="D41" i="1536"/>
  <c r="R40" i="1536"/>
  <c r="L8" i="1536" s="1"/>
  <c r="D8" i="1536" s="1"/>
  <c r="D40" i="1536"/>
  <c r="R39" i="1536"/>
  <c r="D39" i="1536"/>
  <c r="R38" i="1536"/>
  <c r="D38" i="1536"/>
  <c r="R37" i="1536"/>
  <c r="D37" i="1536"/>
  <c r="R36" i="1536"/>
  <c r="L10" i="1536" s="1"/>
  <c r="D10" i="1536" s="1"/>
  <c r="D36" i="1536"/>
  <c r="D54" i="1536" s="1"/>
  <c r="H14" i="1536" s="1"/>
  <c r="R35" i="1536"/>
  <c r="D35" i="1536"/>
  <c r="R34" i="1536"/>
  <c r="L12" i="1536" s="1"/>
  <c r="D12" i="1536" s="1"/>
  <c r="D34" i="1536"/>
  <c r="R33" i="1536"/>
  <c r="L23" i="1536" s="1"/>
  <c r="D23" i="1536" s="1"/>
  <c r="R32" i="1536"/>
  <c r="R31" i="1536"/>
  <c r="R30" i="1536"/>
  <c r="R29" i="1536"/>
  <c r="R28" i="1536"/>
  <c r="D28" i="1536"/>
  <c r="R27" i="1536"/>
  <c r="D27" i="1536"/>
  <c r="R26" i="1536"/>
  <c r="L26" i="1536"/>
  <c r="D26" i="1536"/>
  <c r="R25" i="1536"/>
  <c r="L25" i="1536"/>
  <c r="D25" i="1536"/>
  <c r="R24" i="1536"/>
  <c r="D24" i="1536"/>
  <c r="R23" i="1536"/>
  <c r="R22" i="1536"/>
  <c r="L22" i="1536"/>
  <c r="D22" i="1536" s="1"/>
  <c r="R21" i="1536"/>
  <c r="D21" i="1536"/>
  <c r="R20" i="1536"/>
  <c r="L20" i="1536"/>
  <c r="D20" i="1536"/>
  <c r="R19" i="1536"/>
  <c r="L19" i="1536"/>
  <c r="D19" i="1536"/>
  <c r="R18" i="1536"/>
  <c r="D18" i="1536"/>
  <c r="R17" i="1536"/>
  <c r="D17" i="1536"/>
  <c r="R16" i="1536"/>
  <c r="L16" i="1536"/>
  <c r="D16" i="1536" s="1"/>
  <c r="S15" i="1536"/>
  <c r="R15" i="1536"/>
  <c r="D15" i="1536"/>
  <c r="S14" i="1536"/>
  <c r="R14" i="1536"/>
  <c r="D14" i="1536"/>
  <c r="R13" i="1536"/>
  <c r="D13" i="1536"/>
  <c r="R12" i="1536"/>
  <c r="R11" i="1536"/>
  <c r="L11" i="1536"/>
  <c r="D11" i="1536" s="1"/>
  <c r="L9" i="1536"/>
  <c r="D9" i="1536" s="1"/>
  <c r="R6" i="1536"/>
  <c r="L6" i="1536"/>
  <c r="D6" i="1536" s="1"/>
  <c r="R5" i="1536"/>
  <c r="R4" i="1536"/>
  <c r="H15" i="1564" l="1"/>
  <c r="H29" i="1564" s="1"/>
  <c r="G51" i="1564" s="1"/>
  <c r="H15" i="1563"/>
  <c r="H29" i="1563" s="1"/>
  <c r="G51" i="1563" s="1"/>
  <c r="H15" i="1562"/>
  <c r="H29" i="1562" s="1"/>
  <c r="G51" i="1562" s="1"/>
  <c r="H15" i="1560"/>
  <c r="H29" i="1560" s="1"/>
  <c r="G51" i="1560" s="1"/>
  <c r="H15" i="1559"/>
  <c r="H29" i="1559" s="1"/>
  <c r="G51" i="1559" s="1"/>
  <c r="H15" i="1558"/>
  <c r="H29" i="1558" s="1"/>
  <c r="G51" i="1558" s="1"/>
  <c r="G51" i="1554"/>
  <c r="H15" i="1556"/>
  <c r="H29" i="1556" s="1"/>
  <c r="G51" i="1556" s="1"/>
  <c r="H15" i="1555"/>
  <c r="H29" i="1555" s="1"/>
  <c r="G51" i="1555" s="1"/>
  <c r="H15" i="1552"/>
  <c r="H29" i="1552" s="1"/>
  <c r="G51" i="1552" s="1"/>
  <c r="H15" i="1550"/>
  <c r="H29" i="1550" s="1"/>
  <c r="G51" i="1550" s="1"/>
  <c r="H15" i="1548"/>
  <c r="G51" i="1548" s="1"/>
  <c r="H15" i="1547"/>
  <c r="H29" i="1547" s="1"/>
  <c r="G51" i="1547" s="1"/>
  <c r="H15" i="1544"/>
  <c r="H29" i="1544" s="1"/>
  <c r="G51" i="1544" s="1"/>
  <c r="H15" i="1543"/>
  <c r="H29" i="1543" s="1"/>
  <c r="G51" i="1543" s="1"/>
  <c r="H15" i="1542"/>
  <c r="H29" i="1542" s="1"/>
  <c r="G51" i="1542"/>
  <c r="G49" i="1539"/>
  <c r="G49" i="1538"/>
  <c r="G49" i="1537"/>
  <c r="D54" i="1539"/>
  <c r="H14" i="1539" s="1"/>
  <c r="D54" i="1538"/>
  <c r="H14" i="1538" s="1"/>
  <c r="D54" i="1537"/>
  <c r="H14" i="1537" s="1"/>
  <c r="D29" i="1537"/>
  <c r="H13" i="1537" s="1"/>
  <c r="D29" i="1539"/>
  <c r="H13" i="1539" s="1"/>
  <c r="D29" i="1538"/>
  <c r="H13" i="1538" s="1"/>
  <c r="D29" i="1536"/>
  <c r="H13" i="1536" s="1"/>
  <c r="H15" i="1536" s="1"/>
  <c r="H29" i="1536" s="1"/>
  <c r="G51" i="1536" s="1"/>
  <c r="H15" i="1539" l="1"/>
  <c r="H29" i="1539" s="1"/>
  <c r="G51" i="1539" s="1"/>
  <c r="H15" i="1538"/>
  <c r="H29" i="1538" s="1"/>
  <c r="G51" i="1538" s="1"/>
  <c r="H15" i="1537"/>
  <c r="H29" i="1537" s="1"/>
  <c r="G51" i="1537" s="1"/>
</calcChain>
</file>

<file path=xl/sharedStrings.xml><?xml version="1.0" encoding="utf-8"?>
<sst xmlns="http://schemas.openxmlformats.org/spreadsheetml/2006/main" count="6861" uniqueCount="178">
  <si>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</si>
  <si>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</si>
  <si>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</si>
  <si>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</si>
  <si>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</si>
  <si>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</si>
  <si>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</si>
  <si>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</si>
  <si>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</si>
  <si>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</si>
  <si>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</si>
  <si>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</si>
  <si>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</si>
  <si>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</si>
  <si>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</si>
  <si>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</si>
  <si>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</si>
  <si>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</si>
  <si>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</si>
  <si>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</si>
  <si>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</si>
  <si>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</si>
  <si>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</si>
  <si>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</si>
  <si>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</si>
  <si>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</si>
  <si>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</si>
  <si>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</si>
  <si>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</si>
  <si>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</si>
  <si>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</si>
  <si>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</si>
  <si>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</si>
  <si>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</si>
  <si>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</si>
  <si>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</si>
  <si>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</si>
  <si>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</si>
  <si>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</si>
  <si>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</si>
  <si>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</si>
  <si>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</si>
  <si>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</si>
  <si>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</si>
  <si>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</si>
  <si>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</si>
  <si>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</si>
  <si>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</si>
  <si>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</si>
  <si>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</si>
  <si>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</si>
  <si>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</si>
  <si>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</si>
  <si>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</si>
  <si>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</si>
  <si>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</si>
  <si>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</si>
  <si>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</si>
  <si>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</si>
  <si>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</si>
  <si>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</si>
  <si>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</si>
  <si>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</si>
  <si>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</si>
  <si>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</si>
  <si>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</si>
  <si>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</si>
  <si>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</si>
  <si>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</si>
  <si>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</si>
  <si>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</si>
  <si>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</si>
  <si>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</si>
  <si>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</si>
  <si>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</si>
  <si>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</si>
  <si>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</si>
  <si>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</si>
  <si>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</si>
  <si>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</si>
  <si>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</si>
  <si>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</si>
  <si>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</si>
  <si>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</si>
  <si>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</si>
  <si>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</si>
  <si>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</si>
  <si>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</si>
  <si>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</si>
  <si>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</si>
  <si>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</si>
  <si>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</si>
  <si>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</si>
  <si>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</si>
  <si>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</si>
  <si>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</si>
  <si>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</si>
  <si>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</si>
  <si>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</si>
  <si>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</si>
  <si>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</si>
  <si>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</si>
  <si>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</si>
  <si>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</si>
  <si>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</si>
  <si>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</si>
  <si>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</si>
  <si>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</si>
  <si>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</si>
  <si>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</si>
  <si>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</si>
  <si>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</si>
  <si>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</si>
  <si>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</si>
  <si>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</si>
  <si>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</si>
  <si>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</si>
  <si>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</si>
  <si>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</si>
  <si>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ARANCES, MARIO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</si>
  <si>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</si>
  <si>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</si>
  <si>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</si>
  <si>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</si>
  <si>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</si>
  <si>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</si>
  <si>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</si>
  <si>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</si>
  <si>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</si>
  <si>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</si>
  <si>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</si>
  <si>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</si>
  <si>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</si>
  <si>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 xml:space="preserve">                           ESTEMARK PORMENTO</t>
  </si>
  <si>
    <t>FBAC/FBLC</t>
  </si>
  <si>
    <t>GOMORA, JURLAN</t>
  </si>
  <si>
    <t>CC/CIC/C10C</t>
  </si>
  <si>
    <t>CBB</t>
  </si>
  <si>
    <t>CLC/SDC</t>
  </si>
  <si>
    <t>SMZB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</si>
  <si>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</si>
  <si>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GICA, GRACE B.</t>
  </si>
  <si>
    <t xml:space="preserve">                             GRACE B. GICA</t>
  </si>
  <si>
    <t>FB BOTT.</t>
  </si>
  <si>
    <t>PP BOTT.</t>
  </si>
  <si>
    <t>G-CASH</t>
  </si>
  <si>
    <t>PNB BANK TRANSFER</t>
  </si>
  <si>
    <t>BALWARTE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</si>
  <si>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</si>
  <si>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G-CASH(NEILVIN)</t>
  </si>
  <si>
    <t>BDO</t>
  </si>
  <si>
    <t>140843</t>
  </si>
  <si>
    <t>1VB</t>
  </si>
  <si>
    <t>4820778</t>
  </si>
  <si>
    <t>ELIZABETH HENSON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</si>
  <si>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</si>
  <si>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42909</t>
  </si>
  <si>
    <t>47839</t>
  </si>
  <si>
    <t>BANK TRANSFER</t>
  </si>
  <si>
    <t>MERCADO</t>
  </si>
  <si>
    <t>4820762</t>
  </si>
  <si>
    <t>FBAC/FBLYC</t>
  </si>
  <si>
    <t>140854</t>
  </si>
  <si>
    <t>PNB</t>
  </si>
  <si>
    <t>200005619</t>
  </si>
  <si>
    <t>200002634</t>
  </si>
  <si>
    <t>SOUND CHECK</t>
  </si>
  <si>
    <t>PSBC</t>
  </si>
  <si>
    <t>2120007601</t>
  </si>
  <si>
    <t>2120012734</t>
  </si>
  <si>
    <t>47849</t>
  </si>
  <si>
    <t>200002637</t>
  </si>
  <si>
    <t>SOUNDCHECK</t>
  </si>
  <si>
    <t>42916</t>
  </si>
  <si>
    <t>135251</t>
  </si>
  <si>
    <t>200002642</t>
  </si>
  <si>
    <t>146729</t>
  </si>
  <si>
    <t>47858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</si>
</sst>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16" xfId="0" applyFont="1" applyFill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9" fillId="0" borderId="16" xfId="0" applyFont="1" applyBorder="1" applyAlignment="1">
      <alignment horizontal="right"/>
    </xf>
    <xf numFmtId="0" fontId="22" fillId="0" borderId="16" xfId="0" applyFont="1" applyBorder="1" applyAlignment="1">
      <alignment horizontal="right"/>
    </xf>
    <xf numFmtId="0" fontId="22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12" fillId="3" borderId="16" xfId="0" applyNumberFormat="1" applyFont="1" applyFill="1" applyBorder="1" applyAlignment="1">
      <alignment horizontal="righ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44" fontId="12" fillId="3" borderId="12" xfId="0" applyNumberFormat="1" applyFont="1" applyFill="1" applyBorder="1" applyAlignment="1">
      <alignment horizontal="center"/>
    </xf>
    <xf numFmtId="44" fontId="12" fillId="3" borderId="28" xfId="0" applyNumberFormat="1" applyFont="1" applyFill="1" applyBorder="1" applyAlignment="1">
      <alignment horizontal="center"/>
    </xf>
    <xf numFmtId="44" fontId="12" fillId="3" borderId="23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80107-E02E-42A2-A7AC-093B5780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1B0AE-09AA-46F1-BC89-679C876B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E8CEA-80E7-4FF4-8CA0-6347B523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650FE-A2BD-4377-B59C-20522EC23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7D46D-48CB-4139-9F1F-02C6547D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17E26-9084-41A0-91BC-AA8D92F69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2C35E-176A-479B-A8CF-BFC6F8D27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9B136-301A-4C78-95CF-2E0F95DF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17738-C258-468E-AE04-CF0F49982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88391-ECA5-47FD-939E-D7C4897E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EA27E-3579-44C0-8FF2-62B83650F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20075-1623-48A4-B754-60DFCBC0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9E672-B797-44F5-8651-FC7F840D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807CD-5C9F-47CB-9079-0562A96B2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6A13F-929F-4D08-BB32-A2DC84534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C6A06-A3FF-43A2-BACC-1C5557D36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15DA5-5D68-4DC3-8DD8-C33BAF61C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E6300-D4F3-4A55-8237-2BCD6B22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6D341B-1216-4509-BD3F-2705A7706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10255-88D2-489E-9764-2AFEDB76B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39A98-8F84-4880-86B6-4D02A120E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B207E-07A4-4C86-AAD8-C5391B97D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96E79-3028-4E68-BAD1-CD5AAE31C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D8823-62A4-47A3-86C1-A331E3C7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CFE86-5B27-4A2B-8CC0-0BC230FD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4C996-1F89-440F-AC6B-099019A0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3620F-2720-4B53-BD41-C0023C56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3C0FD-8CB2-4E0C-8A57-E2B6CCBAC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F0812-2C8B-4EDB-9C96-7423AD98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892B9C-DC3A-4D0C-B64C-034A2FE9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DCCBF-A036-4DC4-87BB-DBC33F24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8E34D-225C-4108-A785-797DC7BD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B1E978-16AB-43F5-87B0-02D2E5E0D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2C6FFD-9C30-4D0A-B591-148E4D10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6FE63-39FA-480D-BCA7-70464CE8F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C7879-E685-4FEC-A072-1B9B27460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C8057-6FF3-4A83-8C00-EDBC8B7D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A9CA9-8245-4CF5-9425-A902A6C8D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E2C4E-6AC1-485D-8A75-A248DBE6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BBF1D-AB99-42A6-A63D-78489AF72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C9875-C6A6-4EE5-9A8F-D941CD5C5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89512-80F4-4421-A173-679B6DC3F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33DD2-5F19-44CC-B47E-38F97CC76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F5788-B5F3-4C7F-82BA-468C3735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E1BA4-7419-4287-9002-86DE9813E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83999-ED4E-48B9-A7B0-92C82BBB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0422C-C9B4-42DF-8636-13A1D12E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B841A-D560-49E6-89FC-AC95426DD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16493-FAD9-40BD-A3B0-6420E4D53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97E59-CFE5-4728-B092-6C1A95A49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54</xdr:row>
      <xdr:rowOff>24203</xdr:rowOff>
    </xdr:from>
    <xdr:to>
      <xdr:col>3</xdr:col>
      <xdr:colOff>304801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E21FF-DC9B-4BC6-953E-B68F27C88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0577903"/>
          <a:ext cx="1257300" cy="44252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29BF0-B763-4FA4-A55F-AC0C4E623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A235-3A24-4309-914D-FEF64CDEF2D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88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85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15EC-4457-4686-AE6F-FCF1A5A6B2F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262</v>
      </c>
      <c r="D6" s="13">
        <f t="shared" ref="D6:D28" si="1">C6*L6</f>
        <v>193094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16</v>
      </c>
      <c r="D7" s="13">
        <f t="shared" si="1"/>
        <v>11600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>
        <v>1</v>
      </c>
      <c r="D8" s="13">
        <f t="shared" si="1"/>
        <v>1033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20</v>
      </c>
      <c r="D9" s="13">
        <f t="shared" si="1"/>
        <v>14140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>
        <v>2</v>
      </c>
      <c r="D10" s="13">
        <f t="shared" si="1"/>
        <v>1944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>
        <v>1</v>
      </c>
      <c r="D11" s="13">
        <f t="shared" si="1"/>
        <v>1125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>
        <f>2</f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9</v>
      </c>
      <c r="D13" s="48">
        <f t="shared" si="1"/>
        <v>2763</v>
      </c>
      <c r="F13" s="144" t="s">
        <v>36</v>
      </c>
      <c r="G13" s="145"/>
      <c r="H13" s="146">
        <f>D29</f>
        <v>240783.5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3</v>
      </c>
      <c r="D14" s="31">
        <f t="shared" si="1"/>
        <v>33</v>
      </c>
      <c r="F14" s="149" t="s">
        <v>39</v>
      </c>
      <c r="G14" s="150"/>
      <c r="H14" s="151">
        <f>D54</f>
        <v>35187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205596.5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>
        <v>3</v>
      </c>
      <c r="D18" s="48">
        <f t="shared" si="1"/>
        <v>1860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>
        <f>1+1</f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 t="s">
        <v>147</v>
      </c>
      <c r="G22" s="73">
        <v>7541</v>
      </c>
      <c r="H22" s="181">
        <v>79918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>
        <v>12</v>
      </c>
      <c r="D24" s="48">
        <f t="shared" si="1"/>
        <v>474.5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143</v>
      </c>
      <c r="C25" s="84">
        <v>12</v>
      </c>
      <c r="D25" s="48">
        <f t="shared" si="1"/>
        <v>434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832/24+1.5</f>
        <v>36.166666666666664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144</v>
      </c>
      <c r="C26" s="84">
        <v>12</v>
      </c>
      <c r="D26" s="48">
        <f t="shared" si="1"/>
        <v>444</v>
      </c>
      <c r="F26" s="75" t="s">
        <v>147</v>
      </c>
      <c r="G26" s="65">
        <v>7383</v>
      </c>
      <c r="H26" s="183">
        <v>87410</v>
      </c>
      <c r="I26" s="183"/>
      <c r="J26" s="183"/>
      <c r="L26" s="7">
        <f>852/24+1.5</f>
        <v>37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85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>
        <v>11</v>
      </c>
      <c r="D28" s="48">
        <f t="shared" si="1"/>
        <v>8635</v>
      </c>
      <c r="F28" s="88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240783.5</v>
      </c>
      <c r="F29" s="167" t="s">
        <v>55</v>
      </c>
      <c r="G29" s="168"/>
      <c r="H29" s="171">
        <f>H15-H16-H17-H18-H19-H20-H22-H23-H24+H26+H27+H28</f>
        <v>213088.5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77</v>
      </c>
      <c r="H34" s="199">
        <f t="shared" ref="H34:H39" si="2">F34*G34</f>
        <v>77000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38</v>
      </c>
      <c r="H35" s="199">
        <f t="shared" si="2"/>
        <v>19000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2</v>
      </c>
      <c r="H36" s="199">
        <f t="shared" si="2"/>
        <v>400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258</v>
      </c>
      <c r="D37" s="12">
        <f>C37*111</f>
        <v>28638</v>
      </c>
      <c r="F37" s="12">
        <v>100</v>
      </c>
      <c r="G37" s="39">
        <v>6</v>
      </c>
      <c r="H37" s="199">
        <f t="shared" si="2"/>
        <v>600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43</v>
      </c>
      <c r="D38" s="12">
        <f>C38*84</f>
        <v>3612</v>
      </c>
      <c r="F38" s="30">
        <v>50</v>
      </c>
      <c r="G38" s="39">
        <v>7</v>
      </c>
      <c r="H38" s="199">
        <f t="shared" si="2"/>
        <v>350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8</v>
      </c>
      <c r="D39" s="31">
        <f>C39*4.5</f>
        <v>36</v>
      </c>
      <c r="F39" s="12">
        <v>20</v>
      </c>
      <c r="G39" s="37">
        <v>1</v>
      </c>
      <c r="H39" s="199">
        <f t="shared" si="2"/>
        <v>20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13</v>
      </c>
      <c r="D40" s="12">
        <f>C40*111</f>
        <v>1443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4</v>
      </c>
      <c r="D42" s="12">
        <f>C42*2.25</f>
        <v>9</v>
      </c>
      <c r="F42" s="39" t="s">
        <v>79</v>
      </c>
      <c r="G42" s="199">
        <v>25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85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>
        <v>5</v>
      </c>
      <c r="D44" s="12">
        <f>C44*120</f>
        <v>600</v>
      </c>
      <c r="F44" s="37" t="s">
        <v>145</v>
      </c>
      <c r="G44" s="62"/>
      <c r="H44" s="183">
        <v>15213</v>
      </c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>
        <v>2</v>
      </c>
      <c r="D45" s="12">
        <f>C45*84</f>
        <v>168</v>
      </c>
      <c r="F45" s="37" t="s">
        <v>145</v>
      </c>
      <c r="G45" s="62"/>
      <c r="H45" s="183">
        <v>13245</v>
      </c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9</v>
      </c>
      <c r="D46" s="12">
        <f>C46*1.5</f>
        <v>13.5</v>
      </c>
      <c r="F46" s="96" t="s">
        <v>146</v>
      </c>
      <c r="G46" s="62"/>
      <c r="H46" s="183">
        <v>87410</v>
      </c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213263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12</v>
      </c>
      <c r="D50" s="12">
        <f>C50*1.5</f>
        <v>18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148</v>
      </c>
      <c r="G51" s="228">
        <f>G49-H29</f>
        <v>174.5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35187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E304-820A-41D0-9FF3-244B80FD61B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168</v>
      </c>
      <c r="D6" s="13">
        <f t="shared" ref="D6:D28" si="1">C6*L6</f>
        <v>123816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2</v>
      </c>
      <c r="D7" s="13">
        <f t="shared" si="1"/>
        <v>1450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39</v>
      </c>
      <c r="D9" s="13">
        <f t="shared" si="1"/>
        <v>27573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4</v>
      </c>
      <c r="D13" s="48">
        <f t="shared" si="1"/>
        <v>1228</v>
      </c>
      <c r="F13" s="144" t="s">
        <v>36</v>
      </c>
      <c r="G13" s="145"/>
      <c r="H13" s="146">
        <f>D29</f>
        <v>154078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</v>
      </c>
      <c r="D14" s="31">
        <f t="shared" si="1"/>
        <v>11</v>
      </c>
      <c r="F14" s="149" t="s">
        <v>39</v>
      </c>
      <c r="G14" s="150"/>
      <c r="H14" s="151">
        <f>D54</f>
        <v>24060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130018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v>1314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38">
        <v>50</v>
      </c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88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154078</v>
      </c>
      <c r="F29" s="167" t="s">
        <v>55</v>
      </c>
      <c r="G29" s="168"/>
      <c r="H29" s="171">
        <f>H15-H16-H17-H18-H19-H20-H22-H23-H24+H26+H27</f>
        <v>128654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101</v>
      </c>
      <c r="H34" s="199">
        <f>F34*G34</f>
        <v>101000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53</v>
      </c>
      <c r="H35" s="199">
        <f t="shared" ref="H35:H39" si="2">F35*G35</f>
        <v>26500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211</v>
      </c>
      <c r="D37" s="12">
        <f>C37*111</f>
        <v>23421</v>
      </c>
      <c r="F37" s="12">
        <v>100</v>
      </c>
      <c r="G37" s="39">
        <v>4</v>
      </c>
      <c r="H37" s="199">
        <f t="shared" si="2"/>
        <v>400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8</v>
      </c>
      <c r="D42" s="12">
        <f>C42*2.25</f>
        <v>18</v>
      </c>
      <c r="F42" s="39" t="s">
        <v>79</v>
      </c>
      <c r="G42" s="199">
        <v>35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85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</v>
      </c>
      <c r="D46" s="12">
        <f>C46*1.5</f>
        <v>1.5</v>
      </c>
      <c r="F46" s="37"/>
      <c r="G46" s="86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127985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22</v>
      </c>
      <c r="D50" s="12">
        <f>C50*1.5</f>
        <v>33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-669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24060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0039-1D4D-45F4-91AD-620EE5B72D1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211</v>
      </c>
      <c r="D6" s="13">
        <f t="shared" ref="D6:D28" si="1">C6*L6</f>
        <v>155507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11</v>
      </c>
      <c r="D7" s="13">
        <f t="shared" si="1"/>
        <v>7975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>
        <v>1</v>
      </c>
      <c r="D8" s="13">
        <f t="shared" si="1"/>
        <v>1033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18</v>
      </c>
      <c r="D9" s="13">
        <f t="shared" si="1"/>
        <v>12726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2</v>
      </c>
      <c r="D10" s="13">
        <f t="shared" si="1"/>
        <v>1944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3</v>
      </c>
      <c r="D12" s="48">
        <f t="shared" si="1"/>
        <v>2856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5</v>
      </c>
      <c r="D13" s="48">
        <f t="shared" si="1"/>
        <v>1535</v>
      </c>
      <c r="F13" s="144" t="s">
        <v>36</v>
      </c>
      <c r="G13" s="145"/>
      <c r="H13" s="146">
        <f>D29</f>
        <v>197825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</v>
      </c>
      <c r="D14" s="31">
        <f t="shared" si="1"/>
        <v>11</v>
      </c>
      <c r="F14" s="149" t="s">
        <v>39</v>
      </c>
      <c r="G14" s="150"/>
      <c r="H14" s="151">
        <f>D54</f>
        <v>31160.25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166664.75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300</f>
        <v>300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>
        <v>9</v>
      </c>
      <c r="D27" s="44">
        <f t="shared" si="1"/>
        <v>14238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88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197825</v>
      </c>
      <c r="F29" s="167" t="s">
        <v>55</v>
      </c>
      <c r="G29" s="168"/>
      <c r="H29" s="171">
        <f>H15-H16-H17-H18-H19-H20-H22-H23-H24+H26+H27</f>
        <v>166364.75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9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131</v>
      </c>
      <c r="H34" s="199">
        <f>F34*G34</f>
        <v>131000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42</v>
      </c>
      <c r="H35" s="199">
        <f>F35*G35</f>
        <v>21000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3</v>
      </c>
      <c r="D36" s="12">
        <f>C36*1.5</f>
        <v>4.5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262</v>
      </c>
      <c r="D37" s="12">
        <f>C37*111</f>
        <v>29082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99">
        <v>86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85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95" t="s">
        <v>149</v>
      </c>
      <c r="G44" s="76"/>
      <c r="H44" s="183">
        <v>14238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11</v>
      </c>
      <c r="D46" s="12">
        <f>C46*1.5</f>
        <v>16.5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166324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6</v>
      </c>
      <c r="D50" s="12">
        <f>C50*1.5</f>
        <v>9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-40.75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31160.25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323A-99F6-4AC1-9760-55923A2C96C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3FA8-FAB8-4146-95DA-A54B5200ACE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261</v>
      </c>
      <c r="D6" s="13">
        <f t="shared" ref="D6:D28" si="1">C6*L6</f>
        <v>192357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3</v>
      </c>
      <c r="D7" s="13">
        <f t="shared" si="1"/>
        <v>2175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20</v>
      </c>
      <c r="D9" s="13">
        <f t="shared" si="1"/>
        <v>14140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>
        <v>1</v>
      </c>
      <c r="D10" s="13">
        <f t="shared" si="1"/>
        <v>972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>
        <v>1</v>
      </c>
      <c r="D12" s="48">
        <f t="shared" si="1"/>
        <v>952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4</v>
      </c>
      <c r="D13" s="48">
        <f t="shared" si="1"/>
        <v>1228</v>
      </c>
      <c r="F13" s="144" t="s">
        <v>36</v>
      </c>
      <c r="G13" s="145"/>
      <c r="H13" s="146">
        <f>D29</f>
        <v>220448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22</v>
      </c>
      <c r="D14" s="31">
        <f t="shared" si="1"/>
        <v>242</v>
      </c>
      <c r="F14" s="149" t="s">
        <v>39</v>
      </c>
      <c r="G14" s="150"/>
      <c r="H14" s="151">
        <f>D54</f>
        <v>32962.5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187485.5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>
        <v>1</v>
      </c>
      <c r="D18" s="48">
        <f t="shared" si="1"/>
        <v>620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>
        <f>1</f>
        <v>1</v>
      </c>
      <c r="D19" s="48">
        <f t="shared" si="1"/>
        <v>1102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>
        <f>1+2</f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>
        <v>6</v>
      </c>
      <c r="D28" s="48">
        <f t="shared" si="1"/>
        <v>4710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220448</v>
      </c>
      <c r="F29" s="167" t="s">
        <v>55</v>
      </c>
      <c r="G29" s="168"/>
      <c r="H29" s="171">
        <f>H15-H16-H17-H18-H19-H20-H22-H23-H24+H26+H27+H28</f>
        <v>187485.5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124</v>
      </c>
      <c r="H34" s="199">
        <f t="shared" ref="H34:H39" si="2">F34*G34</f>
        <v>124000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104</v>
      </c>
      <c r="H35" s="199">
        <f t="shared" si="2"/>
        <v>52000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2</v>
      </c>
      <c r="H36" s="199">
        <f t="shared" si="2"/>
        <v>400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281</v>
      </c>
      <c r="D37" s="12">
        <f>C37*111</f>
        <v>31191</v>
      </c>
      <c r="F37" s="12">
        <v>100</v>
      </c>
      <c r="G37" s="39">
        <v>26</v>
      </c>
      <c r="H37" s="199">
        <f t="shared" si="2"/>
        <v>2600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8</v>
      </c>
      <c r="D38" s="12">
        <f>C38*84</f>
        <v>672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12</v>
      </c>
      <c r="D42" s="12">
        <f>C42*2.25</f>
        <v>27</v>
      </c>
      <c r="F42" s="39" t="s">
        <v>79</v>
      </c>
      <c r="G42" s="199">
        <v>69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37" t="s">
        <v>145</v>
      </c>
      <c r="G44" s="62"/>
      <c r="H44" s="183">
        <v>7978</v>
      </c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5</v>
      </c>
      <c r="D46" s="12">
        <f>C46*1.5</f>
        <v>7.5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187047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20</v>
      </c>
      <c r="D50" s="12">
        <f>C50*1.5</f>
        <v>30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-438.5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32962.5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2313-0902-430B-B8EE-3375DD1308C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230</v>
      </c>
      <c r="D6" s="13">
        <f t="shared" ref="D6:D28" si="1">C6*L6</f>
        <v>169510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7</v>
      </c>
      <c r="D7" s="13">
        <f t="shared" si="1"/>
        <v>5075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20</v>
      </c>
      <c r="D9" s="13">
        <f t="shared" si="1"/>
        <v>14140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8</v>
      </c>
      <c r="D13" s="48">
        <f t="shared" si="1"/>
        <v>2456</v>
      </c>
      <c r="F13" s="144" t="s">
        <v>36</v>
      </c>
      <c r="G13" s="145"/>
      <c r="H13" s="146">
        <f>D29</f>
        <v>196676.66666666666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13</v>
      </c>
      <c r="D14" s="31">
        <f t="shared" si="1"/>
        <v>143</v>
      </c>
      <c r="F14" s="149" t="s">
        <v>39</v>
      </c>
      <c r="G14" s="150"/>
      <c r="H14" s="151">
        <f>D54</f>
        <v>36855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159821.66666666666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1899</f>
        <v>1899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>
        <f>3+2</f>
        <v>5</v>
      </c>
      <c r="D21" s="48">
        <f t="shared" si="1"/>
        <v>3250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>
        <v>2</v>
      </c>
      <c r="D24" s="48">
        <f t="shared" si="1"/>
        <v>198.66666666666666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196676.66666666666</v>
      </c>
      <c r="F29" s="167" t="s">
        <v>55</v>
      </c>
      <c r="G29" s="168"/>
      <c r="H29" s="171">
        <f>H15-H16-H17-H18-H19-H20-H22-H23-H24+H26+H27</f>
        <v>157922.66666666666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34</v>
      </c>
      <c r="H34" s="199">
        <f>F34*G34</f>
        <v>34000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2</v>
      </c>
      <c r="H35" s="199">
        <f t="shared" ref="H35:H39" si="2">F35*G35</f>
        <v>1000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323</v>
      </c>
      <c r="D37" s="12">
        <f>C37*111</f>
        <v>35853</v>
      </c>
      <c r="F37" s="12">
        <v>100</v>
      </c>
      <c r="G37" s="39">
        <v>4</v>
      </c>
      <c r="H37" s="199">
        <f t="shared" si="2"/>
        <v>400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5</v>
      </c>
      <c r="D38" s="12">
        <f>C38*84</f>
        <v>420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6</v>
      </c>
      <c r="D39" s="31">
        <f>C39*4.5</f>
        <v>27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2</v>
      </c>
      <c r="D42" s="12">
        <f>C42*2.25</f>
        <v>4.5</v>
      </c>
      <c r="F42" s="39" t="s">
        <v>79</v>
      </c>
      <c r="G42" s="199">
        <v>2460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1</v>
      </c>
      <c r="D44" s="12">
        <f>C44*120</f>
        <v>120</v>
      </c>
      <c r="F44" s="37" t="s">
        <v>150</v>
      </c>
      <c r="G44" s="62" t="s">
        <v>151</v>
      </c>
      <c r="H44" s="183">
        <v>119875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5</v>
      </c>
      <c r="D46" s="12">
        <f>C46*1.5</f>
        <v>7.5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157735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20</v>
      </c>
      <c r="D50" s="12">
        <f>C50*1.5</f>
        <v>30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-187.66666666665697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36855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A3F0-3F42-4048-B246-BB7E7997016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194</v>
      </c>
      <c r="D6" s="13">
        <f t="shared" ref="D6:D28" si="1">C6*L6</f>
        <v>142978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17</v>
      </c>
      <c r="D7" s="13">
        <f t="shared" si="1"/>
        <v>12325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13</v>
      </c>
      <c r="D9" s="13">
        <f t="shared" si="1"/>
        <v>9191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2</v>
      </c>
      <c r="D10" s="13">
        <f t="shared" si="1"/>
        <v>1944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>
        <v>2</v>
      </c>
      <c r="D11" s="13">
        <f t="shared" si="1"/>
        <v>2250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5</v>
      </c>
      <c r="D13" s="48">
        <f t="shared" si="1"/>
        <v>1535</v>
      </c>
      <c r="F13" s="144" t="s">
        <v>36</v>
      </c>
      <c r="G13" s="145"/>
      <c r="H13" s="146">
        <f>D29</f>
        <v>173906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19</v>
      </c>
      <c r="D14" s="31">
        <f t="shared" si="1"/>
        <v>209</v>
      </c>
      <c r="F14" s="149" t="s">
        <v>39</v>
      </c>
      <c r="G14" s="150"/>
      <c r="H14" s="151">
        <f>D54</f>
        <v>39246.75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134659.25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336</f>
        <v>336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97" t="s">
        <v>154</v>
      </c>
      <c r="G26" s="59">
        <v>7331</v>
      </c>
      <c r="H26" s="187">
        <v>85842</v>
      </c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2</v>
      </c>
      <c r="D28" s="48">
        <f t="shared" si="1"/>
        <v>1570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173906</v>
      </c>
      <c r="F29" s="167" t="s">
        <v>55</v>
      </c>
      <c r="G29" s="168"/>
      <c r="H29" s="171">
        <f>H15-H16-H17-H18-H19-H20-H22-H23-H24+H26+H27</f>
        <v>220165.25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133</v>
      </c>
      <c r="H34" s="199">
        <f>F34*G34</f>
        <v>133000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22</v>
      </c>
      <c r="H35" s="199">
        <f>F35*G35</f>
        <v>11000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322</v>
      </c>
      <c r="D37" s="12">
        <f>C37*111</f>
        <v>35742</v>
      </c>
      <c r="F37" s="12">
        <v>100</v>
      </c>
      <c r="G37" s="39">
        <v>3</v>
      </c>
      <c r="H37" s="199">
        <f t="shared" si="2"/>
        <v>300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2</v>
      </c>
      <c r="H38" s="199">
        <f t="shared" si="2"/>
        <v>100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13</v>
      </c>
      <c r="D40" s="12">
        <f>C40*111</f>
        <v>1443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</v>
      </c>
      <c r="D42" s="12">
        <f>C42*2.25</f>
        <v>2.25</v>
      </c>
      <c r="F42" s="39" t="s">
        <v>79</v>
      </c>
      <c r="G42" s="199">
        <v>61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5</v>
      </c>
      <c r="D44" s="12">
        <f>C44*120</f>
        <v>600</v>
      </c>
      <c r="F44" s="37" t="s">
        <v>152</v>
      </c>
      <c r="G44" s="76" t="s">
        <v>153</v>
      </c>
      <c r="H44" s="183">
        <v>85842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3</v>
      </c>
      <c r="D46" s="12">
        <f>C46*1.5</f>
        <v>4.5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230303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5</v>
      </c>
      <c r="D50" s="12">
        <f>C50*1.5</f>
        <v>7.5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148</v>
      </c>
      <c r="G51" s="228">
        <f>G49-H29</f>
        <v>10137.75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39246.75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4416-A329-4BDE-B1C6-A3CE45120B7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F3FB-8878-4E3E-863E-1BE61C67EEE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150</v>
      </c>
      <c r="D6" s="13">
        <f t="shared" ref="D6:D28" si="1">C6*L6</f>
        <v>110550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5</v>
      </c>
      <c r="D7" s="13">
        <f t="shared" si="1"/>
        <v>3625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10</v>
      </c>
      <c r="D9" s="13">
        <f t="shared" si="1"/>
        <v>7070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4</v>
      </c>
      <c r="D13" s="48">
        <f t="shared" si="1"/>
        <v>1228</v>
      </c>
      <c r="F13" s="144" t="s">
        <v>36</v>
      </c>
      <c r="G13" s="145"/>
      <c r="H13" s="146">
        <f>D29</f>
        <v>124676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23</v>
      </c>
      <c r="D14" s="31">
        <f t="shared" si="1"/>
        <v>253</v>
      </c>
      <c r="F14" s="149" t="s">
        <v>39</v>
      </c>
      <c r="G14" s="150"/>
      <c r="H14" s="151">
        <f>D54</f>
        <v>17744.25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106931.75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>
        <f>1+2</f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124676</v>
      </c>
      <c r="F29" s="167" t="s">
        <v>55</v>
      </c>
      <c r="G29" s="168"/>
      <c r="H29" s="171">
        <f>H15-H16-H17-H18-H19-H20-H22-H23-H24+H26+H27+H28</f>
        <v>106931.75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89</v>
      </c>
      <c r="H34" s="199">
        <f t="shared" ref="H34:H39" si="2">F34*G34</f>
        <v>89000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31</v>
      </c>
      <c r="H35" s="199">
        <f t="shared" si="2"/>
        <v>15500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99">
        <f t="shared" si="2"/>
        <v>200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150</v>
      </c>
      <c r="D37" s="12">
        <f>C37*111</f>
        <v>16650</v>
      </c>
      <c r="F37" s="12">
        <v>100</v>
      </c>
      <c r="G37" s="39">
        <v>25</v>
      </c>
      <c r="H37" s="199">
        <f t="shared" si="2"/>
        <v>2500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5</v>
      </c>
      <c r="D42" s="12">
        <f>C42*2.25</f>
        <v>11.25</v>
      </c>
      <c r="F42" s="39" t="s">
        <v>79</v>
      </c>
      <c r="G42" s="199">
        <v>395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107645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20</v>
      </c>
      <c r="D50" s="12">
        <f>C50*1.5</f>
        <v>30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148</v>
      </c>
      <c r="G51" s="228">
        <f>G49-H29</f>
        <v>713.25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17744.25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F163-FFE6-4864-B547-EB1433D85A0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f>440-99</f>
        <v>341</v>
      </c>
      <c r="D6" s="13">
        <f t="shared" ref="D6:D28" si="1">C6*L6</f>
        <v>251317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2</v>
      </c>
      <c r="D7" s="13">
        <f t="shared" si="1"/>
        <v>1450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5</v>
      </c>
      <c r="D9" s="13">
        <f t="shared" si="1"/>
        <v>3535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14</v>
      </c>
      <c r="D13" s="48">
        <f t="shared" si="1"/>
        <v>4298</v>
      </c>
      <c r="F13" s="144" t="s">
        <v>36</v>
      </c>
      <c r="G13" s="145"/>
      <c r="H13" s="146">
        <f>D29</f>
        <v>261506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11</v>
      </c>
      <c r="D14" s="31">
        <f t="shared" si="1"/>
        <v>121</v>
      </c>
      <c r="F14" s="149" t="s">
        <v>39</v>
      </c>
      <c r="G14" s="150"/>
      <c r="H14" s="151">
        <f>D54</f>
        <v>40169.25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221336.75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337*9</f>
        <v>3033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1</v>
      </c>
      <c r="D28" s="48">
        <f t="shared" si="1"/>
        <v>785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261506</v>
      </c>
      <c r="F29" s="167" t="s">
        <v>55</v>
      </c>
      <c r="G29" s="168"/>
      <c r="H29" s="171">
        <f>H15-H16-H17-H18-H19-H20-H22-H23-H24+H26+H27</f>
        <v>218303.75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216</v>
      </c>
      <c r="H34" s="199">
        <f>F34*G34</f>
        <v>216000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4</v>
      </c>
      <c r="H35" s="199">
        <f t="shared" ref="H35:H39" si="2">F35*G35</f>
        <v>2000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348</v>
      </c>
      <c r="D37" s="12">
        <f>C37*111</f>
        <v>38628</v>
      </c>
      <c r="F37" s="12">
        <v>100</v>
      </c>
      <c r="G37" s="39">
        <v>2</v>
      </c>
      <c r="H37" s="199">
        <f t="shared" si="2"/>
        <v>200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</v>
      </c>
      <c r="H38" s="199">
        <f t="shared" si="2"/>
        <v>150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99">
        <v>8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</v>
      </c>
      <c r="D46" s="12">
        <f>C46*1.5</f>
        <v>1.5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17</v>
      </c>
      <c r="D49" s="12">
        <f>C49*42</f>
        <v>714</v>
      </c>
      <c r="F49" s="224" t="s">
        <v>86</v>
      </c>
      <c r="G49" s="171">
        <f>H34+H35+H36+H37+H38+H39+H40+H41+G42+H44+H45+H46</f>
        <v>218358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21</v>
      </c>
      <c r="D50" s="12">
        <f>C50*1.5</f>
        <v>31.5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155</v>
      </c>
      <c r="G51" s="228">
        <f>G49-H29</f>
        <v>54.25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40169.25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18FD-8EAD-4720-8591-5179583978D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536</v>
      </c>
      <c r="D6" s="13">
        <f t="shared" ref="D6:D28" si="1">C6*L6</f>
        <v>395032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15</v>
      </c>
      <c r="D7" s="13">
        <f t="shared" si="1"/>
        <v>10875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129</v>
      </c>
      <c r="D9" s="13">
        <f t="shared" si="1"/>
        <v>91203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f>1+1</f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8</v>
      </c>
      <c r="D13" s="48">
        <f t="shared" si="1"/>
        <v>2456</v>
      </c>
      <c r="F13" s="144" t="s">
        <v>36</v>
      </c>
      <c r="G13" s="145"/>
      <c r="H13" s="146">
        <f>D29</f>
        <v>505571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16</v>
      </c>
      <c r="D14" s="31">
        <f t="shared" si="1"/>
        <v>176</v>
      </c>
      <c r="F14" s="149" t="s">
        <v>39</v>
      </c>
      <c r="G14" s="150"/>
      <c r="H14" s="151">
        <f>D54</f>
        <v>38012.25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467558.75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2610+330</f>
        <v>2940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>
        <v>50</v>
      </c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98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5</v>
      </c>
      <c r="D28" s="48">
        <f t="shared" si="1"/>
        <v>3925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505571</v>
      </c>
      <c r="F29" s="167" t="s">
        <v>55</v>
      </c>
      <c r="G29" s="168"/>
      <c r="H29" s="171">
        <f>H15-H16-H17-H18-H19-H20-H22-H23-H24+H26+H27+H28</f>
        <v>464568.75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</v>
      </c>
      <c r="H34" s="199">
        <f>F34*G34</f>
        <v>12000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327</v>
      </c>
      <c r="D37" s="12">
        <f>C37*111</f>
        <v>36297</v>
      </c>
      <c r="F37" s="12">
        <v>100</v>
      </c>
      <c r="G37" s="39">
        <v>4</v>
      </c>
      <c r="H37" s="199">
        <f t="shared" si="2"/>
        <v>400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7</v>
      </c>
      <c r="D42" s="12">
        <f>C42*2.25</f>
        <v>15.75</v>
      </c>
      <c r="F42" s="39" t="s">
        <v>79</v>
      </c>
      <c r="G42" s="199">
        <v>45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37" t="s">
        <v>150</v>
      </c>
      <c r="G44" s="76" t="s">
        <v>156</v>
      </c>
      <c r="H44" s="183">
        <v>283894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 t="s">
        <v>150</v>
      </c>
      <c r="G45" s="76" t="s">
        <v>157</v>
      </c>
      <c r="H45" s="183">
        <v>34498</v>
      </c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95" t="s">
        <v>158</v>
      </c>
      <c r="G46" s="62" t="s">
        <v>159</v>
      </c>
      <c r="H46" s="183">
        <v>19009</v>
      </c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37" t="s">
        <v>152</v>
      </c>
      <c r="G47" s="76" t="s">
        <v>160</v>
      </c>
      <c r="H47" s="183">
        <v>102341</v>
      </c>
      <c r="I47" s="183"/>
      <c r="J47" s="183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H34+H35+H36+H37+H38+H39+H40+H41+G42+H44+H45+H46+H47</f>
        <v>452187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</v>
      </c>
      <c r="D50" s="12">
        <f>C50*1.5</f>
        <v>3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-12381.75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38012.25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1ECC-2E5D-482D-8B67-DE074F9C0A8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3FCA-3B4A-4591-94BD-82AEE38AEF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45995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161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124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674/6+4.5</f>
        <v>116.83333333333333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4B79-5408-4FC9-AB3F-AE981D97B11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45995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207</v>
      </c>
      <c r="D6" s="13">
        <f t="shared" ref="D6:D28" si="1">C6*L6</f>
        <v>152559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4</v>
      </c>
      <c r="D7" s="13">
        <f t="shared" si="1"/>
        <v>2900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13</v>
      </c>
      <c r="D9" s="13">
        <f t="shared" si="1"/>
        <v>9191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4</v>
      </c>
      <c r="D13" s="48">
        <f t="shared" si="1"/>
        <v>1228</v>
      </c>
      <c r="F13" s="144" t="s">
        <v>36</v>
      </c>
      <c r="G13" s="145"/>
      <c r="H13" s="146">
        <f>D29</f>
        <v>187607.83333333334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15</v>
      </c>
      <c r="D14" s="31">
        <f t="shared" si="1"/>
        <v>165</v>
      </c>
      <c r="F14" s="149" t="s">
        <v>39</v>
      </c>
      <c r="G14" s="150"/>
      <c r="H14" s="151">
        <f>D54</f>
        <v>13236.75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174371.08333333334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1620</f>
        <v>1620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>
        <v>1</v>
      </c>
      <c r="D19" s="48">
        <f t="shared" si="1"/>
        <v>1102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>
        <f>1+6</f>
        <v>7</v>
      </c>
      <c r="D20" s="13">
        <f t="shared" si="1"/>
        <v>8225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10">
        <f>8+2</f>
        <v>10</v>
      </c>
      <c r="D21" s="48">
        <f t="shared" si="1"/>
        <v>6500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101</v>
      </c>
      <c r="C22" s="10">
        <v>3</v>
      </c>
      <c r="D22" s="48">
        <f t="shared" si="1"/>
        <v>5001</v>
      </c>
      <c r="F22" s="72"/>
      <c r="G22" s="73"/>
      <c r="H22" s="181"/>
      <c r="I22" s="181"/>
      <c r="J22" s="181"/>
      <c r="L22" s="7">
        <v>1667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>
        <v>1</v>
      </c>
      <c r="D25" s="48">
        <f t="shared" si="1"/>
        <v>116.83333333333333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674/6+4.5</f>
        <v>116.83333333333333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187607.83333333334</v>
      </c>
      <c r="F29" s="167" t="s">
        <v>55</v>
      </c>
      <c r="G29" s="168"/>
      <c r="H29" s="171">
        <f>H15-H16-H17-H18-H19-H20-H22-H23-H24+H26+H27</f>
        <v>172751.08333333334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21</v>
      </c>
      <c r="H34" s="199">
        <f>F34*G34</f>
        <v>21000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13</v>
      </c>
      <c r="H35" s="199">
        <f t="shared" ref="H35:H39" si="2">F35*G35</f>
        <v>6500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105</v>
      </c>
      <c r="D37" s="12">
        <f>C37*111</f>
        <v>11655</v>
      </c>
      <c r="F37" s="12">
        <v>100</v>
      </c>
      <c r="G37" s="39">
        <v>1</v>
      </c>
      <c r="H37" s="199">
        <f t="shared" si="2"/>
        <v>100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5</v>
      </c>
      <c r="D42" s="12">
        <f>C42*2.25</f>
        <v>11.25</v>
      </c>
      <c r="F42" s="39" t="s">
        <v>79</v>
      </c>
      <c r="G42" s="199">
        <v>477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1</v>
      </c>
      <c r="D44" s="12">
        <f>C44*120</f>
        <v>120</v>
      </c>
      <c r="F44" s="37" t="s">
        <v>150</v>
      </c>
      <c r="G44" s="62" t="s">
        <v>162</v>
      </c>
      <c r="H44" s="183">
        <v>144167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2</v>
      </c>
      <c r="D45" s="12">
        <f>C45*84</f>
        <v>168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13</v>
      </c>
      <c r="D46" s="12">
        <f>C46*1.5</f>
        <v>19.5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6</v>
      </c>
      <c r="D49" s="12">
        <f>C49*42</f>
        <v>252</v>
      </c>
      <c r="F49" s="224" t="s">
        <v>86</v>
      </c>
      <c r="G49" s="171">
        <f>H34+H35+H36+H37+H38+H39+H40+H41+G42+H44+H45+H46</f>
        <v>172244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22</v>
      </c>
      <c r="D50" s="12">
        <f>C50*1.5</f>
        <v>33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-507.08333333334303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13236.75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12CC-B1BF-4C13-8D4D-5A0033F3BBDF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45995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429</v>
      </c>
      <c r="D6" s="13">
        <f t="shared" ref="D6:D28" si="1">C6*L6</f>
        <v>316173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70</v>
      </c>
      <c r="D9" s="13">
        <f t="shared" si="1"/>
        <v>49490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1</v>
      </c>
      <c r="D10" s="13">
        <f t="shared" si="1"/>
        <v>972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f>3+1</f>
        <v>4</v>
      </c>
      <c r="D12" s="48">
        <f t="shared" si="1"/>
        <v>3808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18</v>
      </c>
      <c r="D13" s="48">
        <f t="shared" si="1"/>
        <v>5526</v>
      </c>
      <c r="F13" s="144" t="s">
        <v>36</v>
      </c>
      <c r="G13" s="145"/>
      <c r="H13" s="146">
        <f>D29</f>
        <v>378246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50790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327456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912+1824+300</f>
        <v>3036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>
        <v>1</v>
      </c>
      <c r="D20" s="13">
        <f t="shared" si="1"/>
        <v>1102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>
        <v>1</v>
      </c>
      <c r="D23" s="48">
        <f t="shared" si="1"/>
        <v>1175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378246</v>
      </c>
      <c r="F29" s="167" t="s">
        <v>55</v>
      </c>
      <c r="G29" s="168"/>
      <c r="H29" s="171">
        <f>H15-H16-H17-H18-H19-H20-H22-H23-H24+H26+H27</f>
        <v>324420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31</v>
      </c>
      <c r="H34" s="199">
        <f>F34*G34</f>
        <v>31000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444</v>
      </c>
      <c r="D37" s="12">
        <f>C37*111</f>
        <v>49284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6</v>
      </c>
      <c r="D39" s="31">
        <f>C39*4.5</f>
        <v>27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>
        <v>2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4</v>
      </c>
      <c r="D44" s="12">
        <f>C44*120</f>
        <v>480</v>
      </c>
      <c r="F44" s="37" t="s">
        <v>163</v>
      </c>
      <c r="G44" s="76" t="s">
        <v>164</v>
      </c>
      <c r="H44" s="183">
        <v>101868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 t="s">
        <v>163</v>
      </c>
      <c r="G45" s="76" t="s">
        <v>165</v>
      </c>
      <c r="H45" s="183">
        <v>191152</v>
      </c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11</v>
      </c>
      <c r="D49" s="12">
        <f>C49*42</f>
        <v>462</v>
      </c>
      <c r="F49" s="224" t="s">
        <v>86</v>
      </c>
      <c r="G49" s="171">
        <f>H34+H35+H36+H37+H38+H39+H40+H41+G42+H44+H45+H46</f>
        <v>324022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-398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50790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CBEF-6F6C-41D9-B171-AA7638A998C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18BE-29B0-485D-A3A4-C99833CB9FE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522</v>
      </c>
      <c r="D6" s="13">
        <f t="shared" ref="D6:D28" si="1">C6*L6</f>
        <v>384714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3</v>
      </c>
      <c r="D7" s="13">
        <f t="shared" si="1"/>
        <v>2175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>
        <v>50</v>
      </c>
      <c r="D8" s="13">
        <f t="shared" si="1"/>
        <v>51650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51</v>
      </c>
      <c r="D9" s="13">
        <f t="shared" si="1"/>
        <v>36057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22</v>
      </c>
      <c r="D13" s="48">
        <f t="shared" si="1"/>
        <v>6754</v>
      </c>
      <c r="F13" s="144" t="s">
        <v>36</v>
      </c>
      <c r="G13" s="145"/>
      <c r="H13" s="146">
        <f>D29</f>
        <v>481416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6</v>
      </c>
      <c r="D14" s="31">
        <f t="shared" si="1"/>
        <v>66</v>
      </c>
      <c r="F14" s="149" t="s">
        <v>39</v>
      </c>
      <c r="G14" s="150"/>
      <c r="H14" s="151">
        <f>D54</f>
        <v>102241.5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379174.5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>
        <f>3012</f>
        <v>3012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 t="s">
        <v>166</v>
      </c>
      <c r="G22" s="73">
        <v>7681</v>
      </c>
      <c r="H22" s="181">
        <v>45650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481416</v>
      </c>
      <c r="F29" s="167" t="s">
        <v>55</v>
      </c>
      <c r="G29" s="168"/>
      <c r="H29" s="171">
        <f>H15-H16-H17-H18-H19-H20-H22-H23-H24+H26+H27+H28</f>
        <v>330512.5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10</v>
      </c>
      <c r="D34" s="30">
        <f>C34*120</f>
        <v>1200</v>
      </c>
      <c r="F34" s="12">
        <v>1000</v>
      </c>
      <c r="G34" s="40">
        <v>278</v>
      </c>
      <c r="H34" s="199">
        <f t="shared" ref="H34:H39" si="2">F34*G34</f>
        <v>278000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102</v>
      </c>
      <c r="H35" s="199">
        <f t="shared" si="2"/>
        <v>51000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12</v>
      </c>
      <c r="D36" s="12">
        <f>C36*1.5</f>
        <v>18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838</v>
      </c>
      <c r="D37" s="12">
        <f>C37*111</f>
        <v>93018</v>
      </c>
      <c r="F37" s="12">
        <v>100</v>
      </c>
      <c r="G37" s="39">
        <v>9</v>
      </c>
      <c r="H37" s="199">
        <f t="shared" si="2"/>
        <v>900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>
        <v>3</v>
      </c>
      <c r="H38" s="199">
        <f t="shared" si="2"/>
        <v>150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>
        <v>25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>
        <v>41</v>
      </c>
      <c r="D44" s="12">
        <f>C44*120</f>
        <v>4920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9</v>
      </c>
      <c r="D46" s="12">
        <f>C46*1.5</f>
        <v>13.5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48</v>
      </c>
      <c r="D49" s="12">
        <f>C49*42</f>
        <v>2016</v>
      </c>
      <c r="F49" s="224" t="s">
        <v>86</v>
      </c>
      <c r="G49" s="171">
        <f>H34+H35+H36+H37+H38+H39+H40+H41+G42+H44+H45+H46</f>
        <v>330075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14</v>
      </c>
      <c r="D50" s="12">
        <f>C50*1.5</f>
        <v>21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-437.5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102241.5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333D-C745-474C-8FF0-9245C6796D1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186</v>
      </c>
      <c r="D6" s="13">
        <f t="shared" ref="D6:D28" si="1">C6*L6</f>
        <v>137082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2</v>
      </c>
      <c r="D7" s="13">
        <f t="shared" si="1"/>
        <v>1450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8</v>
      </c>
      <c r="D9" s="13">
        <f t="shared" si="1"/>
        <v>5656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5</v>
      </c>
      <c r="D13" s="48">
        <f t="shared" si="1"/>
        <v>1535</v>
      </c>
      <c r="F13" s="144" t="s">
        <v>36</v>
      </c>
      <c r="G13" s="145"/>
      <c r="H13" s="146">
        <f>D29</f>
        <v>148838.16666666666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16</v>
      </c>
      <c r="D14" s="31">
        <f t="shared" si="1"/>
        <v>176</v>
      </c>
      <c r="F14" s="149" t="s">
        <v>39</v>
      </c>
      <c r="G14" s="150"/>
      <c r="H14" s="151">
        <f>D54</f>
        <v>23934.75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124903.41666666666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>
        <v>5</v>
      </c>
      <c r="D25" s="48">
        <f t="shared" si="1"/>
        <v>584.16666666666663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674/6+4.5</f>
        <v>116.83333333333333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3</v>
      </c>
      <c r="D28" s="48">
        <f t="shared" si="1"/>
        <v>2355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148838.16666666666</v>
      </c>
      <c r="F29" s="167" t="s">
        <v>55</v>
      </c>
      <c r="G29" s="168"/>
      <c r="H29" s="171">
        <f>H15-H16-H17-H18-H19-H20-H22-H23-H24+H26+H27</f>
        <v>124903.41666666666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91</v>
      </c>
      <c r="H34" s="199">
        <f>F34*G34</f>
        <v>91000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65</v>
      </c>
      <c r="H35" s="199">
        <f t="shared" ref="H35:H39" si="2">F35*G35</f>
        <v>32500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99">
        <f>F36*G36</f>
        <v>200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202</v>
      </c>
      <c r="D37" s="12">
        <f>C37*111</f>
        <v>22422</v>
      </c>
      <c r="F37" s="12">
        <v>100</v>
      </c>
      <c r="G37" s="39">
        <v>17</v>
      </c>
      <c r="H37" s="199">
        <f t="shared" si="2"/>
        <v>1700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10</v>
      </c>
      <c r="D38" s="12">
        <f>C38*84</f>
        <v>840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7</v>
      </c>
      <c r="D42" s="12">
        <f>C42*2.25</f>
        <v>15.75</v>
      </c>
      <c r="F42" s="39" t="s">
        <v>79</v>
      </c>
      <c r="G42" s="199">
        <v>11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2</v>
      </c>
      <c r="D49" s="12">
        <f>C49*42</f>
        <v>84</v>
      </c>
      <c r="F49" s="224" t="s">
        <v>86</v>
      </c>
      <c r="G49" s="171">
        <f>H34+H35+H36+H37+H38+H39+H40+H41+G42+H44+H45+H46</f>
        <v>125411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17</v>
      </c>
      <c r="D50" s="12">
        <f>C50*1.5</f>
        <v>25.5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155</v>
      </c>
      <c r="G51" s="228">
        <f>G49-H29</f>
        <v>507.58333333334303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23934.75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7494-3345-458E-8782-BD702A3573B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175</v>
      </c>
      <c r="D6" s="13">
        <f t="shared" ref="D6:D28" si="1">C6*L6</f>
        <v>128975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20</v>
      </c>
      <c r="D7" s="13">
        <f t="shared" si="1"/>
        <v>14500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17</v>
      </c>
      <c r="D9" s="13">
        <f t="shared" si="1"/>
        <v>12019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3</v>
      </c>
      <c r="D10" s="13">
        <f t="shared" si="1"/>
        <v>2916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>
        <v>1</v>
      </c>
      <c r="D11" s="13">
        <f t="shared" si="1"/>
        <v>1125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f>1+1</f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6</v>
      </c>
      <c r="D13" s="48">
        <f t="shared" si="1"/>
        <v>1842</v>
      </c>
      <c r="F13" s="144" t="s">
        <v>36</v>
      </c>
      <c r="G13" s="145"/>
      <c r="H13" s="146">
        <f>D29</f>
        <v>166256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24198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142058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300</f>
        <v>300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>
        <v>50</v>
      </c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3</v>
      </c>
      <c r="D28" s="48">
        <f t="shared" si="1"/>
        <v>2355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166256</v>
      </c>
      <c r="F29" s="167" t="s">
        <v>55</v>
      </c>
      <c r="G29" s="168"/>
      <c r="H29" s="171">
        <f>H15-H16-H17-H18-H19-H20-H22-H23-H24+H26+H27</f>
        <v>141708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113</v>
      </c>
      <c r="H34" s="199">
        <f>F34*G34</f>
        <v>113000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37</v>
      </c>
      <c r="H35" s="199">
        <f>F35*G35</f>
        <v>18500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12</v>
      </c>
      <c r="D36" s="12">
        <f>C36*1.5</f>
        <v>18</v>
      </c>
      <c r="F36" s="12">
        <v>200</v>
      </c>
      <c r="G36" s="37">
        <v>2</v>
      </c>
      <c r="H36" s="199">
        <f t="shared" ref="H36:H39" si="2">F36*G36</f>
        <v>400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194</v>
      </c>
      <c r="D37" s="12">
        <f>C37*111</f>
        <v>21534</v>
      </c>
      <c r="F37" s="12">
        <v>100</v>
      </c>
      <c r="G37" s="39">
        <v>51</v>
      </c>
      <c r="H37" s="199">
        <f t="shared" si="2"/>
        <v>5100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15</v>
      </c>
      <c r="H38" s="199">
        <f t="shared" si="2"/>
        <v>750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99">
        <f t="shared" si="2"/>
        <v>20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99">
        <v>127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3</v>
      </c>
      <c r="D44" s="12">
        <f>C44*120</f>
        <v>360</v>
      </c>
      <c r="F44" s="37" t="s">
        <v>145</v>
      </c>
      <c r="G44" s="76"/>
      <c r="H44" s="183">
        <v>3792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6</v>
      </c>
      <c r="D46" s="12">
        <f>C46*1.5</f>
        <v>9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141689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12</v>
      </c>
      <c r="D50" s="12">
        <f>C50*1.5</f>
        <v>18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-19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24198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2144-84CA-4F0C-8D6A-20F5884C869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88B4-3EC0-40DB-9955-A051FFE9D53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45997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407</v>
      </c>
      <c r="D6" s="13">
        <f t="shared" ref="D6:D28" si="1">C6*L6</f>
        <v>299959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54</v>
      </c>
      <c r="D9" s="13">
        <f t="shared" si="1"/>
        <v>38178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9</v>
      </c>
      <c r="D13" s="48">
        <f t="shared" si="1"/>
        <v>2763</v>
      </c>
      <c r="F13" s="144" t="s">
        <v>36</v>
      </c>
      <c r="G13" s="145"/>
      <c r="H13" s="146">
        <f>D29</f>
        <v>343299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4</v>
      </c>
      <c r="D14" s="31">
        <f t="shared" si="1"/>
        <v>44</v>
      </c>
      <c r="F14" s="149" t="s">
        <v>39</v>
      </c>
      <c r="G14" s="150"/>
      <c r="H14" s="151">
        <f>D54</f>
        <v>83292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260007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>
        <v>3</v>
      </c>
      <c r="D28" s="48">
        <f t="shared" si="1"/>
        <v>2355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343299</v>
      </c>
      <c r="F29" s="167" t="s">
        <v>55</v>
      </c>
      <c r="G29" s="168"/>
      <c r="H29" s="171">
        <f>H15-H16-H17-H18-H19-H20-H22-H23-H24+H26+H27+H28</f>
        <v>260007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53</v>
      </c>
      <c r="H34" s="199">
        <f t="shared" ref="H34:H39" si="2">F34*G34</f>
        <v>53000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42</v>
      </c>
      <c r="H35" s="199">
        <f t="shared" si="2"/>
        <v>21000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713</v>
      </c>
      <c r="D37" s="12">
        <f>C37*111</f>
        <v>79143</v>
      </c>
      <c r="F37" s="12">
        <v>100</v>
      </c>
      <c r="G37" s="39">
        <v>8</v>
      </c>
      <c r="H37" s="199">
        <f t="shared" si="2"/>
        <v>800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</v>
      </c>
      <c r="H38" s="199">
        <f t="shared" si="2"/>
        <v>100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30</v>
      </c>
      <c r="D40" s="12">
        <f>C40*111</f>
        <v>3330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>
        <v>122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 t="s">
        <v>167</v>
      </c>
      <c r="G44" s="62" t="s">
        <v>168</v>
      </c>
      <c r="H44" s="183">
        <v>118353</v>
      </c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 t="s">
        <v>167</v>
      </c>
      <c r="G45" s="62" t="s">
        <v>169</v>
      </c>
      <c r="H45" s="183">
        <v>66364</v>
      </c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259739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7</v>
      </c>
      <c r="D50" s="12">
        <f>C50*1.5</f>
        <v>10.5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-268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83292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5111-FC87-4E15-A519-7A3A6FF5456B}">
  <dimension ref="A1:R59"/>
  <sheetViews>
    <sheetView topLeftCell="A25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45997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203</v>
      </c>
      <c r="D6" s="13">
        <f t="shared" ref="D6:D28" si="1">C6*L6</f>
        <v>149611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9</v>
      </c>
      <c r="D7" s="13">
        <f t="shared" si="1"/>
        <v>6525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>
        <v>1</v>
      </c>
      <c r="D8" s="13">
        <f t="shared" si="1"/>
        <v>1033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34</v>
      </c>
      <c r="D9" s="13">
        <f t="shared" si="1"/>
        <v>24038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1</v>
      </c>
      <c r="D10" s="13">
        <f t="shared" si="1"/>
        <v>972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1</v>
      </c>
      <c r="D12" s="48">
        <f t="shared" si="1"/>
        <v>952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6</v>
      </c>
      <c r="D13" s="48">
        <f t="shared" si="1"/>
        <v>1842</v>
      </c>
      <c r="F13" s="144" t="s">
        <v>36</v>
      </c>
      <c r="G13" s="145"/>
      <c r="H13" s="146">
        <f>D29</f>
        <v>186017.83333333334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13</v>
      </c>
      <c r="D14" s="31">
        <f t="shared" si="1"/>
        <v>143</v>
      </c>
      <c r="F14" s="149" t="s">
        <v>39</v>
      </c>
      <c r="G14" s="150"/>
      <c r="H14" s="151">
        <f>D54</f>
        <v>28258.5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157759.33333333334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>
        <v>1</v>
      </c>
      <c r="D25" s="48">
        <f t="shared" si="1"/>
        <v>116.83333333333333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674/6+4.5</f>
        <v>116.83333333333333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1</v>
      </c>
      <c r="D28" s="48">
        <f t="shared" si="1"/>
        <v>785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186017.83333333334</v>
      </c>
      <c r="F29" s="167" t="s">
        <v>55</v>
      </c>
      <c r="G29" s="168"/>
      <c r="H29" s="171">
        <f>H15-H16-H17-H18-H19-H20-H22-H23-H24+H26+H27</f>
        <v>157759.33333333334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132</v>
      </c>
      <c r="H34" s="199">
        <f>F34*G34</f>
        <v>132000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49</v>
      </c>
      <c r="H35" s="199">
        <f t="shared" ref="H35:H39" si="2">F35*G35</f>
        <v>24500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9</v>
      </c>
      <c r="D36" s="12">
        <f>C36*1.5</f>
        <v>13.5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226</v>
      </c>
      <c r="D37" s="12">
        <f>C37*111</f>
        <v>25086</v>
      </c>
      <c r="F37" s="12">
        <v>100</v>
      </c>
      <c r="G37" s="39">
        <v>11</v>
      </c>
      <c r="H37" s="199">
        <f t="shared" si="2"/>
        <v>1100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6</v>
      </c>
      <c r="H38" s="199">
        <f t="shared" si="2"/>
        <v>300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99">
        <f t="shared" si="2"/>
        <v>20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15</v>
      </c>
      <c r="D40" s="12">
        <f>C40*111</f>
        <v>1665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>
        <v>27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1</v>
      </c>
      <c r="D44" s="12">
        <f>C44*120</f>
        <v>120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3</v>
      </c>
      <c r="D45" s="12">
        <f>C45*84</f>
        <v>252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18</v>
      </c>
      <c r="D46" s="12">
        <f>C46*1.5</f>
        <v>27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157947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15</v>
      </c>
      <c r="D50" s="12">
        <f>C50*1.5</f>
        <v>22.5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155</v>
      </c>
      <c r="G51" s="228">
        <f>G49-H29</f>
        <v>187.66666666665697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28258.5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65E3-7877-4F77-80B7-F654C62AF0B5}">
  <dimension ref="A1:R59"/>
  <sheetViews>
    <sheetView topLeftCell="A10" zoomScaleNormal="100" zoomScaleSheetLayoutView="85" workbookViewId="0">
      <selection activeCell="H45" sqref="H45:J4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45997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365</v>
      </c>
      <c r="D6" s="13">
        <f t="shared" ref="D6:D28" si="1">C6*L6</f>
        <v>269005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3</v>
      </c>
      <c r="D7" s="13">
        <f t="shared" si="1"/>
        <v>2175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25</v>
      </c>
      <c r="D9" s="13">
        <f t="shared" si="1"/>
        <v>17675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2</v>
      </c>
      <c r="D10" s="13">
        <f t="shared" si="1"/>
        <v>1944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10</v>
      </c>
      <c r="D13" s="48">
        <f t="shared" si="1"/>
        <v>3070</v>
      </c>
      <c r="F13" s="144" t="s">
        <v>36</v>
      </c>
      <c r="G13" s="145"/>
      <c r="H13" s="146">
        <f>D29</f>
        <v>297409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6</v>
      </c>
      <c r="D14" s="31">
        <f t="shared" si="1"/>
        <v>66</v>
      </c>
      <c r="F14" s="149" t="s">
        <v>39</v>
      </c>
      <c r="G14" s="150"/>
      <c r="H14" s="151">
        <f>D54</f>
        <v>44916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252493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612+702+750</f>
        <v>2064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2</v>
      </c>
      <c r="D28" s="48">
        <f t="shared" si="1"/>
        <v>1570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297409</v>
      </c>
      <c r="F29" s="167" t="s">
        <v>55</v>
      </c>
      <c r="G29" s="168"/>
      <c r="H29" s="171">
        <f>H15-H16-H17-H18-H19-H20-H22-H23-H24+H26+H27</f>
        <v>250429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103</v>
      </c>
      <c r="H34" s="199">
        <f>F34*G34</f>
        <v>103000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7</v>
      </c>
      <c r="H35" s="199">
        <f>F35*G35</f>
        <v>3500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3</v>
      </c>
      <c r="D36" s="12">
        <f>C36*1.5</f>
        <v>4.5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389</v>
      </c>
      <c r="D37" s="12">
        <f>C37*111</f>
        <v>43179</v>
      </c>
      <c r="F37" s="12">
        <v>100</v>
      </c>
      <c r="G37" s="39">
        <v>4</v>
      </c>
      <c r="H37" s="199">
        <f t="shared" si="2"/>
        <v>400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4</v>
      </c>
      <c r="D42" s="12">
        <f>C42*2.25</f>
        <v>9</v>
      </c>
      <c r="F42" s="39" t="s">
        <v>79</v>
      </c>
      <c r="G42" s="199">
        <v>30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1</v>
      </c>
      <c r="D44" s="12">
        <f>C44*120</f>
        <v>120</v>
      </c>
      <c r="F44" s="37" t="s">
        <v>150</v>
      </c>
      <c r="G44" s="76" t="s">
        <v>170</v>
      </c>
      <c r="H44" s="183">
        <v>64639.5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 t="s">
        <v>163</v>
      </c>
      <c r="G45" s="76" t="s">
        <v>171</v>
      </c>
      <c r="H45" s="183">
        <v>78155</v>
      </c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22</v>
      </c>
      <c r="D46" s="12">
        <f>C46*1.5</f>
        <v>33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249774.5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11</v>
      </c>
      <c r="D50" s="12">
        <f>C50*1.5</f>
        <v>16.5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-654.5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44916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0764-0C27-42F4-8DF5-27E70BF7B77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ED22-7B7E-4DC0-84A5-4A216B52F522}">
  <dimension ref="A1:R59"/>
  <sheetViews>
    <sheetView topLeftCell="A19" zoomScaleNormal="100" zoomScaleSheetLayoutView="85" workbookViewId="0">
      <selection activeCell="H45" sqref="H45:J4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45999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135</v>
      </c>
      <c r="D6" s="13">
        <f t="shared" ref="D6:D28" si="1">C6*L6</f>
        <v>99495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10</v>
      </c>
      <c r="D7" s="13">
        <f t="shared" si="1"/>
        <v>7250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27</v>
      </c>
      <c r="D9" s="13">
        <f t="shared" si="1"/>
        <v>19089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4</v>
      </c>
      <c r="D13" s="48">
        <f t="shared" si="1"/>
        <v>1228</v>
      </c>
      <c r="F13" s="144" t="s">
        <v>36</v>
      </c>
      <c r="G13" s="145"/>
      <c r="H13" s="146">
        <f>D29</f>
        <v>128632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19241.25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109390.75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104" t="s">
        <v>172</v>
      </c>
      <c r="G26" s="65">
        <v>7681</v>
      </c>
      <c r="H26" s="183">
        <v>45650</v>
      </c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90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>
        <v>2</v>
      </c>
      <c r="D28" s="48">
        <f t="shared" si="1"/>
        <v>1570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128632</v>
      </c>
      <c r="F29" s="167" t="s">
        <v>55</v>
      </c>
      <c r="G29" s="168"/>
      <c r="H29" s="171">
        <f>H15-H16-H17-H18-H19-H20-H22-H23-H24+H26+H27+H28</f>
        <v>155040.75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144</v>
      </c>
      <c r="H34" s="199">
        <f t="shared" ref="H34:H39" si="2">F34*G34</f>
        <v>144000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11</v>
      </c>
      <c r="H35" s="199">
        <f t="shared" si="2"/>
        <v>5500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156</v>
      </c>
      <c r="D37" s="12">
        <f>C37*111</f>
        <v>17316</v>
      </c>
      <c r="F37" s="12">
        <v>100</v>
      </c>
      <c r="G37" s="39">
        <v>2</v>
      </c>
      <c r="H37" s="199">
        <f t="shared" si="2"/>
        <v>200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99">
        <v>255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 t="s">
        <v>145</v>
      </c>
      <c r="G44" s="62"/>
      <c r="H44" s="183">
        <v>4994</v>
      </c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5</v>
      </c>
      <c r="D46" s="12">
        <f>C46*1.5</f>
        <v>7.5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154999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11</v>
      </c>
      <c r="D50" s="12">
        <f>C50*1.5</f>
        <v>16.5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-41.75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19241.25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4C58-F673-46DD-8B88-9E574B8DD65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45999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233</v>
      </c>
      <c r="D6" s="13">
        <f t="shared" ref="D6:D28" si="1">C6*L6</f>
        <v>171721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12</v>
      </c>
      <c r="D7" s="13">
        <f t="shared" si="1"/>
        <v>8700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24</v>
      </c>
      <c r="D9" s="13">
        <f t="shared" si="1"/>
        <v>16968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1</v>
      </c>
      <c r="D10" s="13">
        <f t="shared" si="1"/>
        <v>972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f>2+1</f>
        <v>3</v>
      </c>
      <c r="D12" s="48">
        <f t="shared" si="1"/>
        <v>2856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5</v>
      </c>
      <c r="D13" s="48">
        <f t="shared" si="1"/>
        <v>1535</v>
      </c>
      <c r="F13" s="144" t="s">
        <v>36</v>
      </c>
      <c r="G13" s="145"/>
      <c r="H13" s="146">
        <f>D29</f>
        <v>204048.33333333334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4</v>
      </c>
      <c r="D14" s="31">
        <f t="shared" si="1"/>
        <v>44</v>
      </c>
      <c r="F14" s="149" t="s">
        <v>39</v>
      </c>
      <c r="G14" s="150"/>
      <c r="H14" s="151">
        <f>D54</f>
        <v>31084.5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172963.83333333334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v>600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>
        <v>4</v>
      </c>
      <c r="D25" s="48">
        <f t="shared" si="1"/>
        <v>467.33333333333331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674/6+4.5</f>
        <v>116.83333333333333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1</v>
      </c>
      <c r="D28" s="48">
        <f t="shared" si="1"/>
        <v>785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204048.33333333334</v>
      </c>
      <c r="F29" s="167" t="s">
        <v>55</v>
      </c>
      <c r="G29" s="168"/>
      <c r="H29" s="171">
        <f>H15-H16-H17-H18-H19-H20-H22-H23-H24+H26+H27</f>
        <v>172363.83333333334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157</v>
      </c>
      <c r="H34" s="199">
        <f>F34*G34</f>
        <v>157000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31</v>
      </c>
      <c r="H35" s="199">
        <f t="shared" ref="H35:H39" si="2">F35*G35</f>
        <v>15500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22</v>
      </c>
      <c r="D36" s="12">
        <f>C36*1.5</f>
        <v>33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259</v>
      </c>
      <c r="D37" s="12">
        <f>C37*111</f>
        <v>28749</v>
      </c>
      <c r="F37" s="12">
        <v>100</v>
      </c>
      <c r="G37" s="39">
        <v>5</v>
      </c>
      <c r="H37" s="199">
        <f t="shared" si="2"/>
        <v>500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4</v>
      </c>
      <c r="H38" s="199">
        <f t="shared" si="2"/>
        <v>200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8</v>
      </c>
      <c r="D42" s="12">
        <f>C42*2.25</f>
        <v>18</v>
      </c>
      <c r="F42" s="39" t="s">
        <v>79</v>
      </c>
      <c r="G42" s="199">
        <v>2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2</v>
      </c>
      <c r="D45" s="12">
        <f>C45*84</f>
        <v>168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3</v>
      </c>
      <c r="D46" s="12">
        <f>C46*1.5</f>
        <v>4.5</v>
      </c>
      <c r="F46" s="37"/>
      <c r="G46" s="91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173202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32</v>
      </c>
      <c r="D50" s="12">
        <f>C50*1.5</f>
        <v>48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155</v>
      </c>
      <c r="G51" s="228">
        <f>G49-H29</f>
        <v>838.16666666665697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31084.5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99B3-7E03-4098-9747-FAA0D0E9AE7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2" t="s">
        <v>2</v>
      </c>
      <c r="Q1" s="9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45999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386</v>
      </c>
      <c r="D6" s="13">
        <f t="shared" ref="D6:D28" si="1">C6*L6</f>
        <v>284482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10</v>
      </c>
      <c r="D7" s="13">
        <f t="shared" si="1"/>
        <v>7250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113</v>
      </c>
      <c r="D9" s="13">
        <f t="shared" si="1"/>
        <v>79891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5</v>
      </c>
      <c r="D10" s="13">
        <f t="shared" si="1"/>
        <v>4860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5</v>
      </c>
      <c r="D12" s="48">
        <f t="shared" si="1"/>
        <v>4760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392314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11</v>
      </c>
      <c r="D14" s="31">
        <f t="shared" si="1"/>
        <v>121</v>
      </c>
      <c r="F14" s="149" t="s">
        <v>39</v>
      </c>
      <c r="G14" s="150"/>
      <c r="H14" s="151">
        <f>D54</f>
        <v>44706.75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>
        <v>4</v>
      </c>
      <c r="D15" s="31">
        <f t="shared" si="1"/>
        <v>2480</v>
      </c>
      <c r="F15" s="154" t="s">
        <v>40</v>
      </c>
      <c r="G15" s="145"/>
      <c r="H15" s="155">
        <f>H13-H14</f>
        <v>347607.25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v>2712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10</v>
      </c>
      <c r="D28" s="48">
        <f t="shared" si="1"/>
        <v>7850</v>
      </c>
      <c r="F28" s="93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392314</v>
      </c>
      <c r="F29" s="167" t="s">
        <v>55</v>
      </c>
      <c r="G29" s="168"/>
      <c r="H29" s="171">
        <f>H15-H16-H17-H18-H19-H20-H22-H23-H24+H26+H27</f>
        <v>344895.25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4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36</v>
      </c>
      <c r="H34" s="199">
        <f>F34*G34</f>
        <v>36000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10</v>
      </c>
      <c r="H35" s="199">
        <f>F35*G35</f>
        <v>5000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>
        <v>10</v>
      </c>
      <c r="D36" s="12">
        <f>C36*1.5</f>
        <v>15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367</v>
      </c>
      <c r="D37" s="12">
        <f>C37*111</f>
        <v>40737</v>
      </c>
      <c r="F37" s="12">
        <v>100</v>
      </c>
      <c r="G37" s="39">
        <v>8</v>
      </c>
      <c r="H37" s="199">
        <f t="shared" si="2"/>
        <v>800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199">
        <f t="shared" si="2"/>
        <v>20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</v>
      </c>
      <c r="D42" s="12">
        <f>C42*2.25</f>
        <v>2.25</v>
      </c>
      <c r="F42" s="39" t="s">
        <v>79</v>
      </c>
      <c r="G42" s="199">
        <v>45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90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11</v>
      </c>
      <c r="D44" s="12">
        <f>C44*120</f>
        <v>1320</v>
      </c>
      <c r="F44" s="37" t="s">
        <v>150</v>
      </c>
      <c r="G44" s="76" t="s">
        <v>173</v>
      </c>
      <c r="H44" s="183">
        <v>303690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10</v>
      </c>
      <c r="D46" s="12">
        <f>C46*1.5</f>
        <v>15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11</v>
      </c>
      <c r="D48" s="12">
        <f>C48*78</f>
        <v>858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</v>
      </c>
      <c r="D49" s="12">
        <f>C49*42</f>
        <v>42</v>
      </c>
      <c r="F49" s="224" t="s">
        <v>86</v>
      </c>
      <c r="G49" s="171">
        <f>H34+H35+H36+H37+H38+H39+H40+H41+G42+H44+H45+H46</f>
        <v>345605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1</v>
      </c>
      <c r="D50" s="12">
        <f>C50*1.5</f>
        <v>1.5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148</v>
      </c>
      <c r="G51" s="228">
        <f>G49-H29</f>
        <v>709.75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44706.75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E97A-3D19-4F59-8E9B-06A2311825A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E089-8E7B-4B94-B489-6840337C8DE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46000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>
        <v>270</v>
      </c>
      <c r="D6" s="13">
        <f t="shared" ref="D6:D28" si="1">C6*L6</f>
        <v>198990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>
        <v>7</v>
      </c>
      <c r="D7" s="13">
        <f t="shared" si="1"/>
        <v>5075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>
        <v>22</v>
      </c>
      <c r="D9" s="13">
        <f t="shared" si="1"/>
        <v>15554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>
        <f>1+1</f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>
        <v>4</v>
      </c>
      <c r="D13" s="48">
        <f t="shared" si="1"/>
        <v>1228</v>
      </c>
      <c r="F13" s="144" t="s">
        <v>36</v>
      </c>
      <c r="G13" s="145"/>
      <c r="H13" s="146">
        <f>D29</f>
        <v>224255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>
        <v>9</v>
      </c>
      <c r="D14" s="31">
        <f t="shared" si="1"/>
        <v>99</v>
      </c>
      <c r="F14" s="149" t="s">
        <v>39</v>
      </c>
      <c r="G14" s="150"/>
      <c r="H14" s="151">
        <f>D54</f>
        <v>33251.25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191003.75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>
        <v>1</v>
      </c>
      <c r="D18" s="48">
        <f t="shared" si="1"/>
        <v>620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>
        <v>1</v>
      </c>
      <c r="D28" s="48">
        <f t="shared" si="1"/>
        <v>785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224255</v>
      </c>
      <c r="F29" s="167" t="s">
        <v>55</v>
      </c>
      <c r="G29" s="168"/>
      <c r="H29" s="171">
        <f>H15-H16-H17-H18-H19-H20-H22-H23-H24+H26+H27+H28</f>
        <v>191003.75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120</v>
      </c>
      <c r="H34" s="199">
        <f t="shared" ref="H34:H39" si="2">F34*G34</f>
        <v>120000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92</v>
      </c>
      <c r="H35" s="199">
        <f t="shared" si="2"/>
        <v>46000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275</v>
      </c>
      <c r="D37" s="12">
        <f>C37*111</f>
        <v>30525</v>
      </c>
      <c r="F37" s="12">
        <v>100</v>
      </c>
      <c r="G37" s="39">
        <v>33</v>
      </c>
      <c r="H37" s="199">
        <f t="shared" si="2"/>
        <v>3300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1</v>
      </c>
      <c r="H38" s="199">
        <f t="shared" si="2"/>
        <v>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3</v>
      </c>
      <c r="D42" s="12">
        <f>C42*2.25</f>
        <v>6.75</v>
      </c>
      <c r="F42" s="39" t="s">
        <v>79</v>
      </c>
      <c r="G42" s="199">
        <v>33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37" t="s">
        <v>145</v>
      </c>
      <c r="G44" s="62"/>
      <c r="H44" s="183">
        <v>21364</v>
      </c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8</v>
      </c>
      <c r="D46" s="12">
        <f>C46*1.5</f>
        <v>12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190747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25</v>
      </c>
      <c r="D50" s="12">
        <f>C50*1.5</f>
        <v>37.5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-256.75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33251.25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07C5-0932-4753-9140-C8E7227EE5FF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46000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332</v>
      </c>
      <c r="D6" s="13">
        <f t="shared" ref="D6:D28" si="1">C6*L6</f>
        <v>244684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3</v>
      </c>
      <c r="D9" s="13">
        <f t="shared" si="1"/>
        <v>2121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5</v>
      </c>
      <c r="D10" s="13">
        <f t="shared" si="1"/>
        <v>4860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>
        <v>2</v>
      </c>
      <c r="D11" s="13">
        <f t="shared" si="1"/>
        <v>2250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13</v>
      </c>
      <c r="D13" s="48">
        <f t="shared" si="1"/>
        <v>3991</v>
      </c>
      <c r="F13" s="144" t="s">
        <v>36</v>
      </c>
      <c r="G13" s="145"/>
      <c r="H13" s="146">
        <f>D29</f>
        <v>261815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5</v>
      </c>
      <c r="D14" s="31">
        <f t="shared" si="1"/>
        <v>55</v>
      </c>
      <c r="F14" s="149" t="s">
        <v>39</v>
      </c>
      <c r="G14" s="150"/>
      <c r="H14" s="151">
        <f>D54</f>
        <v>38712.75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223102.25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1854</f>
        <v>1854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261815</v>
      </c>
      <c r="F29" s="167" t="s">
        <v>55</v>
      </c>
      <c r="G29" s="168"/>
      <c r="H29" s="171">
        <f>H15-H16-H17-H18-H19-H20-H22-H23-H24+H26+H27</f>
        <v>221248.25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74">
        <v>21</v>
      </c>
      <c r="H34" s="199">
        <f>F34*G34</f>
        <v>21000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ref="H35:H39" si="2"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338</v>
      </c>
      <c r="D37" s="12">
        <f>C37*111</f>
        <v>37518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</v>
      </c>
      <c r="D42" s="12">
        <f>C42*2.25</f>
        <v>2.25</v>
      </c>
      <c r="F42" s="39" t="s">
        <v>79</v>
      </c>
      <c r="G42" s="199">
        <v>48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 t="s">
        <v>150</v>
      </c>
      <c r="G44" s="62" t="s">
        <v>174</v>
      </c>
      <c r="H44" s="183">
        <v>199178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3</v>
      </c>
      <c r="D46" s="12">
        <f>C46*1.5</f>
        <v>4.5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13</v>
      </c>
      <c r="D49" s="12">
        <f>C49*42</f>
        <v>546</v>
      </c>
      <c r="F49" s="224" t="s">
        <v>86</v>
      </c>
      <c r="G49" s="171">
        <f>H34+H35+H36+H37+H38+H39+H40+H41+G42+H44+H45+H46</f>
        <v>220226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25</v>
      </c>
      <c r="D50" s="12">
        <f>C50*1.5</f>
        <v>37.5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-1022.25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38712.75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39D3-3D4B-46F3-B0DF-5BDCC39799B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46000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377</v>
      </c>
      <c r="D6" s="13">
        <f t="shared" ref="D6:D28" si="1">C6*L6</f>
        <v>277849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25</v>
      </c>
      <c r="D7" s="13">
        <f t="shared" si="1"/>
        <v>18125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118</v>
      </c>
      <c r="D9" s="13">
        <f t="shared" si="1"/>
        <v>83426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3</v>
      </c>
      <c r="D12" s="48">
        <f t="shared" si="1"/>
        <v>2856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16</v>
      </c>
      <c r="D13" s="48">
        <f t="shared" si="1"/>
        <v>4912</v>
      </c>
      <c r="F13" s="144" t="s">
        <v>36</v>
      </c>
      <c r="G13" s="145"/>
      <c r="H13" s="146">
        <f>D29</f>
        <v>388760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2</v>
      </c>
      <c r="D14" s="31">
        <f t="shared" si="1"/>
        <v>22</v>
      </c>
      <c r="F14" s="149" t="s">
        <v>39</v>
      </c>
      <c r="G14" s="150"/>
      <c r="H14" s="151">
        <f>D54</f>
        <v>49567.5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339192.5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f>342+363*6</f>
        <v>2520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>
        <v>2</v>
      </c>
      <c r="D28" s="48">
        <f t="shared" si="1"/>
        <v>1570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388760</v>
      </c>
      <c r="F29" s="167" t="s">
        <v>55</v>
      </c>
      <c r="G29" s="168"/>
      <c r="H29" s="171">
        <f>H15-H16-H17-H18-H19-H20-H22-H23-H24+H26+H27</f>
        <v>336672.5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72</v>
      </c>
      <c r="H34" s="199">
        <f>F34*G34</f>
        <v>72000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92</v>
      </c>
      <c r="H35" s="199">
        <f>F35*G35</f>
        <v>46000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422</v>
      </c>
      <c r="D37" s="12">
        <f>C37*111</f>
        <v>46842</v>
      </c>
      <c r="F37" s="12">
        <v>100</v>
      </c>
      <c r="G37" s="39">
        <v>5</v>
      </c>
      <c r="H37" s="199">
        <f t="shared" si="2"/>
        <v>500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5</v>
      </c>
      <c r="H38" s="199">
        <f t="shared" si="2"/>
        <v>250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14</v>
      </c>
      <c r="D40" s="12">
        <f>C40*111</f>
        <v>1554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>
        <v>109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2</v>
      </c>
      <c r="D44" s="12">
        <f>C44*120</f>
        <v>240</v>
      </c>
      <c r="F44" s="37" t="s">
        <v>163</v>
      </c>
      <c r="G44" s="76" t="s">
        <v>175</v>
      </c>
      <c r="H44" s="183">
        <v>217387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13</v>
      </c>
      <c r="D49" s="12">
        <f>C49*42</f>
        <v>546</v>
      </c>
      <c r="F49" s="224" t="s">
        <v>86</v>
      </c>
      <c r="G49" s="171">
        <f>H34+H35+H36+H37+H38+H39+H40+H41+G42+H44+H45+H46</f>
        <v>336246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</v>
      </c>
      <c r="D50" s="12">
        <f>C50*1.5</f>
        <v>3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-426.5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49567.5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DDD9-0359-4CAB-A269-1BB1CFCB83F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FAFF-028C-4C8A-BEF8-DB1BDF4DB2B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46001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06D7-EAC5-4C75-88D8-37EC6AE7CC8B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46001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422</v>
      </c>
      <c r="D6" s="13">
        <f t="shared" ref="D6:D28" si="1">C6*L6</f>
        <v>311014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>
        <v>5</v>
      </c>
      <c r="D7" s="13">
        <f t="shared" si="1"/>
        <v>3625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110</v>
      </c>
      <c r="D9" s="13">
        <f t="shared" si="1"/>
        <v>77770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>
        <v>2</v>
      </c>
      <c r="D10" s="13">
        <f t="shared" si="1"/>
        <v>1944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f>2</f>
        <v>2</v>
      </c>
      <c r="D12" s="48">
        <f t="shared" si="1"/>
        <v>1904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20</v>
      </c>
      <c r="D13" s="48">
        <f t="shared" si="1"/>
        <v>6140</v>
      </c>
      <c r="F13" s="144" t="s">
        <v>36</v>
      </c>
      <c r="G13" s="145"/>
      <c r="H13" s="146">
        <f>D29</f>
        <v>403697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92064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311633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246">
        <f>1194+1836</f>
        <v>3030</v>
      </c>
      <c r="I16" s="247"/>
      <c r="J16" s="24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6">
        <v>100</v>
      </c>
      <c r="I19" s="247"/>
      <c r="J19" s="24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403697</v>
      </c>
      <c r="F29" s="167" t="s">
        <v>55</v>
      </c>
      <c r="G29" s="168"/>
      <c r="H29" s="171">
        <f>H15-H16-H17-H18-H19-H20-H22-H23-H24+H26+H27</f>
        <v>308503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142</v>
      </c>
      <c r="H34" s="199">
        <f>F34*G34</f>
        <v>142000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95</v>
      </c>
      <c r="H35" s="199">
        <f t="shared" ref="H35:H39" si="2">F35*G35</f>
        <v>47500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99">
        <f>F36*G36</f>
        <v>200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787</v>
      </c>
      <c r="D37" s="12">
        <f>C37*111</f>
        <v>87357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28</v>
      </c>
      <c r="D38" s="12">
        <f>C38*84</f>
        <v>2352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8</v>
      </c>
      <c r="D42" s="12">
        <f>C42*2.25</f>
        <v>18</v>
      </c>
      <c r="F42" s="39" t="s">
        <v>79</v>
      </c>
      <c r="G42" s="199">
        <v>79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3</v>
      </c>
      <c r="D44" s="12">
        <f>C44*120</f>
        <v>360</v>
      </c>
      <c r="F44" s="37" t="s">
        <v>150</v>
      </c>
      <c r="G44" s="62" t="s">
        <v>176</v>
      </c>
      <c r="H44" s="183">
        <v>119491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12</v>
      </c>
      <c r="D46" s="12">
        <f>C46*1.5</f>
        <v>18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>
        <v>12</v>
      </c>
      <c r="D49" s="12">
        <f>C49*42</f>
        <v>504</v>
      </c>
      <c r="F49" s="224" t="s">
        <v>86</v>
      </c>
      <c r="G49" s="171">
        <f>H34+H35+H36+H37+H38+H39+H40+H41+G42+H44+H45+H46</f>
        <v>309270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>
        <v>26</v>
      </c>
      <c r="D50" s="12">
        <f>C50*1.5</f>
        <v>39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155</v>
      </c>
      <c r="G51" s="228">
        <f>G49-H29</f>
        <v>767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92064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D21B-A26C-4A22-A87A-F20E490ECEF4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46001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>
        <v>174</v>
      </c>
      <c r="D6" s="13">
        <f t="shared" ref="D6:D28" si="1">C6*L6</f>
        <v>128238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>
        <v>65</v>
      </c>
      <c r="D9" s="13">
        <f t="shared" si="1"/>
        <v>45955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>
        <v>1</v>
      </c>
      <c r="D11" s="13">
        <f t="shared" si="1"/>
        <v>1125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>
        <v>1</v>
      </c>
      <c r="D12" s="48">
        <f t="shared" si="1"/>
        <v>952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>
        <v>5</v>
      </c>
      <c r="D13" s="48">
        <f t="shared" si="1"/>
        <v>1535</v>
      </c>
      <c r="F13" s="144" t="s">
        <v>36</v>
      </c>
      <c r="G13" s="145"/>
      <c r="H13" s="146">
        <f>D29</f>
        <v>179358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>
        <v>23</v>
      </c>
      <c r="D14" s="31">
        <f t="shared" si="1"/>
        <v>253</v>
      </c>
      <c r="F14" s="149" t="s">
        <v>39</v>
      </c>
      <c r="G14" s="150"/>
      <c r="H14" s="151">
        <f>D54</f>
        <v>18797.25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160560.75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>
        <v>456</v>
      </c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179358</v>
      </c>
      <c r="F29" s="167" t="s">
        <v>55</v>
      </c>
      <c r="G29" s="168"/>
      <c r="H29" s="171">
        <f>H15-H16-H17-H18-H19-H20-H22-H23-H24+H26+H27</f>
        <v>160104.75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59</v>
      </c>
      <c r="H34" s="199">
        <f>F34*G34</f>
        <v>59000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>
        <v>105</v>
      </c>
      <c r="H35" s="199">
        <f>F35*G35</f>
        <v>52500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>
        <v>134</v>
      </c>
      <c r="D37" s="12">
        <f>C37*111</f>
        <v>14874</v>
      </c>
      <c r="F37" s="12">
        <v>100</v>
      </c>
      <c r="G37" s="39">
        <v>4</v>
      </c>
      <c r="H37" s="199">
        <f t="shared" si="2"/>
        <v>400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2</v>
      </c>
      <c r="H38" s="199">
        <f t="shared" si="2"/>
        <v>100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99">
        <f t="shared" si="2"/>
        <v>20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>
        <v>13</v>
      </c>
      <c r="D42" s="12">
        <f>C42*2.25</f>
        <v>29.25</v>
      </c>
      <c r="F42" s="39" t="s">
        <v>79</v>
      </c>
      <c r="G42" s="199">
        <v>31</v>
      </c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>
        <v>5</v>
      </c>
      <c r="D44" s="12">
        <f>C44*120</f>
        <v>600</v>
      </c>
      <c r="F44" s="37" t="s">
        <v>150</v>
      </c>
      <c r="G44" s="76" t="s">
        <v>177</v>
      </c>
      <c r="H44" s="183">
        <v>48140</v>
      </c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>
        <v>1</v>
      </c>
      <c r="D45" s="12">
        <f>C45*84</f>
        <v>84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>
        <v>11</v>
      </c>
      <c r="D46" s="12">
        <f>C46*1.5</f>
        <v>16.5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>
        <v>11</v>
      </c>
      <c r="D48" s="12">
        <f>C48*78</f>
        <v>858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160191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148</v>
      </c>
      <c r="G51" s="228">
        <f>G49-H29</f>
        <v>86.25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18797.25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ADA-E78E-4C6F-A8ED-0E95154FB6A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A192-CC62-4BE6-8D5B-44080381523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4413-1B41-4CD4-BDC2-F310EAEC9B6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ref="H35:H39" si="2"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93DB-2DFD-479E-A6A4-6924CDB5B12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46002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8A9F-B0B8-4AAD-B668-5ABB2F1910E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0AA0-3162-4C79-A476-874441927B5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B486-29E7-4848-8159-45D97386438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ref="H35:H39" si="2"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3C68-3B18-4E9D-A936-0A70BED03F6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46003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18BE-97FB-4EBF-8ECD-A8FCC1B2A86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F3BB-60D6-4785-AB99-4A4119E5B2B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8547-B1E6-475C-B18B-9AAC1112837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ref="H35:H39" si="2"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9036-3A64-4FDB-A5E3-8C51971AE3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46004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DA29-AA25-471C-A966-A80B9697709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06" t="s">
        <v>7</v>
      </c>
      <c r="B4" s="107"/>
      <c r="C4" s="107"/>
      <c r="D4" s="108"/>
      <c r="F4" s="109" t="s">
        <v>8</v>
      </c>
      <c r="G4" s="111"/>
      <c r="H4" s="113" t="s">
        <v>9</v>
      </c>
      <c r="I4" s="115"/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20"/>
      <c r="B6" s="16"/>
      <c r="C6" s="10"/>
      <c r="D6" s="13">
        <f t="shared" ref="D6:D28" si="1">C6*L6</f>
        <v>0</v>
      </c>
      <c r="F6" s="122" t="s">
        <v>16</v>
      </c>
      <c r="G6" s="124"/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20"/>
      <c r="B7" s="16"/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20"/>
      <c r="B8" s="16"/>
      <c r="C8" s="10"/>
      <c r="D8" s="13">
        <f t="shared" si="1"/>
        <v>0</v>
      </c>
      <c r="F8" s="130" t="s">
        <v>21</v>
      </c>
      <c r="G8" s="132"/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20"/>
      <c r="B9" s="16"/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20"/>
      <c r="C10" s="10"/>
      <c r="D10" s="13">
        <f t="shared" si="1"/>
        <v>0</v>
      </c>
      <c r="F10" s="122" t="s">
        <v>26</v>
      </c>
      <c r="G10" s="138"/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9" ht="15.75" x14ac:dyDescent="0.25">
      <c r="A11" s="120"/>
      <c r="B11" s="17"/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20"/>
      <c r="B12" s="17"/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20"/>
      <c r="B13" s="17"/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20"/>
      <c r="B14" s="14"/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20"/>
      <c r="B15" s="14"/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20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/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/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/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/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/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/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/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/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/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/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/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/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/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128</v>
      </c>
      <c r="G51" s="228">
        <f>G49-H29</f>
        <v>0</v>
      </c>
      <c r="H51" s="229"/>
      <c r="I51" s="229"/>
      <c r="J51" s="23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31"/>
      <c r="H52" s="232"/>
      <c r="I52" s="232"/>
      <c r="J52" s="23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F7D5-F2A9-4CDB-B186-F613712C4F0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1</v>
      </c>
      <c r="H4" s="113" t="s">
        <v>9</v>
      </c>
      <c r="I4" s="115">
        <v>46006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84"/>
      <c r="D6" s="13">
        <f t="shared" ref="D6:D28" si="1">C6*L6</f>
        <v>0</v>
      </c>
      <c r="F6" s="122" t="s">
        <v>16</v>
      </c>
      <c r="G6" s="124" t="s">
        <v>129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84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84"/>
      <c r="D8" s="13">
        <f t="shared" si="1"/>
        <v>0</v>
      </c>
      <c r="F8" s="130" t="s">
        <v>21</v>
      </c>
      <c r="G8" s="132" t="s">
        <v>112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84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84"/>
      <c r="D10" s="13">
        <f t="shared" si="1"/>
        <v>0</v>
      </c>
      <c r="F10" s="122" t="s">
        <v>26</v>
      </c>
      <c r="G10" s="138" t="s">
        <v>130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84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84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84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84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84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138</v>
      </c>
      <c r="C17" s="84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134</v>
      </c>
      <c r="C19" s="84"/>
      <c r="D19" s="48">
        <f t="shared" si="1"/>
        <v>0</v>
      </c>
      <c r="F19" s="56"/>
      <c r="G19" s="68" t="s">
        <v>50</v>
      </c>
      <c r="H19" s="131"/>
      <c r="I19" s="131"/>
      <c r="J19" s="131"/>
      <c r="L19" s="6">
        <v>1102</v>
      </c>
      <c r="Q19" s="4"/>
      <c r="R19" s="5">
        <f t="shared" si="0"/>
        <v>0</v>
      </c>
    </row>
    <row r="20" spans="1:18" ht="15.75" x14ac:dyDescent="0.25">
      <c r="A20" s="120"/>
      <c r="B20" s="83" t="s">
        <v>125</v>
      </c>
      <c r="C20" s="84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136</v>
      </c>
      <c r="C21" s="84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127</v>
      </c>
      <c r="C22" s="84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101</v>
      </c>
      <c r="C23" s="84"/>
      <c r="D23" s="48">
        <f t="shared" si="1"/>
        <v>0</v>
      </c>
      <c r="F23" s="77"/>
      <c r="G23" s="79"/>
      <c r="H23" s="234"/>
      <c r="I23" s="235"/>
      <c r="J23" s="235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121</v>
      </c>
      <c r="C24" s="84"/>
      <c r="D24" s="48">
        <f t="shared" si="1"/>
        <v>0</v>
      </c>
      <c r="F24" s="77"/>
      <c r="G24" s="79"/>
      <c r="H24" s="234"/>
      <c r="I24" s="235"/>
      <c r="J24" s="23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139</v>
      </c>
      <c r="C25" s="84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137</v>
      </c>
      <c r="C26" s="84"/>
      <c r="D26" s="48">
        <f t="shared" si="1"/>
        <v>0</v>
      </c>
      <c r="F26" s="75"/>
      <c r="G26" s="65"/>
      <c r="H26" s="183"/>
      <c r="I26" s="183"/>
      <c r="J26" s="183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110</v>
      </c>
      <c r="C27" s="84"/>
      <c r="D27" s="44">
        <f t="shared" si="1"/>
        <v>0</v>
      </c>
      <c r="F27" s="71"/>
      <c r="G27" s="103"/>
      <c r="H27" s="236"/>
      <c r="I27" s="237"/>
      <c r="J27" s="237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84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H15-H16-H17-H18-H19-H20-H22-H23-H24+H26+H27+H28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99">
        <f t="shared" ref="H34:H39" si="2"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si="2"/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si="2"/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183"/>
      <c r="I46" s="183"/>
      <c r="J46" s="183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131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133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EDEF-10C7-4790-A52F-2601DDA046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2</v>
      </c>
      <c r="H4" s="113" t="s">
        <v>9</v>
      </c>
      <c r="I4" s="115">
        <v>46006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141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114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115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93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45"/>
      <c r="I19" s="245"/>
      <c r="J19" s="24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122</v>
      </c>
      <c r="C20" s="10"/>
      <c r="D20" s="13">
        <f t="shared" si="1"/>
        <v>0</v>
      </c>
      <c r="F20" s="57"/>
      <c r="G20" s="70" t="s">
        <v>120</v>
      </c>
      <c r="H20" s="131"/>
      <c r="I20" s="131"/>
      <c r="J20" s="13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25"/>
      <c r="G23" s="37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123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124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10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14"/>
      <c r="G27" s="14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 t="shared" ref="H35:H39" si="2"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62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62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10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132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28B4-E6BE-40BC-8DBA-96DCD1A9C63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05" t="s">
        <v>1</v>
      </c>
      <c r="O1" s="105"/>
      <c r="P1" s="99" t="s">
        <v>2</v>
      </c>
      <c r="Q1" s="9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06" t="s">
        <v>7</v>
      </c>
      <c r="B4" s="107"/>
      <c r="C4" s="107"/>
      <c r="D4" s="108"/>
      <c r="F4" s="109" t="s">
        <v>8</v>
      </c>
      <c r="G4" s="111">
        <v>3</v>
      </c>
      <c r="H4" s="113" t="s">
        <v>9</v>
      </c>
      <c r="I4" s="115">
        <v>46006</v>
      </c>
      <c r="J4" s="1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19" t="s">
        <v>7</v>
      </c>
      <c r="B5" s="15" t="s">
        <v>11</v>
      </c>
      <c r="C5" s="9" t="s">
        <v>12</v>
      </c>
      <c r="D5" s="25" t="s">
        <v>13</v>
      </c>
      <c r="F5" s="110"/>
      <c r="G5" s="112"/>
      <c r="H5" s="114"/>
      <c r="I5" s="117"/>
      <c r="J5" s="1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20"/>
      <c r="B6" s="16" t="s">
        <v>15</v>
      </c>
      <c r="C6" s="10"/>
      <c r="D6" s="13">
        <f t="shared" ref="D6:D28" si="1">C6*L6</f>
        <v>0</v>
      </c>
      <c r="F6" s="122" t="s">
        <v>16</v>
      </c>
      <c r="G6" s="124" t="s">
        <v>111</v>
      </c>
      <c r="H6" s="125"/>
      <c r="I6" s="125"/>
      <c r="J6" s="126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20"/>
      <c r="B7" s="16" t="s">
        <v>18</v>
      </c>
      <c r="C7" s="10"/>
      <c r="D7" s="13">
        <f t="shared" si="1"/>
        <v>0</v>
      </c>
      <c r="F7" s="123"/>
      <c r="G7" s="127"/>
      <c r="H7" s="128"/>
      <c r="I7" s="128"/>
      <c r="J7" s="129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20"/>
      <c r="B8" s="16" t="s">
        <v>20</v>
      </c>
      <c r="C8" s="10"/>
      <c r="D8" s="13">
        <f t="shared" si="1"/>
        <v>0</v>
      </c>
      <c r="F8" s="130" t="s">
        <v>21</v>
      </c>
      <c r="G8" s="132" t="s">
        <v>119</v>
      </c>
      <c r="H8" s="133"/>
      <c r="I8" s="133"/>
      <c r="J8" s="134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20"/>
      <c r="B9" s="16" t="s">
        <v>23</v>
      </c>
      <c r="C9" s="10"/>
      <c r="D9" s="13">
        <f t="shared" si="1"/>
        <v>0</v>
      </c>
      <c r="F9" s="123"/>
      <c r="G9" s="135"/>
      <c r="H9" s="136"/>
      <c r="I9" s="136"/>
      <c r="J9" s="137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20"/>
      <c r="B10" t="s">
        <v>25</v>
      </c>
      <c r="C10" s="10"/>
      <c r="D10" s="13">
        <f t="shared" si="1"/>
        <v>0</v>
      </c>
      <c r="F10" s="122" t="s">
        <v>26</v>
      </c>
      <c r="G10" s="138" t="s">
        <v>135</v>
      </c>
      <c r="H10" s="139"/>
      <c r="I10" s="139"/>
      <c r="J10" s="140"/>
      <c r="K10" s="8"/>
      <c r="L10" s="6">
        <f>R36</f>
        <v>972</v>
      </c>
      <c r="P10" s="4"/>
      <c r="Q10" s="4"/>
      <c r="R10" s="5"/>
    </row>
    <row r="11" spans="1:18" ht="15.75" x14ac:dyDescent="0.25">
      <c r="A11" s="120"/>
      <c r="B11" s="17" t="s">
        <v>28</v>
      </c>
      <c r="C11" s="10"/>
      <c r="D11" s="13">
        <f t="shared" si="1"/>
        <v>0</v>
      </c>
      <c r="F11" s="123"/>
      <c r="G11" s="135"/>
      <c r="H11" s="136"/>
      <c r="I11" s="136"/>
      <c r="J11" s="137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20"/>
      <c r="B12" s="17" t="s">
        <v>30</v>
      </c>
      <c r="C12" s="10"/>
      <c r="D12" s="48">
        <f t="shared" si="1"/>
        <v>0</v>
      </c>
      <c r="F12" s="141" t="s">
        <v>33</v>
      </c>
      <c r="G12" s="142"/>
      <c r="H12" s="142"/>
      <c r="I12" s="142"/>
      <c r="J12" s="143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20"/>
      <c r="B13" s="17" t="s">
        <v>32</v>
      </c>
      <c r="C13" s="10"/>
      <c r="D13" s="48">
        <f t="shared" si="1"/>
        <v>0</v>
      </c>
      <c r="F13" s="144" t="s">
        <v>36</v>
      </c>
      <c r="G13" s="145"/>
      <c r="H13" s="146">
        <f>D29</f>
        <v>0</v>
      </c>
      <c r="I13" s="147"/>
      <c r="J13" s="148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20"/>
      <c r="B14" s="14" t="s">
        <v>35</v>
      </c>
      <c r="C14" s="10"/>
      <c r="D14" s="31">
        <f t="shared" si="1"/>
        <v>0</v>
      </c>
      <c r="F14" s="149" t="s">
        <v>39</v>
      </c>
      <c r="G14" s="150"/>
      <c r="H14" s="151">
        <f>D54</f>
        <v>0</v>
      </c>
      <c r="I14" s="152"/>
      <c r="J14" s="153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20"/>
      <c r="B15" s="14" t="s">
        <v>38</v>
      </c>
      <c r="C15" s="10"/>
      <c r="D15" s="31">
        <f t="shared" si="1"/>
        <v>0</v>
      </c>
      <c r="F15" s="154" t="s">
        <v>40</v>
      </c>
      <c r="G15" s="145"/>
      <c r="H15" s="155">
        <f>H13-H14</f>
        <v>0</v>
      </c>
      <c r="I15" s="156"/>
      <c r="J15" s="15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20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58"/>
      <c r="I16" s="158"/>
      <c r="J16" s="158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20"/>
      <c r="B17" t="s">
        <v>113</v>
      </c>
      <c r="C17" s="10"/>
      <c r="D17" s="48">
        <f t="shared" si="1"/>
        <v>0</v>
      </c>
      <c r="F17" s="56"/>
      <c r="G17" s="66" t="s">
        <v>45</v>
      </c>
      <c r="H17" s="131"/>
      <c r="I17" s="131"/>
      <c r="J17" s="131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20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31"/>
      <c r="I18" s="131"/>
      <c r="J18" s="131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20"/>
      <c r="B19" s="14" t="s">
        <v>117</v>
      </c>
      <c r="C19" s="10"/>
      <c r="D19" s="48">
        <f t="shared" si="1"/>
        <v>0</v>
      </c>
      <c r="F19" s="56"/>
      <c r="G19" s="68" t="s">
        <v>50</v>
      </c>
      <c r="H19" s="238"/>
      <c r="I19" s="238"/>
      <c r="J19" s="23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20"/>
      <c r="B20" s="46" t="s">
        <v>108</v>
      </c>
      <c r="C20" s="10"/>
      <c r="D20" s="13">
        <f t="shared" si="1"/>
        <v>0</v>
      </c>
      <c r="F20" s="57"/>
      <c r="G20" s="70" t="s">
        <v>120</v>
      </c>
      <c r="H20" s="158"/>
      <c r="I20" s="158"/>
      <c r="J20" s="158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20"/>
      <c r="B21" s="14" t="s">
        <v>126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20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20"/>
      <c r="B23" s="14" t="s">
        <v>107</v>
      </c>
      <c r="C23" s="10"/>
      <c r="D23" s="48">
        <f t="shared" si="1"/>
        <v>0</v>
      </c>
      <c r="F23" s="78"/>
      <c r="G23" s="79"/>
      <c r="H23" s="182"/>
      <c r="I23" s="183"/>
      <c r="J23" s="183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20"/>
      <c r="B24" s="14" t="s">
        <v>101</v>
      </c>
      <c r="C24" s="10"/>
      <c r="D24" s="48">
        <f t="shared" si="1"/>
        <v>0</v>
      </c>
      <c r="F24" s="38"/>
      <c r="G24" s="37"/>
      <c r="H24" s="182"/>
      <c r="I24" s="183"/>
      <c r="J24" s="183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20"/>
      <c r="B25" s="14" t="s">
        <v>116</v>
      </c>
      <c r="C25" s="10"/>
      <c r="D25" s="48">
        <f t="shared" si="1"/>
        <v>0</v>
      </c>
      <c r="F25" s="60" t="s">
        <v>100</v>
      </c>
      <c r="G25" s="55" t="s">
        <v>98</v>
      </c>
      <c r="H25" s="184" t="s">
        <v>13</v>
      </c>
      <c r="I25" s="185"/>
      <c r="J25" s="186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20"/>
      <c r="B26" s="14" t="s">
        <v>105</v>
      </c>
      <c r="C26" s="10"/>
      <c r="D26" s="48">
        <f t="shared" si="1"/>
        <v>0</v>
      </c>
      <c r="F26" s="64"/>
      <c r="G26" s="59"/>
      <c r="H26" s="187"/>
      <c r="I26" s="188"/>
      <c r="J26" s="189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20"/>
      <c r="B27" s="14" t="s">
        <v>109</v>
      </c>
      <c r="C27" s="10"/>
      <c r="D27" s="44">
        <f t="shared" si="1"/>
        <v>0</v>
      </c>
      <c r="F27" s="25"/>
      <c r="G27" s="80"/>
      <c r="H27" s="190"/>
      <c r="I27" s="191"/>
      <c r="J27" s="192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21"/>
      <c r="B28" s="46" t="s">
        <v>97</v>
      </c>
      <c r="C28" s="10"/>
      <c r="D28" s="48">
        <f t="shared" si="1"/>
        <v>0</v>
      </c>
      <c r="F28" s="100"/>
      <c r="G28" s="61"/>
      <c r="H28" s="193"/>
      <c r="I28" s="194"/>
      <c r="J28" s="195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59" t="s">
        <v>36</v>
      </c>
      <c r="B29" s="160"/>
      <c r="C29" s="161"/>
      <c r="D29" s="165">
        <f>SUM(D6:D28)</f>
        <v>0</v>
      </c>
      <c r="F29" s="167" t="s">
        <v>55</v>
      </c>
      <c r="G29" s="168"/>
      <c r="H29" s="171">
        <f>H15-H16-H17-H18-H19-H20-H22-H23-H24+H26+H27</f>
        <v>0</v>
      </c>
      <c r="I29" s="172"/>
      <c r="J29" s="173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2"/>
      <c r="B30" s="163"/>
      <c r="C30" s="164"/>
      <c r="D30" s="166"/>
      <c r="F30" s="169"/>
      <c r="G30" s="170"/>
      <c r="H30" s="174"/>
      <c r="I30" s="175"/>
      <c r="J30" s="176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06" t="s">
        <v>58</v>
      </c>
      <c r="B32" s="107"/>
      <c r="C32" s="107"/>
      <c r="D32" s="108"/>
      <c r="F32" s="196" t="s">
        <v>59</v>
      </c>
      <c r="G32" s="197"/>
      <c r="H32" s="197"/>
      <c r="I32" s="197"/>
      <c r="J32" s="198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1" t="s">
        <v>63</v>
      </c>
      <c r="H33" s="196" t="s">
        <v>13</v>
      </c>
      <c r="I33" s="197"/>
      <c r="J33" s="198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19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99">
        <f>F34*G34</f>
        <v>0</v>
      </c>
      <c r="I34" s="200"/>
      <c r="J34" s="201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20"/>
      <c r="B35" s="27" t="s">
        <v>68</v>
      </c>
      <c r="C35" s="52"/>
      <c r="D35" s="30">
        <f>C35*84</f>
        <v>0</v>
      </c>
      <c r="F35" s="58">
        <v>500</v>
      </c>
      <c r="G35" s="41"/>
      <c r="H35" s="199">
        <f>F35*G35</f>
        <v>0</v>
      </c>
      <c r="I35" s="200"/>
      <c r="J35" s="201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21"/>
      <c r="B36" s="26" t="s">
        <v>70</v>
      </c>
      <c r="C36" s="10"/>
      <c r="D36" s="12">
        <f>C36*1.5</f>
        <v>0</v>
      </c>
      <c r="F36" s="12">
        <v>200</v>
      </c>
      <c r="G36" s="37"/>
      <c r="H36" s="199">
        <f t="shared" ref="H36:H39" si="2">F36*G36</f>
        <v>0</v>
      </c>
      <c r="I36" s="200"/>
      <c r="J36" s="201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1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99">
        <f t="shared" si="2"/>
        <v>0</v>
      </c>
      <c r="I37" s="200"/>
      <c r="J37" s="201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20"/>
      <c r="B38" s="29" t="s">
        <v>68</v>
      </c>
      <c r="C38" s="54"/>
      <c r="D38" s="12">
        <f>C38*84</f>
        <v>0</v>
      </c>
      <c r="F38" s="30">
        <v>50</v>
      </c>
      <c r="G38" s="39"/>
      <c r="H38" s="199">
        <f t="shared" si="2"/>
        <v>0</v>
      </c>
      <c r="I38" s="200"/>
      <c r="J38" s="201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21"/>
      <c r="B39" s="29" t="s">
        <v>70</v>
      </c>
      <c r="C39" s="52"/>
      <c r="D39" s="31">
        <f>C39*4.5</f>
        <v>0</v>
      </c>
      <c r="F39" s="12">
        <v>20</v>
      </c>
      <c r="G39" s="37"/>
      <c r="H39" s="199">
        <f t="shared" si="2"/>
        <v>0</v>
      </c>
      <c r="I39" s="200"/>
      <c r="J39" s="201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19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99"/>
      <c r="I40" s="200"/>
      <c r="J40" s="201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20"/>
      <c r="B41" s="27" t="s">
        <v>68</v>
      </c>
      <c r="C41" s="10"/>
      <c r="D41" s="12">
        <f>C41*84</f>
        <v>0</v>
      </c>
      <c r="F41" s="12">
        <v>5</v>
      </c>
      <c r="G41" s="42"/>
      <c r="H41" s="199"/>
      <c r="I41" s="200"/>
      <c r="J41" s="201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21"/>
      <c r="B42" s="27" t="s">
        <v>70</v>
      </c>
      <c r="C42" s="11"/>
      <c r="D42" s="12">
        <f>C42*2.25</f>
        <v>0</v>
      </c>
      <c r="F42" s="39" t="s">
        <v>79</v>
      </c>
      <c r="G42" s="199"/>
      <c r="H42" s="200"/>
      <c r="I42" s="200"/>
      <c r="J42" s="201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02" t="s">
        <v>81</v>
      </c>
      <c r="C43" s="11"/>
      <c r="D43" s="12"/>
      <c r="F43" s="59" t="s">
        <v>82</v>
      </c>
      <c r="G43" s="103" t="s">
        <v>83</v>
      </c>
      <c r="H43" s="205" t="s">
        <v>13</v>
      </c>
      <c r="I43" s="206"/>
      <c r="J43" s="207"/>
      <c r="K43" s="21"/>
      <c r="P43" s="4"/>
      <c r="Q43" s="4"/>
      <c r="R43" s="5"/>
    </row>
    <row r="44" spans="1:18" ht="15.75" x14ac:dyDescent="0.25">
      <c r="A44" s="203"/>
      <c r="B44" s="27" t="s">
        <v>66</v>
      </c>
      <c r="C44" s="10"/>
      <c r="D44" s="12">
        <f>C44*120</f>
        <v>0</v>
      </c>
      <c r="F44" s="37"/>
      <c r="G44" s="76"/>
      <c r="H44" s="183"/>
      <c r="I44" s="183"/>
      <c r="J44" s="183"/>
      <c r="K44" s="21"/>
      <c r="P44" s="4"/>
      <c r="Q44" s="4"/>
      <c r="R44" s="5"/>
    </row>
    <row r="45" spans="1:18" ht="15.75" x14ac:dyDescent="0.25">
      <c r="A45" s="203"/>
      <c r="B45" s="27" t="s">
        <v>68</v>
      </c>
      <c r="C45" s="33"/>
      <c r="D45" s="12">
        <f>C45*84</f>
        <v>0</v>
      </c>
      <c r="F45" s="37"/>
      <c r="G45" s="76"/>
      <c r="H45" s="183"/>
      <c r="I45" s="183"/>
      <c r="J45" s="183"/>
      <c r="K45" s="21"/>
      <c r="P45" s="4"/>
      <c r="Q45" s="4"/>
      <c r="R45" s="5"/>
    </row>
    <row r="46" spans="1:18" ht="15.75" x14ac:dyDescent="0.25">
      <c r="A46" s="203"/>
      <c r="B46" s="49" t="s">
        <v>70</v>
      </c>
      <c r="C46" s="81"/>
      <c r="D46" s="12">
        <f>C46*1.5</f>
        <v>0</v>
      </c>
      <c r="F46" s="37"/>
      <c r="G46" s="62"/>
      <c r="H46" s="208"/>
      <c r="I46" s="208"/>
      <c r="J46" s="208"/>
      <c r="K46" s="21"/>
      <c r="P46" s="4"/>
      <c r="Q46" s="4"/>
      <c r="R46" s="5"/>
    </row>
    <row r="47" spans="1:18" ht="15.75" x14ac:dyDescent="0.25">
      <c r="A47" s="204"/>
      <c r="B47" s="27"/>
      <c r="C47" s="11"/>
      <c r="D47" s="12"/>
      <c r="F47" s="59"/>
      <c r="G47" s="59"/>
      <c r="H47" s="209"/>
      <c r="I47" s="210"/>
      <c r="J47" s="211"/>
      <c r="K47" s="21"/>
      <c r="P47" s="4"/>
      <c r="Q47" s="4"/>
      <c r="R47" s="5"/>
    </row>
    <row r="48" spans="1:18" ht="15" customHeight="1" x14ac:dyDescent="0.25">
      <c r="A48" s="202" t="s">
        <v>32</v>
      </c>
      <c r="B48" s="27" t="s">
        <v>66</v>
      </c>
      <c r="C48" s="10"/>
      <c r="D48" s="12">
        <f>C48*78</f>
        <v>0</v>
      </c>
      <c r="F48" s="59"/>
      <c r="G48" s="59"/>
      <c r="H48" s="209"/>
      <c r="I48" s="210"/>
      <c r="J48" s="21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03"/>
      <c r="B49" s="29" t="s">
        <v>68</v>
      </c>
      <c r="C49" s="33"/>
      <c r="D49" s="12">
        <f>C49*42</f>
        <v>0</v>
      </c>
      <c r="F49" s="224" t="s">
        <v>86</v>
      </c>
      <c r="G49" s="171">
        <f>H34+H35+H36+H37+H38+H39+H40+H41+G42+H44+H45+H46</f>
        <v>0</v>
      </c>
      <c r="H49" s="172"/>
      <c r="I49" s="172"/>
      <c r="J49" s="173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03"/>
      <c r="B50" s="32" t="s">
        <v>70</v>
      </c>
      <c r="C50" s="11"/>
      <c r="D50" s="12">
        <f>C50*1.5</f>
        <v>0</v>
      </c>
      <c r="F50" s="225"/>
      <c r="G50" s="174"/>
      <c r="H50" s="175"/>
      <c r="I50" s="175"/>
      <c r="J50" s="176"/>
      <c r="P50" s="4"/>
      <c r="Q50" s="4"/>
      <c r="R50" s="5"/>
    </row>
    <row r="51" spans="1:18" ht="15" customHeight="1" x14ac:dyDescent="0.25">
      <c r="A51" s="203"/>
      <c r="B51" s="27"/>
      <c r="C51" s="10"/>
      <c r="D51" s="31"/>
      <c r="F51" s="226" t="s">
        <v>140</v>
      </c>
      <c r="G51" s="239">
        <f>G49-H29</f>
        <v>0</v>
      </c>
      <c r="H51" s="240"/>
      <c r="I51" s="240"/>
      <c r="J51" s="241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03"/>
      <c r="B52" s="29"/>
      <c r="C52" s="33"/>
      <c r="D52" s="45"/>
      <c r="F52" s="227"/>
      <c r="G52" s="242"/>
      <c r="H52" s="243"/>
      <c r="I52" s="243"/>
      <c r="J52" s="244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0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67" t="s">
        <v>90</v>
      </c>
      <c r="B54" s="212"/>
      <c r="C54" s="213"/>
      <c r="D54" s="216">
        <f>SUM(D34:D53)</f>
        <v>0</v>
      </c>
      <c r="F54" s="21"/>
      <c r="J54" s="34"/>
    </row>
    <row r="55" spans="1:18" x14ac:dyDescent="0.25">
      <c r="A55" s="169"/>
      <c r="B55" s="214"/>
      <c r="C55" s="215"/>
      <c r="D55" s="217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18" t="s">
        <v>91</v>
      </c>
      <c r="B58" s="219"/>
      <c r="C58" s="219"/>
      <c r="D58" s="220"/>
      <c r="F58" s="218" t="s">
        <v>92</v>
      </c>
      <c r="G58" s="219"/>
      <c r="H58" s="219"/>
      <c r="I58" s="219"/>
      <c r="J58" s="220"/>
    </row>
    <row r="59" spans="1:18" x14ac:dyDescent="0.25">
      <c r="A59" s="221"/>
      <c r="B59" s="222"/>
      <c r="C59" s="222"/>
      <c r="D59" s="223"/>
      <c r="F59" s="221"/>
      <c r="G59" s="222"/>
      <c r="H59" s="222"/>
      <c r="I59" s="222"/>
      <c r="J59" s="223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52</vt:i4>
      </vt:variant>
    </vt:vector>
  </HeadingPairs>
  <TitlesOfParts>
    <vt:vector size="105" baseType="lpstr">
      <vt:lpstr>(December 2025)</vt:lpstr>
      <vt:lpstr>(01)</vt:lpstr>
      <vt:lpstr>01,12 R1</vt:lpstr>
      <vt:lpstr>01,12 R2</vt:lpstr>
      <vt:lpstr>01,12 R3</vt:lpstr>
      <vt:lpstr>(2)</vt:lpstr>
      <vt:lpstr>02,12 R1</vt:lpstr>
      <vt:lpstr>02,12 R2</vt:lpstr>
      <vt:lpstr>02,12 R3</vt:lpstr>
      <vt:lpstr>(3)</vt:lpstr>
      <vt:lpstr>03,12 R1</vt:lpstr>
      <vt:lpstr>03,12 R2</vt:lpstr>
      <vt:lpstr>03,12 R3</vt:lpstr>
      <vt:lpstr>(4)</vt:lpstr>
      <vt:lpstr>04,12 R1</vt:lpstr>
      <vt:lpstr>04,12 R2</vt:lpstr>
      <vt:lpstr>04,12 R3</vt:lpstr>
      <vt:lpstr>(5)</vt:lpstr>
      <vt:lpstr>05,12 R1</vt:lpstr>
      <vt:lpstr>05,12 R2</vt:lpstr>
      <vt:lpstr>05,12 R3</vt:lpstr>
      <vt:lpstr>(6)</vt:lpstr>
      <vt:lpstr>06,12 R1</vt:lpstr>
      <vt:lpstr>06,12 R2</vt:lpstr>
      <vt:lpstr>06,12 R3</vt:lpstr>
      <vt:lpstr>(8)</vt:lpstr>
      <vt:lpstr>08,12 R1</vt:lpstr>
      <vt:lpstr>08,12 R2</vt:lpstr>
      <vt:lpstr>08,12 R3</vt:lpstr>
      <vt:lpstr>(9)</vt:lpstr>
      <vt:lpstr>09,12 R1</vt:lpstr>
      <vt:lpstr>09,12 R2</vt:lpstr>
      <vt:lpstr>09,12 R3</vt:lpstr>
      <vt:lpstr>(10)</vt:lpstr>
      <vt:lpstr>10,12 R1 No Trip</vt:lpstr>
      <vt:lpstr>10,12 R2</vt:lpstr>
      <vt:lpstr>10,12 R3</vt:lpstr>
      <vt:lpstr>(11)</vt:lpstr>
      <vt:lpstr>11,12 R1</vt:lpstr>
      <vt:lpstr>11,12 R2</vt:lpstr>
      <vt:lpstr>11,12 R3</vt:lpstr>
      <vt:lpstr>(12)</vt:lpstr>
      <vt:lpstr>12,12 R1</vt:lpstr>
      <vt:lpstr>12,12 R2</vt:lpstr>
      <vt:lpstr>12,12 R3</vt:lpstr>
      <vt:lpstr>(13)</vt:lpstr>
      <vt:lpstr>13,12 R1</vt:lpstr>
      <vt:lpstr>13,12 R2</vt:lpstr>
      <vt:lpstr>13,12 R3</vt:lpstr>
      <vt:lpstr>(15)</vt:lpstr>
      <vt:lpstr>15,12 R1</vt:lpstr>
      <vt:lpstr>15,12 R2</vt:lpstr>
      <vt:lpstr>15,12 R3</vt:lpstr>
      <vt:lpstr>'(01)'!Print_Area</vt:lpstr>
      <vt:lpstr>'(10)'!Print_Area</vt:lpstr>
      <vt:lpstr>'(11)'!Print_Area</vt:lpstr>
      <vt:lpstr>'(12)'!Print_Area</vt:lpstr>
      <vt:lpstr>'(13)'!Print_Area</vt:lpstr>
      <vt:lpstr>'(15)'!Print_Area</vt:lpstr>
      <vt:lpstr>'(2)'!Print_Area</vt:lpstr>
      <vt:lpstr>'(3)'!Print_Area</vt:lpstr>
      <vt:lpstr>'(4)'!Print_Area</vt:lpstr>
      <vt:lpstr>'(5)'!Print_Area</vt:lpstr>
      <vt:lpstr>'(6)'!Print_Area</vt:lpstr>
      <vt:lpstr>'(8)'!Print_Area</vt:lpstr>
      <vt:lpstr>'(9)'!Print_Area</vt:lpstr>
      <vt:lpstr>'01,12 R1'!Print_Area</vt:lpstr>
      <vt:lpstr>'01,12 R2'!Print_Area</vt:lpstr>
      <vt:lpstr>'01,12 R3'!Print_Area</vt:lpstr>
      <vt:lpstr>'02,12 R1'!Print_Area</vt:lpstr>
      <vt:lpstr>'02,12 R2'!Print_Area</vt:lpstr>
      <vt:lpstr>'02,12 R3'!Print_Area</vt:lpstr>
      <vt:lpstr>'03,12 R1'!Print_Area</vt:lpstr>
      <vt:lpstr>'03,12 R2'!Print_Area</vt:lpstr>
      <vt:lpstr>'03,12 R3'!Print_Area</vt:lpstr>
      <vt:lpstr>'04,12 R1'!Print_Area</vt:lpstr>
      <vt:lpstr>'04,12 R2'!Print_Area</vt:lpstr>
      <vt:lpstr>'04,12 R3'!Print_Area</vt:lpstr>
      <vt:lpstr>'05,12 R1'!Print_Area</vt:lpstr>
      <vt:lpstr>'05,12 R2'!Print_Area</vt:lpstr>
      <vt:lpstr>'05,12 R3'!Print_Area</vt:lpstr>
      <vt:lpstr>'06,12 R1'!Print_Area</vt:lpstr>
      <vt:lpstr>'06,12 R2'!Print_Area</vt:lpstr>
      <vt:lpstr>'06,12 R3'!Print_Area</vt:lpstr>
      <vt:lpstr>'08,12 R1'!Print_Area</vt:lpstr>
      <vt:lpstr>'08,12 R2'!Print_Area</vt:lpstr>
      <vt:lpstr>'08,12 R3'!Print_Area</vt:lpstr>
      <vt:lpstr>'09,12 R1'!Print_Area</vt:lpstr>
      <vt:lpstr>'09,12 R2'!Print_Area</vt:lpstr>
      <vt:lpstr>'09,12 R3'!Print_Area</vt:lpstr>
      <vt:lpstr>'10,12 R1 No Trip'!Print_Area</vt:lpstr>
      <vt:lpstr>'10,12 R2'!Print_Area</vt:lpstr>
      <vt:lpstr>'10,12 R3'!Print_Area</vt:lpstr>
      <vt:lpstr>'11,12 R1'!Print_Area</vt:lpstr>
      <vt:lpstr>'11,12 R2'!Print_Area</vt:lpstr>
      <vt:lpstr>'11,12 R3'!Print_Area</vt:lpstr>
      <vt:lpstr>'12,12 R1'!Print_Area</vt:lpstr>
      <vt:lpstr>'12,12 R2'!Print_Area</vt:lpstr>
      <vt:lpstr>'12,12 R3'!Print_Area</vt:lpstr>
      <vt:lpstr>'13,12 R1'!Print_Area</vt:lpstr>
      <vt:lpstr>'13,12 R2'!Print_Area</vt:lpstr>
      <vt:lpstr>'13,12 R3'!Print_Area</vt:lpstr>
      <vt:lpstr>'15,12 R1'!Print_Area</vt:lpstr>
      <vt:lpstr>'15,12 R2'!Print_Area</vt:lpstr>
      <vt:lpstr>'15,12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2025-12-11T00:16:20Z</cp:lastPrinted>
  <dcterms:created xsi:type="dcterms:W3CDTF">2024-09-01T23:36:50Z</dcterms:created>
  <dcterms:modified xsi:type="dcterms:W3CDTF">2025-12-11T00:16:38Z</dcterms:modified>
</cp:coreProperties>
</file>