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drawings/drawing1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F5D7365-11A1-49B0-B15A-41358108E014}" xr6:coauthVersionLast="45" xr6:coauthVersionMax="47" xr10:uidLastSave="{00000000-0000-0000-0000-000000000000}"/>
  <bookViews>
    <workbookView xWindow="-120" yWindow="-120" windowWidth="29040" windowHeight="15840" firstSheet="100" activeTab="104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 No Trip)" sheetId="1621" r:id="rId86"/>
    <sheet name="25,12 R1 No Trip" sheetId="1622" r:id="rId87"/>
    <sheet name="25,12 R2 No Trip" sheetId="1623" r:id="rId88"/>
    <sheet name="25,12 R3 No Trip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-A" sheetId="1630" r:id="rId95"/>
    <sheet name="27,12 R1-B" sheetId="1645" r:id="rId96"/>
    <sheet name="27,12 R2" sheetId="1631" r:id="rId97"/>
    <sheet name="27,12 R3" sheetId="1632" r:id="rId98"/>
    <sheet name="(29) No Trip" sheetId="1633" r:id="rId99"/>
    <sheet name="29,12 R1 No Trip" sheetId="1634" r:id="rId100"/>
    <sheet name="29,12 R2 No Trip" sheetId="1635" r:id="rId101"/>
    <sheet name="29,12 R3 No Trip" sheetId="1636" r:id="rId102"/>
    <sheet name="(30)" sheetId="1637" r:id="rId103"/>
    <sheet name="30,12 R1" sheetId="1638" r:id="rId104"/>
    <sheet name="30,12 R1-B" sheetId="1646" r:id="rId105"/>
    <sheet name="30,12 R2 NO TRIP" sheetId="1639" r:id="rId106"/>
    <sheet name="30,12 R3" sheetId="1640" r:id="rId107"/>
    <sheet name="(31)" sheetId="1641" r:id="rId108"/>
    <sheet name="31,12 R1" sheetId="1642" r:id="rId109"/>
    <sheet name="31,12 R2" sheetId="1643" r:id="rId110"/>
    <sheet name="31,12 R3" sheetId="1644" r:id="rId11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 No Trip)'!$A$1:$J$60</definedName>
    <definedName name="_xlnm.Print_Area" localSheetId="89">'(26)'!$A$1:$J$60</definedName>
    <definedName name="_xlnm.Print_Area" localSheetId="93">'(27)'!$A$1:$J$60</definedName>
    <definedName name="_xlnm.Print_Area" localSheetId="98">'(29) No Trip'!$A$1:$J$60</definedName>
    <definedName name="_xlnm.Print_Area" localSheetId="9">'(3)'!$A$1:$J$60</definedName>
    <definedName name="_xlnm.Print_Area" localSheetId="102">'(30)'!$A$1:$J$60</definedName>
    <definedName name="_xlnm.Print_Area" localSheetId="107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 No Trip'!$A$1:$J$60</definedName>
    <definedName name="_xlnm.Print_Area" localSheetId="87">'25,12 R2 No Trip'!$A$1:$J$60</definedName>
    <definedName name="_xlnm.Print_Area" localSheetId="88">'25,12 R3 No Trip'!$A$1:$J$60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R1-A'!$A$1:$J$60</definedName>
    <definedName name="_xlnm.Print_Area" localSheetId="95">'27,12 R1-B'!$A$1:$J$60</definedName>
    <definedName name="_xlnm.Print_Area" localSheetId="96">'27,12 R2'!$A$1:$J$60</definedName>
    <definedName name="_xlnm.Print_Area" localSheetId="97">'27,12 R3'!$A$1:$J$60</definedName>
    <definedName name="_xlnm.Print_Area" localSheetId="99">'29,12 R1 No Trip'!$A$1:$J$60</definedName>
    <definedName name="_xlnm.Print_Area" localSheetId="100">'29,12 R2 No Trip'!$A$1:$J$60</definedName>
    <definedName name="_xlnm.Print_Area" localSheetId="101">'29,12 R3 No Trip'!$A$1:$J$60</definedName>
    <definedName name="_xlnm.Print_Area" localSheetId="103">'30,12 R1'!$A$1:$J$60</definedName>
    <definedName name="_xlnm.Print_Area" localSheetId="104">'30,12 R1-B'!$A$1:$J$60</definedName>
    <definedName name="_xlnm.Print_Area" localSheetId="105">'30,12 R2 NO TRIP'!$A$1:$J$60</definedName>
    <definedName name="_xlnm.Print_Area" localSheetId="106">'30,12 R3'!$A$1:$J$63</definedName>
    <definedName name="_xlnm.Print_Area" localSheetId="108">'31,12 R1'!$A$1:$J$60</definedName>
    <definedName name="_xlnm.Print_Area" localSheetId="109">'31,12 R2'!$A$1:$J$60</definedName>
    <definedName name="_xlnm.Print_Area" localSheetId="110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8" i="1640" l="1"/>
  <c r="G37" i="1640"/>
  <c r="G35" i="1640"/>
  <c r="H16" i="1646"/>
  <c r="H16" i="1640" l="1"/>
  <c r="C19" i="1640"/>
  <c r="C12" i="1640"/>
  <c r="L26" i="1646"/>
  <c r="D26" i="1646" s="1"/>
  <c r="C12" i="1646"/>
  <c r="D12" i="1646" s="1"/>
  <c r="C21" i="1646"/>
  <c r="D21" i="1646" s="1"/>
  <c r="R52" i="1646"/>
  <c r="R51" i="1646"/>
  <c r="D50" i="1646"/>
  <c r="R49" i="1646"/>
  <c r="D49" i="1646"/>
  <c r="R48" i="1646"/>
  <c r="D48" i="1646"/>
  <c r="D46" i="1646"/>
  <c r="D45" i="1646"/>
  <c r="R44" i="1646"/>
  <c r="P44" i="1646"/>
  <c r="D44" i="1646"/>
  <c r="R42" i="1646"/>
  <c r="L6" i="1646" s="1"/>
  <c r="D6" i="1646" s="1"/>
  <c r="D42" i="1646"/>
  <c r="R41" i="1646"/>
  <c r="D41" i="1646"/>
  <c r="R40" i="1646"/>
  <c r="L8" i="1646" s="1"/>
  <c r="D8" i="1646" s="1"/>
  <c r="D40" i="1646"/>
  <c r="R39" i="1646"/>
  <c r="H39" i="1646"/>
  <c r="D39" i="1646"/>
  <c r="R38" i="1646"/>
  <c r="L9" i="1646" s="1"/>
  <c r="D9" i="1646" s="1"/>
  <c r="H38" i="1646"/>
  <c r="D38" i="1646"/>
  <c r="R37" i="1646"/>
  <c r="H37" i="1646"/>
  <c r="D37" i="1646"/>
  <c r="R36" i="1646"/>
  <c r="H36" i="1646"/>
  <c r="D36" i="1646"/>
  <c r="R35" i="1646"/>
  <c r="H35" i="1646"/>
  <c r="D35" i="1646"/>
  <c r="R34" i="1646"/>
  <c r="L12" i="1646" s="1"/>
  <c r="H34" i="1646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R25" i="1646"/>
  <c r="L25" i="1646"/>
  <c r="D25" i="1646"/>
  <c r="R24" i="1646"/>
  <c r="L24" i="1646"/>
  <c r="D24" i="1646"/>
  <c r="R23" i="1646"/>
  <c r="D23" i="1646"/>
  <c r="R22" i="1646"/>
  <c r="D22" i="1646"/>
  <c r="R21" i="1646"/>
  <c r="R20" i="1646"/>
  <c r="L20" i="1646"/>
  <c r="D20" i="1646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R11" i="1646"/>
  <c r="L11" i="1646"/>
  <c r="D11" i="1646"/>
  <c r="L10" i="1646"/>
  <c r="D10" i="1646"/>
  <c r="L7" i="1646"/>
  <c r="D7" i="1646" s="1"/>
  <c r="R6" i="1646"/>
  <c r="R5" i="1646"/>
  <c r="R4" i="1646"/>
  <c r="C12" i="1638"/>
  <c r="G49" i="1646" l="1"/>
  <c r="D54" i="1646"/>
  <c r="H14" i="1646" s="1"/>
  <c r="D29" i="1646"/>
  <c r="H13" i="1646" s="1"/>
  <c r="H16" i="1632"/>
  <c r="G49" i="1632"/>
  <c r="H16" i="1631"/>
  <c r="H16" i="1630"/>
  <c r="C12" i="1632"/>
  <c r="C12" i="1645"/>
  <c r="C12" i="1630"/>
  <c r="R52" i="1645"/>
  <c r="R51" i="1645"/>
  <c r="D50" i="1645"/>
  <c r="R49" i="1645"/>
  <c r="D49" i="1645"/>
  <c r="R48" i="1645"/>
  <c r="D48" i="1645"/>
  <c r="D46" i="1645"/>
  <c r="D45" i="1645"/>
  <c r="R44" i="1645"/>
  <c r="P44" i="1645"/>
  <c r="D44" i="1645"/>
  <c r="R42" i="1645"/>
  <c r="D42" i="1645"/>
  <c r="R41" i="1645"/>
  <c r="D41" i="1645"/>
  <c r="R40" i="1645"/>
  <c r="L8" i="1645" s="1"/>
  <c r="D8" i="1645" s="1"/>
  <c r="D40" i="1645"/>
  <c r="R39" i="1645"/>
  <c r="L20" i="1645" s="1"/>
  <c r="D20" i="1645" s="1"/>
  <c r="H39" i="1645"/>
  <c r="D39" i="1645"/>
  <c r="R38" i="1645"/>
  <c r="L9" i="1645" s="1"/>
  <c r="D9" i="1645" s="1"/>
  <c r="H38" i="1645"/>
  <c r="D38" i="1645"/>
  <c r="R37" i="1645"/>
  <c r="H37" i="1645"/>
  <c r="D37" i="1645"/>
  <c r="R36" i="1645"/>
  <c r="H36" i="1645"/>
  <c r="D36" i="1645"/>
  <c r="R35" i="1645"/>
  <c r="H35" i="1645"/>
  <c r="D35" i="1645"/>
  <c r="R34" i="1645"/>
  <c r="H34" i="1645"/>
  <c r="D34" i="1645"/>
  <c r="R33" i="1645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L24" i="1645"/>
  <c r="D24" i="1645"/>
  <c r="R23" i="1645"/>
  <c r="D23" i="1645"/>
  <c r="R22" i="1645"/>
  <c r="D22" i="1645"/>
  <c r="R21" i="1645"/>
  <c r="D21" i="1645"/>
  <c r="R20" i="1645"/>
  <c r="R19" i="1645"/>
  <c r="D19" i="1645"/>
  <c r="R18" i="1645"/>
  <c r="D18" i="1645"/>
  <c r="R17" i="1645"/>
  <c r="L17" i="1645"/>
  <c r="D17" i="1645"/>
  <c r="R16" i="1645"/>
  <c r="R15" i="1645"/>
  <c r="D15" i="1645"/>
  <c r="R14" i="1645"/>
  <c r="D14" i="1645"/>
  <c r="R13" i="1645"/>
  <c r="D13" i="1645"/>
  <c r="R12" i="1645"/>
  <c r="L12" i="1645"/>
  <c r="R11" i="1645"/>
  <c r="L10" i="1645"/>
  <c r="D10" i="1645"/>
  <c r="L7" i="1645"/>
  <c r="D7" i="1645"/>
  <c r="R6" i="1645"/>
  <c r="L6" i="1645"/>
  <c r="D6" i="1645"/>
  <c r="R5" i="1645"/>
  <c r="R4" i="1645"/>
  <c r="H15" i="1646" l="1"/>
  <c r="H29" i="1646" s="1"/>
  <c r="G51" i="1646" s="1"/>
  <c r="G49" i="1645"/>
  <c r="D54" i="1645"/>
  <c r="H14" i="1645" s="1"/>
  <c r="D12" i="1645"/>
  <c r="D29" i="1645"/>
  <c r="H13" i="1645" s="1"/>
  <c r="H16" i="1626"/>
  <c r="H29" i="1628"/>
  <c r="C6" i="1627"/>
  <c r="C21" i="1627"/>
  <c r="C12" i="1626"/>
  <c r="H16" i="1628"/>
  <c r="H16" i="1627"/>
  <c r="H15" i="1645" l="1"/>
  <c r="H29" i="1645" s="1"/>
  <c r="G51" i="1645" s="1"/>
  <c r="H16" i="1620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5" i="1640"/>
  <c r="R54" i="1640"/>
  <c r="D53" i="1640"/>
  <c r="R52" i="1640"/>
  <c r="D52" i="1640"/>
  <c r="R51" i="1640"/>
  <c r="D51" i="1640"/>
  <c r="D46" i="1640"/>
  <c r="D45" i="1640"/>
  <c r="D44" i="1640"/>
  <c r="R42" i="1640"/>
  <c r="L6" i="1640" s="1"/>
  <c r="D6" i="1640" s="1"/>
  <c r="D42" i="1640"/>
  <c r="R41" i="1640"/>
  <c r="L7" i="1640" s="1"/>
  <c r="D7" i="1640" s="1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L10" i="1640" s="1"/>
  <c r="D10" i="1640" s="1"/>
  <c r="H36" i="1640"/>
  <c r="D36" i="1640"/>
  <c r="R35" i="1640"/>
  <c r="L19" i="1640" s="1"/>
  <c r="D19" i="1640" s="1"/>
  <c r="H35" i="1640"/>
  <c r="D35" i="1640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 s="1"/>
  <c r="R25" i="1640"/>
  <c r="L25" i="1640"/>
  <c r="D25" i="1640"/>
  <c r="R24" i="1640"/>
  <c r="D24" i="1640"/>
  <c r="R23" i="1640"/>
  <c r="L23" i="1640"/>
  <c r="D23" i="1640" s="1"/>
  <c r="R22" i="1640"/>
  <c r="L22" i="1640"/>
  <c r="D22" i="1640"/>
  <c r="R21" i="1640"/>
  <c r="D21" i="1640"/>
  <c r="R20" i="1640"/>
  <c r="L20" i="1640"/>
  <c r="D20" i="1640" s="1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8" i="1640"/>
  <c r="D8" i="1640"/>
  <c r="R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R35" i="1638"/>
  <c r="H35" i="1638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D34" i="1632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D34" i="163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D34" i="1630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D34" i="1628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D34" i="1627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D34" i="1626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52" i="1640" l="1"/>
  <c r="G49" i="1638"/>
  <c r="D57" i="1640"/>
  <c r="H14" i="1640" s="1"/>
  <c r="D54" i="1638"/>
  <c r="H14" i="1638" s="1"/>
  <c r="G49" i="1631"/>
  <c r="G49" i="1630"/>
  <c r="D54" i="1632"/>
  <c r="H14" i="1632" s="1"/>
  <c r="D54" i="1631"/>
  <c r="H14" i="1631" s="1"/>
  <c r="D54" i="1630"/>
  <c r="H14" i="1630" s="1"/>
  <c r="D54" i="1628"/>
  <c r="H14" i="1628" s="1"/>
  <c r="D54" i="1627"/>
  <c r="H14" i="1627" s="1"/>
  <c r="D54" i="1626"/>
  <c r="H14" i="1626" s="1"/>
  <c r="G49" i="1628"/>
  <c r="G49" i="1627"/>
  <c r="G49" i="1626"/>
  <c r="G49" i="1620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D29" i="1639"/>
  <c r="H13" i="1639" s="1"/>
  <c r="H15" i="1639" s="1"/>
  <c r="H29" i="1639" s="1"/>
  <c r="G51" i="1639"/>
  <c r="D29" i="1638"/>
  <c r="H13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D29" i="1631"/>
  <c r="H13" i="1631" s="1"/>
  <c r="D29" i="1630"/>
  <c r="H13" i="1630" s="1"/>
  <c r="H15" i="1630" s="1"/>
  <c r="H29" i="1630" s="1"/>
  <c r="D29" i="1629"/>
  <c r="H13" i="1629" s="1"/>
  <c r="H15" i="1629" s="1"/>
  <c r="H29" i="1629" s="1"/>
  <c r="G51" i="1629" s="1"/>
  <c r="D29" i="1628"/>
  <c r="H13" i="1628" s="1"/>
  <c r="D29" i="1627"/>
  <c r="H13" i="1627" s="1"/>
  <c r="D29" i="1626"/>
  <c r="H13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40" l="1"/>
  <c r="H29" i="1640" s="1"/>
  <c r="G54" i="1640" s="1"/>
  <c r="H15" i="1638"/>
  <c r="H29" i="1638" s="1"/>
  <c r="G51" i="1638" s="1"/>
  <c r="G51" i="1630"/>
  <c r="H15" i="1632"/>
  <c r="H29" i="1632" s="1"/>
  <c r="G51" i="1632" s="1"/>
  <c r="H15" i="1631"/>
  <c r="H29" i="1631" s="1"/>
  <c r="G51" i="1631" s="1"/>
  <c r="H15" i="1628"/>
  <c r="G51" i="1628" s="1"/>
  <c r="H15" i="1627"/>
  <c r="H29" i="1627" s="1"/>
  <c r="G51" i="1627" s="1"/>
  <c r="H15" i="1626"/>
  <c r="H29" i="1626" s="1"/>
  <c r="G51" i="1626" s="1"/>
  <c r="H15" i="1620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<sst xmlns="http://schemas.openxmlformats.org/spreadsheetml/2006/main" count="14618" uniqueCount="254">
  <si>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</si>
  <si>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</si>
  <si>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</si>
  <si>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</si>
  <si>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</si>
  <si>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</si>
  <si>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</si>
  <si>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</si>
  <si>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</si>
  <si>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</si>
  <si>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</si>
  <si>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</si>
  <si>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</si>
  <si>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</si>
  <si>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</si>
  <si>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</si>
  <si>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</si>
  <si>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</si>
  <si>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</si>
  <si>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</si>
  <si>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</si>
  <si>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</si>
  <si>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</si>
  <si>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</si>
  <si>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</si>
  <si>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</si>
  <si>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</si>
  <si>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</si>
  <si>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</si>
  <si>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</si>
  <si>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</si>
  <si>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</si>
  <si>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</si>
  <si>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</si>
  <si>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</si>
  <si>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</si>
  <si>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</si>
  <si>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</si>
  <si>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</si>
  <si>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</si>
  <si>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</si>
  <si>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</si>
  <si>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</si>
  <si>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</si>
  <si>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</si>
  <si>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</si>
  <si>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</si>
  <si>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</si>
  <si>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</si>
  <si>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</si>
  <si>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</si>
  <si>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</si>
  <si>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</si>
  <si>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</si>
  <si>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</si>
  <si>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</si>
  <si>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</si>
  <si>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</si>
  <si>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</si>
  <si>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</si>
  <si>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</si>
  <si>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</si>
  <si>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</si>
  <si>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</si>
  <si>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</si>
  <si>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</si>
  <si>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</si>
  <si>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</si>
  <si>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</si>
  <si>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</si>
  <si>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</si>
  <si>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</si>
  <si>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</si>
  <si>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</si>
  <si>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</si>
  <si>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</si>
  <si>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</si>
  <si>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</si>
  <si>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</si>
  <si>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</si>
  <si>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</si>
  <si>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</si>
  <si>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</si>
  <si>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</si>
  <si>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</si>
  <si>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</si>
  <si>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</si>
  <si>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</si>
  <si>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</si>
  <si>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</si>
  <si>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</si>
  <si>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</si>
  <si>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</si>
  <si>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</si>
  <si>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</si>
  <si>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</si>
  <si>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</si>
  <si>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</si>
  <si>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</si>
  <si>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</si>
  <si>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</si>
  <si>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</si>
  <si>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</si>
  <si>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</si>
  <si>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</si>
  <si>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</si>
  <si>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</si>
  <si>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</si>
  <si>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</si>
  <si>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</si>
  <si>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</si>
  <si>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</si>
  <si>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</si>
  <si>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</si>
  <si>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</si>
  <si>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</si>
  <si>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</si>
  <si>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</si>
  <si>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</si>
  <si>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</si>
  <si>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</si>
  <si>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</si>
  <si>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</si>
  <si>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</si>
  <si>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</si>
  <si>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</si>
  <si>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</si>
  <si>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</si>
  <si>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</si>
  <si>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</si>
  <si>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</si>
  <si>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</si>
  <si>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</si>
  <si>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</si>
  <si>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</si>
  <si>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</si>
  <si>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</si>
  <si>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</si>
  <si>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</si>
  <si>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</si>
  <si>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</si>
  <si>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</si>
  <si>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</si>
  <si>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</si>
  <si>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</si>
  <si>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</si>
  <si>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</si>
  <si>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</si>
  <si>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</si>
  <si>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</si>
  <si>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</si>
  <si>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</si>
  <si>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</si>
  <si>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</si>
  <si>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</si>
  <si>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</si>
  <si>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</si>
  <si>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</si>
  <si>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</si>
  <si>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</si>
  <si>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</si>
  <si>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</si>
  <si>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</si>
  <si>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</si>
  <si>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</si>
  <si>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</si>
  <si>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</si>
  <si>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</si>
  <si>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</si>
  <si>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</si>
  <si>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</si>
  <si>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</si>
  <si>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</si>
  <si>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</si>
  <si>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</si>
  <si>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</si>
  <si>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</si>
  <si>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</si>
  <si>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</si>
  <si>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</si>
  <si>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</si>
  <si>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</si>
  <si>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</si>
  <si>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</si>
  <si>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</si>
  <si>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</si>
  <si>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</si>
  <si>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</si>
  <si>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</si>
  <si>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</si>
  <si>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</si>
  <si>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</si>
  <si>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</si>
  <si>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</si>
  <si>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</si>
  <si>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</si>
  <si>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</si>
  <si>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</si>
  <si>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</si>
  <si>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</si>
  <si>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</si>
  <si>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</si>
  <si>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</si>
  <si>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</si>
  <si>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</si>
  <si>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</si>
  <si>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</si>
  <si>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</si>
  <si>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</si>
  <si>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</si>
  <si>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</si>
  <si>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</si>
  <si>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</si>
  <si>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</si>
  <si>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</si>
  <si>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</si>
  <si>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</si>
  <si>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</si>
  <si>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</si>
  <si>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</si>
  <si>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</si>
  <si>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</si>
  <si>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</si>
  <si>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</si>
  <si>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</si>
  <si>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</si>
  <si>
    <t>CASH</t>
  </si>
  <si>
    <t>145651</t>
  </si>
  <si>
    <t>144943</t>
  </si>
  <si>
    <t>143324</t>
  </si>
  <si>
    <t>42932</t>
  </si>
  <si>
    <t>4820792</t>
  </si>
  <si>
    <t>200000</t>
  </si>
  <si>
    <t>1-A</t>
  </si>
  <si>
    <t>1-B</t>
  </si>
  <si>
    <t>LOPEZ, GINA</t>
  </si>
  <si>
    <t>PODIOTAN, AIR JOHN</t>
  </si>
  <si>
    <t>2120012797</t>
  </si>
  <si>
    <t>146770</t>
  </si>
  <si>
    <t>BPO</t>
  </si>
  <si>
    <t>2000007354</t>
  </si>
  <si>
    <t>2000002691</t>
  </si>
  <si>
    <t>42934</t>
  </si>
  <si>
    <t>1B</t>
  </si>
  <si>
    <t>GEK</t>
  </si>
  <si>
    <t>2120012799</t>
  </si>
  <si>
    <t>135258</t>
  </si>
  <si>
    <t>135259</t>
  </si>
  <si>
    <t>GRACE CHIONG</t>
  </si>
  <si>
    <t>JEROME</t>
  </si>
  <si>
    <t>PORMAN</t>
  </si>
  <si>
    <t>2000005687</t>
  </si>
  <si>
    <t>2000007364</t>
  </si>
  <si>
    <t>2000007363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</si>
</sst>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 textRotation="90"/>
    </xf>
    <xf numFmtId="0" fontId="0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44" fontId="8" fillId="0" borderId="6" xfId="0" applyNumberFormat="1" applyFont="1" applyBorder="1" applyAlignment="1">
      <alignment horizontal="left" vertical="center"/>
    </xf>
    <xf numFmtId="44" fontId="8" fillId="0" borderId="4" xfId="0" applyNumberFormat="1" applyFont="1" applyBorder="1" applyAlignment="1">
      <alignment horizontal="left" vertical="center"/>
    </xf>
    <xf numFmtId="44" fontId="8" fillId="0" borderId="7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2CA696-6D38-4984-BE97-C2AB33F19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42A27C-375F-44DC-A818-E82481121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57</xdr:row>
      <xdr:rowOff>138241</xdr:rowOff>
    </xdr:from>
    <xdr:to>
      <xdr:col>3</xdr:col>
      <xdr:colOff>371475</xdr:colOff>
      <xdr:row>60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0.xml"/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8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85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262</v>
      </c>
      <c r="D6" s="13">
        <f t="shared" ref="D6:D28" si="1">C6*L6</f>
        <v>193094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16</v>
      </c>
      <c r="D7" s="13">
        <f t="shared" si="1"/>
        <v>11600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</v>
      </c>
      <c r="D8" s="13">
        <f t="shared" si="1"/>
        <v>1033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</v>
      </c>
      <c r="D11" s="13">
        <f t="shared" si="1"/>
        <v>1125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2</f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172" t="s">
        <v>36</v>
      </c>
      <c r="G13" s="173"/>
      <c r="H13" s="174">
        <f>D29</f>
        <v>240783.5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3</v>
      </c>
      <c r="D14" s="31">
        <f t="shared" si="1"/>
        <v>33</v>
      </c>
      <c r="F14" s="177" t="s">
        <v>39</v>
      </c>
      <c r="G14" s="178"/>
      <c r="H14" s="179">
        <f>D54</f>
        <v>35187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205596.5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209">
        <v>79918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211">
        <v>87410</v>
      </c>
      <c r="I26" s="211"/>
      <c r="J26" s="21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85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11</v>
      </c>
      <c r="D28" s="48">
        <f t="shared" si="1"/>
        <v>8635</v>
      </c>
      <c r="F28" s="88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240783.5</v>
      </c>
      <c r="F29" s="195" t="s">
        <v>55</v>
      </c>
      <c r="G29" s="196"/>
      <c r="H29" s="199">
        <f>H15-H16-H17-H18-H19-H20-H22-H23-H24+H26+H27+H28</f>
        <v>213088.5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27">
        <f t="shared" ref="H34:H39" si="2">F34*G34</f>
        <v>77000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27">
        <f t="shared" si="2"/>
        <v>19000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27">
        <f t="shared" si="2"/>
        <v>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27">
        <f t="shared" si="2"/>
        <v>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27">
        <f t="shared" si="2"/>
        <v>350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227">
        <v>25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85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211">
        <v>15213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211">
        <v>13245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211">
        <v>87410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213263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12</v>
      </c>
      <c r="D50" s="12">
        <f>C50*1.5</f>
        <v>18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174.5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168</v>
      </c>
      <c r="D6" s="13">
        <f t="shared" ref="D6:D28" si="1">C6*L6</f>
        <v>123816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39</v>
      </c>
      <c r="D9" s="13">
        <f t="shared" si="1"/>
        <v>27573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172" t="s">
        <v>36</v>
      </c>
      <c r="G13" s="173"/>
      <c r="H13" s="174">
        <f>D29</f>
        <v>154078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24060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130018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1314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154078</v>
      </c>
      <c r="F29" s="195" t="s">
        <v>55</v>
      </c>
      <c r="G29" s="196"/>
      <c r="H29" s="199">
        <f>H15-H16-H17-H18-H19-H20-H22-H23-H24+H26+H27</f>
        <v>128654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7">
        <f>F34*G34</f>
        <v>101000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27">
        <f t="shared" ref="H35:H39" si="2">F35*G35</f>
        <v>26500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>
        <v>35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85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</v>
      </c>
      <c r="D46" s="12">
        <f>C46*1.5</f>
        <v>1.5</v>
      </c>
      <c r="F46" s="37"/>
      <c r="G46" s="86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127985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22</v>
      </c>
      <c r="D50" s="12">
        <f>C50*1.5</f>
        <v>33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-669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24060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211</v>
      </c>
      <c r="D6" s="13">
        <f t="shared" ref="D6:D28" si="1">C6*L6</f>
        <v>155507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7975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12726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172" t="s">
        <v>36</v>
      </c>
      <c r="G13" s="173"/>
      <c r="H13" s="174">
        <f>D29</f>
        <v>197825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31160.25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166664.75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</f>
        <v>300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>
        <v>9</v>
      </c>
      <c r="D27" s="44">
        <f t="shared" si="1"/>
        <v>14238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197825</v>
      </c>
      <c r="F29" s="195" t="s">
        <v>55</v>
      </c>
      <c r="G29" s="196"/>
      <c r="H29" s="199">
        <f>H15-H16-H17-H18-H19-H20-H22-H23-H24+H26+H27</f>
        <v>166364.75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27">
        <f>F34*G34</f>
        <v>131000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27">
        <f>F35*G35</f>
        <v>21000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7">
        <v>86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85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211">
        <v>14238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11</v>
      </c>
      <c r="D46" s="12">
        <f>C46*1.5</f>
        <v>16.5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166324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6</v>
      </c>
      <c r="D50" s="12">
        <f>C50*1.5</f>
        <v>9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-40.75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31160.25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261</v>
      </c>
      <c r="D6" s="13">
        <f t="shared" ref="D6:D28" si="1">C6*L6</f>
        <v>192357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172" t="s">
        <v>36</v>
      </c>
      <c r="G13" s="173"/>
      <c r="H13" s="174">
        <f>D29</f>
        <v>220448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22</v>
      </c>
      <c r="D14" s="31">
        <f t="shared" si="1"/>
        <v>242</v>
      </c>
      <c r="F14" s="177" t="s">
        <v>39</v>
      </c>
      <c r="G14" s="178"/>
      <c r="H14" s="179">
        <f>D54</f>
        <v>32962.5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187485.5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6</v>
      </c>
      <c r="D28" s="48">
        <f t="shared" si="1"/>
        <v>4710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220448</v>
      </c>
      <c r="F29" s="195" t="s">
        <v>55</v>
      </c>
      <c r="G29" s="196"/>
      <c r="H29" s="199">
        <f>H15-H16-H17-H18-H19-H20-H22-H23-H24+H26+H27+H28</f>
        <v>187485.5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27">
        <f t="shared" ref="H34:H39" si="2">F34*G34</f>
        <v>124000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27">
        <f t="shared" si="2"/>
        <v>52000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27">
        <f t="shared" si="2"/>
        <v>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27">
        <f t="shared" si="2"/>
        <v>2600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12</v>
      </c>
      <c r="D42" s="12">
        <f>C42*2.25</f>
        <v>27</v>
      </c>
      <c r="F42" s="39" t="s">
        <v>79</v>
      </c>
      <c r="G42" s="227">
        <v>69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211">
        <v>7978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5</v>
      </c>
      <c r="D46" s="12">
        <f>C46*1.5</f>
        <v>7.5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187047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20</v>
      </c>
      <c r="D50" s="12">
        <f>C50*1.5</f>
        <v>30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-438.5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230</v>
      </c>
      <c r="D6" s="13">
        <f t="shared" ref="D6:D28" si="1">C6*L6</f>
        <v>169510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14140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172" t="s">
        <v>36</v>
      </c>
      <c r="G13" s="173"/>
      <c r="H13" s="174">
        <f>D29</f>
        <v>196685.66666666666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36855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159830.66666666666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1899</f>
        <v>1899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210"/>
      <c r="I24" s="211"/>
      <c r="J24" s="211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196685.66666666666</v>
      </c>
      <c r="F29" s="195" t="s">
        <v>55</v>
      </c>
      <c r="G29" s="196"/>
      <c r="H29" s="199">
        <f>H15-H16-H17-H18-H19-H20-H22-H23-H24+H26+H27</f>
        <v>157931.66666666666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27">
        <f>F34*G34</f>
        <v>34000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27">
        <f t="shared" ref="H35:H39" si="2">F35*G35</f>
        <v>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>
        <v>2460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211">
        <v>119875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5</v>
      </c>
      <c r="D46" s="12">
        <f>C46*1.5</f>
        <v>7.5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157735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20</v>
      </c>
      <c r="D50" s="12">
        <f>C50*1.5</f>
        <v>30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-196.66666666665697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36855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194</v>
      </c>
      <c r="D6" s="13">
        <f t="shared" ref="D6:D28" si="1">C6*L6</f>
        <v>142978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12325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172" t="s">
        <v>36</v>
      </c>
      <c r="G13" s="173"/>
      <c r="H13" s="174">
        <f>D29</f>
        <v>173906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19</v>
      </c>
      <c r="D14" s="31">
        <f t="shared" si="1"/>
        <v>209</v>
      </c>
      <c r="F14" s="177" t="s">
        <v>39</v>
      </c>
      <c r="G14" s="178"/>
      <c r="H14" s="179">
        <f>D54</f>
        <v>39246.75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134659.25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336</f>
        <v>336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15">
        <v>85842</v>
      </c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173906</v>
      </c>
      <c r="F29" s="195" t="s">
        <v>55</v>
      </c>
      <c r="G29" s="196"/>
      <c r="H29" s="199">
        <f>H15-H16-H17-H18-H19-H20-H22-H23-H24+H26+H27</f>
        <v>220165.25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7">
        <f>F34*G34</f>
        <v>133000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7">
        <f>F35*G35</f>
        <v>11000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27">
        <f t="shared" si="2"/>
        <v>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227">
        <v>61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211">
        <v>85842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3</v>
      </c>
      <c r="D46" s="12">
        <f>C46*1.5</f>
        <v>4.5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230303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5</v>
      </c>
      <c r="D50" s="12">
        <f>C50*1.5</f>
        <v>7.5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10137.75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39246.75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150</v>
      </c>
      <c r="D6" s="13">
        <f t="shared" ref="D6:D28" si="1">C6*L6</f>
        <v>110550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10</v>
      </c>
      <c r="D9" s="13">
        <f t="shared" si="1"/>
        <v>7070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172" t="s">
        <v>36</v>
      </c>
      <c r="G13" s="173"/>
      <c r="H13" s="174">
        <f>D29</f>
        <v>124676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23</v>
      </c>
      <c r="D14" s="31">
        <f t="shared" si="1"/>
        <v>253</v>
      </c>
      <c r="F14" s="177" t="s">
        <v>39</v>
      </c>
      <c r="G14" s="178"/>
      <c r="H14" s="179">
        <f>D54</f>
        <v>17744.25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106931.75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124676</v>
      </c>
      <c r="F29" s="195" t="s">
        <v>55</v>
      </c>
      <c r="G29" s="196"/>
      <c r="H29" s="199">
        <f>H15-H16-H17-H18-H19-H20-H22-H23-H24+H26+H27+H28</f>
        <v>106931.75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27">
        <f t="shared" ref="H34:H39" si="2">F34*G34</f>
        <v>89000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27">
        <f t="shared" si="2"/>
        <v>15500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si="2"/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27">
        <f t="shared" si="2"/>
        <v>2500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7">
        <v>395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107645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20</v>
      </c>
      <c r="D50" s="12">
        <f>C50*1.5</f>
        <v>30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713.25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f>440-99</f>
        <v>341</v>
      </c>
      <c r="D6" s="13">
        <f t="shared" ref="D6:D28" si="1">C6*L6</f>
        <v>251317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3535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172" t="s">
        <v>36</v>
      </c>
      <c r="G13" s="173"/>
      <c r="H13" s="174">
        <f>D29</f>
        <v>261506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77" t="s">
        <v>39</v>
      </c>
      <c r="G14" s="178"/>
      <c r="H14" s="179">
        <f>D54</f>
        <v>40169.25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221336.75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337*9</f>
        <v>3033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261506</v>
      </c>
      <c r="F29" s="195" t="s">
        <v>55</v>
      </c>
      <c r="G29" s="196"/>
      <c r="H29" s="199">
        <f>H15-H16-H17-H18-H19-H20-H22-H23-H24+H26+H27</f>
        <v>218303.75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27">
        <f>F34*G34</f>
        <v>216000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27">
        <f t="shared" ref="H35:H39" si="2">F35*G35</f>
        <v>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27">
        <f t="shared" si="2"/>
        <v>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7">
        <v>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</v>
      </c>
      <c r="D46" s="12">
        <f>C46*1.5</f>
        <v>1.5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17</v>
      </c>
      <c r="D49" s="12">
        <f>C49*42</f>
        <v>714</v>
      </c>
      <c r="F49" s="252" t="s">
        <v>86</v>
      </c>
      <c r="G49" s="199">
        <f>H34+H35+H36+H37+H38+H39+H40+H41+G42+H44+H45+H46</f>
        <v>218358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21</v>
      </c>
      <c r="D50" s="12">
        <f>C50*1.5</f>
        <v>31.5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54.25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40169.25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536</v>
      </c>
      <c r="D6" s="13">
        <f t="shared" ref="D6:D28" si="1">C6*L6</f>
        <v>395032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10875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129</v>
      </c>
      <c r="D9" s="13">
        <f t="shared" si="1"/>
        <v>91203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172" t="s">
        <v>36</v>
      </c>
      <c r="G13" s="173"/>
      <c r="H13" s="174">
        <f>D29</f>
        <v>505571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77" t="s">
        <v>39</v>
      </c>
      <c r="G14" s="178"/>
      <c r="H14" s="179">
        <f>D54</f>
        <v>38012.25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467558.75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2610+330</f>
        <v>2940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5</v>
      </c>
      <c r="D28" s="48">
        <f t="shared" si="1"/>
        <v>3925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505571</v>
      </c>
      <c r="F29" s="195" t="s">
        <v>55</v>
      </c>
      <c r="G29" s="196"/>
      <c r="H29" s="199">
        <f>H15-H16-H17-H18-H19-H20-H22-H23-H24+H26+H27+H28</f>
        <v>464568.75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7">
        <f>F34*G34</f>
        <v>12000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45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211">
        <v>283894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211">
        <v>34498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211">
        <v>19009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37" t="s">
        <v>152</v>
      </c>
      <c r="G47" s="76" t="s">
        <v>160</v>
      </c>
      <c r="H47" s="211">
        <v>102341</v>
      </c>
      <c r="I47" s="211"/>
      <c r="J47" s="211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H34+H35+H36+H37+H38+H39+H40+H41+G42+H44+H45+H46+H47</f>
        <v>452187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</v>
      </c>
      <c r="D50" s="12">
        <f>C50*1.5</f>
        <v>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-12381.75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38012.25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124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H15-H16-H17-H18-H19-H20-H22-H23-H24+H26+H27+H28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7">
        <f t="shared" ref="H34:H39" si="2"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207</v>
      </c>
      <c r="D6" s="13">
        <f t="shared" ref="D6:D28" si="1">C6*L6</f>
        <v>152559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2900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172" t="s">
        <v>36</v>
      </c>
      <c r="G13" s="173"/>
      <c r="H13" s="174">
        <f>D29</f>
        <v>187607.83333333334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15</v>
      </c>
      <c r="D14" s="31">
        <f t="shared" si="1"/>
        <v>165</v>
      </c>
      <c r="F14" s="177" t="s">
        <v>39</v>
      </c>
      <c r="G14" s="178"/>
      <c r="H14" s="179">
        <f>D54</f>
        <v>13236.75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174371.08333333334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1620</f>
        <v>1620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101</v>
      </c>
      <c r="C22" s="10">
        <v>3</v>
      </c>
      <c r="D22" s="48">
        <f t="shared" si="1"/>
        <v>5001</v>
      </c>
      <c r="F22" s="72"/>
      <c r="G22" s="73"/>
      <c r="H22" s="209"/>
      <c r="I22" s="209"/>
      <c r="J22" s="209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187607.83333333334</v>
      </c>
      <c r="F29" s="195" t="s">
        <v>55</v>
      </c>
      <c r="G29" s="196"/>
      <c r="H29" s="199">
        <f>H15-H16-H17-H18-H19-H20-H22-H23-H24+H26+H27</f>
        <v>172751.08333333334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27">
        <f>F34*G34</f>
        <v>21000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7">
        <f t="shared" ref="H35:H39" si="2">F35*G35</f>
        <v>6500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7">
        <v>477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211">
        <v>144167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13</v>
      </c>
      <c r="D46" s="12">
        <f>C46*1.5</f>
        <v>19.5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6</v>
      </c>
      <c r="D49" s="12">
        <f>C49*42</f>
        <v>252</v>
      </c>
      <c r="F49" s="252" t="s">
        <v>86</v>
      </c>
      <c r="G49" s="199">
        <f>H34+H35+H36+H37+H38+H39+H40+H41+G42+H44+H45+H46</f>
        <v>172244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22</v>
      </c>
      <c r="D50" s="12">
        <f>C50*1.5</f>
        <v>33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-507.08333333334303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13236.75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429</v>
      </c>
      <c r="D6" s="13">
        <f t="shared" ref="D6:D28" si="1">C6*L6</f>
        <v>316173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70</v>
      </c>
      <c r="D9" s="13">
        <f t="shared" si="1"/>
        <v>49490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3808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172" t="s">
        <v>36</v>
      </c>
      <c r="G13" s="173"/>
      <c r="H13" s="174">
        <f>D29</f>
        <v>378246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50790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327456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912+1824+300</f>
        <v>3036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>
        <v>1</v>
      </c>
      <c r="D23" s="48">
        <f t="shared" si="1"/>
        <v>1175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378246</v>
      </c>
      <c r="F29" s="195" t="s">
        <v>55</v>
      </c>
      <c r="G29" s="196"/>
      <c r="H29" s="199">
        <f>H15-H16-H17-H18-H19-H20-H22-H23-H24+H26+H27</f>
        <v>324420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27">
        <f>F34*G34</f>
        <v>31000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211">
        <v>101868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211">
        <v>191152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11</v>
      </c>
      <c r="D49" s="12">
        <f>C49*42</f>
        <v>462</v>
      </c>
      <c r="F49" s="252" t="s">
        <v>86</v>
      </c>
      <c r="G49" s="199">
        <f>H34+H35+H36+H37+H38+H39+H40+H41+G42+H44+H45+H46</f>
        <v>324022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-398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50790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522</v>
      </c>
      <c r="D6" s="13">
        <f t="shared" ref="D6:D28" si="1">C6*L6</f>
        <v>384714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50</v>
      </c>
      <c r="D8" s="13">
        <f t="shared" si="1"/>
        <v>51650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51</v>
      </c>
      <c r="D9" s="13">
        <f t="shared" si="1"/>
        <v>36057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22</v>
      </c>
      <c r="D13" s="48">
        <f t="shared" si="1"/>
        <v>6754</v>
      </c>
      <c r="F13" s="172" t="s">
        <v>36</v>
      </c>
      <c r="G13" s="173"/>
      <c r="H13" s="174">
        <f>D29</f>
        <v>481416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6</v>
      </c>
      <c r="D14" s="31">
        <f t="shared" si="1"/>
        <v>66</v>
      </c>
      <c r="F14" s="177" t="s">
        <v>39</v>
      </c>
      <c r="G14" s="178"/>
      <c r="H14" s="179">
        <f>D54</f>
        <v>102241.5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379174.5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3012</f>
        <v>3012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209">
        <v>45650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481416</v>
      </c>
      <c r="F29" s="195" t="s">
        <v>55</v>
      </c>
      <c r="G29" s="196"/>
      <c r="H29" s="199">
        <f>H15-H16-H17-H18-H19-H20-H22-H23-H24+H26+H27+H28</f>
        <v>330512.5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27">
        <f t="shared" ref="H34:H39" si="2">F34*G34</f>
        <v>278000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27">
        <f t="shared" si="2"/>
        <v>51000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27">
        <f t="shared" si="2"/>
        <v>900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25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41</v>
      </c>
      <c r="D44" s="12">
        <f>C44*120</f>
        <v>4920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9</v>
      </c>
      <c r="D46" s="12">
        <f>C46*1.5</f>
        <v>13.5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48</v>
      </c>
      <c r="D49" s="12">
        <f>C49*42</f>
        <v>2016</v>
      </c>
      <c r="F49" s="252" t="s">
        <v>86</v>
      </c>
      <c r="G49" s="199">
        <f>H34+H35+H36+H37+H38+H39+H40+H41+G42+H44+H45+H46</f>
        <v>330075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14</v>
      </c>
      <c r="D50" s="12">
        <f>C50*1.5</f>
        <v>21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-437.5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186</v>
      </c>
      <c r="D6" s="13">
        <f t="shared" ref="D6:D28" si="1">C6*L6</f>
        <v>137082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</v>
      </c>
      <c r="D9" s="13">
        <f t="shared" si="1"/>
        <v>5656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172" t="s">
        <v>36</v>
      </c>
      <c r="G13" s="173"/>
      <c r="H13" s="174">
        <f>D29</f>
        <v>148838.16666666666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77" t="s">
        <v>39</v>
      </c>
      <c r="G14" s="178"/>
      <c r="H14" s="179">
        <f>D54</f>
        <v>23934.75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124903.41666666666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148838.16666666666</v>
      </c>
      <c r="F29" s="195" t="s">
        <v>55</v>
      </c>
      <c r="G29" s="196"/>
      <c r="H29" s="199">
        <f>H15-H16-H17-H18-H19-H20-H22-H23-H24+H26+H27</f>
        <v>124903.41666666666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27">
        <f>F34*G34</f>
        <v>91000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27">
        <f t="shared" ref="H35:H39" si="2">F35*G35</f>
        <v>32500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27">
        <f t="shared" si="2"/>
        <v>1700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11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2</v>
      </c>
      <c r="D49" s="12">
        <f>C49*42</f>
        <v>84</v>
      </c>
      <c r="F49" s="252" t="s">
        <v>86</v>
      </c>
      <c r="G49" s="199">
        <f>H34+H35+H36+H37+H38+H39+H40+H41+G42+H44+H45+H46</f>
        <v>125411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17</v>
      </c>
      <c r="D50" s="12">
        <f>C50*1.5</f>
        <v>25.5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507.58333333334303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23934.75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175</v>
      </c>
      <c r="D6" s="13">
        <f t="shared" ref="D6:D28" si="1">C6*L6</f>
        <v>128975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14500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17</v>
      </c>
      <c r="D9" s="13">
        <f t="shared" si="1"/>
        <v>12019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172" t="s">
        <v>36</v>
      </c>
      <c r="G13" s="173"/>
      <c r="H13" s="174">
        <f>D29</f>
        <v>166256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24198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142058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</f>
        <v>300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166256</v>
      </c>
      <c r="F29" s="195" t="s">
        <v>55</v>
      </c>
      <c r="G29" s="196"/>
      <c r="H29" s="199">
        <f>H15-H16-H17-H18-H19-H20-H22-H23-H24+H26+H27</f>
        <v>141708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27">
        <f>F34*G34</f>
        <v>113000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27">
        <f>F35*G35</f>
        <v>18500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27">
        <f t="shared" ref="H36:H39" si="2">F36*G36</f>
        <v>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27">
        <f t="shared" si="2"/>
        <v>5100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27">
        <f t="shared" si="2"/>
        <v>750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7">
        <v>127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211">
        <v>3792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6</v>
      </c>
      <c r="D46" s="12">
        <f>C46*1.5</f>
        <v>9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141689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12</v>
      </c>
      <c r="D50" s="12">
        <f>C50*1.5</f>
        <v>18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-19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24198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407</v>
      </c>
      <c r="D6" s="13">
        <f t="shared" ref="D6:D28" si="1">C6*L6</f>
        <v>299959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54</v>
      </c>
      <c r="D9" s="13">
        <f t="shared" si="1"/>
        <v>38178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172" t="s">
        <v>36</v>
      </c>
      <c r="G13" s="173"/>
      <c r="H13" s="174">
        <f>D29</f>
        <v>343299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4</v>
      </c>
      <c r="D14" s="31">
        <f t="shared" si="1"/>
        <v>44</v>
      </c>
      <c r="F14" s="177" t="s">
        <v>39</v>
      </c>
      <c r="G14" s="178"/>
      <c r="H14" s="179">
        <f>D54</f>
        <v>83292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260007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3</v>
      </c>
      <c r="D28" s="48">
        <f t="shared" si="1"/>
        <v>2355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343299</v>
      </c>
      <c r="F29" s="195" t="s">
        <v>55</v>
      </c>
      <c r="G29" s="196"/>
      <c r="H29" s="199">
        <f>H15-H16-H17-H18-H19-H20-H22-H23-H24+H26+H27+H28</f>
        <v>260007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27">
        <f t="shared" ref="H34:H39" si="2">F34*G34</f>
        <v>53000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27">
        <f t="shared" si="2"/>
        <v>21000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27">
        <f t="shared" si="2"/>
        <v>800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122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211">
        <v>118353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211">
        <v>66364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259739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7</v>
      </c>
      <c r="D50" s="12">
        <f>C50*1.5</f>
        <v>10.5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-268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203</v>
      </c>
      <c r="D6" s="13">
        <f t="shared" ref="D6:D28" si="1">C6*L6</f>
        <v>149611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6525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34</v>
      </c>
      <c r="D9" s="13">
        <f t="shared" si="1"/>
        <v>24038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172" t="s">
        <v>36</v>
      </c>
      <c r="G13" s="173"/>
      <c r="H13" s="174">
        <f>D29</f>
        <v>186017.83333333334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28258.5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157759.33333333334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186017.83333333334</v>
      </c>
      <c r="F29" s="195" t="s">
        <v>55</v>
      </c>
      <c r="G29" s="196"/>
      <c r="H29" s="199">
        <f>H15-H16-H17-H18-H19-H20-H22-H23-H24+H26+H27</f>
        <v>157759.33333333334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27">
        <f>F34*G34</f>
        <v>132000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27">
        <f t="shared" ref="H35:H39" si="2">F35*G35</f>
        <v>24500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27">
        <f t="shared" si="2"/>
        <v>1100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27">
        <f t="shared" si="2"/>
        <v>300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27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3</v>
      </c>
      <c r="D45" s="12">
        <f>C45*84</f>
        <v>252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18</v>
      </c>
      <c r="D46" s="12">
        <f>C46*1.5</f>
        <v>27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157947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15</v>
      </c>
      <c r="D50" s="12">
        <f>C50*1.5</f>
        <v>22.5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187.66666666665697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28258.5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365</v>
      </c>
      <c r="D6" s="13">
        <f t="shared" ref="D6:D28" si="1">C6*L6</f>
        <v>269005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2175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17675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172" t="s">
        <v>36</v>
      </c>
      <c r="G13" s="173"/>
      <c r="H13" s="174">
        <f>D29</f>
        <v>297409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44916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252493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612+702+750</f>
        <v>2064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297409</v>
      </c>
      <c r="F29" s="195" t="s">
        <v>55</v>
      </c>
      <c r="G29" s="196"/>
      <c r="H29" s="199">
        <f>H15-H16-H17-H18-H19-H20-H22-H23-H24+H26+H27</f>
        <v>250429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27">
        <f>F34*G34</f>
        <v>103000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27">
        <f>F35*G35</f>
        <v>3500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227">
        <v>30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211">
        <v>64639.5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211">
        <v>78155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22</v>
      </c>
      <c r="D46" s="12">
        <f>C46*1.5</f>
        <v>33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249774.5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11</v>
      </c>
      <c r="D50" s="12">
        <f>C50*1.5</f>
        <v>16.5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-654.5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44916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45999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135</v>
      </c>
      <c r="D6" s="13">
        <f t="shared" ref="D6:D28" si="1">C6*L6</f>
        <v>99495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10</v>
      </c>
      <c r="D7" s="13">
        <f t="shared" si="1"/>
        <v>7250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27</v>
      </c>
      <c r="D9" s="13">
        <f t="shared" si="1"/>
        <v>19089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172" t="s">
        <v>36</v>
      </c>
      <c r="G13" s="173"/>
      <c r="H13" s="174">
        <f>D29</f>
        <v>128632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19241.25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109390.75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211">
        <v>45650</v>
      </c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2</v>
      </c>
      <c r="D28" s="48">
        <f t="shared" si="1"/>
        <v>1570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128632</v>
      </c>
      <c r="F29" s="195" t="s">
        <v>55</v>
      </c>
      <c r="G29" s="196"/>
      <c r="H29" s="199">
        <f>H15-H16-H17-H18-H19-H20-H22-H23-H24+H26+H27+H28</f>
        <v>155040.75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27">
        <f t="shared" ref="H34:H39" si="2">F34*G34</f>
        <v>144000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27">
        <f t="shared" si="2"/>
        <v>5500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27">
        <f t="shared" si="2"/>
        <v>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7">
        <v>255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145</v>
      </c>
      <c r="G44" s="62"/>
      <c r="H44" s="211">
        <v>4994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5</v>
      </c>
      <c r="D46" s="12">
        <f>C46*1.5</f>
        <v>7.5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154999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11</v>
      </c>
      <c r="D50" s="12">
        <f>C50*1.5</f>
        <v>16.5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-41.75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45999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233</v>
      </c>
      <c r="D6" s="13">
        <f t="shared" ref="D6:D28" si="1">C6*L6</f>
        <v>171721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16968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172" t="s">
        <v>36</v>
      </c>
      <c r="G13" s="173"/>
      <c r="H13" s="174">
        <f>D29</f>
        <v>204048.33333333334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77" t="s">
        <v>39</v>
      </c>
      <c r="G14" s="178"/>
      <c r="H14" s="179">
        <f>D54</f>
        <v>31084.5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172963.83333333334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600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204048.33333333334</v>
      </c>
      <c r="F29" s="195" t="s">
        <v>55</v>
      </c>
      <c r="G29" s="196"/>
      <c r="H29" s="199">
        <f>H15-H16-H17-H18-H19-H20-H22-H23-H24+H26+H27</f>
        <v>172363.83333333334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27">
        <f>F34*G34</f>
        <v>157000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27">
        <f t="shared" ref="H35:H39" si="2">F35*G35</f>
        <v>15500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27">
        <f t="shared" si="2"/>
        <v>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27">
        <f t="shared" si="2"/>
        <v>200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>
        <v>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3</v>
      </c>
      <c r="D46" s="12">
        <f>C46*1.5</f>
        <v>4.5</v>
      </c>
      <c r="F46" s="37"/>
      <c r="G46" s="91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173202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32</v>
      </c>
      <c r="D50" s="12">
        <f>C50*1.5</f>
        <v>48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838.16666666665697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31084.5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45999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386</v>
      </c>
      <c r="D6" s="13">
        <f t="shared" ref="D6:D28" si="1">C6*L6</f>
        <v>284482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7250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113</v>
      </c>
      <c r="D9" s="13">
        <f t="shared" si="1"/>
        <v>79891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392314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77" t="s">
        <v>39</v>
      </c>
      <c r="G14" s="178"/>
      <c r="H14" s="179">
        <f>D54</f>
        <v>44706.75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4</v>
      </c>
      <c r="D15" s="31">
        <f t="shared" si="1"/>
        <v>2480</v>
      </c>
      <c r="F15" s="182" t="s">
        <v>40</v>
      </c>
      <c r="G15" s="173"/>
      <c r="H15" s="183">
        <f>H13-H14</f>
        <v>347607.25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2712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10</v>
      </c>
      <c r="D28" s="48">
        <f t="shared" si="1"/>
        <v>7850</v>
      </c>
      <c r="F28" s="93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392314</v>
      </c>
      <c r="F29" s="195" t="s">
        <v>55</v>
      </c>
      <c r="G29" s="196"/>
      <c r="H29" s="199">
        <f>H15-H16-H17-H18-H19-H20-H22-H23-H24+H26+H27</f>
        <v>344895.25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27">
        <f>F34*G34</f>
        <v>36000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27">
        <f>F35*G35</f>
        <v>5000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27">
        <f t="shared" si="2"/>
        <v>800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227">
        <v>45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9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211">
        <v>303690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10</v>
      </c>
      <c r="D46" s="12">
        <f>C46*1.5</f>
        <v>15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345605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</v>
      </c>
      <c r="D50" s="12">
        <f>C50*1.5</f>
        <v>1.5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709.75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44706.75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270</v>
      </c>
      <c r="D6" s="13">
        <f t="shared" ref="D6:D28" si="1">C6*L6</f>
        <v>198990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7</v>
      </c>
      <c r="D7" s="13">
        <f t="shared" si="1"/>
        <v>5075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</v>
      </c>
      <c r="D9" s="13">
        <f t="shared" si="1"/>
        <v>15554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1+1</f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172" t="s">
        <v>36</v>
      </c>
      <c r="G13" s="173"/>
      <c r="H13" s="174">
        <f>D29</f>
        <v>224255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9</v>
      </c>
      <c r="D14" s="31">
        <f t="shared" si="1"/>
        <v>99</v>
      </c>
      <c r="F14" s="177" t="s">
        <v>39</v>
      </c>
      <c r="G14" s="178"/>
      <c r="H14" s="179">
        <f>D54</f>
        <v>33251.25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191003.75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</v>
      </c>
      <c r="D28" s="48">
        <f t="shared" si="1"/>
        <v>785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224255</v>
      </c>
      <c r="F29" s="195" t="s">
        <v>55</v>
      </c>
      <c r="G29" s="196"/>
      <c r="H29" s="199">
        <f>H15-H16-H17-H18-H19-H20-H22-H23-H24+H26+H27+H28</f>
        <v>191003.75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27">
        <f t="shared" ref="H34:H39" si="2">F34*G34</f>
        <v>120000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27">
        <f t="shared" si="2"/>
        <v>46000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27">
        <f t="shared" si="2"/>
        <v>3300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3</v>
      </c>
      <c r="D42" s="12">
        <f>C42*2.25</f>
        <v>6.75</v>
      </c>
      <c r="F42" s="39" t="s">
        <v>79</v>
      </c>
      <c r="G42" s="227">
        <v>33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211">
        <v>21364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8</v>
      </c>
      <c r="D46" s="12">
        <f>C46*1.5</f>
        <v>12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190747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25</v>
      </c>
      <c r="D50" s="12">
        <f>C50*1.5</f>
        <v>37.5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-256.75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332</v>
      </c>
      <c r="D6" s="13">
        <f t="shared" ref="D6:D28" si="1">C6*L6</f>
        <v>244684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2121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172" t="s">
        <v>36</v>
      </c>
      <c r="G13" s="173"/>
      <c r="H13" s="174">
        <f>D29</f>
        <v>261815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38712.75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223102.25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1854</f>
        <v>1854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261815</v>
      </c>
      <c r="F29" s="195" t="s">
        <v>55</v>
      </c>
      <c r="G29" s="196"/>
      <c r="H29" s="199">
        <f>H15-H16-H17-H18-H19-H20-H22-H23-H24+H26+H27</f>
        <v>221248.25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27">
        <f>F34*G34</f>
        <v>21000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227">
        <v>48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211">
        <v>199178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3</v>
      </c>
      <c r="D46" s="12">
        <f>C46*1.5</f>
        <v>4.5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13</v>
      </c>
      <c r="D49" s="12">
        <f>C49*42</f>
        <v>546</v>
      </c>
      <c r="F49" s="252" t="s">
        <v>86</v>
      </c>
      <c r="G49" s="199">
        <f>H34+H35+H36+H37+H38+H39+H40+H41+G42+H44+H45+H46</f>
        <v>220226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25</v>
      </c>
      <c r="D50" s="12">
        <f>C50*1.5</f>
        <v>37.5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-1022.25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38712.75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377</v>
      </c>
      <c r="D6" s="13">
        <f t="shared" ref="D6:D28" si="1">C6*L6</f>
        <v>277849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25</v>
      </c>
      <c r="D7" s="13">
        <f t="shared" si="1"/>
        <v>18125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118</v>
      </c>
      <c r="D9" s="13">
        <f t="shared" si="1"/>
        <v>83426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172" t="s">
        <v>36</v>
      </c>
      <c r="G13" s="173"/>
      <c r="H13" s="174">
        <f>D29</f>
        <v>388760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77" t="s">
        <v>39</v>
      </c>
      <c r="G14" s="178"/>
      <c r="H14" s="179">
        <f>D54</f>
        <v>49567.5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339192.5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342+363*6</f>
        <v>2520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388760</v>
      </c>
      <c r="F29" s="195" t="s">
        <v>55</v>
      </c>
      <c r="G29" s="196"/>
      <c r="H29" s="199">
        <f>H15-H16-H17-H18-H19-H20-H22-H23-H24+H26+H27</f>
        <v>336672.5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27">
        <f>F34*G34</f>
        <v>72000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27">
        <f>F35*G35</f>
        <v>46000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27">
        <f t="shared" si="2"/>
        <v>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27">
        <f t="shared" si="2"/>
        <v>250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109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211">
        <v>217387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13</v>
      </c>
      <c r="D49" s="12">
        <f>C49*42</f>
        <v>546</v>
      </c>
      <c r="F49" s="252" t="s">
        <v>86</v>
      </c>
      <c r="G49" s="199">
        <f>H34+H35+H36+H37+H38+H39+H40+H41+G42+H44+H45+H46</f>
        <v>336246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</v>
      </c>
      <c r="D50" s="12">
        <f>C50*1.5</f>
        <v>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-426.5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49567.5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H15-H16-H17-H18-H19-H20-H22-H23-H24+H26+H27+H28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7">
        <f t="shared" ref="H34:H39" si="2"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422</v>
      </c>
      <c r="D6" s="13">
        <f t="shared" ref="D6:D28" si="1">C6*L6</f>
        <v>311014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110</v>
      </c>
      <c r="D9" s="13">
        <f t="shared" si="1"/>
        <v>77770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</f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172" t="s">
        <v>36</v>
      </c>
      <c r="G13" s="173"/>
      <c r="H13" s="174">
        <f>D29</f>
        <v>403697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92064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311633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74">
        <f>1194+1836</f>
        <v>3030</v>
      </c>
      <c r="I16" s="275"/>
      <c r="J16" s="2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>
        <v>100</v>
      </c>
      <c r="I19" s="275"/>
      <c r="J19" s="2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403697</v>
      </c>
      <c r="F29" s="195" t="s">
        <v>55</v>
      </c>
      <c r="G29" s="196"/>
      <c r="H29" s="199">
        <f>H15-H16-H17-H18-H19-H20-H22-H23-H24+H26+H27</f>
        <v>308503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27">
        <f>F34*G34</f>
        <v>142000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27">
        <f t="shared" ref="H35:H39" si="2">F35*G35</f>
        <v>47500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>
        <v>79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211">
        <v>119491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12</v>
      </c>
      <c r="D46" s="12">
        <f>C46*1.5</f>
        <v>18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12</v>
      </c>
      <c r="D49" s="12">
        <f>C49*42</f>
        <v>504</v>
      </c>
      <c r="F49" s="252" t="s">
        <v>86</v>
      </c>
      <c r="G49" s="199">
        <f>H34+H35+H36+H37+H38+H39+H40+H41+G42+H44+H45+H46</f>
        <v>309270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26</v>
      </c>
      <c r="D50" s="12">
        <f>C50*1.5</f>
        <v>39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767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92064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174</v>
      </c>
      <c r="D6" s="13">
        <f t="shared" ref="D6:D28" si="1">C6*L6</f>
        <v>128238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65</v>
      </c>
      <c r="D9" s="13">
        <f t="shared" si="1"/>
        <v>45955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172" t="s">
        <v>36</v>
      </c>
      <c r="G13" s="173"/>
      <c r="H13" s="174">
        <f>D29</f>
        <v>179358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23</v>
      </c>
      <c r="D14" s="31">
        <f t="shared" si="1"/>
        <v>253</v>
      </c>
      <c r="F14" s="177" t="s">
        <v>39</v>
      </c>
      <c r="G14" s="178"/>
      <c r="H14" s="179">
        <f>D54</f>
        <v>18797.25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160560.75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456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179358</v>
      </c>
      <c r="F29" s="195" t="s">
        <v>55</v>
      </c>
      <c r="G29" s="196"/>
      <c r="H29" s="199">
        <f>H15-H16-H17-H18-H19-H20-H22-H23-H24+H26+H27</f>
        <v>160104.75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27">
        <f>F34*G34</f>
        <v>59000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27">
        <f>F35*G35</f>
        <v>52500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27">
        <v>31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211">
        <v>48140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11</v>
      </c>
      <c r="D46" s="12">
        <f>C46*1.5</f>
        <v>16.5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160191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86.25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18797.25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739</v>
      </c>
      <c r="D6" s="13">
        <f t="shared" ref="D6:D28" si="1">C6*L6</f>
        <v>544643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17</v>
      </c>
      <c r="D7" s="13">
        <f t="shared" si="1"/>
        <v>12325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</v>
      </c>
      <c r="D9" s="13">
        <f t="shared" si="1"/>
        <v>7777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32</v>
      </c>
      <c r="D13" s="48">
        <f t="shared" si="1"/>
        <v>9824</v>
      </c>
      <c r="F13" s="172" t="s">
        <v>36</v>
      </c>
      <c r="G13" s="173"/>
      <c r="H13" s="174">
        <f>D29</f>
        <v>586934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8</v>
      </c>
      <c r="D14" s="31">
        <f t="shared" si="1"/>
        <v>88</v>
      </c>
      <c r="F14" s="177" t="s">
        <v>39</v>
      </c>
      <c r="G14" s="178"/>
      <c r="H14" s="179">
        <f>D54</f>
        <v>80880.75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506053.25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3960</f>
        <v>3960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209">
        <v>70727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211">
        <v>79918</v>
      </c>
      <c r="I26" s="211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144</v>
      </c>
      <c r="C27" s="84">
        <v>12</v>
      </c>
      <c r="D27" s="44">
        <f t="shared" si="1"/>
        <v>444</v>
      </c>
      <c r="F27" s="71"/>
      <c r="G27" s="103"/>
      <c r="H27" s="264"/>
      <c r="I27" s="265"/>
      <c r="J27" s="265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10</v>
      </c>
      <c r="D28" s="48">
        <f t="shared" si="1"/>
        <v>7850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586934</v>
      </c>
      <c r="F29" s="195" t="s">
        <v>55</v>
      </c>
      <c r="G29" s="196"/>
      <c r="H29" s="199">
        <f>H15-H16-H17-H18-H19-H20-H22-H23-H24+H26+H27+H28</f>
        <v>511284.25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27">
        <f t="shared" ref="H34:H39" si="2">F34*G34</f>
        <v>208000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27">
        <f t="shared" si="2"/>
        <v>221500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27">
        <v>38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211">
        <v>79918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14</v>
      </c>
      <c r="D46" s="12">
        <f>C46*1.5</f>
        <v>21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9</v>
      </c>
      <c r="D49" s="12">
        <f>C49*42</f>
        <v>378</v>
      </c>
      <c r="F49" s="252" t="s">
        <v>86</v>
      </c>
      <c r="G49" s="199">
        <f>H34+H35+H36+H37+H38+H39+H40+H41+G42+H44+H45+H46</f>
        <v>509906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11</v>
      </c>
      <c r="D50" s="12">
        <f>C50*1.5</f>
        <v>16.5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-1378.25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249</v>
      </c>
      <c r="D6" s="13">
        <f t="shared" ref="D6:D28" si="1">C6*L6</f>
        <v>183513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10605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172" t="s">
        <v>36</v>
      </c>
      <c r="G13" s="173"/>
      <c r="H13" s="174">
        <f>D29</f>
        <v>198369.83333333334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77" t="s">
        <v>39</v>
      </c>
      <c r="G14" s="178"/>
      <c r="H14" s="179">
        <f>D54</f>
        <v>16148.25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182221.58333333334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1296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198369.83333333334</v>
      </c>
      <c r="F29" s="195" t="s">
        <v>55</v>
      </c>
      <c r="G29" s="196"/>
      <c r="H29" s="199">
        <f>H15-H16-H17-H18-H19-H20-H22-H23-H24+H26+H27</f>
        <v>180925.58333333334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27">
        <f>F34*G34</f>
        <v>121000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27">
        <f t="shared" ref="H35:H39" si="2">F35*G35</f>
        <v>60000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7">
        <f t="shared" si="2"/>
        <v>40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227">
        <v>31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6</v>
      </c>
      <c r="D49" s="12">
        <f>C49*42</f>
        <v>252</v>
      </c>
      <c r="F49" s="252" t="s">
        <v>86</v>
      </c>
      <c r="G49" s="199">
        <f>H34+H35+H36+H37+H38+H39+H40+H41+G42+H44+H45+H46</f>
        <v>181221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295.41666666665697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16148.25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326</v>
      </c>
      <c r="D6" s="13">
        <f t="shared" ref="D6:D28" si="1">C6*L6</f>
        <v>240262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5800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172" t="s">
        <v>36</v>
      </c>
      <c r="G13" s="173"/>
      <c r="H13" s="174">
        <f>D29</f>
        <v>336863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77" t="s">
        <v>39</v>
      </c>
      <c r="G14" s="178"/>
      <c r="H14" s="179">
        <f>D54</f>
        <v>51703.5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2</v>
      </c>
      <c r="D15" s="31">
        <f t="shared" si="1"/>
        <v>1240</v>
      </c>
      <c r="F15" s="182" t="s">
        <v>40</v>
      </c>
      <c r="G15" s="173"/>
      <c r="H15" s="183">
        <f>H13-H14</f>
        <v>285159.5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330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336863</v>
      </c>
      <c r="F29" s="195" t="s">
        <v>55</v>
      </c>
      <c r="G29" s="196"/>
      <c r="H29" s="199">
        <f>H15-H16-H17-H18-H19-H20-H22-H23-H24+H26+H27</f>
        <v>284829.5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27">
        <f>F34*G34</f>
        <v>129000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27">
        <f>F35*G35</f>
        <v>31000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27">
        <f t="shared" si="2"/>
        <v>6000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7">
        <f t="shared" si="2"/>
        <v>750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7">
        <v>234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211">
        <v>118360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15</v>
      </c>
      <c r="D46" s="12">
        <f>C46*1.5</f>
        <v>22.5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285364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22</v>
      </c>
      <c r="D50" s="12">
        <f>C50*1.5</f>
        <v>33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534.5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51703.5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748</v>
      </c>
      <c r="D6" s="13">
        <f t="shared" ref="D6:D28" si="1">C6*L6</f>
        <v>551276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98</v>
      </c>
      <c r="D7" s="13">
        <f t="shared" si="1"/>
        <v>71050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</v>
      </c>
      <c r="D8" s="13">
        <f t="shared" si="1"/>
        <v>5165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221</v>
      </c>
      <c r="D9" s="13">
        <f t="shared" si="1"/>
        <v>156247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10</v>
      </c>
      <c r="D11" s="13">
        <f t="shared" si="1"/>
        <v>11250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10</v>
      </c>
      <c r="D12" s="48">
        <f t="shared" si="1"/>
        <v>9520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15</v>
      </c>
      <c r="D13" s="48">
        <f t="shared" si="1"/>
        <v>4605</v>
      </c>
      <c r="F13" s="172" t="s">
        <v>36</v>
      </c>
      <c r="G13" s="173"/>
      <c r="H13" s="174">
        <f>D29</f>
        <v>813038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109269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703769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6150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5</v>
      </c>
      <c r="D28" s="48">
        <f t="shared" si="1"/>
        <v>3925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813038</v>
      </c>
      <c r="F29" s="195" t="s">
        <v>55</v>
      </c>
      <c r="G29" s="196"/>
      <c r="H29" s="199">
        <f>H15-H16-H17-H18-H19-H20-H22-H23-H24+H26+H27+H28</f>
        <v>697619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27">
        <f t="shared" ref="H34:H39" si="2">F34*G34</f>
        <v>32000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27">
        <f t="shared" si="2"/>
        <v>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27">
        <f t="shared" si="2"/>
        <v>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7">
        <v>35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211">
        <v>656614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697949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330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216</v>
      </c>
      <c r="D6" s="13">
        <f t="shared" ref="D6:D28" si="1">C6*L6</f>
        <v>159192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31</v>
      </c>
      <c r="D9" s="13">
        <f t="shared" si="1"/>
        <v>21917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172" t="s">
        <v>36</v>
      </c>
      <c r="G13" s="173"/>
      <c r="H13" s="174">
        <f>D29</f>
        <v>189712.66666666666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26337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163375.66666666666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672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189712.66666666666</v>
      </c>
      <c r="F29" s="195" t="s">
        <v>55</v>
      </c>
      <c r="G29" s="196"/>
      <c r="H29" s="199">
        <f>H15-H16-H17-H18-H19-H20-H22-H23-H24+H26+H27</f>
        <v>162703.66666666666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27">
        <f>F34*G34</f>
        <v>161000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>
        <v>241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4</v>
      </c>
      <c r="D46" s="12">
        <f>C46*1.5</f>
        <v>6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161391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14</v>
      </c>
      <c r="D50" s="12">
        <f>C50*1.5</f>
        <v>21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-1312.666666666657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26337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632</v>
      </c>
      <c r="D6" s="13">
        <f t="shared" ref="D6:D28" si="1">C6*L6</f>
        <v>465784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33</v>
      </c>
      <c r="D7" s="13">
        <f t="shared" si="1"/>
        <v>23925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115</v>
      </c>
      <c r="D9" s="13">
        <f t="shared" si="1"/>
        <v>81305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9720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9+2</f>
        <v>11</v>
      </c>
      <c r="D12" s="48">
        <f t="shared" si="1"/>
        <v>10472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26</v>
      </c>
      <c r="D13" s="48">
        <f t="shared" si="1"/>
        <v>7982</v>
      </c>
      <c r="F13" s="172" t="s">
        <v>36</v>
      </c>
      <c r="G13" s="173"/>
      <c r="H13" s="174">
        <f>D29</f>
        <v>599243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81460.5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517782.5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1332+450+2448+330</f>
        <v>4560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599243</v>
      </c>
      <c r="F29" s="195" t="s">
        <v>55</v>
      </c>
      <c r="G29" s="196"/>
      <c r="H29" s="199">
        <f>H15-H16-H17-H18-H19-H20-H22-H23-H24+H26+H27</f>
        <v>513222.5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27">
        <f>F34*G34</f>
        <v>244000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27">
        <f>F35*G35</f>
        <v>7000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ref="H36:H39" si="2"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27">
        <f t="shared" si="2"/>
        <v>1600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7">
        <f t="shared" si="2"/>
        <v>250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27">
        <f t="shared" si="2"/>
        <v>120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>
        <v>108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211">
        <v>258855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10</v>
      </c>
      <c r="D46" s="12">
        <f>C46*1.5</f>
        <v>15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512133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8</v>
      </c>
      <c r="D50" s="12">
        <f>C50*1.5</f>
        <v>12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-1089.5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81460.5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406</v>
      </c>
      <c r="D6" s="13">
        <f t="shared" ref="D6:D28" si="1">C6*L6</f>
        <v>299222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</v>
      </c>
      <c r="D7" s="13">
        <f t="shared" si="1"/>
        <v>725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50</v>
      </c>
      <c r="D8" s="13">
        <f t="shared" si="1"/>
        <v>51650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4</v>
      </c>
      <c r="D11" s="13">
        <f t="shared" si="1"/>
        <v>4500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6</v>
      </c>
      <c r="D12" s="48">
        <f t="shared" si="1"/>
        <v>5712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172" t="s">
        <v>36</v>
      </c>
      <c r="G13" s="173"/>
      <c r="H13" s="174">
        <f>D29</f>
        <v>385716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15</v>
      </c>
      <c r="D14" s="31">
        <f t="shared" si="1"/>
        <v>165</v>
      </c>
      <c r="F14" s="177" t="s">
        <v>39</v>
      </c>
      <c r="G14" s="178"/>
      <c r="H14" s="179">
        <f>D54</f>
        <v>56205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2</v>
      </c>
      <c r="D15" s="31">
        <f t="shared" si="1"/>
        <v>1240</v>
      </c>
      <c r="F15" s="182" t="s">
        <v>40</v>
      </c>
      <c r="G15" s="173"/>
      <c r="H15" s="183">
        <f>H13-H14</f>
        <v>329511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3</v>
      </c>
      <c r="D28" s="48">
        <f t="shared" si="1"/>
        <v>2355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385716</v>
      </c>
      <c r="F29" s="195" t="s">
        <v>55</v>
      </c>
      <c r="G29" s="196"/>
      <c r="H29" s="199">
        <f>H15-H16-H17-H18-H19-H20-H22-H23-H24+H26+H27+H28</f>
        <v>329511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27">
        <f t="shared" ref="H34:H39" si="2">F34*G34</f>
        <v>171000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27">
        <f t="shared" si="2"/>
        <v>39000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67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211">
        <v>72654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211">
        <v>33219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211">
        <v>13353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329493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28</v>
      </c>
      <c r="D50" s="12">
        <f>C50*1.5</f>
        <v>42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-18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864</v>
      </c>
      <c r="D6" s="13">
        <f t="shared" ref="D6:D28" si="1">C6*L6</f>
        <v>636768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5800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158</v>
      </c>
      <c r="D9" s="13">
        <f t="shared" si="1"/>
        <v>111706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32</v>
      </c>
      <c r="D13" s="48">
        <f t="shared" si="1"/>
        <v>9824</v>
      </c>
      <c r="F13" s="172" t="s">
        <v>36</v>
      </c>
      <c r="G13" s="173"/>
      <c r="H13" s="174">
        <f>D29</f>
        <v>768503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19</v>
      </c>
      <c r="D14" s="31">
        <f t="shared" si="1"/>
        <v>209</v>
      </c>
      <c r="F14" s="177" t="s">
        <v>39</v>
      </c>
      <c r="G14" s="178"/>
      <c r="H14" s="179">
        <f>D54</f>
        <v>41563.5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726939.5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3888+1200</f>
        <v>5088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768503</v>
      </c>
      <c r="F29" s="195" t="s">
        <v>55</v>
      </c>
      <c r="G29" s="196"/>
      <c r="H29" s="199">
        <f>H15-H16-H17-H18-H19-H20-H22-H23-H24+H26+H27</f>
        <v>721851.5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27">
        <f>F34*G34</f>
        <v>110000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27">
        <f t="shared" ref="H35:H39" si="2">F35*G35</f>
        <v>6000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211">
        <v>404660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211">
        <v>128884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4</v>
      </c>
      <c r="D46" s="12">
        <f>C46*1.5</f>
        <v>6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5</v>
      </c>
      <c r="D49" s="12">
        <f>C49*42</f>
        <v>210</v>
      </c>
      <c r="F49" s="252" t="s">
        <v>86</v>
      </c>
      <c r="G49" s="199">
        <f>H34+H35+H36+H37+H38+H39+H40+H41+G42+H44+H45+H46</f>
        <v>649944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13</v>
      </c>
      <c r="D50" s="12">
        <f>C50*1.5</f>
        <v>19.5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-71907.5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41563.5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287</v>
      </c>
      <c r="D6" s="13">
        <f t="shared" ref="D6:D28" si="1">C6*L6</f>
        <v>211519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2175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10605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30</v>
      </c>
      <c r="D10" s="13">
        <f t="shared" si="1"/>
        <v>29160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9+2</f>
        <v>11</v>
      </c>
      <c r="D12" s="48">
        <f t="shared" si="1"/>
        <v>10472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172" t="s">
        <v>36</v>
      </c>
      <c r="G13" s="173"/>
      <c r="H13" s="174">
        <f>D29</f>
        <v>269956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39363.75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230592.25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312+1212</f>
        <v>1524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269956</v>
      </c>
      <c r="F29" s="195" t="s">
        <v>55</v>
      </c>
      <c r="G29" s="196"/>
      <c r="H29" s="199">
        <f>H15-H16-H17-H18-H19-H20-H22-H23-H24+H26+H27</f>
        <v>229068.25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27">
        <f>F34*G34</f>
        <v>46000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27">
        <f>F35*G35</f>
        <v>26500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27">
        <f t="shared" ref="H36:H39" si="2">F36*G36</f>
        <v>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27">
        <f t="shared" si="2"/>
        <v>10500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27">
        <f t="shared" si="2"/>
        <v>5500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227">
        <v>2088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211">
        <v>134102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4</v>
      </c>
      <c r="D45" s="12">
        <f>C45*84</f>
        <v>336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</v>
      </c>
      <c r="D46" s="12">
        <f>C46*1.5</f>
        <v>1.5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3</v>
      </c>
      <c r="D49" s="12">
        <f>C49*42</f>
        <v>126</v>
      </c>
      <c r="F49" s="252" t="s">
        <v>86</v>
      </c>
      <c r="G49" s="199">
        <f>H34+H35+H36+H37+H38+H39+H40+H41+G42+H44+H45+H46</f>
        <v>225110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4</v>
      </c>
      <c r="D50" s="12">
        <f>C50*1.5</f>
        <v>6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-3958.25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39363.75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702</v>
      </c>
      <c r="D6" s="13">
        <f t="shared" ref="D6:D28" si="1">C6*L6</f>
        <v>517374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10</v>
      </c>
      <c r="D9" s="13">
        <f t="shared" si="1"/>
        <v>7070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27</v>
      </c>
      <c r="D13" s="48">
        <f t="shared" si="1"/>
        <v>8289</v>
      </c>
      <c r="F13" s="172" t="s">
        <v>36</v>
      </c>
      <c r="G13" s="173"/>
      <c r="H13" s="174">
        <f>D29</f>
        <v>535040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12</v>
      </c>
      <c r="D14" s="31">
        <f t="shared" si="1"/>
        <v>132</v>
      </c>
      <c r="F14" s="177" t="s">
        <v>39</v>
      </c>
      <c r="G14" s="178"/>
      <c r="H14" s="179">
        <f>D54</f>
        <v>108862.5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426177.5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3882</f>
        <v>3882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535040</v>
      </c>
      <c r="F29" s="195" t="s">
        <v>55</v>
      </c>
      <c r="G29" s="196"/>
      <c r="H29" s="199">
        <f>H15-H16-H17-H18-H19-H20-H22-H23-H24+H26+H27+H28</f>
        <v>422295.5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27">
        <f t="shared" ref="H34:H39" si="2">F34*G34</f>
        <v>33000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27">
        <f t="shared" si="2"/>
        <v>7500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27">
        <f t="shared" si="2"/>
        <v>2000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20</v>
      </c>
      <c r="D42" s="12">
        <f>C42*2.25</f>
        <v>45</v>
      </c>
      <c r="F42" s="39" t="s">
        <v>79</v>
      </c>
      <c r="G42" s="227">
        <v>39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211">
        <v>379729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17</v>
      </c>
      <c r="D46" s="12">
        <f>C46*1.5</f>
        <v>25.5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422288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18</v>
      </c>
      <c r="D50" s="12">
        <f>C50*1.5</f>
        <v>27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-7.5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602</v>
      </c>
      <c r="D6" s="13">
        <f t="shared" ref="D6:D28" si="1">C6*L6</f>
        <v>443674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7975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22</v>
      </c>
      <c r="D13" s="48">
        <f t="shared" si="1"/>
        <v>6754</v>
      </c>
      <c r="F13" s="172" t="s">
        <v>36</v>
      </c>
      <c r="G13" s="173"/>
      <c r="H13" s="174">
        <f>D29</f>
        <v>534847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105343.5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429503.5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3948</f>
        <v>3948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534847</v>
      </c>
      <c r="F29" s="195" t="s">
        <v>55</v>
      </c>
      <c r="G29" s="196"/>
      <c r="H29" s="199">
        <f>H15-H16-H17-H18-H19-H20-H22-H23-H24+H26+H27</f>
        <v>425555.5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27">
        <f>F34*G34</f>
        <v>31000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7">
        <f t="shared" ref="H35:H39" si="2">F35*G35</f>
        <v>8000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27">
        <f t="shared" si="2"/>
        <v>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>
        <v>48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211">
        <v>457977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0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30</v>
      </c>
      <c r="D49" s="12">
        <f>C49*42</f>
        <v>1260</v>
      </c>
      <c r="F49" s="252" t="s">
        <v>86</v>
      </c>
      <c r="G49" s="199">
        <f>H34+H35+H36+H37+H38+H39+H40+H41+G42+H44+H45+H46</f>
        <v>497325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15</v>
      </c>
      <c r="D50" s="12">
        <f>C50*1.5</f>
        <v>22.5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189</v>
      </c>
      <c r="G51" s="256">
        <f>G49-H29</f>
        <v>71769.5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105343.5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451</v>
      </c>
      <c r="D6" s="13">
        <f t="shared" ref="D6:D28" si="1">C6*L6</f>
        <v>332387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2066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117</v>
      </c>
      <c r="D9" s="13">
        <f t="shared" si="1"/>
        <v>82719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172" t="s">
        <v>36</v>
      </c>
      <c r="G13" s="173"/>
      <c r="H13" s="174">
        <f>D29</f>
        <v>421370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77" t="s">
        <v>39</v>
      </c>
      <c r="G14" s="178"/>
      <c r="H14" s="179">
        <f>D54</f>
        <v>61642.5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359727.5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2604+600</f>
        <v>3204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421370</v>
      </c>
      <c r="F29" s="195" t="s">
        <v>55</v>
      </c>
      <c r="G29" s="196"/>
      <c r="H29" s="199">
        <f>H15-H16-H17-H18-H19-H20-H22-H23-H24+H26+H27</f>
        <v>356523.5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7">
        <f>F34*G34</f>
        <v>36000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27">
        <f>F35*G35</f>
        <v>40000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27">
        <f t="shared" si="2"/>
        <v>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73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03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211">
        <v>283328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6</v>
      </c>
      <c r="D46" s="12">
        <f>C46*1.5</f>
        <v>9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359901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16</v>
      </c>
      <c r="D50" s="12">
        <f>C50*1.5</f>
        <v>24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3377.5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61642.5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295</v>
      </c>
      <c r="D6" s="13">
        <f t="shared" ref="D6:D28" si="1">C6*L6</f>
        <v>217415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6</v>
      </c>
      <c r="D7" s="13">
        <f t="shared" si="1"/>
        <v>4350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31</v>
      </c>
      <c r="D9" s="13">
        <f t="shared" si="1"/>
        <v>21917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7</v>
      </c>
      <c r="D13" s="48">
        <f t="shared" si="1"/>
        <v>2149</v>
      </c>
      <c r="F13" s="172" t="s">
        <v>36</v>
      </c>
      <c r="G13" s="173"/>
      <c r="H13" s="174">
        <f>D29</f>
        <v>250143.5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14</v>
      </c>
      <c r="D14" s="31">
        <f t="shared" si="1"/>
        <v>154</v>
      </c>
      <c r="F14" s="177" t="s">
        <v>39</v>
      </c>
      <c r="G14" s="178"/>
      <c r="H14" s="179">
        <f>D54</f>
        <v>34743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215400.5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143</v>
      </c>
      <c r="C26" s="84">
        <v>12</v>
      </c>
      <c r="D26" s="48">
        <f t="shared" si="1"/>
        <v>434</v>
      </c>
      <c r="F26" s="75"/>
      <c r="G26" s="65"/>
      <c r="H26" s="211"/>
      <c r="I26" s="211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250143.5</v>
      </c>
      <c r="F29" s="195" t="s">
        <v>55</v>
      </c>
      <c r="G29" s="196"/>
      <c r="H29" s="199">
        <f>H15-H16-H17-H18-H19-H20-H22-H23-H24+H26+H27+H28</f>
        <v>215400.5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27">
        <f t="shared" ref="H34:H39" si="2">F34*G34</f>
        <v>195000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7">
        <f t="shared" si="2"/>
        <v>16000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227">
        <v>2608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211">
        <v>1485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8</v>
      </c>
      <c r="D46" s="12">
        <f>C46*1.5</f>
        <v>12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215663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4</v>
      </c>
      <c r="D50" s="12">
        <f>C50*1.5</f>
        <v>6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262.5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384</v>
      </c>
      <c r="D6" s="13">
        <f t="shared" ref="D6:D28" si="1">C6*L6</f>
        <v>283008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64</v>
      </c>
      <c r="D9" s="13">
        <f t="shared" si="1"/>
        <v>45248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172" t="s">
        <v>36</v>
      </c>
      <c r="G13" s="173"/>
      <c r="H13" s="174">
        <f>D29</f>
        <v>343740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42231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301509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654+1212</f>
        <v>1866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343740</v>
      </c>
      <c r="F29" s="195" t="s">
        <v>55</v>
      </c>
      <c r="G29" s="196"/>
      <c r="H29" s="199">
        <f>H15-H16-H17-H18-H19-H20-H22-H23-H24+H26+H27</f>
        <v>299593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27">
        <f>F34*G34</f>
        <v>147000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27">
        <f t="shared" ref="H35:H39" si="2">F35*G35</f>
        <v>14500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27">
        <f t="shared" si="2"/>
        <v>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7">
        <v>26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211">
        <v>128917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211">
        <v>8906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12</v>
      </c>
      <c r="D46" s="12">
        <f>C46*1.5</f>
        <v>18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6</v>
      </c>
      <c r="D49" s="12">
        <f>C49*42</f>
        <v>252</v>
      </c>
      <c r="F49" s="252" t="s">
        <v>86</v>
      </c>
      <c r="G49" s="199">
        <f>H34+H35+H36+H37+H38+H39+H40+H41+G42+H44+H45+H46</f>
        <v>299799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206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42231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590</v>
      </c>
      <c r="D6" s="13">
        <f t="shared" ref="D6:D28" si="1">C6*L6</f>
        <v>434830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101</v>
      </c>
      <c r="D9" s="13">
        <f t="shared" si="1"/>
        <v>71407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10</v>
      </c>
      <c r="D11" s="13">
        <f t="shared" si="1"/>
        <v>11250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22</v>
      </c>
      <c r="D12" s="48">
        <f t="shared" si="1"/>
        <v>20944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27</v>
      </c>
      <c r="D13" s="48">
        <f t="shared" si="1"/>
        <v>8289</v>
      </c>
      <c r="F13" s="172" t="s">
        <v>36</v>
      </c>
      <c r="G13" s="173"/>
      <c r="H13" s="174">
        <f>D29</f>
        <v>553085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75510.75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477574.25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2946+1140</f>
        <v>4086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553085</v>
      </c>
      <c r="F29" s="195" t="s">
        <v>55</v>
      </c>
      <c r="G29" s="196"/>
      <c r="H29" s="199">
        <f>H15-H16-H17-H18-H19-H20-H22-H23-H24+H26+H27</f>
        <v>473488.25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27">
        <f>F34*G34</f>
        <v>146000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27">
        <f>F35*G35</f>
        <v>20500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7">
        <v>25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211">
        <v>305278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3</v>
      </c>
      <c r="D45" s="12">
        <f>C45*84</f>
        <v>252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6</v>
      </c>
      <c r="D46" s="12">
        <f>C46*1.5</f>
        <v>9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4</v>
      </c>
      <c r="D49" s="12">
        <f>C49*42</f>
        <v>168</v>
      </c>
      <c r="F49" s="252" t="s">
        <v>86</v>
      </c>
      <c r="G49" s="199">
        <f>H34+H35+H36+H37+H38+H39+H40+H41+G42+H44+H45+H46</f>
        <v>472253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6</v>
      </c>
      <c r="D50" s="12">
        <f>C50*1.5</f>
        <v>9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-1235.25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75510.75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207</v>
      </c>
      <c r="D6" s="13">
        <f t="shared" ref="D6:D28" si="1">C6*L6</f>
        <v>152559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7</v>
      </c>
      <c r="D7" s="13">
        <f t="shared" si="1"/>
        <v>5075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2</v>
      </c>
      <c r="D8" s="13">
        <f t="shared" si="1"/>
        <v>2066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18</v>
      </c>
      <c r="D9" s="13">
        <f t="shared" si="1"/>
        <v>12726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f>3</f>
        <v>3</v>
      </c>
      <c r="D10" s="13">
        <f t="shared" si="1"/>
        <v>2916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3</f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7</v>
      </c>
      <c r="D13" s="48">
        <f t="shared" si="1"/>
        <v>2149</v>
      </c>
      <c r="F13" s="172" t="s">
        <v>36</v>
      </c>
      <c r="G13" s="173"/>
      <c r="H13" s="174">
        <f>D29</f>
        <v>185225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8</v>
      </c>
      <c r="D14" s="31">
        <f t="shared" si="1"/>
        <v>88</v>
      </c>
      <c r="F14" s="177" t="s">
        <v>39</v>
      </c>
      <c r="G14" s="178"/>
      <c r="H14" s="179">
        <f>D54</f>
        <v>27961.5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157263.5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209">
        <v>76509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211">
        <v>70727</v>
      </c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185225</v>
      </c>
      <c r="F29" s="195" t="s">
        <v>55</v>
      </c>
      <c r="G29" s="196"/>
      <c r="H29" s="199">
        <f>H15-H16-H17-H18-H19-H20-H22-H23-H24+H26+H27+H28</f>
        <v>151481.5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27">
        <f t="shared" ref="H34:H39" si="2">F34*G34</f>
        <v>66000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27">
        <f t="shared" si="2"/>
        <v>12000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7">
        <f t="shared" si="2"/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27">
        <f t="shared" si="2"/>
        <v>2400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27">
        <f t="shared" si="2"/>
        <v>450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227">
        <v>262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211">
        <v>70727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20</v>
      </c>
      <c r="D46" s="12">
        <f>C46*1.5</f>
        <v>30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152059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17</v>
      </c>
      <c r="D50" s="12">
        <f>C50*1.5</f>
        <v>25.5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577.5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543</v>
      </c>
      <c r="D6" s="13">
        <f t="shared" ref="D6:D28" si="1">C6*L6</f>
        <v>400191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27</v>
      </c>
      <c r="D13" s="48">
        <f t="shared" si="1"/>
        <v>8289</v>
      </c>
      <c r="F13" s="172" t="s">
        <v>36</v>
      </c>
      <c r="G13" s="173"/>
      <c r="H13" s="174">
        <f>D29</f>
        <v>487238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50415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436823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3894</f>
        <v>3894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487238</v>
      </c>
      <c r="F29" s="195" t="s">
        <v>55</v>
      </c>
      <c r="G29" s="196"/>
      <c r="H29" s="199">
        <f>H15-H16-H17-H18-H19-H20-H22-H23-H24+H26+H27</f>
        <v>432929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27">
        <f>F34*G34</f>
        <v>321000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27">
        <f t="shared" ref="H35:H39" si="2">F35*G35</f>
        <v>112000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14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21</v>
      </c>
      <c r="D49" s="12">
        <f>C49*42</f>
        <v>882</v>
      </c>
      <c r="F49" s="252" t="s">
        <v>86</v>
      </c>
      <c r="G49" s="199">
        <f>H34+H35+H36+H37+H38+H39+H40+H41+G42+H44+H45+H46</f>
        <v>433014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85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50415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1024</v>
      </c>
      <c r="D6" s="13">
        <f t="shared" ref="D6:D28" si="1">C6*L6</f>
        <v>754688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90</v>
      </c>
      <c r="D7" s="13">
        <f t="shared" si="1"/>
        <v>65250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135</v>
      </c>
      <c r="D9" s="13">
        <f t="shared" si="1"/>
        <v>95445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20</v>
      </c>
      <c r="D10" s="13">
        <f t="shared" si="1"/>
        <v>19440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2+5</f>
        <v>7</v>
      </c>
      <c r="D12" s="48">
        <f t="shared" si="1"/>
        <v>6664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172" t="s">
        <v>36</v>
      </c>
      <c r="G13" s="173"/>
      <c r="H13" s="174">
        <f>D29</f>
        <v>1023540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73122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f>5+10</f>
        <v>15</v>
      </c>
      <c r="D15" s="31">
        <f t="shared" si="1"/>
        <v>9300</v>
      </c>
      <c r="F15" s="182" t="s">
        <v>40</v>
      </c>
      <c r="G15" s="173"/>
      <c r="H15" s="183">
        <f>H13-H14</f>
        <v>950418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59"/>
      <c r="I18" s="159"/>
      <c r="J18" s="159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86"/>
      <c r="I20" s="186"/>
      <c r="J20" s="186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198</v>
      </c>
      <c r="C26" s="10">
        <v>1</v>
      </c>
      <c r="D26" s="48">
        <f t="shared" si="1"/>
        <v>1140</v>
      </c>
      <c r="F26" s="64"/>
      <c r="G26" s="59"/>
      <c r="H26" s="215"/>
      <c r="I26" s="216"/>
      <c r="J26" s="217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>
        <v>1</v>
      </c>
      <c r="D27" s="44">
        <f t="shared" si="1"/>
        <v>1582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1023540</v>
      </c>
      <c r="F29" s="195" t="s">
        <v>55</v>
      </c>
      <c r="G29" s="196"/>
      <c r="H29" s="199">
        <f>H15-H16-H17-H18-H19-H20-H22-H23-H24+H26+H27</f>
        <v>950418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27">
        <f>F34*G34</f>
        <v>115000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27">
        <f>F35*G35</f>
        <v>13000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27">
        <f t="shared" ref="H36:H39" si="2">F36*G36</f>
        <v>4400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27">
        <f t="shared" si="2"/>
        <v>9200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27">
        <f t="shared" si="2"/>
        <v>2050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18</v>
      </c>
      <c r="D42" s="12">
        <f>C42*2.25</f>
        <v>40.5</v>
      </c>
      <c r="F42" s="39" t="s">
        <v>79</v>
      </c>
      <c r="G42" s="227">
        <v>64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211">
        <v>786488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211">
        <v>17430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16</v>
      </c>
      <c r="D46" s="12">
        <f>C46*1.5</f>
        <v>24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947652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18</v>
      </c>
      <c r="D50" s="12">
        <f>C50*1.5</f>
        <v>27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-2766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73122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46009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648</v>
      </c>
      <c r="D6" s="13">
        <f t="shared" ref="D6:D28" si="1">C6*L6</f>
        <v>477576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26</v>
      </c>
      <c r="D13" s="48">
        <f t="shared" si="1"/>
        <v>7982</v>
      </c>
      <c r="F13" s="172" t="s">
        <v>36</v>
      </c>
      <c r="G13" s="173"/>
      <c r="H13" s="174">
        <f>D29</f>
        <v>485558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73656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411902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1944+1944</f>
        <v>3888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485558</v>
      </c>
      <c r="F29" s="195" t="s">
        <v>55</v>
      </c>
      <c r="G29" s="196"/>
      <c r="H29" s="199">
        <f>H15-H16-H17-H18-H19-H20-H22-H23-H24+H26+H27+H28</f>
        <v>408014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27">
        <f t="shared" ref="H34:H39" si="2">F34*G34</f>
        <v>364000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7">
        <f t="shared" si="2"/>
        <v>43500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46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7</v>
      </c>
      <c r="D46" s="12">
        <f>C46*1.5</f>
        <v>10.5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23</v>
      </c>
      <c r="D49" s="12">
        <f>C49*42</f>
        <v>966</v>
      </c>
      <c r="F49" s="252" t="s">
        <v>86</v>
      </c>
      <c r="G49" s="199">
        <f>H34+H35+H36+H37+H38+H39+H40+H41+G42+H44+H45+H46</f>
        <v>407996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17</v>
      </c>
      <c r="D50" s="12">
        <f>C50*1.5</f>
        <v>25.5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-18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46009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294</v>
      </c>
      <c r="D6" s="13">
        <f t="shared" ref="D6:D28" si="1">C6*L6</f>
        <v>216678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12</v>
      </c>
      <c r="D7" s="13">
        <f t="shared" si="1"/>
        <v>8700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33</v>
      </c>
      <c r="D9" s="13">
        <f t="shared" si="1"/>
        <v>23331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4+1</f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11</v>
      </c>
      <c r="D13" s="48">
        <f t="shared" si="1"/>
        <v>3377</v>
      </c>
      <c r="F13" s="172" t="s">
        <v>36</v>
      </c>
      <c r="G13" s="173"/>
      <c r="H13" s="174">
        <f>D29</f>
        <v>264540.33333333331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</v>
      </c>
      <c r="D14" s="31">
        <f t="shared" si="1"/>
        <v>11</v>
      </c>
      <c r="F14" s="177" t="s">
        <v>39</v>
      </c>
      <c r="G14" s="178"/>
      <c r="H14" s="179">
        <f>D54</f>
        <v>31185.75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233354.58333333331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1206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84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84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84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84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264540.33333333331</v>
      </c>
      <c r="F29" s="195" t="s">
        <v>55</v>
      </c>
      <c r="G29" s="196"/>
      <c r="H29" s="199">
        <f>H15-H16-H17-H18-H19-H20-H22-H23-H24+H26+H27</f>
        <v>232148.58333333331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27">
        <f>F34*G34</f>
        <v>86000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7">
        <f t="shared" ref="H35:H39" si="2">F35*G35</f>
        <v>8000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27">
        <f t="shared" si="2"/>
        <v>300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27">
        <f t="shared" si="2"/>
        <v>40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7">
        <v>72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211">
        <v>137850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28</v>
      </c>
      <c r="D46" s="12">
        <f>C46*1.5</f>
        <v>42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3</v>
      </c>
      <c r="D49" s="12">
        <f>C49*42</f>
        <v>126</v>
      </c>
      <c r="F49" s="252" t="s">
        <v>86</v>
      </c>
      <c r="G49" s="199">
        <f>H34+H35+H36+H37+H38+H39+H40+H41+G42+H44+H45+H46</f>
        <v>232262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26</v>
      </c>
      <c r="D50" s="12">
        <f>C50*1.5</f>
        <v>39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113.41666666668607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31185.75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46009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396</v>
      </c>
      <c r="D6" s="13">
        <f t="shared" ref="D6:D28" si="1">C6*L6</f>
        <v>291852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2900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77</v>
      </c>
      <c r="D9" s="13">
        <f t="shared" si="1"/>
        <v>54439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14+3</f>
        <v>17</v>
      </c>
      <c r="D12" s="48">
        <f t="shared" si="1"/>
        <v>16184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172" t="s">
        <v>36</v>
      </c>
      <c r="G13" s="173"/>
      <c r="H13" s="174">
        <f>D29</f>
        <v>374852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21</v>
      </c>
      <c r="D14" s="31">
        <f t="shared" si="1"/>
        <v>231</v>
      </c>
      <c r="F14" s="177" t="s">
        <v>39</v>
      </c>
      <c r="G14" s="178"/>
      <c r="H14" s="179">
        <f>D54</f>
        <v>47979.75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326872.25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1212</f>
        <v>1212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374852</v>
      </c>
      <c r="F29" s="195" t="s">
        <v>55</v>
      </c>
      <c r="G29" s="196"/>
      <c r="H29" s="199">
        <f>H15-H16-H17-H18-H19-H20-H22-H23-H24+H26+H27</f>
        <v>325610.25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7">
        <f>F34*G34</f>
        <v>133000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27">
        <f>F35*G35</f>
        <v>54000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27">
        <f t="shared" ref="H36:H39" si="2">F36*G36</f>
        <v>6400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27">
        <f t="shared" si="2"/>
        <v>3100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45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211">
        <v>130454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5</v>
      </c>
      <c r="D45" s="12">
        <f>C45*84</f>
        <v>420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7</v>
      </c>
      <c r="D46" s="12">
        <f>C46*1.5</f>
        <v>10.5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327099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12</v>
      </c>
      <c r="D50" s="12">
        <f>C50*1.5</f>
        <v>18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1488.75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47979.75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1135</v>
      </c>
      <c r="D6" s="13">
        <f t="shared" ref="D6:D28" si="1">C6*L6</f>
        <v>836495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4</v>
      </c>
      <c r="D7" s="13">
        <f t="shared" si="1"/>
        <v>2900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36</v>
      </c>
      <c r="D9" s="13">
        <f t="shared" si="1"/>
        <v>25452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30</v>
      </c>
      <c r="D10" s="13">
        <f t="shared" si="1"/>
        <v>29160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30</v>
      </c>
      <c r="D13" s="48">
        <f t="shared" si="1"/>
        <v>9210</v>
      </c>
      <c r="F13" s="172" t="s">
        <v>36</v>
      </c>
      <c r="G13" s="173"/>
      <c r="H13" s="174">
        <f>D29</f>
        <v>908109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12</v>
      </c>
      <c r="D14" s="31">
        <f t="shared" si="1"/>
        <v>132</v>
      </c>
      <c r="F14" s="177" t="s">
        <v>39</v>
      </c>
      <c r="G14" s="178"/>
      <c r="H14" s="179">
        <f>D54</f>
        <v>103836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804273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5358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209">
        <v>58360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908109</v>
      </c>
      <c r="F29" s="195" t="s">
        <v>55</v>
      </c>
      <c r="G29" s="196"/>
      <c r="H29" s="199">
        <f>H15-H16-H17-H18-H19-H20-H22-H23-H24+H26+H27+H28</f>
        <v>740555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27">
        <f t="shared" ref="H34:H39" si="2">F34*G34</f>
        <v>79000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27">
        <f t="shared" si="2"/>
        <v>70000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7">
        <v>85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211">
        <v>591364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25</v>
      </c>
      <c r="D46" s="12">
        <f>C46*1.5</f>
        <v>37.5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15</v>
      </c>
      <c r="D49" s="12">
        <f>C49*42</f>
        <v>630</v>
      </c>
      <c r="F49" s="252" t="s">
        <v>86</v>
      </c>
      <c r="G49" s="199">
        <f>H34+H35+H36+H37+H38+H39+H40+H41+G42+H44+H45+H46</f>
        <v>740549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10</v>
      </c>
      <c r="D50" s="12">
        <f>C50*1.5</f>
        <v>15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-6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292</v>
      </c>
      <c r="D6" s="13">
        <f t="shared" ref="D6:D28" si="1">C6*L6</f>
        <v>215204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21</v>
      </c>
      <c r="D9" s="13">
        <f t="shared" si="1"/>
        <v>14847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172" t="s">
        <v>36</v>
      </c>
      <c r="G13" s="173"/>
      <c r="H13" s="174">
        <f>D29</f>
        <v>239839.66666666666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10</v>
      </c>
      <c r="D14" s="31">
        <f t="shared" si="1"/>
        <v>110</v>
      </c>
      <c r="F14" s="177" t="s">
        <v>39</v>
      </c>
      <c r="G14" s="178"/>
      <c r="H14" s="179">
        <f>D54</f>
        <v>34114.5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205725.16666666666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239839.66666666666</v>
      </c>
      <c r="F29" s="195" t="s">
        <v>55</v>
      </c>
      <c r="G29" s="196"/>
      <c r="H29" s="199">
        <f>H15-H16-H17-H18-H19-H20-H22-H23-H24+H26+H27</f>
        <v>205725.16666666666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27">
        <f>F34*G34</f>
        <v>178000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7">
        <f t="shared" ref="H35:H39" si="2">F35*G35</f>
        <v>25000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27">
        <f t="shared" si="2"/>
        <v>800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7">
        <v>68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5</v>
      </c>
      <c r="D49" s="12">
        <f>C49*42</f>
        <v>210</v>
      </c>
      <c r="F49" s="252" t="s">
        <v>86</v>
      </c>
      <c r="G49" s="199">
        <f>H34+H35+H36+H37+H38+H39+H40+H41+G42+H44+H45+H46</f>
        <v>203918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13</v>
      </c>
      <c r="D50" s="12">
        <f>C50*1.5</f>
        <v>19.5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-1807.166666666657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34114.5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392</v>
      </c>
      <c r="D6" s="13">
        <f t="shared" ref="D6:D28" si="1">C6*L6</f>
        <v>288904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14</v>
      </c>
      <c r="D9" s="13">
        <f t="shared" si="1"/>
        <v>9898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172" t="s">
        <v>36</v>
      </c>
      <c r="G13" s="173"/>
      <c r="H13" s="174">
        <f>D29</f>
        <v>316798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48750.75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2</v>
      </c>
      <c r="D15" s="31">
        <f t="shared" si="1"/>
        <v>1240</v>
      </c>
      <c r="F15" s="182" t="s">
        <v>40</v>
      </c>
      <c r="G15" s="173"/>
      <c r="H15" s="183">
        <f>H13-H14</f>
        <v>268047.25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1362+762</f>
        <v>2124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316798</v>
      </c>
      <c r="F29" s="195" t="s">
        <v>55</v>
      </c>
      <c r="G29" s="196"/>
      <c r="H29" s="199">
        <f>H15-H16-H17-H18-H19-H20-H22-H23-H24+H26+H27</f>
        <v>265923.25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27">
        <f>F34*G34</f>
        <v>89000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27">
        <f>F35*G35</f>
        <v>31000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ref="H36:H39" si="2"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27">
        <f t="shared" si="2"/>
        <v>1700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84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211">
        <v>143468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265502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3</v>
      </c>
      <c r="D50" s="12">
        <f>C50*1.5</f>
        <v>4.5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-421.25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48750.75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612</v>
      </c>
      <c r="D6" s="13">
        <f t="shared" ref="D6:D28" si="1">C6*L6</f>
        <v>451044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</v>
      </c>
      <c r="D7" s="13">
        <f t="shared" si="1"/>
        <v>725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54</v>
      </c>
      <c r="D8" s="13">
        <f t="shared" si="1"/>
        <v>55782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</v>
      </c>
      <c r="D9" s="13">
        <f t="shared" si="1"/>
        <v>3535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7</v>
      </c>
      <c r="D11" s="13">
        <f t="shared" si="1"/>
        <v>7875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4</v>
      </c>
      <c r="D12" s="48">
        <f t="shared" si="1"/>
        <v>3808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16</v>
      </c>
      <c r="D13" s="48">
        <f t="shared" si="1"/>
        <v>4912</v>
      </c>
      <c r="F13" s="172" t="s">
        <v>36</v>
      </c>
      <c r="G13" s="173"/>
      <c r="H13" s="174">
        <f>D29</f>
        <v>532253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8</v>
      </c>
      <c r="D14" s="31">
        <f t="shared" si="1"/>
        <v>88</v>
      </c>
      <c r="F14" s="177" t="s">
        <v>39</v>
      </c>
      <c r="G14" s="178"/>
      <c r="H14" s="179">
        <f>D54</f>
        <v>40435.5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2</v>
      </c>
      <c r="D15" s="31">
        <f t="shared" si="1"/>
        <v>1240</v>
      </c>
      <c r="F15" s="182" t="s">
        <v>40</v>
      </c>
      <c r="G15" s="173"/>
      <c r="H15" s="183">
        <f>H13-H14</f>
        <v>491817.5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1944</f>
        <v>1944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532253</v>
      </c>
      <c r="F29" s="195" t="s">
        <v>55</v>
      </c>
      <c r="G29" s="196"/>
      <c r="H29" s="199">
        <f>H15-H16-H17-H18-H19-H20-H22-H23-H24+H26+H27+H28</f>
        <v>489873.5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27">
        <f t="shared" ref="H34:H39" si="2">F34*G34</f>
        <v>316000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27">
        <f t="shared" si="2"/>
        <v>42000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>
        <v>18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211">
        <v>83151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211">
        <v>8853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211">
        <v>40057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490179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54</v>
      </c>
      <c r="D50" s="12">
        <f>C50*1.5</f>
        <v>81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305.5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428</v>
      </c>
      <c r="D6" s="13">
        <f t="shared" ref="D6:D28" si="1">C6*L6</f>
        <v>315436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14140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6</v>
      </c>
      <c r="D10" s="13">
        <f t="shared" si="1"/>
        <v>5832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3808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172" t="s">
        <v>36</v>
      </c>
      <c r="G13" s="173"/>
      <c r="H13" s="174">
        <f>D29</f>
        <v>349942.33333333331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77" t="s">
        <v>39</v>
      </c>
      <c r="G14" s="178"/>
      <c r="H14" s="179">
        <f>D54</f>
        <v>43980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305962.33333333331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660+1206</f>
        <v>1866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349942.33333333331</v>
      </c>
      <c r="F29" s="195" t="s">
        <v>55</v>
      </c>
      <c r="G29" s="196"/>
      <c r="H29" s="199">
        <f>H15-H16-H17-H18-H19-H20-H22-H23-H24+H26+H27</f>
        <v>304096.33333333331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27">
        <f>F34*G34</f>
        <v>144000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27">
        <f t="shared" ref="H35:H39" si="2">F35*G35</f>
        <v>25500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27">
        <f t="shared" si="2"/>
        <v>3500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211">
        <v>135063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5</v>
      </c>
      <c r="D45" s="12">
        <f>C45*84</f>
        <v>420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29</v>
      </c>
      <c r="D46" s="12">
        <f>C46*1.5</f>
        <v>43.5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71</v>
      </c>
      <c r="D49" s="12">
        <f>C49*42</f>
        <v>2982</v>
      </c>
      <c r="F49" s="252" t="s">
        <v>86</v>
      </c>
      <c r="G49" s="199">
        <f>H34+H35+H36+H37+H38+H39+H40+H41+G42+H44+H45+H46</f>
        <v>308063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12</v>
      </c>
      <c r="D50" s="12">
        <f>C50*1.5</f>
        <v>18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3966.6666666666861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43980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598</v>
      </c>
      <c r="D6" s="13">
        <f t="shared" ref="D6:D28" si="1">C6*L6</f>
        <v>440726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92</v>
      </c>
      <c r="D9" s="13">
        <f t="shared" si="1"/>
        <v>65044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10</v>
      </c>
      <c r="D11" s="13">
        <f t="shared" si="1"/>
        <v>11250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21+3</f>
        <v>24</v>
      </c>
      <c r="D12" s="48">
        <f t="shared" si="1"/>
        <v>22848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22</v>
      </c>
      <c r="D13" s="48">
        <f t="shared" si="1"/>
        <v>6754</v>
      </c>
      <c r="F13" s="172" t="s">
        <v>36</v>
      </c>
      <c r="G13" s="173"/>
      <c r="H13" s="174">
        <f>D29</f>
        <v>561499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61628.25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499870.75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600+780+780+456</f>
        <v>2616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561499</v>
      </c>
      <c r="F29" s="195" t="s">
        <v>55</v>
      </c>
      <c r="G29" s="196"/>
      <c r="H29" s="199">
        <f>H15-H16-H17-H18-H19-H20-H22-H23-H24+H26+H27</f>
        <v>497254.75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27">
        <f>F34*G34</f>
        <v>179000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27">
        <f>F35*G35</f>
        <v>27500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ref="H36:H39" si="2"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27">
        <f t="shared" si="2"/>
        <v>1300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27">
        <f t="shared" si="2"/>
        <v>1150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27">
        <v>12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211">
        <v>91751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211">
        <v>85809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211">
        <v>111132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6</v>
      </c>
      <c r="D49" s="12">
        <f>C49*42</f>
        <v>252</v>
      </c>
      <c r="F49" s="252" t="s">
        <v>86</v>
      </c>
      <c r="G49" s="199">
        <f>H34+H35+H36+H37+H38+H39+H40+H41+G42+H44+H45+H46</f>
        <v>497854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23</v>
      </c>
      <c r="D50" s="12">
        <f>C50*1.5</f>
        <v>34.5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599.25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61628.25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633</v>
      </c>
      <c r="D6" s="13">
        <f t="shared" ref="D6:D28" si="1">C6*L6</f>
        <v>466521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52</v>
      </c>
      <c r="D7" s="13">
        <f t="shared" si="1"/>
        <v>37700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10</v>
      </c>
      <c r="D8" s="13">
        <f t="shared" si="1"/>
        <v>10330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105</v>
      </c>
      <c r="D9" s="13">
        <f t="shared" si="1"/>
        <v>74235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10</v>
      </c>
      <c r="D11" s="13">
        <f t="shared" si="1"/>
        <v>11250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50+5+2+1</f>
        <v>58</v>
      </c>
      <c r="D12" s="48">
        <f t="shared" si="1"/>
        <v>55216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667882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36479.25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5</v>
      </c>
      <c r="D15" s="31">
        <f t="shared" si="1"/>
        <v>3100</v>
      </c>
      <c r="F15" s="182" t="s">
        <v>40</v>
      </c>
      <c r="G15" s="173"/>
      <c r="H15" s="183">
        <f>H13-H14</f>
        <v>631402.75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111" t="s">
        <v>216</v>
      </c>
      <c r="C22" s="84">
        <v>1</v>
      </c>
      <c r="D22" s="48">
        <f t="shared" si="1"/>
        <v>1582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>
        <v>1</v>
      </c>
      <c r="D23" s="48">
        <f t="shared" si="1"/>
        <v>1667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211">
        <v>76509</v>
      </c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667882</v>
      </c>
      <c r="F29" s="195" t="s">
        <v>55</v>
      </c>
      <c r="G29" s="196"/>
      <c r="H29" s="199">
        <f>H15-H16-H17-H18-H19-H20-H22-H23-H24+H26+H27+H28</f>
        <v>707911.75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27">
        <f t="shared" ref="H34:H39" si="2">F34*G34</f>
        <v>21000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27">
        <f t="shared" si="2"/>
        <v>4500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27">
        <f t="shared" si="2"/>
        <v>100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7">
        <v>71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211">
        <v>76509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211">
        <v>603808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 t="s">
        <v>145</v>
      </c>
      <c r="G46" s="62"/>
      <c r="H46" s="211">
        <v>2842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708880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</v>
      </c>
      <c r="D50" s="12">
        <f>C50*1.5</f>
        <v>3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968.25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424</v>
      </c>
      <c r="D6" s="13">
        <f t="shared" ref="D6:D28" si="1">C6*L6</f>
        <v>312488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2066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76</v>
      </c>
      <c r="D9" s="13">
        <f t="shared" si="1"/>
        <v>53732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8</v>
      </c>
      <c r="D10" s="13">
        <f t="shared" si="1"/>
        <v>7776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7+1+2</f>
        <v>10</v>
      </c>
      <c r="D12" s="48">
        <f t="shared" si="1"/>
        <v>9520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172" t="s">
        <v>36</v>
      </c>
      <c r="G13" s="173"/>
      <c r="H13" s="174">
        <f>D29</f>
        <v>411154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58881.75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352272.25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1572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209">
        <v>84449</v>
      </c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12</v>
      </c>
      <c r="D28" s="48">
        <f t="shared" si="1"/>
        <v>9420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411154</v>
      </c>
      <c r="F29" s="195" t="s">
        <v>55</v>
      </c>
      <c r="G29" s="196"/>
      <c r="H29" s="199">
        <f>H15-H16-H17-H18-H19-H20-H22-H23-H24+H26+H27</f>
        <v>266251.25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27">
        <f>F34*G34</f>
        <v>81000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27">
        <f t="shared" ref="H35:H39" si="2">F35*G35</f>
        <v>15500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27">
        <f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27">
        <f t="shared" si="2"/>
        <v>2800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27">
        <f t="shared" si="2"/>
        <v>550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211">
        <v>166408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4</v>
      </c>
      <c r="D45" s="12">
        <f>C45*84</f>
        <v>336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16</v>
      </c>
      <c r="D46" s="12">
        <f>C46*1.5</f>
        <v>24</v>
      </c>
      <c r="F46" s="37"/>
      <c r="G46" s="109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12</v>
      </c>
      <c r="D49" s="12">
        <f>C49*42</f>
        <v>504</v>
      </c>
      <c r="F49" s="252" t="s">
        <v>86</v>
      </c>
      <c r="G49" s="199">
        <f>H34+H35+H36+H37+H38+H39+H40+H41+G42+H44+H45+H46</f>
        <v>266458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17</v>
      </c>
      <c r="D50" s="12">
        <f>C50*1.5</f>
        <v>25.5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206.75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58881.75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46013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295</v>
      </c>
      <c r="D6" s="13">
        <f t="shared" ref="D6:D28" si="1">C6*L6</f>
        <v>217415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32</v>
      </c>
      <c r="D9" s="13">
        <f t="shared" si="1"/>
        <v>22624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172" t="s">
        <v>36</v>
      </c>
      <c r="G13" s="173"/>
      <c r="H13" s="174">
        <f>D29</f>
        <v>245790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77" t="s">
        <v>39</v>
      </c>
      <c r="G14" s="178"/>
      <c r="H14" s="179">
        <f>D54</f>
        <v>36779.25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209010.75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780+600</f>
        <v>1380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245790</v>
      </c>
      <c r="F29" s="195" t="s">
        <v>55</v>
      </c>
      <c r="G29" s="196"/>
      <c r="H29" s="199">
        <f>H15-H16-H17-H18-H19-H20-H22-H23-H24+H26+H27</f>
        <v>207630.75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27">
        <f>F34*G34</f>
        <v>105000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27">
        <f>F35*G35</f>
        <v>99000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27">
        <f t="shared" si="2"/>
        <v>3600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27">
        <f t="shared" si="2"/>
        <v>100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0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207700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69.25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36779.25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F48" sqref="F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1945</v>
      </c>
      <c r="D6" s="13">
        <f t="shared" ref="D6:D28" si="1">C6*L6</f>
        <v>1433465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</v>
      </c>
      <c r="D8" s="13">
        <f t="shared" si="1"/>
        <v>1033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111</v>
      </c>
      <c r="D9" s="13">
        <f t="shared" si="1"/>
        <v>78477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81</v>
      </c>
      <c r="D13" s="48">
        <f t="shared" si="1"/>
        <v>24867</v>
      </c>
      <c r="F13" s="172" t="s">
        <v>36</v>
      </c>
      <c r="G13" s="173"/>
      <c r="H13" s="174">
        <f>D29</f>
        <v>1543565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4</v>
      </c>
      <c r="D14" s="31">
        <f t="shared" si="1"/>
        <v>44</v>
      </c>
      <c r="F14" s="177" t="s">
        <v>39</v>
      </c>
      <c r="G14" s="178"/>
      <c r="H14" s="179">
        <f>D54</f>
        <v>108652.5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1434912.5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11658</f>
        <v>11658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211">
        <v>58360</v>
      </c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</v>
      </c>
      <c r="D28" s="48">
        <f t="shared" si="1"/>
        <v>785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1543565</v>
      </c>
      <c r="F29" s="195" t="s">
        <v>55</v>
      </c>
      <c r="G29" s="196"/>
      <c r="H29" s="199">
        <f>H15-H16-H17-H18-H19-H20-H22-H23-H24+H26+H27+H28</f>
        <v>1481614.5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227">
        <f t="shared" ref="H34:H39" si="2">F34*G34</f>
        <v>43000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227">
        <f t="shared" si="2"/>
        <v>4000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227">
        <v>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211">
        <v>23444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211">
        <v>28155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211">
        <v>28155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37" t="s">
        <v>150</v>
      </c>
      <c r="G47" s="59">
        <v>145645</v>
      </c>
      <c r="H47" s="211">
        <v>1354140</v>
      </c>
      <c r="I47" s="211"/>
      <c r="J47" s="211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37" t="s">
        <v>226</v>
      </c>
      <c r="G48" s="59" t="s">
        <v>206</v>
      </c>
      <c r="H48" s="211">
        <v>43906</v>
      </c>
      <c r="I48" s="211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277">
        <f>H34+H35+H36+H37+H38+H39+H40+H41+G42+H44+H45+H46+H47</f>
        <v>1481300</v>
      </c>
      <c r="H49" s="278"/>
      <c r="I49" s="278"/>
      <c r="J49" s="2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16</v>
      </c>
      <c r="D50" s="12">
        <f>C50*1.5</f>
        <v>24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-314.5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517</v>
      </c>
      <c r="D6" s="13">
        <f t="shared" ref="D6:D28" si="1">C6*L6</f>
        <v>381029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13</v>
      </c>
      <c r="D7" s="13">
        <f t="shared" si="1"/>
        <v>9425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61</v>
      </c>
      <c r="D9" s="13">
        <f t="shared" si="1"/>
        <v>43127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172" t="s">
        <v>36</v>
      </c>
      <c r="G13" s="173"/>
      <c r="H13" s="174">
        <f>D29</f>
        <v>441263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77" t="s">
        <v>39</v>
      </c>
      <c r="G14" s="178"/>
      <c r="H14" s="179">
        <f>D54</f>
        <v>47526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393737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2760</f>
        <v>2760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441263</v>
      </c>
      <c r="F29" s="195" t="s">
        <v>55</v>
      </c>
      <c r="G29" s="196"/>
      <c r="H29" s="199">
        <f>H15-H16-H17-H18-H19-H20-H22-H23-H24+H26+H27</f>
        <v>390977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27">
        <f>F34*G34</f>
        <v>73000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227">
        <f t="shared" ref="H35:H39" si="2">F35*G35</f>
        <v>8500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7">
        <f>F36*G36</f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227">
        <f t="shared" si="2"/>
        <v>2200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>
        <v>69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211">
        <v>306665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13</v>
      </c>
      <c r="D46" s="12">
        <f>C46*1.5</f>
        <v>19.5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10</v>
      </c>
      <c r="D49" s="12">
        <f>C49*42</f>
        <v>420</v>
      </c>
      <c r="F49" s="252" t="s">
        <v>86</v>
      </c>
      <c r="G49" s="199">
        <f>H34+H35+H36+H37+H38+H39+H40+H41+G42+H44+H45+H46</f>
        <v>390684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11</v>
      </c>
      <c r="D50" s="12">
        <f>C50*1.5</f>
        <v>16.5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-293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47526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46014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690</v>
      </c>
      <c r="D6" s="13">
        <f t="shared" ref="D6:D28" si="1">C6*L6</f>
        <v>508530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14500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119</v>
      </c>
      <c r="D9" s="13">
        <f t="shared" si="1"/>
        <v>84133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10</v>
      </c>
      <c r="D11" s="13">
        <f t="shared" si="1"/>
        <v>11250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172" t="s">
        <v>36</v>
      </c>
      <c r="G13" s="173"/>
      <c r="H13" s="174">
        <f>D29</f>
        <v>650976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77" t="s">
        <v>39</v>
      </c>
      <c r="G14" s="178"/>
      <c r="H14" s="179">
        <f>D54</f>
        <v>43450.5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3</v>
      </c>
      <c r="D15" s="31">
        <f t="shared" si="1"/>
        <v>1860</v>
      </c>
      <c r="F15" s="182" t="s">
        <v>40</v>
      </c>
      <c r="G15" s="173"/>
      <c r="H15" s="183">
        <f>H13-H14</f>
        <v>607525.5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300+1296+1302+1614+660</f>
        <v>5172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10</v>
      </c>
      <c r="D28" s="48">
        <f t="shared" si="1"/>
        <v>7850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650976</v>
      </c>
      <c r="F29" s="195" t="s">
        <v>55</v>
      </c>
      <c r="G29" s="196"/>
      <c r="H29" s="199">
        <f>H15-H16-H17-H18-H19-H20-H22-H23-H24+H26+H27</f>
        <v>602353.5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227">
        <f>F34*G34</f>
        <v>61000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7">
        <f>F35*G35</f>
        <v>6500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227">
        <f t="shared" si="2"/>
        <v>700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227">
        <f t="shared" si="2"/>
        <v>300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62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211">
        <v>143655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211">
        <v>163580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211">
        <v>195049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37" t="s">
        <v>145</v>
      </c>
      <c r="G47" s="59" t="s">
        <v>224</v>
      </c>
      <c r="H47" s="211">
        <v>31458</v>
      </c>
      <c r="I47" s="211"/>
      <c r="J47" s="211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H34+H35+H36+H37+H38+H39+H40+H41+G42+H44+H45+H46+H47</f>
        <v>602304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</v>
      </c>
      <c r="D50" s="12">
        <f>C50*1.5</f>
        <v>1.5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-49.5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43450.5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466</v>
      </c>
      <c r="D6" s="13">
        <f t="shared" ref="D6:D28" si="1">C6*L6</f>
        <v>343442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</v>
      </c>
      <c r="D7" s="13">
        <f t="shared" si="1"/>
        <v>3625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47</v>
      </c>
      <c r="D9" s="13">
        <f t="shared" si="1"/>
        <v>33229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</v>
      </c>
      <c r="D13" s="48">
        <f t="shared" si="1"/>
        <v>307</v>
      </c>
      <c r="F13" s="172" t="s">
        <v>36</v>
      </c>
      <c r="G13" s="173"/>
      <c r="H13" s="174">
        <f>D29</f>
        <v>395600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22</v>
      </c>
      <c r="D14" s="31">
        <f t="shared" si="1"/>
        <v>242</v>
      </c>
      <c r="F14" s="177" t="s">
        <v>39</v>
      </c>
      <c r="G14" s="178"/>
      <c r="H14" s="179">
        <f>D54</f>
        <v>51921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343679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7</v>
      </c>
      <c r="D28" s="48">
        <f t="shared" si="1"/>
        <v>5495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395600</v>
      </c>
      <c r="F29" s="195" t="s">
        <v>55</v>
      </c>
      <c r="G29" s="196"/>
      <c r="H29" s="199">
        <f>H15-H16-H17-H18-H19-H20-H22-H23-H24+H26+H27+H28</f>
        <v>343679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227">
        <f t="shared" ref="H34:H39" si="2">F34*G34</f>
        <v>79000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227">
        <f t="shared" si="2"/>
        <v>114000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227">
        <f t="shared" si="2"/>
        <v>500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12</v>
      </c>
      <c r="D42" s="12">
        <f>C42*2.25</f>
        <v>27</v>
      </c>
      <c r="F42" s="39" t="s">
        <v>79</v>
      </c>
      <c r="G42" s="227">
        <v>37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211">
        <v>650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211">
        <v>50088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211">
        <v>97704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342379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6</v>
      </c>
      <c r="D50" s="12">
        <f>C50*1.5</f>
        <v>9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-1300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819</v>
      </c>
      <c r="D6" s="13">
        <f t="shared" ref="D6:D28" si="1">C6*L6</f>
        <v>603603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128</v>
      </c>
      <c r="D9" s="13">
        <f t="shared" si="1"/>
        <v>90496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33</v>
      </c>
      <c r="D13" s="48">
        <f t="shared" si="1"/>
        <v>10131</v>
      </c>
      <c r="F13" s="172" t="s">
        <v>36</v>
      </c>
      <c r="G13" s="173"/>
      <c r="H13" s="174">
        <f>D29</f>
        <v>711061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108664.5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602396.5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1296+3582</f>
        <v>4878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711061</v>
      </c>
      <c r="F29" s="195" t="s">
        <v>55</v>
      </c>
      <c r="G29" s="196"/>
      <c r="H29" s="199">
        <f>H15-H16-H17-H18-H19-H20-H22-H23-H24+H26+H27</f>
        <v>597518.5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227">
        <f>F34*G34</f>
        <v>525000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227">
        <f t="shared" ref="H35:H39" si="2">F35*G35</f>
        <v>72000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227">
        <f t="shared" si="2"/>
        <v>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6</v>
      </c>
      <c r="D46" s="12">
        <f>C46*1.5</f>
        <v>9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24</v>
      </c>
      <c r="D49" s="12">
        <f>C49*42</f>
        <v>1008</v>
      </c>
      <c r="F49" s="252" t="s">
        <v>86</v>
      </c>
      <c r="G49" s="199">
        <f>H34+H35+H36+H37+H38+H39+H40+H41+G42+H44+H45+H46</f>
        <v>597650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29</v>
      </c>
      <c r="D50" s="12">
        <f>C50*1.5</f>
        <v>43.5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131.5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108664.5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46015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649</v>
      </c>
      <c r="D6" s="13">
        <f t="shared" ref="D6:D28" si="1">C6*L6</f>
        <v>478313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40</v>
      </c>
      <c r="D7" s="13">
        <f t="shared" si="1"/>
        <v>29000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5</v>
      </c>
      <c r="D11" s="13">
        <f t="shared" si="1"/>
        <v>5625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19</v>
      </c>
      <c r="D13" s="48">
        <f t="shared" si="1"/>
        <v>5833</v>
      </c>
      <c r="F13" s="172" t="s">
        <v>36</v>
      </c>
      <c r="G13" s="173"/>
      <c r="H13" s="174">
        <f>D29</f>
        <v>605756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79959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525797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930+1200+828+870+948</f>
        <v>4776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5</v>
      </c>
      <c r="D28" s="48">
        <f t="shared" si="1"/>
        <v>3925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605756</v>
      </c>
      <c r="F29" s="195" t="s">
        <v>55</v>
      </c>
      <c r="G29" s="196"/>
      <c r="H29" s="199">
        <f>H15-H16-H17-H18-H19-H20-H22-H23-H24+H26+H27</f>
        <v>521021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227">
        <f>F34*G34</f>
        <v>271000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227">
        <f>F35*G35</f>
        <v>112500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74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211">
        <v>134916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4</v>
      </c>
      <c r="D46" s="12">
        <f>C46*1.5</f>
        <v>6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519040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20</v>
      </c>
      <c r="D50" s="12">
        <f>C50*1.5</f>
        <v>30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-1981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79959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H15-H16-H17-H18-H19-H20-H22-H23-H24+H26+H27+H28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7">
        <f t="shared" ref="H34:H39" si="2"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46016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46017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1563</v>
      </c>
      <c r="D6" s="13">
        <f t="shared" ref="D6:D28" si="1">C6*L6</f>
        <v>1151931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2</v>
      </c>
      <c r="D7" s="13">
        <f t="shared" si="1"/>
        <v>1450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20</v>
      </c>
      <c r="D8" s="13">
        <f t="shared" si="1"/>
        <v>20660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119</v>
      </c>
      <c r="D9" s="13">
        <f t="shared" si="1"/>
        <v>84133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</v>
      </c>
      <c r="D11" s="13">
        <f t="shared" si="1"/>
        <v>1125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</f>
        <v>1</v>
      </c>
      <c r="D12" s="48">
        <f t="shared" si="1"/>
        <v>952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63</v>
      </c>
      <c r="D13" s="48">
        <f t="shared" si="1"/>
        <v>19341</v>
      </c>
      <c r="F13" s="172" t="s">
        <v>36</v>
      </c>
      <c r="G13" s="173"/>
      <c r="H13" s="174">
        <f>D29</f>
        <v>1280597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3</v>
      </c>
      <c r="D14" s="31">
        <f t="shared" si="1"/>
        <v>33</v>
      </c>
      <c r="F14" s="177" t="s">
        <v>39</v>
      </c>
      <c r="G14" s="178"/>
      <c r="H14" s="179">
        <f>D54</f>
        <v>142872.75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1137724.25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4656+5184</f>
        <v>9840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1280597</v>
      </c>
      <c r="F29" s="195" t="s">
        <v>55</v>
      </c>
      <c r="G29" s="196"/>
      <c r="H29" s="199">
        <f>H15-H16-H17-H18-H19-H20-H22-H23-H24+H26+H27+H28</f>
        <v>1127884.25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29</v>
      </c>
      <c r="H34" s="227">
        <f t="shared" ref="H34:H39" si="2">F34*G34</f>
        <v>29000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27">
        <f t="shared" si="2"/>
        <v>7500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1268</v>
      </c>
      <c r="D37" s="12">
        <f>C37*111</f>
        <v>140748</v>
      </c>
      <c r="F37" s="12">
        <v>100</v>
      </c>
      <c r="G37" s="39">
        <v>6</v>
      </c>
      <c r="H37" s="227">
        <f t="shared" si="2"/>
        <v>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5</v>
      </c>
      <c r="H38" s="227">
        <f t="shared" si="2"/>
        <v>250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7">
        <v>326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4</v>
      </c>
      <c r="D44" s="12">
        <f>C44*120</f>
        <v>480</v>
      </c>
      <c r="F44" s="37" t="s">
        <v>150</v>
      </c>
      <c r="G44" s="62" t="s">
        <v>227</v>
      </c>
      <c r="H44" s="211">
        <v>557723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2</v>
      </c>
      <c r="D45" s="12">
        <f>C45*84</f>
        <v>168</v>
      </c>
      <c r="F45" s="37" t="s">
        <v>150</v>
      </c>
      <c r="G45" s="62" t="s">
        <v>228</v>
      </c>
      <c r="H45" s="211">
        <v>529238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14</v>
      </c>
      <c r="D46" s="12">
        <f>C46*1.5</f>
        <v>21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1124637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18</v>
      </c>
      <c r="D50" s="12">
        <f>C50*1.5</f>
        <v>27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-3247.25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142872.75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f>978-64</f>
        <v>914</v>
      </c>
      <c r="D6" s="13">
        <f t="shared" ref="D6:D28" si="1">C6*L6</f>
        <v>673618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7250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134</v>
      </c>
      <c r="D9" s="13">
        <f t="shared" si="1"/>
        <v>94738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25</v>
      </c>
      <c r="D13" s="48">
        <f t="shared" si="1"/>
        <v>7675</v>
      </c>
      <c r="F13" s="172" t="s">
        <v>36</v>
      </c>
      <c r="G13" s="173"/>
      <c r="H13" s="174">
        <f>D29</f>
        <v>812293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77" t="s">
        <v>39</v>
      </c>
      <c r="G14" s="178"/>
      <c r="H14" s="179">
        <f>D54</f>
        <v>102987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709306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1296+3300</f>
        <v>4596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161</v>
      </c>
      <c r="C19" s="10">
        <v>3</v>
      </c>
      <c r="D19" s="48">
        <f t="shared" si="1"/>
        <v>3306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f>14+20</f>
        <v>34</v>
      </c>
      <c r="D21" s="48">
        <f t="shared" si="1"/>
        <v>22100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812293</v>
      </c>
      <c r="F29" s="195" t="s">
        <v>55</v>
      </c>
      <c r="G29" s="196"/>
      <c r="H29" s="199">
        <f>H15-H16-H17-H18-H19-H20-H22-H23-H24+H26+H27</f>
        <v>704710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278</v>
      </c>
      <c r="H34" s="227">
        <f>F34*G34</f>
        <v>278000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160</v>
      </c>
      <c r="H35" s="227">
        <f t="shared" ref="H35:H39" si="2">F35*G35</f>
        <v>80000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7">
        <f>F36*G36</f>
        <v>600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891</v>
      </c>
      <c r="D37" s="12">
        <f>C37*111</f>
        <v>98901</v>
      </c>
      <c r="F37" s="12">
        <v>100</v>
      </c>
      <c r="G37" s="39">
        <v>20</v>
      </c>
      <c r="H37" s="227">
        <f t="shared" si="2"/>
        <v>2000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27">
        <f t="shared" si="2"/>
        <v>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96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229</v>
      </c>
      <c r="H44" s="211">
        <v>341873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24</v>
      </c>
      <c r="D49" s="12">
        <f>C49*42</f>
        <v>1008</v>
      </c>
      <c r="F49" s="252" t="s">
        <v>86</v>
      </c>
      <c r="G49" s="199">
        <f>H34+H35+H36+H37+H38+H39+H40+H41+G42+H44+H45+H46</f>
        <v>702619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18</v>
      </c>
      <c r="D50" s="12">
        <f>C50*1.5</f>
        <v>27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-2091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102987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46017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719</v>
      </c>
      <c r="D6" s="13">
        <f t="shared" ref="D6:D28" si="1">C6*L6</f>
        <v>529903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30</v>
      </c>
      <c r="D7" s="13">
        <f t="shared" si="1"/>
        <v>21750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188</v>
      </c>
      <c r="D9" s="13">
        <f t="shared" si="1"/>
        <v>132916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6</v>
      </c>
      <c r="D12" s="48">
        <f t="shared" si="1"/>
        <v>5712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172" t="s">
        <v>36</v>
      </c>
      <c r="G13" s="173"/>
      <c r="H13" s="174">
        <f>D29</f>
        <v>707494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101940.75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605553.25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300+1920+2238+954</f>
        <v>5412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10</v>
      </c>
      <c r="D28" s="48">
        <f t="shared" si="1"/>
        <v>7850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707494</v>
      </c>
      <c r="F29" s="195" t="s">
        <v>55</v>
      </c>
      <c r="G29" s="196"/>
      <c r="H29" s="199">
        <f>H15-H16-H17-H18-H19-H20-H22-H23-H24+H26+H27+H28</f>
        <v>600141.25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55</v>
      </c>
      <c r="H34" s="227">
        <f>F34*G34</f>
        <v>55000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5</v>
      </c>
      <c r="D35" s="30">
        <f>C35*84</f>
        <v>420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703</v>
      </c>
      <c r="D37" s="12">
        <f>C37*111</f>
        <v>78033</v>
      </c>
      <c r="F37" s="12">
        <v>100</v>
      </c>
      <c r="G37" s="39">
        <v>9</v>
      </c>
      <c r="H37" s="227">
        <f t="shared" si="2"/>
        <v>900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176</v>
      </c>
      <c r="D38" s="12">
        <f>C38*84</f>
        <v>14784</v>
      </c>
      <c r="F38" s="30">
        <v>50</v>
      </c>
      <c r="G38" s="39">
        <v>3</v>
      </c>
      <c r="H38" s="227">
        <f t="shared" si="2"/>
        <v>150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12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6</v>
      </c>
      <c r="D44" s="12">
        <f>C44*120</f>
        <v>720</v>
      </c>
      <c r="F44" s="37" t="s">
        <v>150</v>
      </c>
      <c r="G44" s="76" t="s">
        <v>230</v>
      </c>
      <c r="H44" s="211">
        <v>230236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45</v>
      </c>
      <c r="D45" s="12">
        <f>C45*84</f>
        <v>3780</v>
      </c>
      <c r="F45" s="37" t="s">
        <v>152</v>
      </c>
      <c r="G45" s="76" t="s">
        <v>231</v>
      </c>
      <c r="H45" s="211">
        <v>235564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 t="s">
        <v>163</v>
      </c>
      <c r="G46" s="62" t="s">
        <v>232</v>
      </c>
      <c r="H46" s="211">
        <v>99714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621576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10</v>
      </c>
      <c r="D50" s="12">
        <f>C50*1.5</f>
        <v>15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21434.75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101940.75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 t="s">
        <v>233</v>
      </c>
      <c r="H4" s="141" t="s">
        <v>9</v>
      </c>
      <c r="I4" s="143">
        <v>46018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976</v>
      </c>
      <c r="D6" s="13">
        <f t="shared" ref="D6:D28" si="1">C6*L6</f>
        <v>719312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61</v>
      </c>
      <c r="D8" s="13">
        <f t="shared" si="1"/>
        <v>63013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3</v>
      </c>
      <c r="D11" s="13">
        <f t="shared" si="1"/>
        <v>3375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1+3+2+1</f>
        <v>7</v>
      </c>
      <c r="D12" s="48">
        <f t="shared" si="1"/>
        <v>6664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19</v>
      </c>
      <c r="D13" s="48">
        <f t="shared" si="1"/>
        <v>5833</v>
      </c>
      <c r="F13" s="172" t="s">
        <v>36</v>
      </c>
      <c r="G13" s="173"/>
      <c r="H13" s="174">
        <f>D29</f>
        <v>801634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23</v>
      </c>
      <c r="D14" s="31">
        <f t="shared" si="1"/>
        <v>253</v>
      </c>
      <c r="F14" s="177" t="s">
        <v>39</v>
      </c>
      <c r="G14" s="178"/>
      <c r="H14" s="179">
        <f>D54</f>
        <v>103441.5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698192.5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3258+1944</f>
        <v>5202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801634</v>
      </c>
      <c r="F29" s="195" t="s">
        <v>55</v>
      </c>
      <c r="G29" s="196"/>
      <c r="H29" s="199">
        <f>H15-H16-H17-H18-H19-H20-H22-H23-H24+H26+H27+H28</f>
        <v>692990.5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11</v>
      </c>
      <c r="D34" s="30">
        <f>C34*120</f>
        <v>1320</v>
      </c>
      <c r="F34" s="12">
        <v>1000</v>
      </c>
      <c r="G34" s="40">
        <v>368</v>
      </c>
      <c r="H34" s="227">
        <f t="shared" ref="H34:H39" si="2">F34*G34</f>
        <v>368000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584</v>
      </c>
      <c r="H35" s="227">
        <f t="shared" si="2"/>
        <v>292000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827</v>
      </c>
      <c r="D37" s="12">
        <f>C37*111</f>
        <v>91797</v>
      </c>
      <c r="F37" s="12">
        <v>100</v>
      </c>
      <c r="G37" s="39">
        <v>112</v>
      </c>
      <c r="H37" s="227">
        <f t="shared" si="2"/>
        <v>11200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46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70</v>
      </c>
      <c r="D44" s="12">
        <f>C44*120</f>
        <v>8400</v>
      </c>
      <c r="F44" s="37" t="s">
        <v>167</v>
      </c>
      <c r="G44" s="125" t="s">
        <v>237</v>
      </c>
      <c r="H44" s="211">
        <v>67211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3</v>
      </c>
      <c r="D46" s="12">
        <f>C46*1.5</f>
        <v>4.5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16</v>
      </c>
      <c r="D49" s="12">
        <f>C49*42</f>
        <v>672</v>
      </c>
      <c r="F49" s="252" t="s">
        <v>86</v>
      </c>
      <c r="G49" s="199">
        <f>H34+H35+H36+H37+H38+H39+H40+H41+G42+H44+H45+H46</f>
        <v>738457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45466.5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103441.5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D70DF-8A4C-4132-85ED-5C27D466715E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 t="s">
        <v>234</v>
      </c>
      <c r="H4" s="141" t="s">
        <v>9</v>
      </c>
      <c r="I4" s="143">
        <v>46018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326</v>
      </c>
      <c r="D6" s="13">
        <f t="shared" ref="D6:D28" si="1">C6*L6</f>
        <v>240262</v>
      </c>
      <c r="F6" s="150" t="s">
        <v>16</v>
      </c>
      <c r="G6" s="152" t="s">
        <v>235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10</v>
      </c>
      <c r="D7" s="13">
        <f t="shared" si="1"/>
        <v>7250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59</v>
      </c>
      <c r="D9" s="13">
        <f t="shared" si="1"/>
        <v>41713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4</v>
      </c>
      <c r="D10" s="13">
        <f t="shared" si="1"/>
        <v>3888</v>
      </c>
      <c r="F10" s="150" t="s">
        <v>26</v>
      </c>
      <c r="G10" s="166" t="s">
        <v>236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2</v>
      </c>
      <c r="D11" s="13">
        <f t="shared" si="1"/>
        <v>2250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3+2</f>
        <v>5</v>
      </c>
      <c r="D12" s="48">
        <f t="shared" si="1"/>
        <v>4760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10</v>
      </c>
      <c r="D13" s="48">
        <f t="shared" si="1"/>
        <v>3070</v>
      </c>
      <c r="F13" s="172" t="s">
        <v>36</v>
      </c>
      <c r="G13" s="173"/>
      <c r="H13" s="174">
        <f>D29</f>
        <v>305053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39101.25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>
        <v>3</v>
      </c>
      <c r="D15" s="31">
        <f t="shared" si="1"/>
        <v>1860</v>
      </c>
      <c r="F15" s="182" t="s">
        <v>40</v>
      </c>
      <c r="G15" s="173"/>
      <c r="H15" s="183">
        <f>H13-H14</f>
        <v>265951.75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2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22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305053</v>
      </c>
      <c r="F29" s="195" t="s">
        <v>55</v>
      </c>
      <c r="G29" s="196"/>
      <c r="H29" s="199">
        <f>H15-H16-H17-H18-H19-H20-H22-H23-H24+H26+H27+H28</f>
        <v>265951.75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243</v>
      </c>
      <c r="H34" s="227">
        <f t="shared" ref="H34:H39" si="2">F34*G34</f>
        <v>243000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si="2"/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332</v>
      </c>
      <c r="D37" s="12">
        <f>C37*111</f>
        <v>36852</v>
      </c>
      <c r="F37" s="12">
        <v>100</v>
      </c>
      <c r="G37" s="39">
        <v>23</v>
      </c>
      <c r="H37" s="227">
        <f t="shared" si="2"/>
        <v>2300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16</v>
      </c>
      <c r="H38" s="227">
        <f t="shared" si="2"/>
        <v>800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2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145</v>
      </c>
      <c r="G44" s="62"/>
      <c r="H44" s="211">
        <v>20000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7</v>
      </c>
      <c r="D46" s="12">
        <f>C46*1.5</f>
        <v>10.5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</v>
      </c>
      <c r="D49" s="12">
        <f>C49*42</f>
        <v>42</v>
      </c>
      <c r="F49" s="252" t="s">
        <v>86</v>
      </c>
      <c r="G49" s="199">
        <f>H34+H35+H36+H37+H38+H39+H40+H41+G42+H44+H45+H46</f>
        <v>266320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19</v>
      </c>
      <c r="D50" s="12">
        <f>C50*1.5</f>
        <v>28.5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368.25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39101.25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46018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420</v>
      </c>
      <c r="D6" s="13">
        <f t="shared" ref="D6:D28" si="1">C6*L6</f>
        <v>309540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5800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75</v>
      </c>
      <c r="D9" s="13">
        <f t="shared" si="1"/>
        <v>53025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172" t="s">
        <v>36</v>
      </c>
      <c r="G13" s="173"/>
      <c r="H13" s="174">
        <f>D29</f>
        <v>379110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55657.5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323452.5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2118</f>
        <v>2118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379110</v>
      </c>
      <c r="F29" s="195" t="s">
        <v>55</v>
      </c>
      <c r="G29" s="196"/>
      <c r="H29" s="199">
        <f>H15-H16-H17-H18-H19-H20-H22-H23-H24+H26+H27</f>
        <v>321334.5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93</v>
      </c>
      <c r="H34" s="227">
        <f>F34*G34</f>
        <v>93000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7">
        <f t="shared" ref="H35:H39" si="2">F35*G35</f>
        <v>17500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495</v>
      </c>
      <c r="D37" s="12">
        <f>C37*111</f>
        <v>54945</v>
      </c>
      <c r="F37" s="12">
        <v>100</v>
      </c>
      <c r="G37" s="39">
        <v>4</v>
      </c>
      <c r="H37" s="227">
        <f t="shared" si="2"/>
        <v>400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>
        <v>4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 t="s">
        <v>150</v>
      </c>
      <c r="G44" s="62" t="s">
        <v>238</v>
      </c>
      <c r="H44" s="211">
        <v>211974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322878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7</v>
      </c>
      <c r="D50" s="12">
        <f>C50*1.5</f>
        <v>10.5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155</v>
      </c>
      <c r="G51" s="256">
        <f>G49-H29</f>
        <v>1543.5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55657.5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46018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1409</v>
      </c>
      <c r="D6" s="13">
        <f t="shared" ref="D6:D28" si="1">C6*L6</f>
        <v>1038433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25</v>
      </c>
      <c r="D7" s="13">
        <f t="shared" si="1"/>
        <v>18125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2066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388</v>
      </c>
      <c r="D9" s="13">
        <f t="shared" si="1"/>
        <v>274316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6</v>
      </c>
      <c r="D11" s="13">
        <f t="shared" si="1"/>
        <v>6750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13+1</f>
        <v>14</v>
      </c>
      <c r="D12" s="48">
        <f t="shared" si="1"/>
        <v>13328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39</v>
      </c>
      <c r="D13" s="48">
        <f t="shared" si="1"/>
        <v>11973</v>
      </c>
      <c r="F13" s="172" t="s">
        <v>36</v>
      </c>
      <c r="G13" s="173"/>
      <c r="H13" s="174">
        <f>D29</f>
        <v>1368758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194930.25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1173827.75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336*6+900+313*6+250*6+279*6</f>
        <v>7968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1368758</v>
      </c>
      <c r="F29" s="195" t="s">
        <v>55</v>
      </c>
      <c r="G29" s="196"/>
      <c r="H29" s="199">
        <f>H15-H16-H17-H18-H19-H20-H22-H23-H24+H26+H27</f>
        <v>1165859.75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330</v>
      </c>
      <c r="H34" s="227">
        <f>F34*G34</f>
        <v>330000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196</v>
      </c>
      <c r="H35" s="227">
        <f>F35*G35</f>
        <v>98000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1664</v>
      </c>
      <c r="D37" s="12">
        <f>C37*111</f>
        <v>184704</v>
      </c>
      <c r="F37" s="12">
        <v>100</v>
      </c>
      <c r="G37" s="39">
        <v>22</v>
      </c>
      <c r="H37" s="227">
        <f t="shared" si="2"/>
        <v>2200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44</v>
      </c>
      <c r="D38" s="12">
        <f>C38*84</f>
        <v>3696</v>
      </c>
      <c r="F38" s="30">
        <v>50</v>
      </c>
      <c r="G38" s="39">
        <v>18</v>
      </c>
      <c r="H38" s="227">
        <f t="shared" si="2"/>
        <v>900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26</v>
      </c>
      <c r="D40" s="12">
        <f>C40*111</f>
        <v>2886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7">
        <v>606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11</v>
      </c>
      <c r="D44" s="12">
        <f>C44*120</f>
        <v>1320</v>
      </c>
      <c r="F44" s="37" t="s">
        <v>163</v>
      </c>
      <c r="G44" s="125" t="s">
        <v>241</v>
      </c>
      <c r="H44" s="211">
        <v>171725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240</v>
      </c>
      <c r="H45" s="211">
        <v>154050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14</v>
      </c>
      <c r="D46" s="12">
        <f>C46*1.5</f>
        <v>21</v>
      </c>
      <c r="F46" s="37" t="s">
        <v>239</v>
      </c>
      <c r="G46" s="62" t="s">
        <v>242</v>
      </c>
      <c r="H46" s="211">
        <v>206527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37" t="s">
        <v>163</v>
      </c>
      <c r="G47" s="126">
        <v>2000005683</v>
      </c>
      <c r="H47" s="211">
        <v>202199</v>
      </c>
      <c r="I47" s="211"/>
      <c r="J47" s="211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13</v>
      </c>
      <c r="D49" s="12">
        <f>C49*42</f>
        <v>546</v>
      </c>
      <c r="F49" s="252" t="s">
        <v>86</v>
      </c>
      <c r="G49" s="199">
        <f>H34+H35+H36+H37+H38+H39+H40+H41+G42+H44+H45+H46+H47</f>
        <v>1166207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25</v>
      </c>
      <c r="D50" s="12">
        <f>C50*1.5</f>
        <v>37.5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347.25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194930.25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46020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H15-H16-H17-H18-H19-H20-H22-H23-H24+H26+H27+H28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7">
        <f t="shared" ref="H34:H39" si="2"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46020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46020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46021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323</v>
      </c>
      <c r="D6" s="13">
        <f t="shared" ref="D6:D28" si="1">C6*L6</f>
        <v>238051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85</v>
      </c>
      <c r="D7" s="13">
        <f t="shared" si="1"/>
        <v>61625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216</v>
      </c>
      <c r="D9" s="13">
        <f t="shared" si="1"/>
        <v>152712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4+1+1</f>
        <v>6</v>
      </c>
      <c r="D12" s="48">
        <f t="shared" si="1"/>
        <v>5712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12</v>
      </c>
      <c r="D13" s="48">
        <f t="shared" si="1"/>
        <v>3684</v>
      </c>
      <c r="F13" s="172" t="s">
        <v>36</v>
      </c>
      <c r="G13" s="173"/>
      <c r="H13" s="174">
        <f>D29</f>
        <v>467042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16</v>
      </c>
      <c r="D14" s="31">
        <f t="shared" si="1"/>
        <v>176</v>
      </c>
      <c r="F14" s="177" t="s">
        <v>39</v>
      </c>
      <c r="G14" s="178"/>
      <c r="H14" s="179">
        <f>D54</f>
        <v>68778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398264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2076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2</v>
      </c>
      <c r="D28" s="48">
        <f t="shared" si="1"/>
        <v>1570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467042</v>
      </c>
      <c r="F29" s="195" t="s">
        <v>55</v>
      </c>
      <c r="G29" s="196"/>
      <c r="H29" s="199">
        <f>H15-H16-H17-H18-H19-H20-H22-H23-H24+H26+H27+H28</f>
        <v>396188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219</v>
      </c>
      <c r="H34" s="227">
        <f t="shared" ref="H34:H39" si="2">F34*G34</f>
        <v>219000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158</v>
      </c>
      <c r="H35" s="227">
        <f t="shared" si="2"/>
        <v>79000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227">
        <f t="shared" si="2"/>
        <v>400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85</v>
      </c>
      <c r="H37" s="227">
        <f t="shared" si="2"/>
        <v>8500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16</v>
      </c>
      <c r="H38" s="227">
        <f t="shared" si="2"/>
        <v>800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7">
        <f t="shared" si="2"/>
        <v>20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227">
        <v>38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4</v>
      </c>
      <c r="D44" s="12">
        <f>C44*120</f>
        <v>480</v>
      </c>
      <c r="F44" s="37" t="s">
        <v>167</v>
      </c>
      <c r="G44" s="125" t="s">
        <v>245</v>
      </c>
      <c r="H44" s="211">
        <v>59544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>
        <v>5</v>
      </c>
      <c r="D45" s="12">
        <f>C45*84</f>
        <v>420</v>
      </c>
      <c r="F45" s="37" t="s">
        <v>163</v>
      </c>
      <c r="G45" s="105" t="s">
        <v>158</v>
      </c>
      <c r="H45" s="211">
        <v>29086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20</v>
      </c>
      <c r="D46" s="12">
        <f>C46*1.5</f>
        <v>30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10</v>
      </c>
      <c r="D49" s="12">
        <f>C49*42</f>
        <v>420</v>
      </c>
      <c r="F49" s="252" t="s">
        <v>86</v>
      </c>
      <c r="G49" s="199">
        <f>H34+H35+H36+H37+H38+H39+H40+H41+G42+H44+H45+H46</f>
        <v>396388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17</v>
      </c>
      <c r="D50" s="12">
        <f>C50*1.5</f>
        <v>25.5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148</v>
      </c>
      <c r="G51" s="256">
        <f>G49-H29</f>
        <v>200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68778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9B918-F2DA-4A5F-A0FA-269179CDD90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 t="s">
        <v>243</v>
      </c>
      <c r="H4" s="141" t="s">
        <v>9</v>
      </c>
      <c r="I4" s="143">
        <v>46021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887</v>
      </c>
      <c r="D6" s="13">
        <f t="shared" ref="D6:D28" si="1">C6*L6</f>
        <v>653719</v>
      </c>
      <c r="F6" s="150" t="s">
        <v>16</v>
      </c>
      <c r="G6" s="152" t="s">
        <v>235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17</v>
      </c>
      <c r="D7" s="13">
        <f t="shared" si="1"/>
        <v>12325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299</v>
      </c>
      <c r="D9" s="13">
        <f t="shared" si="1"/>
        <v>211393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236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20</v>
      </c>
      <c r="D11" s="13">
        <f t="shared" si="1"/>
        <v>22500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15+1+3</f>
        <v>19</v>
      </c>
      <c r="D12" s="48">
        <f t="shared" si="1"/>
        <v>18088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53</v>
      </c>
      <c r="D13" s="48">
        <f t="shared" si="1"/>
        <v>16271</v>
      </c>
      <c r="F13" s="172" t="s">
        <v>36</v>
      </c>
      <c r="G13" s="173"/>
      <c r="H13" s="174">
        <f>D29</f>
        <v>940956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100144.5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840811.5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2010+1800+1200</f>
        <v>5010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248</v>
      </c>
      <c r="G22" s="73">
        <v>8269</v>
      </c>
      <c r="H22" s="209">
        <v>7281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 t="s">
        <v>249</v>
      </c>
      <c r="G23" s="79">
        <v>8271</v>
      </c>
      <c r="H23" s="262">
        <v>1710</v>
      </c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 t="s">
        <v>250</v>
      </c>
      <c r="G24" s="79">
        <v>8272</v>
      </c>
      <c r="H24" s="262">
        <v>3130</v>
      </c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244</v>
      </c>
      <c r="C26" s="84">
        <v>8</v>
      </c>
      <c r="D26" s="48">
        <f t="shared" si="1"/>
        <v>5360</v>
      </c>
      <c r="F26" s="75"/>
      <c r="G26" s="65"/>
      <c r="H26" s="211"/>
      <c r="I26" s="211"/>
      <c r="J26" s="211"/>
      <c r="L26" s="7">
        <f>559+111</f>
        <v>670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27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29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940956</v>
      </c>
      <c r="F29" s="195" t="s">
        <v>55</v>
      </c>
      <c r="G29" s="196"/>
      <c r="H29" s="199">
        <f>H15-H16-H17-H18-H19-H20-H22-H23-H24+H26+H27+H28</f>
        <v>823680.5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168</v>
      </c>
      <c r="H34" s="227">
        <f t="shared" ref="H34:H39" si="2">F34*G34</f>
        <v>168000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418</v>
      </c>
      <c r="H35" s="227">
        <f t="shared" si="2"/>
        <v>209000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7">
        <f t="shared" si="2"/>
        <v>200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861</v>
      </c>
      <c r="D37" s="12">
        <f>C37*111</f>
        <v>95571</v>
      </c>
      <c r="F37" s="12">
        <v>100</v>
      </c>
      <c r="G37" s="39">
        <v>76</v>
      </c>
      <c r="H37" s="227">
        <f t="shared" si="2"/>
        <v>7600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247</v>
      </c>
      <c r="H38" s="227">
        <f t="shared" si="2"/>
        <v>12350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7">
        <f t="shared" si="2"/>
        <v>40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27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>
        <v>6</v>
      </c>
      <c r="D44" s="12">
        <f>C44*120</f>
        <v>720</v>
      </c>
      <c r="F44" s="37" t="s">
        <v>150</v>
      </c>
      <c r="G44" s="62" t="s">
        <v>246</v>
      </c>
      <c r="H44" s="211">
        <v>218571</v>
      </c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 t="s">
        <v>150</v>
      </c>
      <c r="G45" s="62" t="s">
        <v>247</v>
      </c>
      <c r="H45" s="211">
        <v>205944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>
        <v>14</v>
      </c>
      <c r="D49" s="12">
        <f>C49*42</f>
        <v>588</v>
      </c>
      <c r="F49" s="252" t="s">
        <v>86</v>
      </c>
      <c r="G49" s="199">
        <f>H34+H35+H36+H37+H38+H39+H40+H41+G42+H44+H45+H46</f>
        <v>821705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>
        <v>13</v>
      </c>
      <c r="D50" s="12">
        <f>C50*1.5</f>
        <v>19.5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-1975.5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100144.5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46021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sheetPr>
    <pageSetUpPr fitToPage="1"/>
  </sheetPr>
  <dimension ref="A1:R62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46021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5" si="0">P5+Q5</f>
        <v>620</v>
      </c>
    </row>
    <row r="6" spans="1:18" ht="14.45" customHeight="1" x14ac:dyDescent="0.25">
      <c r="A6" s="148"/>
      <c r="B6" s="16" t="s">
        <v>15</v>
      </c>
      <c r="C6" s="10">
        <v>2885</v>
      </c>
      <c r="D6" s="13">
        <f t="shared" ref="D6:D28" si="1">C6*L6</f>
        <v>2126245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272</v>
      </c>
      <c r="D7" s="13">
        <f t="shared" si="1"/>
        <v>197200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2066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1242</v>
      </c>
      <c r="D9" s="13">
        <f t="shared" si="1"/>
        <v>878094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23</v>
      </c>
      <c r="D10" s="13">
        <f t="shared" si="1"/>
        <v>22356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15</v>
      </c>
      <c r="D11" s="13">
        <f t="shared" si="1"/>
        <v>16875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36+10+4</f>
        <v>50</v>
      </c>
      <c r="D12" s="48">
        <f t="shared" si="1"/>
        <v>47600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160</v>
      </c>
      <c r="D13" s="48">
        <f t="shared" si="1"/>
        <v>49120</v>
      </c>
      <c r="F13" s="172" t="s">
        <v>36</v>
      </c>
      <c r="G13" s="173"/>
      <c r="H13" s="174">
        <f>D29</f>
        <v>3367034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77" t="s">
        <v>39</v>
      </c>
      <c r="G14" s="178"/>
      <c r="H14" s="179">
        <f>D57</f>
        <v>313673.25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3053360.75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1980+5268+5148+7608+600+4476+330</f>
        <v>25410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161</v>
      </c>
      <c r="C19" s="10">
        <f>2</f>
        <v>2</v>
      </c>
      <c r="D19" s="48">
        <f t="shared" si="1"/>
        <v>2204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28</v>
      </c>
      <c r="D28" s="48">
        <f t="shared" si="1"/>
        <v>21980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3367034</v>
      </c>
      <c r="F29" s="195" t="s">
        <v>55</v>
      </c>
      <c r="G29" s="196"/>
      <c r="H29" s="199">
        <f>H15-H16-H17-H18-H19-H20-H22-H23-H24+H26+H27</f>
        <v>3027950.75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184</v>
      </c>
      <c r="H34" s="227">
        <f>F34*G34</f>
        <v>184000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f>48+1</f>
        <v>49</v>
      </c>
      <c r="H35" s="227">
        <f>F35*G35</f>
        <v>24500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2683</v>
      </c>
      <c r="D37" s="12">
        <f>C37*111</f>
        <v>297813</v>
      </c>
      <c r="F37" s="12">
        <v>100</v>
      </c>
      <c r="G37" s="39">
        <f>5+7</f>
        <v>12</v>
      </c>
      <c r="H37" s="227">
        <f t="shared" si="2"/>
        <v>1200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44</v>
      </c>
      <c r="D38" s="12">
        <f>C38*84</f>
        <v>3696</v>
      </c>
      <c r="F38" s="30">
        <v>50</v>
      </c>
      <c r="G38" s="39">
        <f>2+3</f>
        <v>5</v>
      </c>
      <c r="H38" s="227">
        <f t="shared" si="2"/>
        <v>250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28</v>
      </c>
      <c r="D40" s="12">
        <f>C40*111</f>
        <v>3108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35</v>
      </c>
      <c r="D42" s="12">
        <f>C42*2.25</f>
        <v>78.75</v>
      </c>
      <c r="F42" s="39" t="s">
        <v>79</v>
      </c>
      <c r="G42" s="227">
        <v>38</v>
      </c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>
        <v>42</v>
      </c>
      <c r="D44" s="12">
        <f>C44*120</f>
        <v>5040</v>
      </c>
      <c r="F44" s="37" t="s">
        <v>163</v>
      </c>
      <c r="G44" s="76" t="s">
        <v>251</v>
      </c>
      <c r="H44" s="211">
        <v>103296</v>
      </c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>
        <v>13</v>
      </c>
      <c r="D45" s="12">
        <f>C45*84</f>
        <v>1092</v>
      </c>
      <c r="F45" s="37" t="s">
        <v>163</v>
      </c>
      <c r="G45" s="76" t="s">
        <v>253</v>
      </c>
      <c r="H45" s="211">
        <v>168907</v>
      </c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>
        <v>18</v>
      </c>
      <c r="D46" s="12">
        <f>C46*1.5</f>
        <v>27</v>
      </c>
      <c r="F46" s="37" t="s">
        <v>163</v>
      </c>
      <c r="G46" s="125" t="s">
        <v>252</v>
      </c>
      <c r="H46" s="211">
        <v>483357</v>
      </c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37" t="s">
        <v>163</v>
      </c>
      <c r="G47" s="132">
        <v>2000005688</v>
      </c>
      <c r="H47" s="211">
        <v>808915</v>
      </c>
      <c r="I47" s="211"/>
      <c r="J47" s="211"/>
      <c r="K47" s="21"/>
      <c r="P47" s="4"/>
      <c r="Q47" s="4"/>
      <c r="R47" s="5"/>
    </row>
    <row r="48" spans="1:18" ht="15.75" x14ac:dyDescent="0.25">
      <c r="A48" s="131"/>
      <c r="B48" s="27"/>
      <c r="C48" s="11"/>
      <c r="D48" s="12"/>
      <c r="F48" s="37" t="s">
        <v>152</v>
      </c>
      <c r="G48" s="37">
        <v>4820793</v>
      </c>
      <c r="H48" s="211">
        <v>203563</v>
      </c>
      <c r="I48" s="211"/>
      <c r="J48" s="211"/>
      <c r="K48" s="21"/>
      <c r="P48" s="4"/>
      <c r="Q48" s="4"/>
      <c r="R48" s="5"/>
    </row>
    <row r="49" spans="1:18" ht="15.75" x14ac:dyDescent="0.25">
      <c r="A49" s="131"/>
      <c r="B49" s="27"/>
      <c r="C49" s="11"/>
      <c r="D49" s="12"/>
      <c r="F49" s="37" t="s">
        <v>150</v>
      </c>
      <c r="G49" s="37">
        <v>42936</v>
      </c>
      <c r="H49" s="211">
        <v>464240</v>
      </c>
      <c r="I49" s="211"/>
      <c r="J49" s="211"/>
      <c r="K49" s="21"/>
      <c r="P49" s="4"/>
      <c r="Q49" s="4"/>
      <c r="R49" s="5"/>
    </row>
    <row r="50" spans="1:18" ht="15.75" x14ac:dyDescent="0.25">
      <c r="A50" s="131"/>
      <c r="B50" s="27"/>
      <c r="C50" s="11"/>
      <c r="D50" s="12"/>
      <c r="F50" s="37" t="s">
        <v>163</v>
      </c>
      <c r="G50" s="132">
        <v>2000002695</v>
      </c>
      <c r="H50" s="211">
        <v>580175</v>
      </c>
      <c r="I50" s="211"/>
      <c r="J50" s="211"/>
      <c r="K50" s="21"/>
      <c r="P50" s="4"/>
      <c r="Q50" s="4"/>
      <c r="R50" s="5"/>
    </row>
    <row r="51" spans="1:18" ht="15" customHeight="1" x14ac:dyDescent="0.25">
      <c r="A51" s="230" t="s">
        <v>32</v>
      </c>
      <c r="B51" s="27" t="s">
        <v>66</v>
      </c>
      <c r="C51" s="10">
        <v>14</v>
      </c>
      <c r="D51" s="12">
        <f>C51*78</f>
        <v>1092</v>
      </c>
      <c r="F51" s="37" t="s">
        <v>145</v>
      </c>
      <c r="G51" s="59"/>
      <c r="H51" s="211">
        <v>1785</v>
      </c>
      <c r="I51" s="211"/>
      <c r="J51" s="211"/>
      <c r="K51" s="35"/>
      <c r="O51" t="s">
        <v>84</v>
      </c>
      <c r="P51" s="4">
        <v>1175</v>
      </c>
      <c r="Q51" s="4"/>
      <c r="R51" s="5">
        <f t="shared" si="0"/>
        <v>1175</v>
      </c>
    </row>
    <row r="52" spans="1:18" ht="15.75" x14ac:dyDescent="0.25">
      <c r="A52" s="231"/>
      <c r="B52" s="29" t="s">
        <v>68</v>
      </c>
      <c r="C52" s="33">
        <v>15</v>
      </c>
      <c r="D52" s="12">
        <f>C52*42</f>
        <v>630</v>
      </c>
      <c r="F52" s="252" t="s">
        <v>86</v>
      </c>
      <c r="G52" s="199">
        <f>H34+H35+H36+H37+H38+H39+H40+H41+G42+H44+H45+H46+H47+H48+H49+H51+H50</f>
        <v>3024226</v>
      </c>
      <c r="H52" s="200"/>
      <c r="I52" s="200"/>
      <c r="J52" s="201"/>
      <c r="O52" t="s">
        <v>85</v>
      </c>
      <c r="P52" s="4">
        <v>851</v>
      </c>
      <c r="Q52" s="4">
        <v>120</v>
      </c>
      <c r="R52" s="5">
        <f t="shared" si="0"/>
        <v>971</v>
      </c>
    </row>
    <row r="53" spans="1:18" ht="15.75" x14ac:dyDescent="0.25">
      <c r="A53" s="231"/>
      <c r="B53" s="32" t="s">
        <v>70</v>
      </c>
      <c r="C53" s="11">
        <v>13</v>
      </c>
      <c r="D53" s="12">
        <f>C53*1.5</f>
        <v>19.5</v>
      </c>
      <c r="F53" s="253"/>
      <c r="G53" s="202"/>
      <c r="H53" s="203"/>
      <c r="I53" s="203"/>
      <c r="J53" s="204"/>
      <c r="P53" s="4"/>
      <c r="Q53" s="4"/>
      <c r="R53" s="5"/>
    </row>
    <row r="54" spans="1:18" ht="15" customHeight="1" x14ac:dyDescent="0.25">
      <c r="A54" s="231"/>
      <c r="B54" s="27"/>
      <c r="C54" s="10"/>
      <c r="D54" s="31"/>
      <c r="F54" s="254" t="s">
        <v>140</v>
      </c>
      <c r="G54" s="267">
        <f>G52-H29</f>
        <v>-3724.75</v>
      </c>
      <c r="H54" s="268"/>
      <c r="I54" s="268"/>
      <c r="J54" s="269"/>
      <c r="K54" s="21"/>
      <c r="O54" t="s">
        <v>87</v>
      </c>
      <c r="P54" s="4">
        <v>703</v>
      </c>
      <c r="Q54" s="4">
        <v>120</v>
      </c>
      <c r="R54" s="5">
        <f t="shared" si="0"/>
        <v>823</v>
      </c>
    </row>
    <row r="55" spans="1:18" ht="15.75" x14ac:dyDescent="0.25">
      <c r="A55" s="231"/>
      <c r="B55" s="29"/>
      <c r="C55" s="33"/>
      <c r="D55" s="45"/>
      <c r="F55" s="255"/>
      <c r="G55" s="270"/>
      <c r="H55" s="271"/>
      <c r="I55" s="271"/>
      <c r="J55" s="272"/>
      <c r="K55" s="21"/>
      <c r="O55" t="s">
        <v>88</v>
      </c>
      <c r="P55" s="4">
        <v>559</v>
      </c>
      <c r="Q55" s="4">
        <v>111</v>
      </c>
      <c r="R55" s="5">
        <f t="shared" si="0"/>
        <v>670</v>
      </c>
    </row>
    <row r="56" spans="1:18" ht="15.75" x14ac:dyDescent="0.25">
      <c r="A56" s="232"/>
      <c r="B56" s="32"/>
      <c r="C56" s="11"/>
      <c r="D56" s="12"/>
      <c r="F56" s="35"/>
      <c r="G56" s="24"/>
      <c r="H56" s="24"/>
      <c r="I56" s="24"/>
      <c r="J56" s="17"/>
      <c r="N56" s="1"/>
      <c r="O56" t="s">
        <v>89</v>
      </c>
      <c r="P56" s="4">
        <v>1142</v>
      </c>
    </row>
    <row r="57" spans="1:18" x14ac:dyDescent="0.25">
      <c r="A57" s="195" t="s">
        <v>90</v>
      </c>
      <c r="B57" s="240"/>
      <c r="C57" s="241"/>
      <c r="D57" s="244">
        <f>SUM(D34:D56)</f>
        <v>313673.25</v>
      </c>
      <c r="F57" s="21"/>
      <c r="J57" s="34"/>
    </row>
    <row r="58" spans="1:18" x14ac:dyDescent="0.25">
      <c r="A58" s="197"/>
      <c r="B58" s="242"/>
      <c r="C58" s="243"/>
      <c r="D58" s="245"/>
      <c r="F58" s="21"/>
      <c r="J58" s="34"/>
    </row>
    <row r="59" spans="1:18" x14ac:dyDescent="0.25">
      <c r="A59" s="35"/>
      <c r="D59" s="34"/>
      <c r="F59" s="21"/>
      <c r="J59" s="34"/>
    </row>
    <row r="60" spans="1:18" x14ac:dyDescent="0.25">
      <c r="A60" s="21"/>
      <c r="B60" t="s">
        <v>118</v>
      </c>
      <c r="D60" s="34"/>
      <c r="F60" s="36"/>
      <c r="G60" s="50"/>
      <c r="H60" s="50"/>
      <c r="I60" s="50"/>
      <c r="J60" s="43"/>
    </row>
    <row r="61" spans="1:18" x14ac:dyDescent="0.25">
      <c r="A61" s="246" t="s">
        <v>91</v>
      </c>
      <c r="B61" s="247"/>
      <c r="C61" s="247"/>
      <c r="D61" s="248"/>
      <c r="F61" s="246" t="s">
        <v>92</v>
      </c>
      <c r="G61" s="247"/>
      <c r="H61" s="247"/>
      <c r="I61" s="247"/>
      <c r="J61" s="248"/>
    </row>
    <row r="62" spans="1:18" x14ac:dyDescent="0.25">
      <c r="A62" s="249"/>
      <c r="B62" s="250"/>
      <c r="C62" s="250"/>
      <c r="D62" s="251"/>
      <c r="F62" s="249"/>
      <c r="G62" s="250"/>
      <c r="H62" s="250"/>
      <c r="I62" s="250"/>
      <c r="J62" s="251"/>
    </row>
  </sheetData>
  <mergeCells count="71">
    <mergeCell ref="A57:C58"/>
    <mergeCell ref="D57:D58"/>
    <mergeCell ref="A61:D62"/>
    <mergeCell ref="F61:J62"/>
    <mergeCell ref="A51:A56"/>
    <mergeCell ref="H51:J51"/>
    <mergeCell ref="F52:F53"/>
    <mergeCell ref="G52:J53"/>
    <mergeCell ref="F54:F55"/>
    <mergeCell ref="G54:J55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34:A36"/>
    <mergeCell ref="H34:J34"/>
    <mergeCell ref="H35:J35"/>
    <mergeCell ref="H36:J36"/>
    <mergeCell ref="A37:A39"/>
    <mergeCell ref="H37:J37"/>
    <mergeCell ref="H38:J38"/>
    <mergeCell ref="H39:J39"/>
    <mergeCell ref="H27:J27"/>
    <mergeCell ref="H28:J28"/>
    <mergeCell ref="A32:D32"/>
    <mergeCell ref="F32:J32"/>
    <mergeCell ref="H33:J33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G10:J11"/>
    <mergeCell ref="F12:J12"/>
    <mergeCell ref="F13:G13"/>
    <mergeCell ref="H13:J13"/>
    <mergeCell ref="F14:G14"/>
    <mergeCell ref="H14:J14"/>
    <mergeCell ref="H48:J48"/>
    <mergeCell ref="H49:J49"/>
    <mergeCell ref="H50:J50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</mergeCells>
  <printOptions horizontalCentered="1"/>
  <pageMargins left="0.19685039370078741" right="0.19685039370078741" top="0.39370078740157483" bottom="0.39370078740157483" header="0" footer="0"/>
  <pageSetup paperSize="9" scale="82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4" t="s">
        <v>7</v>
      </c>
      <c r="B4" s="135"/>
      <c r="C4" s="135"/>
      <c r="D4" s="136"/>
      <c r="F4" s="137" t="s">
        <v>8</v>
      </c>
      <c r="G4" s="139"/>
      <c r="H4" s="141" t="s">
        <v>9</v>
      </c>
      <c r="I4" s="143"/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150" t="s">
        <v>16</v>
      </c>
      <c r="G6" s="152"/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158" t="s">
        <v>21</v>
      </c>
      <c r="G8" s="160"/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150" t="s">
        <v>26</v>
      </c>
      <c r="G10" s="166"/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/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/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/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/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/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/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128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1</v>
      </c>
      <c r="H4" s="141" t="s">
        <v>9</v>
      </c>
      <c r="I4" s="143">
        <v>46022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150" t="s">
        <v>16</v>
      </c>
      <c r="G6" s="152" t="s">
        <v>129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158" t="s">
        <v>21</v>
      </c>
      <c r="G8" s="160" t="s">
        <v>112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150" t="s">
        <v>26</v>
      </c>
      <c r="G10" s="166" t="s">
        <v>130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211"/>
      <c r="I26" s="211"/>
      <c r="J26" s="21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H15-H16-H17-H18-H19-H20-H22-H23-H24+H26+H27+H28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7">
        <f t="shared" ref="H34:H39" si="2"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si="2"/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si="2"/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2</v>
      </c>
      <c r="H4" s="141" t="s">
        <v>9</v>
      </c>
      <c r="I4" s="143">
        <v>46022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141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114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115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 t="shared" ref="H35:H39" si="2"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62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62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11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132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3" t="s">
        <v>1</v>
      </c>
      <c r="O1" s="13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4" t="s">
        <v>7</v>
      </c>
      <c r="B4" s="135"/>
      <c r="C4" s="135"/>
      <c r="D4" s="136"/>
      <c r="F4" s="137" t="s">
        <v>8</v>
      </c>
      <c r="G4" s="139">
        <v>3</v>
      </c>
      <c r="H4" s="141" t="s">
        <v>9</v>
      </c>
      <c r="I4" s="143">
        <v>46022</v>
      </c>
      <c r="J4" s="1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138"/>
      <c r="G5" s="140"/>
      <c r="H5" s="142"/>
      <c r="I5" s="145"/>
      <c r="J5" s="1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150" t="s">
        <v>16</v>
      </c>
      <c r="G6" s="152" t="s">
        <v>111</v>
      </c>
      <c r="H6" s="153"/>
      <c r="I6" s="153"/>
      <c r="J6" s="1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151"/>
      <c r="G7" s="155"/>
      <c r="H7" s="156"/>
      <c r="I7" s="156"/>
      <c r="J7" s="15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158" t="s">
        <v>21</v>
      </c>
      <c r="G8" s="160" t="s">
        <v>119</v>
      </c>
      <c r="H8" s="161"/>
      <c r="I8" s="161"/>
      <c r="J8" s="16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151"/>
      <c r="G9" s="163"/>
      <c r="H9" s="164"/>
      <c r="I9" s="164"/>
      <c r="J9" s="16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150" t="s">
        <v>26</v>
      </c>
      <c r="G10" s="166" t="s">
        <v>135</v>
      </c>
      <c r="H10" s="167"/>
      <c r="I10" s="167"/>
      <c r="J10" s="168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151"/>
      <c r="G11" s="163"/>
      <c r="H11" s="164"/>
      <c r="I11" s="164"/>
      <c r="J11" s="16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169" t="s">
        <v>33</v>
      </c>
      <c r="G12" s="170"/>
      <c r="H12" s="170"/>
      <c r="I12" s="170"/>
      <c r="J12" s="17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172" t="s">
        <v>36</v>
      </c>
      <c r="G13" s="17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82" t="s">
        <v>40</v>
      </c>
      <c r="G15" s="173"/>
      <c r="H15" s="183">
        <f>H13-H14</f>
        <v>0</v>
      </c>
      <c r="I15" s="184"/>
      <c r="J15" s="18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210"/>
      <c r="I23" s="211"/>
      <c r="J23" s="21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210"/>
      <c r="I24" s="211"/>
      <c r="J24" s="21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2" t="s">
        <v>13</v>
      </c>
      <c r="I25" s="213"/>
      <c r="J25" s="21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215"/>
      <c r="I26" s="216"/>
      <c r="J26" s="21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218"/>
      <c r="I27" s="219"/>
      <c r="J27" s="22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17"/>
      <c r="G28" s="61"/>
      <c r="H28" s="221"/>
      <c r="I28" s="222"/>
      <c r="J28" s="22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95" t="s">
        <v>55</v>
      </c>
      <c r="G29" s="196"/>
      <c r="H29" s="199">
        <f>H15-H16-H17-H18-H19-H20-H22-H23-H24+H26+H27</f>
        <v>0</v>
      </c>
      <c r="I29" s="200"/>
      <c r="J29" s="20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97"/>
      <c r="G30" s="198"/>
      <c r="H30" s="202"/>
      <c r="I30" s="203"/>
      <c r="J30" s="20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4" t="s">
        <v>58</v>
      </c>
      <c r="B32" s="135"/>
      <c r="C32" s="135"/>
      <c r="D32" s="136"/>
      <c r="F32" s="224" t="s">
        <v>59</v>
      </c>
      <c r="G32" s="225"/>
      <c r="H32" s="225"/>
      <c r="I32" s="225"/>
      <c r="J32" s="22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4" t="s">
        <v>13</v>
      </c>
      <c r="I33" s="225"/>
      <c r="J33" s="22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7">
        <f>F34*G34</f>
        <v>0</v>
      </c>
      <c r="I34" s="228"/>
      <c r="J34" s="22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227">
        <f>F35*G35</f>
        <v>0</v>
      </c>
      <c r="I35" s="228"/>
      <c r="J35" s="22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227">
        <f t="shared" ref="H36:H39" si="2">F36*G36</f>
        <v>0</v>
      </c>
      <c r="I36" s="228"/>
      <c r="J36" s="22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7">
        <f t="shared" si="2"/>
        <v>0</v>
      </c>
      <c r="I37" s="228"/>
      <c r="J37" s="22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227">
        <f t="shared" si="2"/>
        <v>0</v>
      </c>
      <c r="I38" s="228"/>
      <c r="J38" s="22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227">
        <f t="shared" si="2"/>
        <v>0</v>
      </c>
      <c r="I39" s="228"/>
      <c r="J39" s="22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7"/>
      <c r="I40" s="228"/>
      <c r="J40" s="22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227"/>
      <c r="I41" s="228"/>
      <c r="J41" s="22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227"/>
      <c r="H42" s="228"/>
      <c r="I42" s="228"/>
      <c r="J42" s="22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0" t="s">
        <v>81</v>
      </c>
      <c r="C43" s="11"/>
      <c r="D43" s="12"/>
      <c r="F43" s="59" t="s">
        <v>82</v>
      </c>
      <c r="G43" s="114" t="s">
        <v>83</v>
      </c>
      <c r="H43" s="233" t="s">
        <v>13</v>
      </c>
      <c r="I43" s="234"/>
      <c r="J43" s="235"/>
      <c r="K43" s="21"/>
      <c r="P43" s="4"/>
      <c r="Q43" s="4"/>
      <c r="R43" s="5"/>
    </row>
    <row r="44" spans="1:18" ht="15.75" x14ac:dyDescent="0.25">
      <c r="A44" s="231"/>
      <c r="B44" s="27" t="s">
        <v>66</v>
      </c>
      <c r="C44" s="10"/>
      <c r="D44" s="12">
        <f>C44*120</f>
        <v>0</v>
      </c>
      <c r="F44" s="37"/>
      <c r="G44" s="76"/>
      <c r="H44" s="211"/>
      <c r="I44" s="211"/>
      <c r="J44" s="211"/>
      <c r="K44" s="21"/>
      <c r="P44" s="4"/>
      <c r="Q44" s="4"/>
      <c r="R44" s="5"/>
    </row>
    <row r="45" spans="1:18" ht="15.75" x14ac:dyDescent="0.25">
      <c r="A45" s="231"/>
      <c r="B45" s="27" t="s">
        <v>68</v>
      </c>
      <c r="C45" s="33"/>
      <c r="D45" s="12">
        <f>C45*84</f>
        <v>0</v>
      </c>
      <c r="F45" s="37"/>
      <c r="G45" s="76"/>
      <c r="H45" s="211"/>
      <c r="I45" s="211"/>
      <c r="J45" s="211"/>
      <c r="K45" s="21"/>
      <c r="P45" s="4"/>
      <c r="Q45" s="4"/>
      <c r="R45" s="5"/>
    </row>
    <row r="46" spans="1:18" ht="15.75" x14ac:dyDescent="0.25">
      <c r="A46" s="231"/>
      <c r="B46" s="49" t="s">
        <v>70</v>
      </c>
      <c r="C46" s="81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32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230" t="s">
        <v>32</v>
      </c>
      <c r="B48" s="27" t="s">
        <v>66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1"/>
      <c r="B49" s="29" t="s">
        <v>68</v>
      </c>
      <c r="C49" s="33"/>
      <c r="D49" s="12">
        <f>C49*42</f>
        <v>0</v>
      </c>
      <c r="F49" s="252" t="s">
        <v>86</v>
      </c>
      <c r="G49" s="199">
        <f>H34+H35+H36+H37+H38+H39+H40+H41+G42+H44+H45+H46</f>
        <v>0</v>
      </c>
      <c r="H49" s="200"/>
      <c r="I49" s="200"/>
      <c r="J49" s="20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1"/>
      <c r="B50" s="32" t="s">
        <v>70</v>
      </c>
      <c r="C50" s="11"/>
      <c r="D50" s="12">
        <f>C50*1.5</f>
        <v>0</v>
      </c>
      <c r="F50" s="253"/>
      <c r="G50" s="202"/>
      <c r="H50" s="203"/>
      <c r="I50" s="203"/>
      <c r="J50" s="204"/>
      <c r="P50" s="4"/>
      <c r="Q50" s="4"/>
      <c r="R50" s="5"/>
    </row>
    <row r="51" spans="1:18" ht="15" customHeight="1" x14ac:dyDescent="0.25">
      <c r="A51" s="231"/>
      <c r="B51" s="27"/>
      <c r="C51" s="10"/>
      <c r="D51" s="31"/>
      <c r="F51" s="254" t="s">
        <v>140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1"/>
      <c r="B52" s="29"/>
      <c r="C52" s="33"/>
      <c r="D52" s="45"/>
      <c r="F52" s="255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5" t="s">
        <v>90</v>
      </c>
      <c r="B54" s="240"/>
      <c r="C54" s="241"/>
      <c r="D54" s="244">
        <f>SUM(D34:D53)</f>
        <v>0</v>
      </c>
      <c r="F54" s="21"/>
      <c r="J54" s="34"/>
    </row>
    <row r="55" spans="1:18" x14ac:dyDescent="0.25">
      <c r="A55" s="197"/>
      <c r="B55" s="242"/>
      <c r="C55" s="243"/>
      <c r="D55" s="2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6" t="s">
        <v>91</v>
      </c>
      <c r="B58" s="247"/>
      <c r="C58" s="247"/>
      <c r="D58" s="248"/>
      <c r="F58" s="246" t="s">
        <v>92</v>
      </c>
      <c r="G58" s="247"/>
      <c r="H58" s="247"/>
      <c r="I58" s="247"/>
      <c r="J58" s="248"/>
    </row>
    <row r="59" spans="1:18" x14ac:dyDescent="0.25">
      <c r="A59" s="249"/>
      <c r="B59" s="250"/>
      <c r="C59" s="250"/>
      <c r="D59" s="251"/>
      <c r="F59" s="249"/>
      <c r="G59" s="250"/>
      <c r="H59" s="250"/>
      <c r="I59" s="250"/>
      <c r="J59" s="2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111</vt:i4>
      </vt:variant>
      <vt:variant>
        <vt:lpstr>Named Ranges</vt:lpstr>
      </vt:variant>
      <vt:variant>
        <vt:i4>110</vt:i4>
      </vt:variant>
    </vt:vector>
  </HeadingPairs>
  <TitlesOfParts>
    <vt:vector size="221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 No Trip)</vt:lpstr>
      <vt:lpstr>25,12 R1 No Trip</vt:lpstr>
      <vt:lpstr>25,12 R2 No Trip</vt:lpstr>
      <vt:lpstr>25,12 R3 No Trip</vt:lpstr>
      <vt:lpstr>(26)</vt:lpstr>
      <vt:lpstr>26,12 R1</vt:lpstr>
      <vt:lpstr>26,12 R2</vt:lpstr>
      <vt:lpstr>26,12 R3</vt:lpstr>
      <vt:lpstr>(27)</vt:lpstr>
      <vt:lpstr>27,12 R1-A</vt:lpstr>
      <vt:lpstr>27,12 R1-B</vt:lpstr>
      <vt:lpstr>27,12 R2</vt:lpstr>
      <vt:lpstr>27,12 R3</vt:lpstr>
      <vt:lpstr>(29) No Trip</vt:lpstr>
      <vt:lpstr>29,12 R1 No Trip</vt:lpstr>
      <vt:lpstr>29,12 R2 No Trip</vt:lpstr>
      <vt:lpstr>29,12 R3 No Trip</vt:lpstr>
      <vt:lpstr>(30)</vt:lpstr>
      <vt:lpstr>30,12 R1</vt:lpstr>
      <vt:lpstr>30,12 R1-B</vt:lpstr>
      <vt:lpstr>30,12 R2 NO TRIP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 No Trip'!Print_Area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 No Trip'!Print_Area</vt:lpstr>
      <vt:lpstr>'25,12 R2 No Trip'!Print_Area</vt:lpstr>
      <vt:lpstr>'25,12 R3 No Trip'!Print_Area</vt:lpstr>
      <vt:lpstr>'26,12 R1'!Print_Area</vt:lpstr>
      <vt:lpstr>'26,12 R2'!Print_Area</vt:lpstr>
      <vt:lpstr>'26,12 R3'!Print_Area</vt:lpstr>
      <vt:lpstr>'27,12 R1-A'!Print_Area</vt:lpstr>
      <vt:lpstr>'27,12 R1-B'!Print_Area</vt:lpstr>
      <vt:lpstr>'27,12 R2'!Print_Area</vt:lpstr>
      <vt:lpstr>'27,12 R3'!Print_Area</vt:lpstr>
      <vt:lpstr>'29,12 R1 No Trip'!Print_Area</vt:lpstr>
      <vt:lpstr>'29,12 R2 No Trip'!Print_Area</vt:lpstr>
      <vt:lpstr>'29,12 R3 No Trip'!Print_Area</vt:lpstr>
      <vt:lpstr>'30,12 R1'!Print_Area</vt:lpstr>
      <vt:lpstr>'30,12 R1-B'!Print_Area</vt:lpstr>
      <vt:lpstr>'30,12 R2 NO TRIP'!Print_Area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2025-12-31T02:18:21Z</cp:lastPrinted>
  <dcterms:created xsi:type="dcterms:W3CDTF">2024-09-01T23:36:50Z</dcterms:created>
  <dcterms:modified xsi:type="dcterms:W3CDTF">2025-12-31T02:18:31Z</dcterms:modified>
</cp:coreProperties>
</file>