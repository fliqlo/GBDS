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03135C12-921F-4AB3-8CC8-E129041C9254}" xr6:coauthVersionLast="45" xr6:coauthVersionMax="47" xr10:uidLastSave="{00000000-0000-0000-0000-000000000000}"/>
  <bookViews>
    <workbookView xWindow="-120" yWindow="-120" windowWidth="29040" windowHeight="15840" firstSheet="66" activeTab="74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 No Trip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  <sheet name="(16)" sheetId="1589" r:id="rId54"/>
    <sheet name="16,12 R1" sheetId="1590" r:id="rId55"/>
    <sheet name="16,12 R2" sheetId="1591" r:id="rId56"/>
    <sheet name="16,12 R3" sheetId="1592" r:id="rId57"/>
    <sheet name="(17)" sheetId="1593" r:id="rId58"/>
    <sheet name="17,12 R1" sheetId="1594" r:id="rId59"/>
    <sheet name="17,12 R2" sheetId="1595" r:id="rId60"/>
    <sheet name="17,12 R3" sheetId="1596" r:id="rId61"/>
    <sheet name="(18)" sheetId="1597" r:id="rId62"/>
    <sheet name="18,12 R1" sheetId="1598" r:id="rId63"/>
    <sheet name="18,12 R2" sheetId="1599" r:id="rId64"/>
    <sheet name="18,12 R3" sheetId="1600" r:id="rId65"/>
    <sheet name="(19)" sheetId="1601" r:id="rId66"/>
    <sheet name="19,12 R1" sheetId="1602" r:id="rId67"/>
    <sheet name="19,12 R2" sheetId="1603" r:id="rId68"/>
    <sheet name="19,12 R3" sheetId="1604" r:id="rId69"/>
    <sheet name="(20)" sheetId="1605" r:id="rId70"/>
    <sheet name="20,12 R1" sheetId="1606" r:id="rId71"/>
    <sheet name="20,12 R2" sheetId="1607" r:id="rId72"/>
    <sheet name="20,12 R3" sheetId="1608" r:id="rId73"/>
    <sheet name="(22)" sheetId="1609" r:id="rId74"/>
    <sheet name="22,12 R1" sheetId="1610" r:id="rId75"/>
    <sheet name="22,12 R2" sheetId="1611" r:id="rId76"/>
    <sheet name="22,12 R3" sheetId="1612" r:id="rId77"/>
    <sheet name="(23)" sheetId="1613" r:id="rId78"/>
    <sheet name="23,12 R1" sheetId="1614" r:id="rId79"/>
    <sheet name="23,12 R2" sheetId="1615" r:id="rId80"/>
    <sheet name="23,12 R3" sheetId="1616" r:id="rId81"/>
    <sheet name="(24)" sheetId="1617" r:id="rId82"/>
    <sheet name="24,12 R1" sheetId="1618" r:id="rId83"/>
    <sheet name="24,12 R2" sheetId="1619" r:id="rId84"/>
    <sheet name="24,12 R3" sheetId="1620" r:id="rId85"/>
    <sheet name="(25)" sheetId="1621" r:id="rId86"/>
    <sheet name="25,12 R1" sheetId="1622" r:id="rId87"/>
    <sheet name="25,12 R2" sheetId="1623" r:id="rId88"/>
    <sheet name="25,12 R3" sheetId="1624" r:id="rId89"/>
    <sheet name="(26)" sheetId="1625" r:id="rId90"/>
    <sheet name="26,12 R1" sheetId="1626" r:id="rId91"/>
    <sheet name="26,12 R2" sheetId="1627" r:id="rId92"/>
    <sheet name="26,12 R3" sheetId="1628" r:id="rId93"/>
    <sheet name="(27)" sheetId="1629" r:id="rId94"/>
    <sheet name="27,12 R1" sheetId="1630" r:id="rId95"/>
    <sheet name="27,12 R2" sheetId="1631" r:id="rId96"/>
    <sheet name="27,12 R3" sheetId="1632" r:id="rId97"/>
    <sheet name="(29)" sheetId="1633" r:id="rId98"/>
    <sheet name="29,12 R1" sheetId="1634" r:id="rId99"/>
    <sheet name="29,12 R2" sheetId="1635" r:id="rId100"/>
    <sheet name="29,12 R3" sheetId="1636" r:id="rId101"/>
    <sheet name="(30)" sheetId="1637" r:id="rId102"/>
    <sheet name="30,12 R1" sheetId="1638" r:id="rId103"/>
    <sheet name="30,12 R2" sheetId="1639" r:id="rId104"/>
    <sheet name="30,12 R3" sheetId="1640" r:id="rId105"/>
    <sheet name="(31)" sheetId="1641" r:id="rId106"/>
    <sheet name="31,12 R1" sheetId="1642" r:id="rId107"/>
    <sheet name="31,12 R2" sheetId="1643" r:id="rId108"/>
    <sheet name="31,12 R3" sheetId="1644" r:id="rId10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65">'(19)'!$A$1:$J$60</definedName>
    <definedName name="_xlnm.Print_Area" localSheetId="5">'(2)'!$A$1:$J$60</definedName>
    <definedName name="_xlnm.Print_Area" localSheetId="69">'(20)'!$A$1:$J$60</definedName>
    <definedName name="_xlnm.Print_Area" localSheetId="73">'(22)'!$A$1:$J$60</definedName>
    <definedName name="_xlnm.Print_Area" localSheetId="77">'(23)'!$A$1:$J$60</definedName>
    <definedName name="_xlnm.Print_Area" localSheetId="81">'(24)'!$A$1:$J$60</definedName>
    <definedName name="_xlnm.Print_Area" localSheetId="85">'(25)'!$A$1:$J$60</definedName>
    <definedName name="_xlnm.Print_Area" localSheetId="89">'(26)'!$A$1:$J$60</definedName>
    <definedName name="_xlnm.Print_Area" localSheetId="93">'(27)'!$A$1:$J$60</definedName>
    <definedName name="_xlnm.Print_Area" localSheetId="97">'(29)'!$A$1:$J$60</definedName>
    <definedName name="_xlnm.Print_Area" localSheetId="9">'(3)'!$A$1:$J$60</definedName>
    <definedName name="_xlnm.Print_Area" localSheetId="101">'(30)'!$A$1:$J$60</definedName>
    <definedName name="_xlnm.Print_Area" localSheetId="105">'(31)'!$A$1:$J$60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 No Trip'!$A$1:$J$60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  <definedName name="_xlnm.Print_Area" localSheetId="54">'16,12 R1'!$A$1:$J$60</definedName>
    <definedName name="_xlnm.Print_Area" localSheetId="55">'16,12 R2'!$A$1:$J$60</definedName>
    <definedName name="_xlnm.Print_Area" localSheetId="56">'16,12 R3'!$A$1:$J$60</definedName>
    <definedName name="_xlnm.Print_Area" localSheetId="58">'17,12 R1'!$A$1:$J$60</definedName>
    <definedName name="_xlnm.Print_Area" localSheetId="59">'17,12 R2'!$A$1:$J$60</definedName>
    <definedName name="_xlnm.Print_Area" localSheetId="60">'17,12 R3'!$A$1:$J$60</definedName>
    <definedName name="_xlnm.Print_Area" localSheetId="62">'18,12 R1'!$A$1:$J$60</definedName>
    <definedName name="_xlnm.Print_Area" localSheetId="63">'18,12 R2'!$A$1:$J$60</definedName>
    <definedName name="_xlnm.Print_Area" localSheetId="64">'18,12 R3'!$A$1:$J$60</definedName>
    <definedName name="_xlnm.Print_Area" localSheetId="66">'19,12 R1'!$A$1:$J$60</definedName>
    <definedName name="_xlnm.Print_Area" localSheetId="67">'19,12 R2'!$A$1:$J$60</definedName>
    <definedName name="_xlnm.Print_Area" localSheetId="68">'19,12 R3'!$A$1:$J$60</definedName>
    <definedName name="_xlnm.Print_Area" localSheetId="70">'20,12 R1'!$A$1:$J$60</definedName>
    <definedName name="_xlnm.Print_Area" localSheetId="71">'20,12 R2'!$A$1:$J$60</definedName>
    <definedName name="_xlnm.Print_Area" localSheetId="72">'20,12 R3'!$A$1:$J$60</definedName>
    <definedName name="_xlnm.Print_Area" localSheetId="74">'22,12 R1'!$A$1:$J$60</definedName>
    <definedName name="_xlnm.Print_Area" localSheetId="75">'22,12 R2'!$A$1:$J$60</definedName>
    <definedName name="_xlnm.Print_Area" localSheetId="76">'22,12 R3'!$A$1:$J$60</definedName>
    <definedName name="_xlnm.Print_Area" localSheetId="78">'23,12 R1'!$A$1:$J$60</definedName>
    <definedName name="_xlnm.Print_Area" localSheetId="79">'23,12 R2'!$A$1:$J$60</definedName>
    <definedName name="_xlnm.Print_Area" localSheetId="80">'23,12 R3'!$A$1:$J$60</definedName>
    <definedName name="_xlnm.Print_Area" localSheetId="82">'24,12 R1'!$A$1:$J$60</definedName>
    <definedName name="_xlnm.Print_Area" localSheetId="83">'24,12 R2'!$A$1:$J$60</definedName>
    <definedName name="_xlnm.Print_Area" localSheetId="84">'24,12 R3'!$A$1:$J$60</definedName>
    <definedName name="_xlnm.Print_Area" localSheetId="86">'25,12 R1'!$A$1:$J$60</definedName>
    <definedName name="_xlnm.Print_Area" localSheetId="87">'25,12 R2'!$A$1:$J$60</definedName>
    <definedName name="_xlnm.Print_Area" localSheetId="88">'25,12 R3'!$A$1:$J$60</definedName>
    <definedName name="_xlnm.Print_Area" localSheetId="90">'26,12 R1'!$A$1:$J$60</definedName>
    <definedName name="_xlnm.Print_Area" localSheetId="91">'26,12 R2'!$A$1:$J$60</definedName>
    <definedName name="_xlnm.Print_Area" localSheetId="92">'26,12 R3'!$A$1:$J$60</definedName>
    <definedName name="_xlnm.Print_Area" localSheetId="94">'27,12 R1'!$A$1:$J$60</definedName>
    <definedName name="_xlnm.Print_Area" localSheetId="95">'27,12 R2'!$A$1:$J$60</definedName>
    <definedName name="_xlnm.Print_Area" localSheetId="96">'27,12 R3'!$A$1:$J$60</definedName>
    <definedName name="_xlnm.Print_Area" localSheetId="98">'29,12 R1'!$A$1:$J$60</definedName>
    <definedName name="_xlnm.Print_Area" localSheetId="99">'29,12 R2'!$A$1:$J$60</definedName>
    <definedName name="_xlnm.Print_Area" localSheetId="100">'29,12 R3'!$A$1:$J$60</definedName>
    <definedName name="_xlnm.Print_Area" localSheetId="102">'30,12 R1'!$A$1:$J$60</definedName>
    <definedName name="_xlnm.Print_Area" localSheetId="103">'30,12 R2'!$A$1:$J$60</definedName>
    <definedName name="_xlnm.Print_Area" localSheetId="104">'30,12 R3'!$A$1:$J$60</definedName>
    <definedName name="_xlnm.Print_Area" localSheetId="106">'31,12 R1'!$A$1:$J$60</definedName>
    <definedName name="_xlnm.Print_Area" localSheetId="107">'31,12 R2'!$A$1:$J$60</definedName>
    <definedName name="_xlnm.Print_Area" localSheetId="108">'31,12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610" l="1"/>
  <c r="H16" i="1612"/>
  <c r="C12" i="1611"/>
  <c r="C20" i="1610"/>
  <c r="C12" i="1610"/>
  <c r="L25" i="1607" l="1"/>
  <c r="H16" i="1608" l="1"/>
  <c r="H16" i="1607"/>
  <c r="H16" i="1606"/>
  <c r="C12" i="1608" l="1"/>
  <c r="C12" i="1607"/>
  <c r="L25" i="1603" l="1"/>
  <c r="H16" i="1604" l="1"/>
  <c r="R52" i="1644" l="1"/>
  <c r="R51" i="1644"/>
  <c r="D50" i="1644"/>
  <c r="R49" i="1644"/>
  <c r="D49" i="1644"/>
  <c r="R48" i="1644"/>
  <c r="D48" i="1644"/>
  <c r="D46" i="1644"/>
  <c r="D45" i="1644"/>
  <c r="D44" i="1644"/>
  <c r="R42" i="1644"/>
  <c r="D42" i="1644"/>
  <c r="R41" i="1644"/>
  <c r="L7" i="1644" s="1"/>
  <c r="D7" i="1644" s="1"/>
  <c r="D41" i="1644"/>
  <c r="R40" i="1644"/>
  <c r="D40" i="1644"/>
  <c r="R39" i="1644"/>
  <c r="H39" i="1644"/>
  <c r="D39" i="1644"/>
  <c r="R38" i="1644"/>
  <c r="H38" i="1644"/>
  <c r="D38" i="1644"/>
  <c r="R37" i="1644"/>
  <c r="H37" i="1644"/>
  <c r="D37" i="1644"/>
  <c r="R36" i="1644"/>
  <c r="H36" i="1644"/>
  <c r="D36" i="1644"/>
  <c r="R35" i="1644"/>
  <c r="L19" i="1644" s="1"/>
  <c r="D19" i="1644" s="1"/>
  <c r="H35" i="1644"/>
  <c r="D35" i="1644"/>
  <c r="D54" i="1644" s="1"/>
  <c r="H14" i="1644" s="1"/>
  <c r="R34" i="1644"/>
  <c r="H34" i="1644"/>
  <c r="G49" i="1644" s="1"/>
  <c r="D34" i="1644"/>
  <c r="R33" i="1644"/>
  <c r="R32" i="1644"/>
  <c r="R31" i="1644"/>
  <c r="R30" i="1644"/>
  <c r="R29" i="1644"/>
  <c r="R28" i="1644"/>
  <c r="L16" i="1644" s="1"/>
  <c r="D16" i="1644" s="1"/>
  <c r="D28" i="1644"/>
  <c r="R27" i="1644"/>
  <c r="D27" i="1644"/>
  <c r="R26" i="1644"/>
  <c r="L26" i="1644"/>
  <c r="D26" i="1644" s="1"/>
  <c r="R25" i="1644"/>
  <c r="L25" i="1644"/>
  <c r="D25" i="1644"/>
  <c r="R24" i="1644"/>
  <c r="D24" i="1644"/>
  <c r="R23" i="1644"/>
  <c r="L23" i="1644"/>
  <c r="D23" i="1644" s="1"/>
  <c r="R22" i="1644"/>
  <c r="L22" i="1644"/>
  <c r="D22" i="1644"/>
  <c r="R21" i="1644"/>
  <c r="D21" i="1644"/>
  <c r="R20" i="1644"/>
  <c r="L20" i="1644"/>
  <c r="D20" i="1644" s="1"/>
  <c r="R19" i="1644"/>
  <c r="R18" i="1644"/>
  <c r="D18" i="1644"/>
  <c r="R17" i="1644"/>
  <c r="D17" i="1644"/>
  <c r="R16" i="1644"/>
  <c r="R15" i="1644"/>
  <c r="D15" i="1644"/>
  <c r="R14" i="1644"/>
  <c r="D14" i="1644"/>
  <c r="R13" i="1644"/>
  <c r="D13" i="1644"/>
  <c r="R12" i="1644"/>
  <c r="L12" i="1644"/>
  <c r="D12" i="1644"/>
  <c r="R11" i="1644"/>
  <c r="L11" i="1644"/>
  <c r="D11" i="1644"/>
  <c r="L10" i="1644"/>
  <c r="D10" i="1644"/>
  <c r="L9" i="1644"/>
  <c r="D9" i="1644"/>
  <c r="L8" i="1644"/>
  <c r="D8" i="1644"/>
  <c r="R6" i="1644"/>
  <c r="L6" i="1644"/>
  <c r="D6" i="1644" s="1"/>
  <c r="R5" i="1644"/>
  <c r="R4" i="1644"/>
  <c r="R52" i="1643"/>
  <c r="R51" i="1643"/>
  <c r="D50" i="1643"/>
  <c r="R49" i="1643"/>
  <c r="D49" i="1643"/>
  <c r="R48" i="1643"/>
  <c r="D48" i="1643"/>
  <c r="D46" i="1643"/>
  <c r="D45" i="1643"/>
  <c r="D44" i="1643"/>
  <c r="R42" i="1643"/>
  <c r="L6" i="1643" s="1"/>
  <c r="D6" i="1643" s="1"/>
  <c r="D42" i="1643"/>
  <c r="R41" i="1643"/>
  <c r="L7" i="1643" s="1"/>
  <c r="D7" i="1643" s="1"/>
  <c r="D41" i="1643"/>
  <c r="R40" i="1643"/>
  <c r="D40" i="1643"/>
  <c r="R39" i="1643"/>
  <c r="H39" i="1643"/>
  <c r="D39" i="1643"/>
  <c r="R38" i="1643"/>
  <c r="L9" i="1643" s="1"/>
  <c r="D9" i="1643" s="1"/>
  <c r="H38" i="1643"/>
  <c r="D38" i="1643"/>
  <c r="R37" i="1643"/>
  <c r="H37" i="1643"/>
  <c r="D37" i="1643"/>
  <c r="R36" i="1643"/>
  <c r="H36" i="1643"/>
  <c r="G49" i="1643" s="1"/>
  <c r="D36" i="1643"/>
  <c r="R35" i="1643"/>
  <c r="L19" i="1643" s="1"/>
  <c r="D19" i="1643" s="1"/>
  <c r="H35" i="1643"/>
  <c r="D35" i="1643"/>
  <c r="R34" i="1643"/>
  <c r="H34" i="1643"/>
  <c r="D34" i="1643"/>
  <c r="D54" i="1643" s="1"/>
  <c r="H14" i="1643" s="1"/>
  <c r="R33" i="1643"/>
  <c r="R32" i="1643"/>
  <c r="R31" i="1643"/>
  <c r="R30" i="1643"/>
  <c r="R29" i="1643"/>
  <c r="R28" i="1643"/>
  <c r="D28" i="1643"/>
  <c r="R27" i="1643"/>
  <c r="D27" i="1643"/>
  <c r="R26" i="1643"/>
  <c r="L26" i="1643"/>
  <c r="D26" i="1643"/>
  <c r="R25" i="1643"/>
  <c r="L25" i="1643"/>
  <c r="D25" i="1643"/>
  <c r="R24" i="1643"/>
  <c r="L24" i="1643"/>
  <c r="D24" i="1643"/>
  <c r="R23" i="1643"/>
  <c r="L23" i="1643"/>
  <c r="D23" i="1643"/>
  <c r="R22" i="1643"/>
  <c r="L22" i="1643"/>
  <c r="D22" i="1643" s="1"/>
  <c r="R21" i="1643"/>
  <c r="L17" i="1643" s="1"/>
  <c r="D17" i="1643" s="1"/>
  <c r="D21" i="1643"/>
  <c r="R20" i="1643"/>
  <c r="L20" i="1643"/>
  <c r="D20" i="1643"/>
  <c r="R19" i="1643"/>
  <c r="R18" i="1643"/>
  <c r="D18" i="1643"/>
  <c r="R17" i="1643"/>
  <c r="R16" i="1643"/>
  <c r="L16" i="1643"/>
  <c r="D16" i="1643" s="1"/>
  <c r="R15" i="1643"/>
  <c r="D15" i="1643"/>
  <c r="R14" i="1643"/>
  <c r="D14" i="1643"/>
  <c r="R13" i="1643"/>
  <c r="D13" i="1643"/>
  <c r="R12" i="1643"/>
  <c r="L12" i="1643"/>
  <c r="D12" i="1643" s="1"/>
  <c r="R11" i="1643"/>
  <c r="L11" i="1643"/>
  <c r="D11" i="1643"/>
  <c r="L10" i="1643"/>
  <c r="D10" i="1643"/>
  <c r="L8" i="1643"/>
  <c r="D8" i="1643"/>
  <c r="R6" i="1643"/>
  <c r="R5" i="1643"/>
  <c r="R4" i="1643"/>
  <c r="R52" i="1642"/>
  <c r="R51" i="1642"/>
  <c r="D50" i="1642"/>
  <c r="R49" i="1642"/>
  <c r="D49" i="1642"/>
  <c r="R48" i="1642"/>
  <c r="D48" i="1642"/>
  <c r="D46" i="1642"/>
  <c r="D45" i="1642"/>
  <c r="P44" i="1642"/>
  <c r="R44" i="1642" s="1"/>
  <c r="D44" i="1642"/>
  <c r="R42" i="1642"/>
  <c r="L6" i="1642" s="1"/>
  <c r="D6" i="1642" s="1"/>
  <c r="D42" i="1642"/>
  <c r="R41" i="1642"/>
  <c r="D41" i="1642"/>
  <c r="R40" i="1642"/>
  <c r="L8" i="1642" s="1"/>
  <c r="D8" i="1642" s="1"/>
  <c r="D40" i="1642"/>
  <c r="R39" i="1642"/>
  <c r="L20" i="1642" s="1"/>
  <c r="D20" i="1642" s="1"/>
  <c r="H39" i="1642"/>
  <c r="D39" i="1642"/>
  <c r="R38" i="1642"/>
  <c r="H38" i="1642"/>
  <c r="D38" i="1642"/>
  <c r="R37" i="1642"/>
  <c r="H37" i="1642"/>
  <c r="D37" i="1642"/>
  <c r="R36" i="1642"/>
  <c r="H36" i="1642"/>
  <c r="D36" i="1642"/>
  <c r="R35" i="1642"/>
  <c r="H35" i="1642"/>
  <c r="D35" i="1642"/>
  <c r="D54" i="1642" s="1"/>
  <c r="H14" i="1642" s="1"/>
  <c r="R34" i="1642"/>
  <c r="H34" i="1642"/>
  <c r="G49" i="1642" s="1"/>
  <c r="D34" i="1642"/>
  <c r="R33" i="1642"/>
  <c r="R32" i="1642"/>
  <c r="L11" i="1642" s="1"/>
  <c r="D11" i="1642" s="1"/>
  <c r="R31" i="1642"/>
  <c r="R30" i="1642"/>
  <c r="R29" i="1642"/>
  <c r="R28" i="1642"/>
  <c r="D28" i="1642"/>
  <c r="R27" i="1642"/>
  <c r="D27" i="1642"/>
  <c r="R26" i="1642"/>
  <c r="L26" i="1642"/>
  <c r="D26" i="1642" s="1"/>
  <c r="R25" i="1642"/>
  <c r="L25" i="1642"/>
  <c r="D25" i="1642"/>
  <c r="R24" i="1642"/>
  <c r="L24" i="1642"/>
  <c r="D24" i="1642"/>
  <c r="R23" i="1642"/>
  <c r="D23" i="1642"/>
  <c r="R22" i="1642"/>
  <c r="D22" i="1642"/>
  <c r="R21" i="1642"/>
  <c r="D21" i="1642"/>
  <c r="R20" i="1642"/>
  <c r="R19" i="1642"/>
  <c r="D19" i="1642"/>
  <c r="R18" i="1642"/>
  <c r="D18" i="1642"/>
  <c r="R17" i="1642"/>
  <c r="L17" i="1642"/>
  <c r="D17" i="1642"/>
  <c r="R16" i="1642"/>
  <c r="L16" i="1642"/>
  <c r="D16" i="1642"/>
  <c r="R15" i="1642"/>
  <c r="D15" i="1642"/>
  <c r="R14" i="1642"/>
  <c r="D14" i="1642"/>
  <c r="R13" i="1642"/>
  <c r="D13" i="1642"/>
  <c r="R12" i="1642"/>
  <c r="L12" i="1642"/>
  <c r="D12" i="1642"/>
  <c r="R11" i="1642"/>
  <c r="L10" i="1642"/>
  <c r="D10" i="1642" s="1"/>
  <c r="L9" i="1642"/>
  <c r="D9" i="1642" s="1"/>
  <c r="L7" i="1642"/>
  <c r="D7" i="1642" s="1"/>
  <c r="R6" i="1642"/>
  <c r="R5" i="1642"/>
  <c r="R4" i="1642"/>
  <c r="R52" i="1641"/>
  <c r="R51" i="1641"/>
  <c r="D50" i="1641"/>
  <c r="R49" i="1641"/>
  <c r="G49" i="1641"/>
  <c r="D49" i="1641"/>
  <c r="R48" i="1641"/>
  <c r="D48" i="1641"/>
  <c r="D46" i="1641"/>
  <c r="D45" i="1641"/>
  <c r="D44" i="1641"/>
  <c r="R42" i="1641"/>
  <c r="L6" i="1641" s="1"/>
  <c r="D6" i="1641" s="1"/>
  <c r="D42" i="1641"/>
  <c r="R41" i="1641"/>
  <c r="L7" i="1641" s="1"/>
  <c r="D7" i="1641" s="1"/>
  <c r="D41" i="1641"/>
  <c r="R40" i="1641"/>
  <c r="D40" i="1641"/>
  <c r="R39" i="1641"/>
  <c r="D39" i="1641"/>
  <c r="R38" i="1641"/>
  <c r="D38" i="1641"/>
  <c r="R37" i="1641"/>
  <c r="D37" i="1641"/>
  <c r="R36" i="1641"/>
  <c r="D36" i="1641"/>
  <c r="R35" i="1641"/>
  <c r="D35" i="1641"/>
  <c r="R34" i="1641"/>
  <c r="L12" i="1641" s="1"/>
  <c r="D12" i="1641" s="1"/>
  <c r="D34" i="1641"/>
  <c r="D54" i="1641" s="1"/>
  <c r="H14" i="1641" s="1"/>
  <c r="R33" i="1641"/>
  <c r="L23" i="1641" s="1"/>
  <c r="D23" i="1641" s="1"/>
  <c r="R32" i="1641"/>
  <c r="R31" i="1641"/>
  <c r="R30" i="1641"/>
  <c r="R29" i="1641"/>
  <c r="R28" i="1641"/>
  <c r="L16" i="1641" s="1"/>
  <c r="D16" i="1641" s="1"/>
  <c r="D28" i="1641"/>
  <c r="R27" i="1641"/>
  <c r="D27" i="1641"/>
  <c r="R26" i="1641"/>
  <c r="L26" i="1641"/>
  <c r="D26" i="1641"/>
  <c r="R25" i="1641"/>
  <c r="L25" i="1641"/>
  <c r="D25" i="1641"/>
  <c r="R24" i="1641"/>
  <c r="D24" i="1641"/>
  <c r="R23" i="1641"/>
  <c r="R22" i="1641"/>
  <c r="L22" i="1641"/>
  <c r="D22" i="1641"/>
  <c r="R21" i="1641"/>
  <c r="D21" i="1641"/>
  <c r="R20" i="1641"/>
  <c r="L20" i="1641"/>
  <c r="D20" i="1641" s="1"/>
  <c r="R19" i="1641"/>
  <c r="L19" i="1641"/>
  <c r="D19" i="1641"/>
  <c r="R18" i="1641"/>
  <c r="D18" i="1641"/>
  <c r="R17" i="1641"/>
  <c r="D17" i="1641"/>
  <c r="R16" i="1641"/>
  <c r="S15" i="1641"/>
  <c r="R15" i="1641"/>
  <c r="D15" i="1641"/>
  <c r="S14" i="1641"/>
  <c r="R14" i="1641"/>
  <c r="D14" i="1641"/>
  <c r="R13" i="1641"/>
  <c r="D13" i="1641"/>
  <c r="R12" i="1641"/>
  <c r="R11" i="1641"/>
  <c r="L11" i="1641"/>
  <c r="D11" i="1641" s="1"/>
  <c r="L10" i="1641"/>
  <c r="D10" i="1641"/>
  <c r="L9" i="1641"/>
  <c r="D9" i="1641"/>
  <c r="L8" i="1641"/>
  <c r="D8" i="1641" s="1"/>
  <c r="R6" i="1641"/>
  <c r="R5" i="1641"/>
  <c r="R4" i="1641"/>
  <c r="R52" i="1640"/>
  <c r="R51" i="1640"/>
  <c r="D50" i="1640"/>
  <c r="R49" i="1640"/>
  <c r="D49" i="1640"/>
  <c r="R48" i="1640"/>
  <c r="D48" i="1640"/>
  <c r="D46" i="1640"/>
  <c r="D45" i="1640"/>
  <c r="D44" i="1640"/>
  <c r="R42" i="1640"/>
  <c r="D42" i="1640"/>
  <c r="R41" i="1640"/>
  <c r="D41" i="1640"/>
  <c r="R40" i="1640"/>
  <c r="D40" i="1640"/>
  <c r="R39" i="1640"/>
  <c r="H39" i="1640"/>
  <c r="D39" i="1640"/>
  <c r="R38" i="1640"/>
  <c r="L9" i="1640" s="1"/>
  <c r="D9" i="1640" s="1"/>
  <c r="H38" i="1640"/>
  <c r="D38" i="1640"/>
  <c r="R37" i="1640"/>
  <c r="H37" i="1640"/>
  <c r="D37" i="1640"/>
  <c r="R36" i="1640"/>
  <c r="H36" i="1640"/>
  <c r="D36" i="1640"/>
  <c r="R35" i="1640"/>
  <c r="L19" i="1640" s="1"/>
  <c r="D19" i="1640" s="1"/>
  <c r="H35" i="1640"/>
  <c r="G49" i="1640" s="1"/>
  <c r="D35" i="1640"/>
  <c r="D54" i="1640" s="1"/>
  <c r="H14" i="1640" s="1"/>
  <c r="R34" i="1640"/>
  <c r="L12" i="1640" s="1"/>
  <c r="D12" i="1640" s="1"/>
  <c r="H34" i="1640"/>
  <c r="D34" i="1640"/>
  <c r="R33" i="1640"/>
  <c r="R32" i="1640"/>
  <c r="R31" i="1640"/>
  <c r="R30" i="1640"/>
  <c r="R29" i="1640"/>
  <c r="R28" i="1640"/>
  <c r="L16" i="1640" s="1"/>
  <c r="D16" i="1640" s="1"/>
  <c r="D28" i="1640"/>
  <c r="R27" i="1640"/>
  <c r="D27" i="1640"/>
  <c r="R26" i="1640"/>
  <c r="L26" i="1640"/>
  <c r="D26" i="1640"/>
  <c r="R25" i="1640"/>
  <c r="L25" i="1640"/>
  <c r="D25" i="1640"/>
  <c r="R24" i="1640"/>
  <c r="D24" i="1640"/>
  <c r="R23" i="1640"/>
  <c r="L23" i="1640"/>
  <c r="D23" i="1640"/>
  <c r="R22" i="1640"/>
  <c r="L22" i="1640"/>
  <c r="D22" i="1640"/>
  <c r="R21" i="1640"/>
  <c r="D21" i="1640"/>
  <c r="R20" i="1640"/>
  <c r="L20" i="1640"/>
  <c r="D20" i="1640"/>
  <c r="R19" i="1640"/>
  <c r="R18" i="1640"/>
  <c r="D18" i="1640"/>
  <c r="R17" i="1640"/>
  <c r="D17" i="1640"/>
  <c r="R16" i="1640"/>
  <c r="R15" i="1640"/>
  <c r="D15" i="1640"/>
  <c r="R14" i="1640"/>
  <c r="D14" i="1640"/>
  <c r="R13" i="1640"/>
  <c r="D13" i="1640"/>
  <c r="R12" i="1640"/>
  <c r="R11" i="1640"/>
  <c r="L11" i="1640"/>
  <c r="D11" i="1640" s="1"/>
  <c r="L10" i="1640"/>
  <c r="D10" i="1640"/>
  <c r="L8" i="1640"/>
  <c r="D8" i="1640"/>
  <c r="L7" i="1640"/>
  <c r="D7" i="1640" s="1"/>
  <c r="R6" i="1640"/>
  <c r="L6" i="1640"/>
  <c r="D6" i="1640"/>
  <c r="R5" i="1640"/>
  <c r="R4" i="1640"/>
  <c r="R52" i="1639"/>
  <c r="R51" i="1639"/>
  <c r="D50" i="1639"/>
  <c r="R49" i="1639"/>
  <c r="D49" i="1639"/>
  <c r="R48" i="1639"/>
  <c r="D48" i="1639"/>
  <c r="D46" i="1639"/>
  <c r="D45" i="1639"/>
  <c r="D44" i="1639"/>
  <c r="R42" i="1639"/>
  <c r="L6" i="1639" s="1"/>
  <c r="D6" i="1639" s="1"/>
  <c r="D42" i="1639"/>
  <c r="R41" i="1639"/>
  <c r="L7" i="1639" s="1"/>
  <c r="D7" i="1639" s="1"/>
  <c r="D41" i="1639"/>
  <c r="R40" i="1639"/>
  <c r="D40" i="1639"/>
  <c r="R39" i="1639"/>
  <c r="H39" i="1639"/>
  <c r="D39" i="1639"/>
  <c r="R38" i="1639"/>
  <c r="L9" i="1639" s="1"/>
  <c r="D9" i="1639" s="1"/>
  <c r="H38" i="1639"/>
  <c r="D38" i="1639"/>
  <c r="R37" i="1639"/>
  <c r="H37" i="1639"/>
  <c r="D37" i="1639"/>
  <c r="R36" i="1639"/>
  <c r="H36" i="1639"/>
  <c r="D36" i="1639"/>
  <c r="R35" i="1639"/>
  <c r="L19" i="1639" s="1"/>
  <c r="D19" i="1639" s="1"/>
  <c r="H35" i="1639"/>
  <c r="D35" i="1639"/>
  <c r="R34" i="1639"/>
  <c r="H34" i="1639"/>
  <c r="G49" i="1639" s="1"/>
  <c r="D34" i="1639"/>
  <c r="D54" i="1639" s="1"/>
  <c r="H14" i="1639" s="1"/>
  <c r="R33" i="1639"/>
  <c r="L23" i="1639" s="1"/>
  <c r="D23" i="1639" s="1"/>
  <c r="R32" i="1639"/>
  <c r="L11" i="1639" s="1"/>
  <c r="D11" i="1639" s="1"/>
  <c r="R31" i="1639"/>
  <c r="R30" i="1639"/>
  <c r="R29" i="1639"/>
  <c r="R28" i="1639"/>
  <c r="D28" i="1639"/>
  <c r="R27" i="1639"/>
  <c r="D27" i="1639"/>
  <c r="R26" i="1639"/>
  <c r="L26" i="1639"/>
  <c r="D26" i="1639"/>
  <c r="R25" i="1639"/>
  <c r="L25" i="1639"/>
  <c r="D25" i="1639"/>
  <c r="R24" i="1639"/>
  <c r="L24" i="1639"/>
  <c r="D24" i="1639" s="1"/>
  <c r="R23" i="1639"/>
  <c r="R22" i="1639"/>
  <c r="L22" i="1639"/>
  <c r="D22" i="1639" s="1"/>
  <c r="R21" i="1639"/>
  <c r="L17" i="1639" s="1"/>
  <c r="D17" i="1639" s="1"/>
  <c r="D21" i="1639"/>
  <c r="R20" i="1639"/>
  <c r="L20" i="1639"/>
  <c r="D20" i="1639"/>
  <c r="R19" i="1639"/>
  <c r="R18" i="1639"/>
  <c r="D18" i="1639"/>
  <c r="R17" i="1639"/>
  <c r="R16" i="1639"/>
  <c r="L16" i="1639"/>
  <c r="D16" i="1639" s="1"/>
  <c r="R15" i="1639"/>
  <c r="D15" i="1639"/>
  <c r="R14" i="1639"/>
  <c r="D14" i="1639"/>
  <c r="R13" i="1639"/>
  <c r="D13" i="1639"/>
  <c r="R12" i="1639"/>
  <c r="L12" i="1639"/>
  <c r="D12" i="1639" s="1"/>
  <c r="R11" i="1639"/>
  <c r="L10" i="1639"/>
  <c r="D10" i="1639"/>
  <c r="L8" i="1639"/>
  <c r="D8" i="1639"/>
  <c r="R6" i="1639"/>
  <c r="R5" i="1639"/>
  <c r="R4" i="1639"/>
  <c r="R52" i="1638"/>
  <c r="R51" i="1638"/>
  <c r="D50" i="1638"/>
  <c r="R49" i="1638"/>
  <c r="D49" i="1638"/>
  <c r="R48" i="1638"/>
  <c r="D48" i="1638"/>
  <c r="D46" i="1638"/>
  <c r="D45" i="1638"/>
  <c r="P44" i="1638"/>
  <c r="R44" i="1638" s="1"/>
  <c r="D44" i="1638"/>
  <c r="R42" i="1638"/>
  <c r="L6" i="1638" s="1"/>
  <c r="D6" i="1638" s="1"/>
  <c r="D42" i="1638"/>
  <c r="R41" i="1638"/>
  <c r="D41" i="1638"/>
  <c r="R40" i="1638"/>
  <c r="D40" i="1638"/>
  <c r="R39" i="1638"/>
  <c r="H39" i="1638"/>
  <c r="D39" i="1638"/>
  <c r="R38" i="1638"/>
  <c r="H38" i="1638"/>
  <c r="D38" i="1638"/>
  <c r="R37" i="1638"/>
  <c r="H37" i="1638"/>
  <c r="D37" i="1638"/>
  <c r="R36" i="1638"/>
  <c r="L10" i="1638" s="1"/>
  <c r="D10" i="1638" s="1"/>
  <c r="H36" i="1638"/>
  <c r="D36" i="1638"/>
  <c r="D54" i="1638" s="1"/>
  <c r="H14" i="1638" s="1"/>
  <c r="R35" i="1638"/>
  <c r="H35" i="1638"/>
  <c r="G49" i="1638" s="1"/>
  <c r="D35" i="1638"/>
  <c r="R34" i="1638"/>
  <c r="L12" i="1638" s="1"/>
  <c r="D12" i="1638" s="1"/>
  <c r="H34" i="1638"/>
  <c r="D34" i="1638"/>
  <c r="R33" i="1638"/>
  <c r="R32" i="1638"/>
  <c r="L11" i="1638" s="1"/>
  <c r="D11" i="1638" s="1"/>
  <c r="R31" i="1638"/>
  <c r="R30" i="1638"/>
  <c r="R29" i="1638"/>
  <c r="R28" i="1638"/>
  <c r="L16" i="1638" s="1"/>
  <c r="D16" i="1638" s="1"/>
  <c r="D28" i="1638"/>
  <c r="R27" i="1638"/>
  <c r="D27" i="1638"/>
  <c r="R26" i="1638"/>
  <c r="L26" i="1638"/>
  <c r="D26" i="1638"/>
  <c r="R25" i="1638"/>
  <c r="L25" i="1638"/>
  <c r="D25" i="1638" s="1"/>
  <c r="R24" i="1638"/>
  <c r="L24" i="1638"/>
  <c r="D24" i="1638" s="1"/>
  <c r="R23" i="1638"/>
  <c r="D23" i="1638"/>
  <c r="R22" i="1638"/>
  <c r="D22" i="1638"/>
  <c r="R21" i="1638"/>
  <c r="D21" i="1638"/>
  <c r="R20" i="1638"/>
  <c r="L20" i="1638"/>
  <c r="D20" i="1638" s="1"/>
  <c r="R19" i="1638"/>
  <c r="D19" i="1638"/>
  <c r="R18" i="1638"/>
  <c r="D18" i="1638"/>
  <c r="R17" i="1638"/>
  <c r="L17" i="1638"/>
  <c r="D17" i="1638" s="1"/>
  <c r="R16" i="1638"/>
  <c r="R15" i="1638"/>
  <c r="D15" i="1638"/>
  <c r="R14" i="1638"/>
  <c r="D14" i="1638"/>
  <c r="R13" i="1638"/>
  <c r="D13" i="1638"/>
  <c r="R12" i="1638"/>
  <c r="R11" i="1638"/>
  <c r="L9" i="1638"/>
  <c r="D9" i="1638" s="1"/>
  <c r="L8" i="1638"/>
  <c r="D8" i="1638" s="1"/>
  <c r="L7" i="1638"/>
  <c r="D7" i="1638"/>
  <c r="R6" i="1638"/>
  <c r="R5" i="1638"/>
  <c r="R4" i="1638"/>
  <c r="R52" i="1637"/>
  <c r="R51" i="1637"/>
  <c r="D50" i="1637"/>
  <c r="R49" i="1637"/>
  <c r="G49" i="1637"/>
  <c r="D49" i="1637"/>
  <c r="R48" i="1637"/>
  <c r="D48" i="1637"/>
  <c r="D46" i="1637"/>
  <c r="D45" i="1637"/>
  <c r="D44" i="1637"/>
  <c r="R42" i="1637"/>
  <c r="D42" i="1637"/>
  <c r="R41" i="1637"/>
  <c r="L7" i="1637" s="1"/>
  <c r="D7" i="1637" s="1"/>
  <c r="D41" i="1637"/>
  <c r="R40" i="1637"/>
  <c r="L8" i="1637" s="1"/>
  <c r="D8" i="1637" s="1"/>
  <c r="D40" i="1637"/>
  <c r="R39" i="1637"/>
  <c r="D39" i="1637"/>
  <c r="R38" i="1637"/>
  <c r="D38" i="1637"/>
  <c r="R37" i="1637"/>
  <c r="D37" i="1637"/>
  <c r="D54" i="1637" s="1"/>
  <c r="H14" i="1637" s="1"/>
  <c r="R36" i="1637"/>
  <c r="D36" i="1637"/>
  <c r="R35" i="1637"/>
  <c r="L19" i="1637" s="1"/>
  <c r="D19" i="1637" s="1"/>
  <c r="D35" i="1637"/>
  <c r="R34" i="1637"/>
  <c r="D34" i="1637"/>
  <c r="R33" i="1637"/>
  <c r="L23" i="1637" s="1"/>
  <c r="D23" i="1637" s="1"/>
  <c r="R32" i="1637"/>
  <c r="R31" i="1637"/>
  <c r="R30" i="1637"/>
  <c r="R29" i="1637"/>
  <c r="R28" i="1637"/>
  <c r="L16" i="1637" s="1"/>
  <c r="D16" i="1637" s="1"/>
  <c r="D28" i="1637"/>
  <c r="R27" i="1637"/>
  <c r="D27" i="1637"/>
  <c r="R26" i="1637"/>
  <c r="L26" i="1637"/>
  <c r="D26" i="1637" s="1"/>
  <c r="R25" i="1637"/>
  <c r="L25" i="1637"/>
  <c r="D25" i="1637"/>
  <c r="R24" i="1637"/>
  <c r="D24" i="1637"/>
  <c r="R23" i="1637"/>
  <c r="R22" i="1637"/>
  <c r="L22" i="1637"/>
  <c r="D22" i="1637" s="1"/>
  <c r="R21" i="1637"/>
  <c r="D21" i="1637"/>
  <c r="R20" i="1637"/>
  <c r="L20" i="1637"/>
  <c r="D20" i="1637" s="1"/>
  <c r="R19" i="1637"/>
  <c r="R18" i="1637"/>
  <c r="D18" i="1637"/>
  <c r="R17" i="1637"/>
  <c r="D17" i="1637"/>
  <c r="R16" i="1637"/>
  <c r="S15" i="1637"/>
  <c r="R15" i="1637"/>
  <c r="D15" i="1637"/>
  <c r="S14" i="1637"/>
  <c r="R14" i="1637"/>
  <c r="D14" i="1637"/>
  <c r="R13" i="1637"/>
  <c r="D13" i="1637"/>
  <c r="R12" i="1637"/>
  <c r="L12" i="1637"/>
  <c r="D12" i="1637"/>
  <c r="R11" i="1637"/>
  <c r="L11" i="1637"/>
  <c r="D11" i="1637" s="1"/>
  <c r="L10" i="1637"/>
  <c r="D10" i="1637"/>
  <c r="L9" i="1637"/>
  <c r="D9" i="1637"/>
  <c r="R6" i="1637"/>
  <c r="L6" i="1637"/>
  <c r="D6" i="1637" s="1"/>
  <c r="R5" i="1637"/>
  <c r="R4" i="1637"/>
  <c r="D54" i="1636"/>
  <c r="H14" i="1636" s="1"/>
  <c r="R52" i="1636"/>
  <c r="R51" i="1636"/>
  <c r="D50" i="1636"/>
  <c r="R49" i="1636"/>
  <c r="D49" i="1636"/>
  <c r="R48" i="1636"/>
  <c r="D48" i="1636"/>
  <c r="D46" i="1636"/>
  <c r="D45" i="1636"/>
  <c r="D44" i="1636"/>
  <c r="R42" i="1636"/>
  <c r="D42" i="1636"/>
  <c r="R41" i="1636"/>
  <c r="L7" i="1636" s="1"/>
  <c r="D7" i="1636" s="1"/>
  <c r="D41" i="1636"/>
  <c r="R40" i="1636"/>
  <c r="D40" i="1636"/>
  <c r="R39" i="1636"/>
  <c r="H39" i="1636"/>
  <c r="D39" i="1636"/>
  <c r="R38" i="1636"/>
  <c r="H38" i="1636"/>
  <c r="D38" i="1636"/>
  <c r="R37" i="1636"/>
  <c r="H37" i="1636"/>
  <c r="D37" i="1636"/>
  <c r="R36" i="1636"/>
  <c r="H36" i="1636"/>
  <c r="D36" i="1636"/>
  <c r="R35" i="1636"/>
  <c r="L19" i="1636" s="1"/>
  <c r="D19" i="1636" s="1"/>
  <c r="H35" i="1636"/>
  <c r="D35" i="1636"/>
  <c r="R34" i="1636"/>
  <c r="L12" i="1636" s="1"/>
  <c r="D12" i="1636" s="1"/>
  <c r="H34" i="1636"/>
  <c r="G49" i="1636" s="1"/>
  <c r="D34" i="1636"/>
  <c r="R33" i="1636"/>
  <c r="L23" i="1636" s="1"/>
  <c r="D23" i="1636" s="1"/>
  <c r="R32" i="1636"/>
  <c r="R31" i="1636"/>
  <c r="R30" i="1636"/>
  <c r="R29" i="1636"/>
  <c r="R28" i="1636"/>
  <c r="D28" i="1636"/>
  <c r="R27" i="1636"/>
  <c r="D27" i="1636"/>
  <c r="R26" i="1636"/>
  <c r="L26" i="1636"/>
  <c r="D26" i="1636" s="1"/>
  <c r="R25" i="1636"/>
  <c r="L25" i="1636"/>
  <c r="D25" i="1636"/>
  <c r="R24" i="1636"/>
  <c r="D24" i="1636"/>
  <c r="R23" i="1636"/>
  <c r="R22" i="1636"/>
  <c r="L22" i="1636"/>
  <c r="D22" i="1636"/>
  <c r="R21" i="1636"/>
  <c r="D21" i="1636"/>
  <c r="R20" i="1636"/>
  <c r="L20" i="1636"/>
  <c r="D20" i="1636" s="1"/>
  <c r="R19" i="1636"/>
  <c r="R18" i="1636"/>
  <c r="D18" i="1636"/>
  <c r="R17" i="1636"/>
  <c r="D17" i="1636"/>
  <c r="R16" i="1636"/>
  <c r="L16" i="1636"/>
  <c r="D16" i="1636" s="1"/>
  <c r="R15" i="1636"/>
  <c r="D15" i="1636"/>
  <c r="R14" i="1636"/>
  <c r="D14" i="1636"/>
  <c r="R13" i="1636"/>
  <c r="D13" i="1636"/>
  <c r="R12" i="1636"/>
  <c r="R11" i="1636"/>
  <c r="L11" i="1636"/>
  <c r="D11" i="1636"/>
  <c r="L10" i="1636"/>
  <c r="D10" i="1636"/>
  <c r="L9" i="1636"/>
  <c r="D9" i="1636"/>
  <c r="L8" i="1636"/>
  <c r="D8" i="1636" s="1"/>
  <c r="R6" i="1636"/>
  <c r="L6" i="1636"/>
  <c r="D6" i="1636" s="1"/>
  <c r="R5" i="1636"/>
  <c r="R4" i="1636"/>
  <c r="R52" i="1635"/>
  <c r="R51" i="1635"/>
  <c r="D50" i="1635"/>
  <c r="R49" i="1635"/>
  <c r="D49" i="1635"/>
  <c r="R48" i="1635"/>
  <c r="D48" i="1635"/>
  <c r="D46" i="1635"/>
  <c r="D45" i="1635"/>
  <c r="D44" i="1635"/>
  <c r="R42" i="1635"/>
  <c r="L6" i="1635" s="1"/>
  <c r="D6" i="1635" s="1"/>
  <c r="D42" i="1635"/>
  <c r="R41" i="1635"/>
  <c r="L7" i="1635" s="1"/>
  <c r="D7" i="1635" s="1"/>
  <c r="D41" i="1635"/>
  <c r="R40" i="1635"/>
  <c r="D40" i="1635"/>
  <c r="R39" i="1635"/>
  <c r="H39" i="1635"/>
  <c r="D39" i="1635"/>
  <c r="R38" i="1635"/>
  <c r="L9" i="1635" s="1"/>
  <c r="D9" i="1635" s="1"/>
  <c r="H38" i="1635"/>
  <c r="D38" i="1635"/>
  <c r="R37" i="1635"/>
  <c r="H37" i="1635"/>
  <c r="D37" i="1635"/>
  <c r="R36" i="1635"/>
  <c r="L10" i="1635" s="1"/>
  <c r="D10" i="1635" s="1"/>
  <c r="H36" i="1635"/>
  <c r="D36" i="1635"/>
  <c r="R35" i="1635"/>
  <c r="L19" i="1635" s="1"/>
  <c r="D19" i="1635" s="1"/>
  <c r="H35" i="1635"/>
  <c r="D35" i="1635"/>
  <c r="R34" i="1635"/>
  <c r="L12" i="1635" s="1"/>
  <c r="D12" i="1635" s="1"/>
  <c r="H34" i="1635"/>
  <c r="G49" i="1635" s="1"/>
  <c r="D34" i="1635"/>
  <c r="D54" i="1635" s="1"/>
  <c r="H14" i="1635" s="1"/>
  <c r="R33" i="1635"/>
  <c r="R32" i="1635"/>
  <c r="R31" i="1635"/>
  <c r="R30" i="1635"/>
  <c r="R29" i="1635"/>
  <c r="R28" i="1635"/>
  <c r="D28" i="1635"/>
  <c r="R27" i="1635"/>
  <c r="D27" i="1635"/>
  <c r="R26" i="1635"/>
  <c r="L26" i="1635"/>
  <c r="D26" i="1635"/>
  <c r="R25" i="1635"/>
  <c r="L25" i="1635"/>
  <c r="D25" i="1635" s="1"/>
  <c r="R24" i="1635"/>
  <c r="L24" i="1635"/>
  <c r="D24" i="1635" s="1"/>
  <c r="R23" i="1635"/>
  <c r="L23" i="1635"/>
  <c r="D23" i="1635" s="1"/>
  <c r="R22" i="1635"/>
  <c r="L22" i="1635"/>
  <c r="D22" i="1635" s="1"/>
  <c r="R21" i="1635"/>
  <c r="L17" i="1635" s="1"/>
  <c r="D17" i="1635" s="1"/>
  <c r="D21" i="1635"/>
  <c r="R20" i="1635"/>
  <c r="L20" i="1635"/>
  <c r="D20" i="1635" s="1"/>
  <c r="R19" i="1635"/>
  <c r="R18" i="1635"/>
  <c r="D18" i="1635"/>
  <c r="R17" i="1635"/>
  <c r="R16" i="1635"/>
  <c r="L16" i="1635"/>
  <c r="D16" i="1635" s="1"/>
  <c r="R15" i="1635"/>
  <c r="D15" i="1635"/>
  <c r="R14" i="1635"/>
  <c r="D14" i="1635"/>
  <c r="R13" i="1635"/>
  <c r="D13" i="1635"/>
  <c r="R12" i="1635"/>
  <c r="R11" i="1635"/>
  <c r="L11" i="1635"/>
  <c r="D11" i="1635"/>
  <c r="L8" i="1635"/>
  <c r="D8" i="1635"/>
  <c r="R6" i="1635"/>
  <c r="R5" i="1635"/>
  <c r="R4" i="1635"/>
  <c r="R52" i="1634"/>
  <c r="R51" i="1634"/>
  <c r="D50" i="1634"/>
  <c r="R49" i="1634"/>
  <c r="D49" i="1634"/>
  <c r="R48" i="1634"/>
  <c r="D48" i="1634"/>
  <c r="D46" i="1634"/>
  <c r="D45" i="1634"/>
  <c r="P44" i="1634"/>
  <c r="R44" i="1634" s="1"/>
  <c r="D44" i="1634"/>
  <c r="R42" i="1634"/>
  <c r="D42" i="1634"/>
  <c r="R41" i="1634"/>
  <c r="L7" i="1634" s="1"/>
  <c r="D7" i="1634" s="1"/>
  <c r="D41" i="1634"/>
  <c r="R40" i="1634"/>
  <c r="D40" i="1634"/>
  <c r="R39" i="1634"/>
  <c r="L20" i="1634" s="1"/>
  <c r="D20" i="1634" s="1"/>
  <c r="H39" i="1634"/>
  <c r="D39" i="1634"/>
  <c r="R38" i="1634"/>
  <c r="H38" i="1634"/>
  <c r="D38" i="1634"/>
  <c r="R37" i="1634"/>
  <c r="H37" i="1634"/>
  <c r="D37" i="1634"/>
  <c r="R36" i="1634"/>
  <c r="H36" i="1634"/>
  <c r="D36" i="1634"/>
  <c r="R35" i="1634"/>
  <c r="H35" i="1634"/>
  <c r="D35" i="1634"/>
  <c r="R34" i="1634"/>
  <c r="H34" i="1634"/>
  <c r="G49" i="1634" s="1"/>
  <c r="D34" i="1634"/>
  <c r="D54" i="1634" s="1"/>
  <c r="H14" i="1634" s="1"/>
  <c r="R33" i="1634"/>
  <c r="R32" i="1634"/>
  <c r="L11" i="1634" s="1"/>
  <c r="D11" i="1634" s="1"/>
  <c r="R31" i="1634"/>
  <c r="R30" i="1634"/>
  <c r="R29" i="1634"/>
  <c r="R28" i="1634"/>
  <c r="D28" i="1634"/>
  <c r="R27" i="1634"/>
  <c r="D27" i="1634"/>
  <c r="R26" i="1634"/>
  <c r="L26" i="1634"/>
  <c r="D26" i="1634"/>
  <c r="R25" i="1634"/>
  <c r="L25" i="1634"/>
  <c r="D25" i="1634" s="1"/>
  <c r="R24" i="1634"/>
  <c r="L24" i="1634"/>
  <c r="D24" i="1634" s="1"/>
  <c r="R23" i="1634"/>
  <c r="D23" i="1634"/>
  <c r="R22" i="1634"/>
  <c r="D22" i="1634"/>
  <c r="R21" i="1634"/>
  <c r="D21" i="1634"/>
  <c r="R20" i="1634"/>
  <c r="R19" i="1634"/>
  <c r="D19" i="1634"/>
  <c r="R18" i="1634"/>
  <c r="D18" i="1634"/>
  <c r="R17" i="1634"/>
  <c r="L17" i="1634"/>
  <c r="D17" i="1634" s="1"/>
  <c r="R16" i="1634"/>
  <c r="L16" i="1634"/>
  <c r="D16" i="1634"/>
  <c r="R15" i="1634"/>
  <c r="D15" i="1634"/>
  <c r="R14" i="1634"/>
  <c r="D14" i="1634"/>
  <c r="R13" i="1634"/>
  <c r="D13" i="1634"/>
  <c r="R12" i="1634"/>
  <c r="L12" i="1634"/>
  <c r="D12" i="1634"/>
  <c r="R11" i="1634"/>
  <c r="L10" i="1634"/>
  <c r="D10" i="1634" s="1"/>
  <c r="L9" i="1634"/>
  <c r="D9" i="1634"/>
  <c r="L8" i="1634"/>
  <c r="D8" i="1634" s="1"/>
  <c r="R6" i="1634"/>
  <c r="L6" i="1634"/>
  <c r="D6" i="1634" s="1"/>
  <c r="D29" i="1634" s="1"/>
  <c r="H13" i="1634" s="1"/>
  <c r="H15" i="1634" s="1"/>
  <c r="H29" i="1634" s="1"/>
  <c r="R5" i="1634"/>
  <c r="R4" i="1634"/>
  <c r="R52" i="1633"/>
  <c r="R51" i="1633"/>
  <c r="D50" i="1633"/>
  <c r="R49" i="1633"/>
  <c r="G49" i="1633"/>
  <c r="D49" i="1633"/>
  <c r="R48" i="1633"/>
  <c r="D48" i="1633"/>
  <c r="D46" i="1633"/>
  <c r="D45" i="1633"/>
  <c r="D44" i="1633"/>
  <c r="R42" i="1633"/>
  <c r="D42" i="1633"/>
  <c r="R41" i="1633"/>
  <c r="L7" i="1633" s="1"/>
  <c r="D7" i="1633" s="1"/>
  <c r="D41" i="1633"/>
  <c r="R40" i="1633"/>
  <c r="D40" i="1633"/>
  <c r="R39" i="1633"/>
  <c r="D39" i="1633"/>
  <c r="R38" i="1633"/>
  <c r="D38" i="1633"/>
  <c r="R37" i="1633"/>
  <c r="D37" i="1633"/>
  <c r="R36" i="1633"/>
  <c r="L10" i="1633" s="1"/>
  <c r="D10" i="1633" s="1"/>
  <c r="D36" i="1633"/>
  <c r="R35" i="1633"/>
  <c r="D35" i="1633"/>
  <c r="D54" i="1633" s="1"/>
  <c r="H14" i="1633" s="1"/>
  <c r="R34" i="1633"/>
  <c r="L12" i="1633" s="1"/>
  <c r="D12" i="1633" s="1"/>
  <c r="D34" i="1633"/>
  <c r="R33" i="1633"/>
  <c r="L23" i="1633" s="1"/>
  <c r="D23" i="1633" s="1"/>
  <c r="R32" i="1633"/>
  <c r="L11" i="1633" s="1"/>
  <c r="D11" i="1633" s="1"/>
  <c r="R31" i="1633"/>
  <c r="R30" i="1633"/>
  <c r="R29" i="1633"/>
  <c r="R28" i="1633"/>
  <c r="D28" i="1633"/>
  <c r="R27" i="1633"/>
  <c r="D27" i="1633"/>
  <c r="R26" i="1633"/>
  <c r="L26" i="1633"/>
  <c r="D26" i="1633"/>
  <c r="R25" i="1633"/>
  <c r="L25" i="1633"/>
  <c r="D25" i="1633"/>
  <c r="R24" i="1633"/>
  <c r="D24" i="1633"/>
  <c r="R23" i="1633"/>
  <c r="R22" i="1633"/>
  <c r="L22" i="1633"/>
  <c r="D22" i="1633"/>
  <c r="R21" i="1633"/>
  <c r="D21" i="1633"/>
  <c r="R20" i="1633"/>
  <c r="L20" i="1633"/>
  <c r="D20" i="1633"/>
  <c r="R19" i="1633"/>
  <c r="L19" i="1633"/>
  <c r="D19" i="1633"/>
  <c r="R18" i="1633"/>
  <c r="D18" i="1633"/>
  <c r="R17" i="1633"/>
  <c r="D17" i="1633"/>
  <c r="R16" i="1633"/>
  <c r="L16" i="1633"/>
  <c r="D16" i="1633" s="1"/>
  <c r="S15" i="1633"/>
  <c r="R15" i="1633"/>
  <c r="D15" i="1633"/>
  <c r="S14" i="1633"/>
  <c r="R14" i="1633"/>
  <c r="D14" i="1633"/>
  <c r="R13" i="1633"/>
  <c r="D13" i="1633"/>
  <c r="R12" i="1633"/>
  <c r="R11" i="1633"/>
  <c r="L9" i="1633"/>
  <c r="D9" i="1633" s="1"/>
  <c r="L8" i="1633"/>
  <c r="D8" i="1633"/>
  <c r="R6" i="1633"/>
  <c r="L6" i="1633"/>
  <c r="D6" i="1633"/>
  <c r="R5" i="1633"/>
  <c r="R4" i="1633"/>
  <c r="R52" i="1632"/>
  <c r="R51" i="1632"/>
  <c r="D50" i="1632"/>
  <c r="R49" i="1632"/>
  <c r="D49" i="1632"/>
  <c r="R48" i="1632"/>
  <c r="D48" i="1632"/>
  <c r="D46" i="1632"/>
  <c r="D45" i="1632"/>
  <c r="D44" i="1632"/>
  <c r="R42" i="1632"/>
  <c r="D42" i="1632"/>
  <c r="R41" i="1632"/>
  <c r="D41" i="1632"/>
  <c r="R40" i="1632"/>
  <c r="D40" i="1632"/>
  <c r="R39" i="1632"/>
  <c r="H39" i="1632"/>
  <c r="D39" i="1632"/>
  <c r="R38" i="1632"/>
  <c r="L9" i="1632" s="1"/>
  <c r="D9" i="1632" s="1"/>
  <c r="H38" i="1632"/>
  <c r="D38" i="1632"/>
  <c r="R37" i="1632"/>
  <c r="H37" i="1632"/>
  <c r="D37" i="1632"/>
  <c r="R36" i="1632"/>
  <c r="H36" i="1632"/>
  <c r="D36" i="1632"/>
  <c r="R35" i="1632"/>
  <c r="H35" i="1632"/>
  <c r="D35" i="1632"/>
  <c r="R34" i="1632"/>
  <c r="L12" i="1632" s="1"/>
  <c r="D12" i="1632" s="1"/>
  <c r="H34" i="1632"/>
  <c r="G49" i="1632" s="1"/>
  <c r="D34" i="1632"/>
  <c r="D54" i="1632" s="1"/>
  <c r="H14" i="1632" s="1"/>
  <c r="R33" i="1632"/>
  <c r="R32" i="1632"/>
  <c r="L11" i="1632" s="1"/>
  <c r="D11" i="1632" s="1"/>
  <c r="R31" i="1632"/>
  <c r="R30" i="1632"/>
  <c r="R29" i="1632"/>
  <c r="R28" i="1632"/>
  <c r="D28" i="1632"/>
  <c r="R27" i="1632"/>
  <c r="D27" i="1632"/>
  <c r="R26" i="1632"/>
  <c r="L26" i="1632"/>
  <c r="D26" i="1632" s="1"/>
  <c r="R25" i="1632"/>
  <c r="L25" i="1632"/>
  <c r="D25" i="1632" s="1"/>
  <c r="R24" i="1632"/>
  <c r="D24" i="1632"/>
  <c r="R23" i="1632"/>
  <c r="L23" i="1632"/>
  <c r="D23" i="1632" s="1"/>
  <c r="R22" i="1632"/>
  <c r="L22" i="1632"/>
  <c r="D22" i="1632" s="1"/>
  <c r="R21" i="1632"/>
  <c r="D21" i="1632"/>
  <c r="R20" i="1632"/>
  <c r="L20" i="1632"/>
  <c r="D20" i="1632" s="1"/>
  <c r="R19" i="1632"/>
  <c r="L19" i="1632"/>
  <c r="D19" i="1632" s="1"/>
  <c r="R18" i="1632"/>
  <c r="D18" i="1632"/>
  <c r="R17" i="1632"/>
  <c r="D17" i="1632"/>
  <c r="R16" i="1632"/>
  <c r="L16" i="1632"/>
  <c r="D16" i="1632" s="1"/>
  <c r="R15" i="1632"/>
  <c r="D15" i="1632"/>
  <c r="R14" i="1632"/>
  <c r="D14" i="1632"/>
  <c r="R13" i="1632"/>
  <c r="D13" i="1632"/>
  <c r="R12" i="1632"/>
  <c r="R11" i="1632"/>
  <c r="L10" i="1632"/>
  <c r="D10" i="1632" s="1"/>
  <c r="L8" i="1632"/>
  <c r="D8" i="1632"/>
  <c r="L7" i="1632"/>
  <c r="D7" i="1632"/>
  <c r="R6" i="1632"/>
  <c r="L6" i="1632"/>
  <c r="D6" i="1632"/>
  <c r="R5" i="1632"/>
  <c r="R4" i="1632"/>
  <c r="R52" i="1631"/>
  <c r="R51" i="1631"/>
  <c r="D50" i="1631"/>
  <c r="R49" i="1631"/>
  <c r="D49" i="1631"/>
  <c r="R48" i="1631"/>
  <c r="D48" i="1631"/>
  <c r="D46" i="1631"/>
  <c r="D45" i="1631"/>
  <c r="D44" i="1631"/>
  <c r="R42" i="1631"/>
  <c r="L6" i="1631" s="1"/>
  <c r="D6" i="1631" s="1"/>
  <c r="D42" i="1631"/>
  <c r="R41" i="1631"/>
  <c r="D41" i="1631"/>
  <c r="R40" i="1631"/>
  <c r="D40" i="1631"/>
  <c r="R39" i="1631"/>
  <c r="H39" i="1631"/>
  <c r="D39" i="1631"/>
  <c r="R38" i="1631"/>
  <c r="L9" i="1631" s="1"/>
  <c r="D9" i="1631" s="1"/>
  <c r="H38" i="1631"/>
  <c r="D38" i="1631"/>
  <c r="R37" i="1631"/>
  <c r="H37" i="1631"/>
  <c r="D37" i="1631"/>
  <c r="R36" i="1631"/>
  <c r="L10" i="1631" s="1"/>
  <c r="D10" i="1631" s="1"/>
  <c r="H36" i="1631"/>
  <c r="D36" i="1631"/>
  <c r="R35" i="1631"/>
  <c r="H35" i="1631"/>
  <c r="D35" i="1631"/>
  <c r="R34" i="1631"/>
  <c r="L12" i="1631" s="1"/>
  <c r="D12" i="1631" s="1"/>
  <c r="H34" i="1631"/>
  <c r="G49" i="1631" s="1"/>
  <c r="D34" i="1631"/>
  <c r="D54" i="1631" s="1"/>
  <c r="H14" i="1631" s="1"/>
  <c r="R33" i="1631"/>
  <c r="L23" i="1631" s="1"/>
  <c r="D23" i="1631" s="1"/>
  <c r="R32" i="1631"/>
  <c r="L11" i="1631" s="1"/>
  <c r="D11" i="1631" s="1"/>
  <c r="R31" i="1631"/>
  <c r="R30" i="1631"/>
  <c r="R29" i="1631"/>
  <c r="R28" i="1631"/>
  <c r="D28" i="1631"/>
  <c r="R27" i="1631"/>
  <c r="D27" i="1631"/>
  <c r="R26" i="1631"/>
  <c r="L26" i="1631"/>
  <c r="D26" i="1631"/>
  <c r="R25" i="1631"/>
  <c r="L25" i="1631"/>
  <c r="D25" i="1631"/>
  <c r="R24" i="1631"/>
  <c r="L24" i="1631"/>
  <c r="D24" i="1631" s="1"/>
  <c r="R23" i="1631"/>
  <c r="R22" i="1631"/>
  <c r="L22" i="1631"/>
  <c r="D22" i="1631" s="1"/>
  <c r="R21" i="1631"/>
  <c r="D21" i="1631"/>
  <c r="R20" i="1631"/>
  <c r="L20" i="1631"/>
  <c r="D20" i="1631" s="1"/>
  <c r="R19" i="1631"/>
  <c r="L19" i="1631"/>
  <c r="D19" i="1631" s="1"/>
  <c r="R18" i="1631"/>
  <c r="D18" i="1631"/>
  <c r="R17" i="1631"/>
  <c r="L17" i="1631"/>
  <c r="D17" i="1631" s="1"/>
  <c r="R16" i="1631"/>
  <c r="L16" i="1631"/>
  <c r="D16" i="1631" s="1"/>
  <c r="R15" i="1631"/>
  <c r="D15" i="1631"/>
  <c r="R14" i="1631"/>
  <c r="D14" i="1631"/>
  <c r="R13" i="1631"/>
  <c r="D13" i="1631"/>
  <c r="R12" i="1631"/>
  <c r="R11" i="1631"/>
  <c r="L8" i="1631"/>
  <c r="D8" i="1631"/>
  <c r="L7" i="1631"/>
  <c r="D7" i="1631"/>
  <c r="R6" i="1631"/>
  <c r="R5" i="1631"/>
  <c r="R4" i="1631"/>
  <c r="R52" i="1630"/>
  <c r="R51" i="1630"/>
  <c r="D50" i="1630"/>
  <c r="R49" i="1630"/>
  <c r="D49" i="1630"/>
  <c r="R48" i="1630"/>
  <c r="D48" i="1630"/>
  <c r="D46" i="1630"/>
  <c r="D45" i="1630"/>
  <c r="R44" i="1630"/>
  <c r="P44" i="1630"/>
  <c r="D44" i="1630"/>
  <c r="R42" i="1630"/>
  <c r="L6" i="1630" s="1"/>
  <c r="D6" i="1630" s="1"/>
  <c r="D42" i="1630"/>
  <c r="R41" i="1630"/>
  <c r="D41" i="1630"/>
  <c r="R40" i="1630"/>
  <c r="L8" i="1630" s="1"/>
  <c r="D8" i="1630" s="1"/>
  <c r="D40" i="1630"/>
  <c r="R39" i="1630"/>
  <c r="H39" i="1630"/>
  <c r="D39" i="1630"/>
  <c r="R38" i="1630"/>
  <c r="H38" i="1630"/>
  <c r="D38" i="1630"/>
  <c r="R37" i="1630"/>
  <c r="H37" i="1630"/>
  <c r="D37" i="1630"/>
  <c r="R36" i="1630"/>
  <c r="H36" i="1630"/>
  <c r="D36" i="1630"/>
  <c r="R35" i="1630"/>
  <c r="H35" i="1630"/>
  <c r="D35" i="1630"/>
  <c r="R34" i="1630"/>
  <c r="L12" i="1630" s="1"/>
  <c r="D12" i="1630" s="1"/>
  <c r="H34" i="1630"/>
  <c r="G49" i="1630" s="1"/>
  <c r="D34" i="1630"/>
  <c r="D54" i="1630" s="1"/>
  <c r="H14" i="1630" s="1"/>
  <c r="R33" i="1630"/>
  <c r="R32" i="1630"/>
  <c r="R31" i="1630"/>
  <c r="R30" i="1630"/>
  <c r="R29" i="1630"/>
  <c r="R28" i="1630"/>
  <c r="D28" i="1630"/>
  <c r="R27" i="1630"/>
  <c r="D27" i="1630"/>
  <c r="R26" i="1630"/>
  <c r="L26" i="1630"/>
  <c r="D26" i="1630"/>
  <c r="R25" i="1630"/>
  <c r="L25" i="1630"/>
  <c r="D25" i="1630"/>
  <c r="R24" i="1630"/>
  <c r="L24" i="1630"/>
  <c r="D24" i="1630"/>
  <c r="R23" i="1630"/>
  <c r="D23" i="1630"/>
  <c r="R22" i="1630"/>
  <c r="D22" i="1630"/>
  <c r="R21" i="1630"/>
  <c r="D21" i="1630"/>
  <c r="R20" i="1630"/>
  <c r="L20" i="1630"/>
  <c r="D20" i="1630"/>
  <c r="R19" i="1630"/>
  <c r="D19" i="1630"/>
  <c r="R18" i="1630"/>
  <c r="D18" i="1630"/>
  <c r="R17" i="1630"/>
  <c r="L17" i="1630"/>
  <c r="D17" i="1630"/>
  <c r="R16" i="1630"/>
  <c r="L16" i="1630"/>
  <c r="D16" i="1630" s="1"/>
  <c r="R15" i="1630"/>
  <c r="D15" i="1630"/>
  <c r="R14" i="1630"/>
  <c r="D14" i="1630"/>
  <c r="R13" i="1630"/>
  <c r="D13" i="1630"/>
  <c r="R12" i="1630"/>
  <c r="R11" i="1630"/>
  <c r="L11" i="1630"/>
  <c r="D11" i="1630"/>
  <c r="L10" i="1630"/>
  <c r="D10" i="1630" s="1"/>
  <c r="L9" i="1630"/>
  <c r="D9" i="1630" s="1"/>
  <c r="L7" i="1630"/>
  <c r="D7" i="1630"/>
  <c r="R6" i="1630"/>
  <c r="R5" i="1630"/>
  <c r="R4" i="1630"/>
  <c r="R52" i="1629"/>
  <c r="R51" i="1629"/>
  <c r="D50" i="1629"/>
  <c r="R49" i="1629"/>
  <c r="G49" i="1629"/>
  <c r="D49" i="1629"/>
  <c r="R48" i="1629"/>
  <c r="D48" i="1629"/>
  <c r="D46" i="1629"/>
  <c r="D45" i="1629"/>
  <c r="D44" i="1629"/>
  <c r="R42" i="1629"/>
  <c r="L6" i="1629" s="1"/>
  <c r="D6" i="1629" s="1"/>
  <c r="D42" i="1629"/>
  <c r="R41" i="1629"/>
  <c r="L7" i="1629" s="1"/>
  <c r="D7" i="1629" s="1"/>
  <c r="D41" i="1629"/>
  <c r="R40" i="1629"/>
  <c r="D40" i="1629"/>
  <c r="R39" i="1629"/>
  <c r="D39" i="1629"/>
  <c r="R38" i="1629"/>
  <c r="L9" i="1629" s="1"/>
  <c r="D9" i="1629" s="1"/>
  <c r="D38" i="1629"/>
  <c r="R37" i="1629"/>
  <c r="D37" i="1629"/>
  <c r="R36" i="1629"/>
  <c r="L10" i="1629" s="1"/>
  <c r="D10" i="1629" s="1"/>
  <c r="D36" i="1629"/>
  <c r="R35" i="1629"/>
  <c r="D35" i="1629"/>
  <c r="R34" i="1629"/>
  <c r="L12" i="1629" s="1"/>
  <c r="D12" i="1629" s="1"/>
  <c r="D34" i="1629"/>
  <c r="D54" i="1629" s="1"/>
  <c r="H14" i="1629" s="1"/>
  <c r="R33" i="1629"/>
  <c r="L23" i="1629" s="1"/>
  <c r="D23" i="1629" s="1"/>
  <c r="R32" i="1629"/>
  <c r="R31" i="1629"/>
  <c r="R30" i="1629"/>
  <c r="R29" i="1629"/>
  <c r="R28" i="1629"/>
  <c r="D28" i="1629"/>
  <c r="R27" i="1629"/>
  <c r="D27" i="1629"/>
  <c r="R26" i="1629"/>
  <c r="L26" i="1629"/>
  <c r="D26" i="1629"/>
  <c r="R25" i="1629"/>
  <c r="L25" i="1629"/>
  <c r="D25" i="1629"/>
  <c r="R24" i="1629"/>
  <c r="D24" i="1629"/>
  <c r="R23" i="1629"/>
  <c r="R22" i="1629"/>
  <c r="L22" i="1629"/>
  <c r="D22" i="1629"/>
  <c r="R21" i="1629"/>
  <c r="D21" i="1629"/>
  <c r="R20" i="1629"/>
  <c r="L20" i="1629"/>
  <c r="D20" i="1629"/>
  <c r="R19" i="1629"/>
  <c r="L19" i="1629"/>
  <c r="D19" i="1629"/>
  <c r="R18" i="1629"/>
  <c r="D18" i="1629"/>
  <c r="R17" i="1629"/>
  <c r="D17" i="1629"/>
  <c r="R16" i="1629"/>
  <c r="L16" i="1629"/>
  <c r="D16" i="1629" s="1"/>
  <c r="S15" i="1629"/>
  <c r="R15" i="1629"/>
  <c r="D15" i="1629"/>
  <c r="S14" i="1629"/>
  <c r="R14" i="1629"/>
  <c r="D14" i="1629"/>
  <c r="R13" i="1629"/>
  <c r="D13" i="1629"/>
  <c r="R12" i="1629"/>
  <c r="R11" i="1629"/>
  <c r="L11" i="1629"/>
  <c r="D11" i="1629"/>
  <c r="L8" i="1629"/>
  <c r="D8" i="1629"/>
  <c r="R6" i="1629"/>
  <c r="R5" i="1629"/>
  <c r="R4" i="1629"/>
  <c r="R52" i="1628"/>
  <c r="R51" i="1628"/>
  <c r="D50" i="1628"/>
  <c r="R49" i="1628"/>
  <c r="D49" i="1628"/>
  <c r="R48" i="1628"/>
  <c r="D48" i="1628"/>
  <c r="D46" i="1628"/>
  <c r="D45" i="1628"/>
  <c r="D44" i="1628"/>
  <c r="R42" i="1628"/>
  <c r="D42" i="1628"/>
  <c r="R41" i="1628"/>
  <c r="D41" i="1628"/>
  <c r="R40" i="1628"/>
  <c r="L8" i="1628" s="1"/>
  <c r="D8" i="1628" s="1"/>
  <c r="D40" i="1628"/>
  <c r="R39" i="1628"/>
  <c r="H39" i="1628"/>
  <c r="D39" i="1628"/>
  <c r="R38" i="1628"/>
  <c r="H38" i="1628"/>
  <c r="D38" i="1628"/>
  <c r="R37" i="1628"/>
  <c r="H37" i="1628"/>
  <c r="D37" i="1628"/>
  <c r="R36" i="1628"/>
  <c r="H36" i="1628"/>
  <c r="D36" i="1628"/>
  <c r="R35" i="1628"/>
  <c r="L19" i="1628" s="1"/>
  <c r="D19" i="1628" s="1"/>
  <c r="H35" i="1628"/>
  <c r="D35" i="1628"/>
  <c r="R34" i="1628"/>
  <c r="L12" i="1628" s="1"/>
  <c r="D12" i="1628" s="1"/>
  <c r="H34" i="1628"/>
  <c r="G49" i="1628" s="1"/>
  <c r="D34" i="1628"/>
  <c r="D54" i="1628" s="1"/>
  <c r="H14" i="1628" s="1"/>
  <c r="R33" i="1628"/>
  <c r="L23" i="1628" s="1"/>
  <c r="D23" i="1628" s="1"/>
  <c r="R32" i="1628"/>
  <c r="R31" i="1628"/>
  <c r="R30" i="1628"/>
  <c r="R29" i="1628"/>
  <c r="R28" i="1628"/>
  <c r="L16" i="1628" s="1"/>
  <c r="D16" i="1628" s="1"/>
  <c r="D28" i="1628"/>
  <c r="R27" i="1628"/>
  <c r="D27" i="1628"/>
  <c r="R26" i="1628"/>
  <c r="L26" i="1628"/>
  <c r="D26" i="1628"/>
  <c r="R25" i="1628"/>
  <c r="L25" i="1628"/>
  <c r="D25" i="1628"/>
  <c r="R24" i="1628"/>
  <c r="D24" i="1628"/>
  <c r="R23" i="1628"/>
  <c r="R22" i="1628"/>
  <c r="L22" i="1628"/>
  <c r="D22" i="1628"/>
  <c r="R21" i="1628"/>
  <c r="D21" i="1628"/>
  <c r="R20" i="1628"/>
  <c r="L20" i="1628"/>
  <c r="D20" i="1628"/>
  <c r="R19" i="1628"/>
  <c r="R18" i="1628"/>
  <c r="D18" i="1628"/>
  <c r="R17" i="1628"/>
  <c r="D17" i="1628"/>
  <c r="R16" i="1628"/>
  <c r="R15" i="1628"/>
  <c r="D15" i="1628"/>
  <c r="R14" i="1628"/>
  <c r="D14" i="1628"/>
  <c r="R13" i="1628"/>
  <c r="D13" i="1628"/>
  <c r="R12" i="1628"/>
  <c r="R11" i="1628"/>
  <c r="L11" i="1628"/>
  <c r="D11" i="1628" s="1"/>
  <c r="L10" i="1628"/>
  <c r="D10" i="1628"/>
  <c r="L9" i="1628"/>
  <c r="D9" i="1628"/>
  <c r="L7" i="1628"/>
  <c r="D7" i="1628" s="1"/>
  <c r="R6" i="1628"/>
  <c r="L6" i="1628"/>
  <c r="D6" i="1628" s="1"/>
  <c r="R5" i="1628"/>
  <c r="R4" i="1628"/>
  <c r="R52" i="1627"/>
  <c r="R51" i="1627"/>
  <c r="D50" i="1627"/>
  <c r="R49" i="1627"/>
  <c r="D49" i="1627"/>
  <c r="R48" i="1627"/>
  <c r="D48" i="1627"/>
  <c r="D46" i="1627"/>
  <c r="D45" i="1627"/>
  <c r="D44" i="1627"/>
  <c r="R42" i="1627"/>
  <c r="L6" i="1627" s="1"/>
  <c r="D6" i="1627" s="1"/>
  <c r="D42" i="1627"/>
  <c r="R41" i="1627"/>
  <c r="D41" i="1627"/>
  <c r="R40" i="1627"/>
  <c r="D40" i="1627"/>
  <c r="R39" i="1627"/>
  <c r="L20" i="1627" s="1"/>
  <c r="D20" i="1627" s="1"/>
  <c r="H39" i="1627"/>
  <c r="D39" i="1627"/>
  <c r="R38" i="1627"/>
  <c r="L9" i="1627" s="1"/>
  <c r="D9" i="1627" s="1"/>
  <c r="H38" i="1627"/>
  <c r="D38" i="1627"/>
  <c r="R37" i="1627"/>
  <c r="H37" i="1627"/>
  <c r="D37" i="1627"/>
  <c r="R36" i="1627"/>
  <c r="L10" i="1627" s="1"/>
  <c r="D10" i="1627" s="1"/>
  <c r="H36" i="1627"/>
  <c r="D36" i="1627"/>
  <c r="R35" i="1627"/>
  <c r="H35" i="1627"/>
  <c r="D35" i="1627"/>
  <c r="R34" i="1627"/>
  <c r="H34" i="1627"/>
  <c r="G49" i="1627" s="1"/>
  <c r="D34" i="1627"/>
  <c r="D54" i="1627" s="1"/>
  <c r="H14" i="1627" s="1"/>
  <c r="R33" i="1627"/>
  <c r="L23" i="1627" s="1"/>
  <c r="D23" i="1627" s="1"/>
  <c r="R32" i="1627"/>
  <c r="R31" i="1627"/>
  <c r="R30" i="1627"/>
  <c r="R29" i="1627"/>
  <c r="R28" i="1627"/>
  <c r="D28" i="1627"/>
  <c r="R27" i="1627"/>
  <c r="D27" i="1627"/>
  <c r="R26" i="1627"/>
  <c r="L26" i="1627"/>
  <c r="D26" i="1627" s="1"/>
  <c r="R25" i="1627"/>
  <c r="L25" i="1627"/>
  <c r="D25" i="1627"/>
  <c r="R24" i="1627"/>
  <c r="L24" i="1627"/>
  <c r="D24" i="1627" s="1"/>
  <c r="R23" i="1627"/>
  <c r="R22" i="1627"/>
  <c r="L22" i="1627"/>
  <c r="D22" i="1627" s="1"/>
  <c r="R21" i="1627"/>
  <c r="L17" i="1627" s="1"/>
  <c r="D17" i="1627" s="1"/>
  <c r="D21" i="1627"/>
  <c r="R20" i="1627"/>
  <c r="R19" i="1627"/>
  <c r="L19" i="1627"/>
  <c r="D19" i="1627" s="1"/>
  <c r="R18" i="1627"/>
  <c r="D18" i="1627"/>
  <c r="R17" i="1627"/>
  <c r="R16" i="1627"/>
  <c r="L16" i="1627"/>
  <c r="D16" i="1627" s="1"/>
  <c r="R15" i="1627"/>
  <c r="D15" i="1627"/>
  <c r="R14" i="1627"/>
  <c r="D14" i="1627"/>
  <c r="R13" i="1627"/>
  <c r="D13" i="1627"/>
  <c r="R12" i="1627"/>
  <c r="L12" i="1627"/>
  <c r="D12" i="1627" s="1"/>
  <c r="R11" i="1627"/>
  <c r="L11" i="1627"/>
  <c r="D11" i="1627"/>
  <c r="L8" i="1627"/>
  <c r="D8" i="1627"/>
  <c r="L7" i="1627"/>
  <c r="D7" i="1627" s="1"/>
  <c r="R6" i="1627"/>
  <c r="R5" i="1627"/>
  <c r="R4" i="1627"/>
  <c r="R52" i="1626"/>
  <c r="R51" i="1626"/>
  <c r="D50" i="1626"/>
  <c r="R49" i="1626"/>
  <c r="D49" i="1626"/>
  <c r="R48" i="1626"/>
  <c r="D48" i="1626"/>
  <c r="D46" i="1626"/>
  <c r="D45" i="1626"/>
  <c r="R44" i="1626"/>
  <c r="P44" i="1626"/>
  <c r="D44" i="1626"/>
  <c r="R42" i="1626"/>
  <c r="D42" i="1626"/>
  <c r="R41" i="1626"/>
  <c r="L7" i="1626" s="1"/>
  <c r="D7" i="1626" s="1"/>
  <c r="D41" i="1626"/>
  <c r="R40" i="1626"/>
  <c r="D40" i="1626"/>
  <c r="R39" i="1626"/>
  <c r="L20" i="1626" s="1"/>
  <c r="D20" i="1626" s="1"/>
  <c r="H39" i="1626"/>
  <c r="D39" i="1626"/>
  <c r="R38" i="1626"/>
  <c r="H38" i="1626"/>
  <c r="D38" i="1626"/>
  <c r="R37" i="1626"/>
  <c r="H37" i="1626"/>
  <c r="D37" i="1626"/>
  <c r="R36" i="1626"/>
  <c r="H36" i="1626"/>
  <c r="D36" i="1626"/>
  <c r="R35" i="1626"/>
  <c r="H35" i="1626"/>
  <c r="D35" i="1626"/>
  <c r="R34" i="1626"/>
  <c r="L12" i="1626" s="1"/>
  <c r="D12" i="1626" s="1"/>
  <c r="H34" i="1626"/>
  <c r="G49" i="1626" s="1"/>
  <c r="D34" i="1626"/>
  <c r="D54" i="1626" s="1"/>
  <c r="H14" i="1626" s="1"/>
  <c r="R33" i="1626"/>
  <c r="R32" i="1626"/>
  <c r="R31" i="1626"/>
  <c r="R30" i="1626"/>
  <c r="R29" i="1626"/>
  <c r="R28" i="1626"/>
  <c r="D28" i="1626"/>
  <c r="R27" i="1626"/>
  <c r="D27" i="1626"/>
  <c r="R26" i="1626"/>
  <c r="L26" i="1626"/>
  <c r="D26" i="1626"/>
  <c r="R25" i="1626"/>
  <c r="L25" i="1626"/>
  <c r="D25" i="1626" s="1"/>
  <c r="R24" i="1626"/>
  <c r="L24" i="1626"/>
  <c r="D24" i="1626"/>
  <c r="R23" i="1626"/>
  <c r="D23" i="1626"/>
  <c r="R22" i="1626"/>
  <c r="D22" i="1626"/>
  <c r="R21" i="1626"/>
  <c r="D21" i="1626"/>
  <c r="R20" i="1626"/>
  <c r="R19" i="1626"/>
  <c r="D19" i="1626"/>
  <c r="R18" i="1626"/>
  <c r="D18" i="1626"/>
  <c r="R17" i="1626"/>
  <c r="L17" i="1626"/>
  <c r="D17" i="1626"/>
  <c r="R16" i="1626"/>
  <c r="L16" i="1626"/>
  <c r="D16" i="1626" s="1"/>
  <c r="R15" i="1626"/>
  <c r="D15" i="1626"/>
  <c r="R14" i="1626"/>
  <c r="D14" i="1626"/>
  <c r="R13" i="1626"/>
  <c r="D13" i="1626"/>
  <c r="R12" i="1626"/>
  <c r="R11" i="1626"/>
  <c r="L11" i="1626"/>
  <c r="D11" i="1626"/>
  <c r="L10" i="1626"/>
  <c r="D10" i="1626" s="1"/>
  <c r="L9" i="1626"/>
  <c r="D9" i="1626" s="1"/>
  <c r="L8" i="1626"/>
  <c r="D8" i="1626" s="1"/>
  <c r="R6" i="1626"/>
  <c r="L6" i="1626"/>
  <c r="D6" i="1626" s="1"/>
  <c r="R5" i="1626"/>
  <c r="R4" i="1626"/>
  <c r="R52" i="1625"/>
  <c r="R51" i="1625"/>
  <c r="D50" i="1625"/>
  <c r="R49" i="1625"/>
  <c r="G49" i="1625"/>
  <c r="D49" i="1625"/>
  <c r="R48" i="1625"/>
  <c r="D48" i="1625"/>
  <c r="D46" i="1625"/>
  <c r="D45" i="1625"/>
  <c r="D44" i="1625"/>
  <c r="R42" i="1625"/>
  <c r="L6" i="1625" s="1"/>
  <c r="D6" i="1625" s="1"/>
  <c r="D42" i="1625"/>
  <c r="R41" i="1625"/>
  <c r="L7" i="1625" s="1"/>
  <c r="D7" i="1625" s="1"/>
  <c r="D41" i="1625"/>
  <c r="R40" i="1625"/>
  <c r="D40" i="1625"/>
  <c r="R39" i="1625"/>
  <c r="D39" i="1625"/>
  <c r="R38" i="1625"/>
  <c r="L9" i="1625" s="1"/>
  <c r="D9" i="1625" s="1"/>
  <c r="D38" i="1625"/>
  <c r="R37" i="1625"/>
  <c r="D37" i="1625"/>
  <c r="R36" i="1625"/>
  <c r="L10" i="1625" s="1"/>
  <c r="D10" i="1625" s="1"/>
  <c r="D36" i="1625"/>
  <c r="R35" i="1625"/>
  <c r="L19" i="1625" s="1"/>
  <c r="D19" i="1625" s="1"/>
  <c r="D35" i="1625"/>
  <c r="R34" i="1625"/>
  <c r="L12" i="1625" s="1"/>
  <c r="D12" i="1625" s="1"/>
  <c r="D34" i="1625"/>
  <c r="D54" i="1625" s="1"/>
  <c r="H14" i="1625" s="1"/>
  <c r="R33" i="1625"/>
  <c r="L23" i="1625" s="1"/>
  <c r="D23" i="1625" s="1"/>
  <c r="R32" i="1625"/>
  <c r="R31" i="1625"/>
  <c r="R30" i="1625"/>
  <c r="R29" i="1625"/>
  <c r="R28" i="1625"/>
  <c r="D28" i="1625"/>
  <c r="R27" i="1625"/>
  <c r="D27" i="1625"/>
  <c r="R26" i="1625"/>
  <c r="L26" i="1625"/>
  <c r="D26" i="1625"/>
  <c r="R25" i="1625"/>
  <c r="L25" i="1625"/>
  <c r="D25" i="1625"/>
  <c r="R24" i="1625"/>
  <c r="D24" i="1625"/>
  <c r="R23" i="1625"/>
  <c r="R22" i="1625"/>
  <c r="L22" i="1625"/>
  <c r="D22" i="1625"/>
  <c r="R21" i="1625"/>
  <c r="D21" i="1625"/>
  <c r="R20" i="1625"/>
  <c r="L20" i="1625"/>
  <c r="D20" i="1625"/>
  <c r="R19" i="1625"/>
  <c r="R18" i="1625"/>
  <c r="D18" i="1625"/>
  <c r="R17" i="1625"/>
  <c r="D17" i="1625"/>
  <c r="R16" i="1625"/>
  <c r="L16" i="1625"/>
  <c r="D16" i="1625" s="1"/>
  <c r="S15" i="1625"/>
  <c r="R15" i="1625"/>
  <c r="D15" i="1625"/>
  <c r="S14" i="1625"/>
  <c r="R14" i="1625"/>
  <c r="D14" i="1625"/>
  <c r="R13" i="1625"/>
  <c r="D13" i="1625"/>
  <c r="R12" i="1625"/>
  <c r="R11" i="1625"/>
  <c r="L11" i="1625"/>
  <c r="D11" i="1625"/>
  <c r="L8" i="1625"/>
  <c r="D8" i="1625"/>
  <c r="R6" i="1625"/>
  <c r="R5" i="1625"/>
  <c r="R4" i="1625"/>
  <c r="R52" i="1624"/>
  <c r="R51" i="1624"/>
  <c r="D50" i="1624"/>
  <c r="R49" i="1624"/>
  <c r="D49" i="1624"/>
  <c r="R48" i="1624"/>
  <c r="D48" i="1624"/>
  <c r="D46" i="1624"/>
  <c r="D45" i="1624"/>
  <c r="D44" i="1624"/>
  <c r="R42" i="1624"/>
  <c r="D42" i="1624"/>
  <c r="R41" i="1624"/>
  <c r="L7" i="1624" s="1"/>
  <c r="D7" i="1624" s="1"/>
  <c r="D41" i="1624"/>
  <c r="R40" i="1624"/>
  <c r="L8" i="1624" s="1"/>
  <c r="D8" i="1624" s="1"/>
  <c r="D40" i="1624"/>
  <c r="R39" i="1624"/>
  <c r="H39" i="1624"/>
  <c r="D39" i="1624"/>
  <c r="R38" i="1624"/>
  <c r="L9" i="1624" s="1"/>
  <c r="D9" i="1624" s="1"/>
  <c r="H38" i="1624"/>
  <c r="D38" i="1624"/>
  <c r="R37" i="1624"/>
  <c r="H37" i="1624"/>
  <c r="D37" i="1624"/>
  <c r="R36" i="1624"/>
  <c r="H36" i="1624"/>
  <c r="D36" i="1624"/>
  <c r="R35" i="1624"/>
  <c r="L19" i="1624" s="1"/>
  <c r="D19" i="1624" s="1"/>
  <c r="H35" i="1624"/>
  <c r="D35" i="1624"/>
  <c r="R34" i="1624"/>
  <c r="L12" i="1624" s="1"/>
  <c r="D12" i="1624" s="1"/>
  <c r="H34" i="1624"/>
  <c r="G49" i="1624" s="1"/>
  <c r="D34" i="1624"/>
  <c r="D54" i="1624" s="1"/>
  <c r="H14" i="1624" s="1"/>
  <c r="R33" i="1624"/>
  <c r="L23" i="1624" s="1"/>
  <c r="D23" i="1624" s="1"/>
  <c r="R32" i="1624"/>
  <c r="R31" i="1624"/>
  <c r="R30" i="1624"/>
  <c r="R29" i="1624"/>
  <c r="R28" i="1624"/>
  <c r="L16" i="1624" s="1"/>
  <c r="D16" i="1624" s="1"/>
  <c r="D28" i="1624"/>
  <c r="R27" i="1624"/>
  <c r="D27" i="1624"/>
  <c r="R26" i="1624"/>
  <c r="L26" i="1624"/>
  <c r="D26" i="1624" s="1"/>
  <c r="R25" i="1624"/>
  <c r="L25" i="1624"/>
  <c r="D25" i="1624"/>
  <c r="R24" i="1624"/>
  <c r="D24" i="1624"/>
  <c r="R23" i="1624"/>
  <c r="R22" i="1624"/>
  <c r="L22" i="1624"/>
  <c r="D22" i="1624"/>
  <c r="R21" i="1624"/>
  <c r="D21" i="1624"/>
  <c r="R20" i="1624"/>
  <c r="L20" i="1624"/>
  <c r="D20" i="1624" s="1"/>
  <c r="R19" i="1624"/>
  <c r="R18" i="1624"/>
  <c r="D18" i="1624"/>
  <c r="R17" i="1624"/>
  <c r="D17" i="1624"/>
  <c r="R16" i="1624"/>
  <c r="R15" i="1624"/>
  <c r="D15" i="1624"/>
  <c r="R14" i="1624"/>
  <c r="D14" i="1624"/>
  <c r="R13" i="1624"/>
  <c r="D13" i="1624"/>
  <c r="R12" i="1624"/>
  <c r="R11" i="1624"/>
  <c r="L11" i="1624"/>
  <c r="D11" i="1624" s="1"/>
  <c r="L10" i="1624"/>
  <c r="D10" i="1624"/>
  <c r="R6" i="1624"/>
  <c r="L6" i="1624"/>
  <c r="D6" i="1624" s="1"/>
  <c r="D29" i="1624" s="1"/>
  <c r="H13" i="1624" s="1"/>
  <c r="R5" i="1624"/>
  <c r="R4" i="1624"/>
  <c r="R52" i="1623"/>
  <c r="R51" i="1623"/>
  <c r="D50" i="1623"/>
  <c r="R49" i="1623"/>
  <c r="D49" i="1623"/>
  <c r="R48" i="1623"/>
  <c r="D48" i="1623"/>
  <c r="D46" i="1623"/>
  <c r="D45" i="1623"/>
  <c r="D44" i="1623"/>
  <c r="R42" i="1623"/>
  <c r="D42" i="1623"/>
  <c r="R41" i="1623"/>
  <c r="L7" i="1623" s="1"/>
  <c r="D7" i="1623" s="1"/>
  <c r="D29" i="1623" s="1"/>
  <c r="H13" i="1623" s="1"/>
  <c r="H15" i="1623" s="1"/>
  <c r="H29" i="1623" s="1"/>
  <c r="D41" i="1623"/>
  <c r="R40" i="1623"/>
  <c r="D40" i="1623"/>
  <c r="R39" i="1623"/>
  <c r="L20" i="1623" s="1"/>
  <c r="D20" i="1623" s="1"/>
  <c r="H39" i="1623"/>
  <c r="D39" i="1623"/>
  <c r="R38" i="1623"/>
  <c r="H38" i="1623"/>
  <c r="D38" i="1623"/>
  <c r="R37" i="1623"/>
  <c r="H37" i="1623"/>
  <c r="D37" i="1623"/>
  <c r="R36" i="1623"/>
  <c r="H36" i="1623"/>
  <c r="D36" i="1623"/>
  <c r="R35" i="1623"/>
  <c r="H35" i="1623"/>
  <c r="D35" i="1623"/>
  <c r="D54" i="1623" s="1"/>
  <c r="H14" i="1623" s="1"/>
  <c r="R34" i="1623"/>
  <c r="L12" i="1623" s="1"/>
  <c r="D12" i="1623" s="1"/>
  <c r="H34" i="1623"/>
  <c r="G49" i="1623" s="1"/>
  <c r="D34" i="1623"/>
  <c r="R33" i="1623"/>
  <c r="R32" i="1623"/>
  <c r="R31" i="1623"/>
  <c r="R30" i="1623"/>
  <c r="R29" i="1623"/>
  <c r="R28" i="1623"/>
  <c r="D28" i="1623"/>
  <c r="R27" i="1623"/>
  <c r="D27" i="1623"/>
  <c r="R26" i="1623"/>
  <c r="L26" i="1623"/>
  <c r="D26" i="1623"/>
  <c r="R25" i="1623"/>
  <c r="L25" i="1623"/>
  <c r="D25" i="1623"/>
  <c r="R24" i="1623"/>
  <c r="L24" i="1623"/>
  <c r="D24" i="1623"/>
  <c r="R23" i="1623"/>
  <c r="L23" i="1623"/>
  <c r="D23" i="1623"/>
  <c r="R22" i="1623"/>
  <c r="L22" i="1623"/>
  <c r="D22" i="1623" s="1"/>
  <c r="R21" i="1623"/>
  <c r="D21" i="1623"/>
  <c r="R20" i="1623"/>
  <c r="R19" i="1623"/>
  <c r="L19" i="1623"/>
  <c r="D19" i="1623" s="1"/>
  <c r="R18" i="1623"/>
  <c r="D18" i="1623"/>
  <c r="R17" i="1623"/>
  <c r="L17" i="1623"/>
  <c r="D17" i="1623"/>
  <c r="R16" i="1623"/>
  <c r="L16" i="1623"/>
  <c r="D16" i="1623" s="1"/>
  <c r="R15" i="1623"/>
  <c r="D15" i="1623"/>
  <c r="R14" i="1623"/>
  <c r="D14" i="1623"/>
  <c r="R13" i="1623"/>
  <c r="D13" i="1623"/>
  <c r="R12" i="1623"/>
  <c r="R11" i="1623"/>
  <c r="L11" i="1623"/>
  <c r="D11" i="1623"/>
  <c r="L10" i="1623"/>
  <c r="D10" i="1623"/>
  <c r="L9" i="1623"/>
  <c r="D9" i="1623"/>
  <c r="L8" i="1623"/>
  <c r="D8" i="1623"/>
  <c r="R6" i="1623"/>
  <c r="L6" i="1623"/>
  <c r="D6" i="1623"/>
  <c r="R5" i="1623"/>
  <c r="R4" i="1623"/>
  <c r="R52" i="1622"/>
  <c r="R51" i="1622"/>
  <c r="D50" i="1622"/>
  <c r="R49" i="1622"/>
  <c r="D49" i="1622"/>
  <c r="R48" i="1622"/>
  <c r="D48" i="1622"/>
  <c r="D46" i="1622"/>
  <c r="D45" i="1622"/>
  <c r="P44" i="1622"/>
  <c r="R44" i="1622" s="1"/>
  <c r="D44" i="1622"/>
  <c r="R42" i="1622"/>
  <c r="L6" i="1622" s="1"/>
  <c r="D6" i="1622" s="1"/>
  <c r="D42" i="1622"/>
  <c r="R41" i="1622"/>
  <c r="L7" i="1622" s="1"/>
  <c r="D7" i="1622" s="1"/>
  <c r="D41" i="1622"/>
  <c r="R40" i="1622"/>
  <c r="D40" i="1622"/>
  <c r="R39" i="1622"/>
  <c r="L20" i="1622" s="1"/>
  <c r="D20" i="1622" s="1"/>
  <c r="H39" i="1622"/>
  <c r="D39" i="1622"/>
  <c r="R38" i="1622"/>
  <c r="H38" i="1622"/>
  <c r="D38" i="1622"/>
  <c r="R37" i="1622"/>
  <c r="H37" i="1622"/>
  <c r="D37" i="1622"/>
  <c r="R36" i="1622"/>
  <c r="H36" i="1622"/>
  <c r="D36" i="1622"/>
  <c r="R35" i="1622"/>
  <c r="H35" i="1622"/>
  <c r="D35" i="1622"/>
  <c r="R34" i="1622"/>
  <c r="L12" i="1622" s="1"/>
  <c r="D12" i="1622" s="1"/>
  <c r="H34" i="1622"/>
  <c r="G49" i="1622" s="1"/>
  <c r="D34" i="1622"/>
  <c r="D54" i="1622" s="1"/>
  <c r="H14" i="1622" s="1"/>
  <c r="R33" i="1622"/>
  <c r="R32" i="1622"/>
  <c r="R31" i="1622"/>
  <c r="R30" i="1622"/>
  <c r="R29" i="1622"/>
  <c r="R28" i="1622"/>
  <c r="D28" i="1622"/>
  <c r="R27" i="1622"/>
  <c r="D27" i="1622"/>
  <c r="R26" i="1622"/>
  <c r="L26" i="1622"/>
  <c r="D26" i="1622"/>
  <c r="R25" i="1622"/>
  <c r="L25" i="1622"/>
  <c r="D25" i="1622" s="1"/>
  <c r="R24" i="1622"/>
  <c r="L24" i="1622"/>
  <c r="D24" i="1622"/>
  <c r="R23" i="1622"/>
  <c r="D23" i="1622"/>
  <c r="R22" i="1622"/>
  <c r="D22" i="1622"/>
  <c r="R21" i="1622"/>
  <c r="D21" i="1622"/>
  <c r="R20" i="1622"/>
  <c r="R19" i="1622"/>
  <c r="D19" i="1622"/>
  <c r="R18" i="1622"/>
  <c r="D18" i="1622"/>
  <c r="R17" i="1622"/>
  <c r="L17" i="1622"/>
  <c r="D17" i="1622"/>
  <c r="R16" i="1622"/>
  <c r="L16" i="1622"/>
  <c r="D16" i="1622"/>
  <c r="R15" i="1622"/>
  <c r="D15" i="1622"/>
  <c r="R14" i="1622"/>
  <c r="D14" i="1622"/>
  <c r="R13" i="1622"/>
  <c r="D13" i="1622"/>
  <c r="R12" i="1622"/>
  <c r="R11" i="1622"/>
  <c r="L11" i="1622"/>
  <c r="D11" i="1622"/>
  <c r="L10" i="1622"/>
  <c r="D10" i="1622" s="1"/>
  <c r="L9" i="1622"/>
  <c r="D9" i="1622" s="1"/>
  <c r="L8" i="1622"/>
  <c r="D8" i="1622"/>
  <c r="R6" i="1622"/>
  <c r="R5" i="1622"/>
  <c r="R4" i="1622"/>
  <c r="R52" i="1621"/>
  <c r="R51" i="1621"/>
  <c r="D50" i="1621"/>
  <c r="R49" i="1621"/>
  <c r="G49" i="1621"/>
  <c r="D49" i="1621"/>
  <c r="R48" i="1621"/>
  <c r="D48" i="1621"/>
  <c r="D46" i="1621"/>
  <c r="D45" i="1621"/>
  <c r="D44" i="1621"/>
  <c r="R42" i="1621"/>
  <c r="D42" i="1621"/>
  <c r="R41" i="1621"/>
  <c r="L7" i="1621" s="1"/>
  <c r="D7" i="1621" s="1"/>
  <c r="D41" i="1621"/>
  <c r="R40" i="1621"/>
  <c r="L8" i="1621" s="1"/>
  <c r="D8" i="1621" s="1"/>
  <c r="D40" i="1621"/>
  <c r="R39" i="1621"/>
  <c r="D39" i="1621"/>
  <c r="R38" i="1621"/>
  <c r="L9" i="1621" s="1"/>
  <c r="D9" i="1621" s="1"/>
  <c r="D38" i="1621"/>
  <c r="R37" i="1621"/>
  <c r="D37" i="1621"/>
  <c r="R36" i="1621"/>
  <c r="L10" i="1621" s="1"/>
  <c r="D10" i="1621" s="1"/>
  <c r="D36" i="1621"/>
  <c r="R35" i="1621"/>
  <c r="D35" i="1621"/>
  <c r="D54" i="1621" s="1"/>
  <c r="H14" i="1621" s="1"/>
  <c r="R34" i="1621"/>
  <c r="L12" i="1621" s="1"/>
  <c r="D12" i="1621" s="1"/>
  <c r="D34" i="1621"/>
  <c r="R33" i="1621"/>
  <c r="R32" i="1621"/>
  <c r="R31" i="1621"/>
  <c r="R30" i="1621"/>
  <c r="R29" i="1621"/>
  <c r="R28" i="1621"/>
  <c r="L16" i="1621" s="1"/>
  <c r="D16" i="1621" s="1"/>
  <c r="D28" i="1621"/>
  <c r="R27" i="1621"/>
  <c r="D27" i="1621"/>
  <c r="R26" i="1621"/>
  <c r="L26" i="1621"/>
  <c r="D26" i="1621"/>
  <c r="R25" i="1621"/>
  <c r="L25" i="1621"/>
  <c r="D25" i="1621"/>
  <c r="R24" i="1621"/>
  <c r="D24" i="1621"/>
  <c r="R23" i="1621"/>
  <c r="L23" i="1621"/>
  <c r="D23" i="1621" s="1"/>
  <c r="R22" i="1621"/>
  <c r="L22" i="1621"/>
  <c r="D22" i="1621" s="1"/>
  <c r="R21" i="1621"/>
  <c r="D21" i="1621"/>
  <c r="R20" i="1621"/>
  <c r="L20" i="1621"/>
  <c r="D20" i="1621"/>
  <c r="R19" i="1621"/>
  <c r="L19" i="1621"/>
  <c r="D19" i="1621"/>
  <c r="R18" i="1621"/>
  <c r="D18" i="1621"/>
  <c r="R17" i="1621"/>
  <c r="D17" i="1621"/>
  <c r="R16" i="1621"/>
  <c r="S15" i="1621"/>
  <c r="R15" i="1621"/>
  <c r="D15" i="1621"/>
  <c r="S14" i="1621"/>
  <c r="R14" i="1621"/>
  <c r="D14" i="1621"/>
  <c r="R13" i="1621"/>
  <c r="D13" i="1621"/>
  <c r="R12" i="1621"/>
  <c r="R11" i="1621"/>
  <c r="L11" i="1621"/>
  <c r="D11" i="1621" s="1"/>
  <c r="R6" i="1621"/>
  <c r="L6" i="1621"/>
  <c r="D6" i="1621" s="1"/>
  <c r="D29" i="1621" s="1"/>
  <c r="H13" i="1621" s="1"/>
  <c r="H15" i="1621" s="1"/>
  <c r="H29" i="1621" s="1"/>
  <c r="R5" i="1621"/>
  <c r="R4" i="1621"/>
  <c r="R52" i="1620"/>
  <c r="R51" i="1620"/>
  <c r="D50" i="1620"/>
  <c r="R49" i="1620"/>
  <c r="D49" i="1620"/>
  <c r="R48" i="1620"/>
  <c r="D48" i="1620"/>
  <c r="D46" i="1620"/>
  <c r="D45" i="1620"/>
  <c r="D44" i="1620"/>
  <c r="R42" i="1620"/>
  <c r="D42" i="1620"/>
  <c r="R41" i="1620"/>
  <c r="D41" i="1620"/>
  <c r="R40" i="1620"/>
  <c r="L8" i="1620" s="1"/>
  <c r="D8" i="1620" s="1"/>
  <c r="D40" i="1620"/>
  <c r="R39" i="1620"/>
  <c r="H39" i="1620"/>
  <c r="D39" i="1620"/>
  <c r="R38" i="1620"/>
  <c r="L9" i="1620" s="1"/>
  <c r="D9" i="1620" s="1"/>
  <c r="H38" i="1620"/>
  <c r="G49" i="1620" s="1"/>
  <c r="D38" i="1620"/>
  <c r="R37" i="1620"/>
  <c r="H37" i="1620"/>
  <c r="D37" i="1620"/>
  <c r="R36" i="1620"/>
  <c r="H36" i="1620"/>
  <c r="D36" i="1620"/>
  <c r="R35" i="1620"/>
  <c r="H35" i="1620"/>
  <c r="D35" i="1620"/>
  <c r="R34" i="1620"/>
  <c r="H34" i="1620"/>
  <c r="D34" i="1620"/>
  <c r="D54" i="1620" s="1"/>
  <c r="H14" i="1620" s="1"/>
  <c r="R33" i="1620"/>
  <c r="L23" i="1620" s="1"/>
  <c r="D23" i="1620" s="1"/>
  <c r="R32" i="1620"/>
  <c r="L11" i="1620" s="1"/>
  <c r="D11" i="1620" s="1"/>
  <c r="R31" i="1620"/>
  <c r="R30" i="1620"/>
  <c r="R29" i="1620"/>
  <c r="R28" i="1620"/>
  <c r="D28" i="1620"/>
  <c r="R27" i="1620"/>
  <c r="D27" i="1620"/>
  <c r="R26" i="1620"/>
  <c r="L26" i="1620"/>
  <c r="D26" i="1620"/>
  <c r="R25" i="1620"/>
  <c r="L25" i="1620"/>
  <c r="D25" i="1620"/>
  <c r="R24" i="1620"/>
  <c r="D24" i="1620"/>
  <c r="R23" i="1620"/>
  <c r="R22" i="1620"/>
  <c r="L22" i="1620"/>
  <c r="D22" i="1620"/>
  <c r="R21" i="1620"/>
  <c r="D21" i="1620"/>
  <c r="R20" i="1620"/>
  <c r="L20" i="1620"/>
  <c r="D20" i="1620"/>
  <c r="R19" i="1620"/>
  <c r="L19" i="1620"/>
  <c r="D19" i="1620"/>
  <c r="R18" i="1620"/>
  <c r="D18" i="1620"/>
  <c r="R17" i="1620"/>
  <c r="D17" i="1620"/>
  <c r="R16" i="1620"/>
  <c r="L16" i="1620"/>
  <c r="D16" i="1620" s="1"/>
  <c r="R15" i="1620"/>
  <c r="D15" i="1620"/>
  <c r="R14" i="1620"/>
  <c r="D14" i="1620"/>
  <c r="R13" i="1620"/>
  <c r="D13" i="1620"/>
  <c r="R12" i="1620"/>
  <c r="L12" i="1620"/>
  <c r="D12" i="1620" s="1"/>
  <c r="R11" i="1620"/>
  <c r="L10" i="1620"/>
  <c r="D10" i="1620"/>
  <c r="L7" i="1620"/>
  <c r="D7" i="1620"/>
  <c r="R6" i="1620"/>
  <c r="L6" i="1620"/>
  <c r="D6" i="1620"/>
  <c r="R5" i="1620"/>
  <c r="R4" i="1620"/>
  <c r="R52" i="1619"/>
  <c r="R51" i="1619"/>
  <c r="D50" i="1619"/>
  <c r="R49" i="1619"/>
  <c r="D49" i="1619"/>
  <c r="R48" i="1619"/>
  <c r="D48" i="1619"/>
  <c r="D46" i="1619"/>
  <c r="D45" i="1619"/>
  <c r="D44" i="1619"/>
  <c r="R42" i="1619"/>
  <c r="D42" i="1619"/>
  <c r="R41" i="1619"/>
  <c r="L7" i="1619" s="1"/>
  <c r="D7" i="1619" s="1"/>
  <c r="D41" i="1619"/>
  <c r="R40" i="1619"/>
  <c r="D40" i="1619"/>
  <c r="R39" i="1619"/>
  <c r="L20" i="1619" s="1"/>
  <c r="D20" i="1619" s="1"/>
  <c r="H39" i="1619"/>
  <c r="D39" i="1619"/>
  <c r="R38" i="1619"/>
  <c r="H38" i="1619"/>
  <c r="D38" i="1619"/>
  <c r="R37" i="1619"/>
  <c r="H37" i="1619"/>
  <c r="D37" i="1619"/>
  <c r="R36" i="1619"/>
  <c r="H36" i="1619"/>
  <c r="D36" i="1619"/>
  <c r="R35" i="1619"/>
  <c r="L19" i="1619" s="1"/>
  <c r="D19" i="1619" s="1"/>
  <c r="H35" i="1619"/>
  <c r="D35" i="1619"/>
  <c r="D54" i="1619" s="1"/>
  <c r="H14" i="1619" s="1"/>
  <c r="R34" i="1619"/>
  <c r="L12" i="1619" s="1"/>
  <c r="D12" i="1619" s="1"/>
  <c r="H34" i="1619"/>
  <c r="G49" i="1619" s="1"/>
  <c r="D34" i="1619"/>
  <c r="R33" i="1619"/>
  <c r="L23" i="1619" s="1"/>
  <c r="D23" i="1619" s="1"/>
  <c r="R32" i="1619"/>
  <c r="L11" i="1619" s="1"/>
  <c r="D11" i="1619" s="1"/>
  <c r="R31" i="1619"/>
  <c r="R30" i="1619"/>
  <c r="R29" i="1619"/>
  <c r="R28" i="1619"/>
  <c r="D28" i="1619"/>
  <c r="R27" i="1619"/>
  <c r="D27" i="1619"/>
  <c r="R26" i="1619"/>
  <c r="L26" i="1619"/>
  <c r="D26" i="1619"/>
  <c r="R25" i="1619"/>
  <c r="L25" i="1619"/>
  <c r="D25" i="1619"/>
  <c r="R24" i="1619"/>
  <c r="L24" i="1619"/>
  <c r="D24" i="1619"/>
  <c r="R23" i="1619"/>
  <c r="R22" i="1619"/>
  <c r="L22" i="1619"/>
  <c r="D22" i="1619" s="1"/>
  <c r="R21" i="1619"/>
  <c r="L17" i="1619" s="1"/>
  <c r="D17" i="1619" s="1"/>
  <c r="D21" i="1619"/>
  <c r="R20" i="1619"/>
  <c r="R19" i="1619"/>
  <c r="R18" i="1619"/>
  <c r="D18" i="1619"/>
  <c r="R17" i="1619"/>
  <c r="R16" i="1619"/>
  <c r="L16" i="1619"/>
  <c r="D16" i="1619" s="1"/>
  <c r="R15" i="1619"/>
  <c r="D15" i="1619"/>
  <c r="R14" i="1619"/>
  <c r="D14" i="1619"/>
  <c r="R13" i="1619"/>
  <c r="D13" i="1619"/>
  <c r="R12" i="1619"/>
  <c r="R11" i="1619"/>
  <c r="L10" i="1619"/>
  <c r="D10" i="1619"/>
  <c r="L9" i="1619"/>
  <c r="D9" i="1619"/>
  <c r="L8" i="1619"/>
  <c r="D8" i="1619"/>
  <c r="R6" i="1619"/>
  <c r="L6" i="1619"/>
  <c r="D6" i="1619"/>
  <c r="R5" i="1619"/>
  <c r="R4" i="1619"/>
  <c r="R52" i="1618"/>
  <c r="R51" i="1618"/>
  <c r="D50" i="1618"/>
  <c r="R49" i="1618"/>
  <c r="D49" i="1618"/>
  <c r="R48" i="1618"/>
  <c r="D48" i="1618"/>
  <c r="D46" i="1618"/>
  <c r="D45" i="1618"/>
  <c r="P44" i="1618"/>
  <c r="R44" i="1618" s="1"/>
  <c r="D44" i="1618"/>
  <c r="R42" i="1618"/>
  <c r="L6" i="1618" s="1"/>
  <c r="D6" i="1618" s="1"/>
  <c r="D42" i="1618"/>
  <c r="R41" i="1618"/>
  <c r="D41" i="1618"/>
  <c r="R40" i="1618"/>
  <c r="D40" i="1618"/>
  <c r="R39" i="1618"/>
  <c r="L20" i="1618" s="1"/>
  <c r="D20" i="1618" s="1"/>
  <c r="H39" i="1618"/>
  <c r="D39" i="1618"/>
  <c r="R38" i="1618"/>
  <c r="H38" i="1618"/>
  <c r="D38" i="1618"/>
  <c r="R37" i="1618"/>
  <c r="H37" i="1618"/>
  <c r="D37" i="1618"/>
  <c r="R36" i="1618"/>
  <c r="L10" i="1618" s="1"/>
  <c r="D10" i="1618" s="1"/>
  <c r="H36" i="1618"/>
  <c r="G49" i="1618" s="1"/>
  <c r="D36" i="1618"/>
  <c r="R35" i="1618"/>
  <c r="H35" i="1618"/>
  <c r="D35" i="1618"/>
  <c r="R34" i="1618"/>
  <c r="H34" i="1618"/>
  <c r="D34" i="1618"/>
  <c r="D54" i="1618" s="1"/>
  <c r="H14" i="1618" s="1"/>
  <c r="R33" i="1618"/>
  <c r="R32" i="1618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L12" i="1618"/>
  <c r="D12" i="1618"/>
  <c r="R11" i="1618"/>
  <c r="L11" i="1618"/>
  <c r="D11" i="1618"/>
  <c r="L9" i="1618"/>
  <c r="D9" i="1618" s="1"/>
  <c r="L8" i="1618"/>
  <c r="D8" i="1618" s="1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R52" i="1616"/>
  <c r="R51" i="1616"/>
  <c r="D50" i="1616"/>
  <c r="R49" i="1616"/>
  <c r="D49" i="1616"/>
  <c r="R48" i="1616"/>
  <c r="D48" i="1616"/>
  <c r="D46" i="1616"/>
  <c r="D45" i="1616"/>
  <c r="D44" i="1616"/>
  <c r="R42" i="1616"/>
  <c r="L6" i="1616" s="1"/>
  <c r="D6" i="1616" s="1"/>
  <c r="D42" i="1616"/>
  <c r="R41" i="1616"/>
  <c r="D41" i="1616"/>
  <c r="R40" i="1616"/>
  <c r="L8" i="1616" s="1"/>
  <c r="D8" i="1616" s="1"/>
  <c r="D40" i="1616"/>
  <c r="R39" i="1616"/>
  <c r="H39" i="1616"/>
  <c r="D39" i="1616"/>
  <c r="R38" i="1616"/>
  <c r="H38" i="1616"/>
  <c r="D38" i="1616"/>
  <c r="R37" i="1616"/>
  <c r="H37" i="1616"/>
  <c r="D37" i="1616"/>
  <c r="R36" i="1616"/>
  <c r="H36" i="1616"/>
  <c r="D36" i="1616"/>
  <c r="R35" i="1616"/>
  <c r="L19" i="1616" s="1"/>
  <c r="D19" i="1616" s="1"/>
  <c r="H35" i="1616"/>
  <c r="D35" i="1616"/>
  <c r="D54" i="1616" s="1"/>
  <c r="H14" i="1616" s="1"/>
  <c r="R34" i="1616"/>
  <c r="L12" i="1616" s="1"/>
  <c r="D12" i="1616" s="1"/>
  <c r="H34" i="1616"/>
  <c r="G49" i="1616" s="1"/>
  <c r="D34" i="1616"/>
  <c r="R33" i="1616"/>
  <c r="L23" i="1616" s="1"/>
  <c r="D23" i="1616" s="1"/>
  <c r="R32" i="1616"/>
  <c r="R31" i="1616"/>
  <c r="R30" i="1616"/>
  <c r="R29" i="1616"/>
  <c r="R28" i="1616"/>
  <c r="L16" i="1616" s="1"/>
  <c r="D16" i="1616" s="1"/>
  <c r="D28" i="1616"/>
  <c r="R27" i="1616"/>
  <c r="D27" i="1616"/>
  <c r="R26" i="1616"/>
  <c r="L26" i="1616"/>
  <c r="D26" i="1616"/>
  <c r="R25" i="1616"/>
  <c r="L25" i="1616"/>
  <c r="D25" i="1616"/>
  <c r="R24" i="1616"/>
  <c r="D24" i="1616"/>
  <c r="R23" i="1616"/>
  <c r="R22" i="1616"/>
  <c r="L22" i="1616"/>
  <c r="D22" i="1616"/>
  <c r="R21" i="1616"/>
  <c r="D21" i="1616"/>
  <c r="R20" i="1616"/>
  <c r="L20" i="1616"/>
  <c r="D20" i="1616"/>
  <c r="R19" i="1616"/>
  <c r="R18" i="1616"/>
  <c r="D18" i="1616"/>
  <c r="R17" i="1616"/>
  <c r="D17" i="1616"/>
  <c r="R16" i="1616"/>
  <c r="R15" i="1616"/>
  <c r="D15" i="1616"/>
  <c r="R14" i="1616"/>
  <c r="D14" i="1616"/>
  <c r="R13" i="1616"/>
  <c r="D13" i="1616"/>
  <c r="R12" i="1616"/>
  <c r="R11" i="1616"/>
  <c r="L11" i="1616"/>
  <c r="D11" i="1616" s="1"/>
  <c r="L10" i="1616"/>
  <c r="D10" i="1616"/>
  <c r="L9" i="1616"/>
  <c r="D9" i="1616"/>
  <c r="L7" i="1616"/>
  <c r="D7" i="1616" s="1"/>
  <c r="R6" i="1616"/>
  <c r="R5" i="1616"/>
  <c r="R4" i="1616"/>
  <c r="R52" i="1615"/>
  <c r="R51" i="1615"/>
  <c r="D50" i="1615"/>
  <c r="R49" i="1615"/>
  <c r="D49" i="1615"/>
  <c r="R48" i="1615"/>
  <c r="D48" i="1615"/>
  <c r="D46" i="1615"/>
  <c r="D45" i="1615"/>
  <c r="D44" i="1615"/>
  <c r="R42" i="1615"/>
  <c r="L6" i="1615" s="1"/>
  <c r="D6" i="1615" s="1"/>
  <c r="D42" i="1615"/>
  <c r="R41" i="1615"/>
  <c r="L7" i="1615" s="1"/>
  <c r="D7" i="1615" s="1"/>
  <c r="D41" i="1615"/>
  <c r="R40" i="1615"/>
  <c r="D40" i="1615"/>
  <c r="R39" i="1615"/>
  <c r="H39" i="1615"/>
  <c r="D39" i="1615"/>
  <c r="R38" i="1615"/>
  <c r="H38" i="1615"/>
  <c r="D38" i="1615"/>
  <c r="R37" i="1615"/>
  <c r="H37" i="1615"/>
  <c r="G49" i="1615" s="1"/>
  <c r="D37" i="1615"/>
  <c r="R36" i="1615"/>
  <c r="H36" i="1615"/>
  <c r="D36" i="1615"/>
  <c r="R35" i="1615"/>
  <c r="L19" i="1615" s="1"/>
  <c r="D19" i="1615" s="1"/>
  <c r="H35" i="1615"/>
  <c r="D35" i="1615"/>
  <c r="D54" i="1615" s="1"/>
  <c r="H14" i="1615" s="1"/>
  <c r="R34" i="1615"/>
  <c r="L12" i="1615" s="1"/>
  <c r="D12" i="1615" s="1"/>
  <c r="H34" i="1615"/>
  <c r="D34" i="1615"/>
  <c r="R33" i="1615"/>
  <c r="R32" i="1615"/>
  <c r="L11" i="1615" s="1"/>
  <c r="D11" i="1615" s="1"/>
  <c r="R31" i="1615"/>
  <c r="R30" i="1615"/>
  <c r="R29" i="1615"/>
  <c r="R28" i="1615"/>
  <c r="D28" i="1615"/>
  <c r="R27" i="1615"/>
  <c r="D27" i="1615"/>
  <c r="R26" i="1615"/>
  <c r="L26" i="1615"/>
  <c r="D26" i="1615"/>
  <c r="R25" i="1615"/>
  <c r="L25" i="1615"/>
  <c r="D25" i="1615"/>
  <c r="R24" i="1615"/>
  <c r="L24" i="1615"/>
  <c r="D24" i="1615"/>
  <c r="R23" i="1615"/>
  <c r="L23" i="1615"/>
  <c r="D23" i="1615" s="1"/>
  <c r="R22" i="1615"/>
  <c r="L22" i="1615"/>
  <c r="D22" i="1615" s="1"/>
  <c r="R21" i="1615"/>
  <c r="D21" i="1615"/>
  <c r="R20" i="1615"/>
  <c r="L20" i="1615"/>
  <c r="D20" i="1615" s="1"/>
  <c r="R19" i="1615"/>
  <c r="R18" i="1615"/>
  <c r="D18" i="1615"/>
  <c r="R17" i="1615"/>
  <c r="L17" i="1615"/>
  <c r="D17" i="1615" s="1"/>
  <c r="R16" i="1615"/>
  <c r="L16" i="1615"/>
  <c r="D16" i="1615" s="1"/>
  <c r="R15" i="1615"/>
  <c r="D15" i="1615"/>
  <c r="R14" i="1615"/>
  <c r="D14" i="1615"/>
  <c r="R13" i="1615"/>
  <c r="D13" i="1615"/>
  <c r="R12" i="1615"/>
  <c r="R11" i="1615"/>
  <c r="L10" i="1615"/>
  <c r="D10" i="1615"/>
  <c r="L9" i="1615"/>
  <c r="D9" i="1615"/>
  <c r="L8" i="1615"/>
  <c r="D8" i="1615" s="1"/>
  <c r="R6" i="1615"/>
  <c r="R5" i="1615"/>
  <c r="R4" i="1615"/>
  <c r="R52" i="1614"/>
  <c r="R51" i="1614"/>
  <c r="D50" i="1614"/>
  <c r="R49" i="1614"/>
  <c r="D49" i="1614"/>
  <c r="R48" i="1614"/>
  <c r="D48" i="1614"/>
  <c r="D46" i="1614"/>
  <c r="D45" i="1614"/>
  <c r="P44" i="1614"/>
  <c r="R44" i="1614" s="1"/>
  <c r="D44" i="1614"/>
  <c r="R42" i="1614"/>
  <c r="D42" i="1614"/>
  <c r="R41" i="1614"/>
  <c r="D41" i="1614"/>
  <c r="R40" i="1614"/>
  <c r="L8" i="1614" s="1"/>
  <c r="D8" i="1614" s="1"/>
  <c r="D40" i="1614"/>
  <c r="R39" i="1614"/>
  <c r="L20" i="1614" s="1"/>
  <c r="D20" i="1614" s="1"/>
  <c r="H39" i="1614"/>
  <c r="G49" i="1614" s="1"/>
  <c r="D39" i="1614"/>
  <c r="R38" i="1614"/>
  <c r="L9" i="1614" s="1"/>
  <c r="D9" i="1614" s="1"/>
  <c r="H38" i="1614"/>
  <c r="D38" i="1614"/>
  <c r="R37" i="1614"/>
  <c r="H37" i="1614"/>
  <c r="D37" i="1614"/>
  <c r="R36" i="1614"/>
  <c r="L10" i="1614" s="1"/>
  <c r="D10" i="1614" s="1"/>
  <c r="H36" i="1614"/>
  <c r="D36" i="1614"/>
  <c r="R35" i="1614"/>
  <c r="H35" i="1614"/>
  <c r="D35" i="1614"/>
  <c r="R34" i="1614"/>
  <c r="H34" i="1614"/>
  <c r="D34" i="1614"/>
  <c r="D54" i="1614" s="1"/>
  <c r="H14" i="1614" s="1"/>
  <c r="R33" i="1614"/>
  <c r="R32" i="1614"/>
  <c r="L11" i="1614" s="1"/>
  <c r="D11" i="1614" s="1"/>
  <c r="R31" i="1614"/>
  <c r="R30" i="1614"/>
  <c r="R29" i="1614"/>
  <c r="R28" i="1614"/>
  <c r="L16" i="1614" s="1"/>
  <c r="D16" i="1614" s="1"/>
  <c r="D28" i="1614"/>
  <c r="R27" i="1614"/>
  <c r="D27" i="1614"/>
  <c r="R26" i="1614"/>
  <c r="L26" i="1614"/>
  <c r="D26" i="1614"/>
  <c r="R25" i="1614"/>
  <c r="L25" i="1614"/>
  <c r="D25" i="1614"/>
  <c r="R24" i="1614"/>
  <c r="L24" i="1614"/>
  <c r="D24" i="1614"/>
  <c r="R23" i="1614"/>
  <c r="D23" i="1614"/>
  <c r="R22" i="1614"/>
  <c r="D22" i="1614"/>
  <c r="R21" i="1614"/>
  <c r="D21" i="1614"/>
  <c r="R20" i="1614"/>
  <c r="R19" i="1614"/>
  <c r="D19" i="1614"/>
  <c r="R18" i="1614"/>
  <c r="D18" i="1614"/>
  <c r="R17" i="1614"/>
  <c r="L17" i="1614"/>
  <c r="D17" i="1614"/>
  <c r="R16" i="1614"/>
  <c r="R15" i="1614"/>
  <c r="D15" i="1614"/>
  <c r="R14" i="1614"/>
  <c r="D14" i="1614"/>
  <c r="R13" i="1614"/>
  <c r="D13" i="1614"/>
  <c r="R12" i="1614"/>
  <c r="L12" i="1614"/>
  <c r="D12" i="1614" s="1"/>
  <c r="R11" i="1614"/>
  <c r="L7" i="1614"/>
  <c r="D7" i="1614"/>
  <c r="R6" i="1614"/>
  <c r="L6" i="1614"/>
  <c r="D6" i="1614"/>
  <c r="R5" i="1614"/>
  <c r="R4" i="1614"/>
  <c r="R52" i="1613"/>
  <c r="R51" i="1613"/>
  <c r="D50" i="1613"/>
  <c r="R49" i="1613"/>
  <c r="G49" i="1613"/>
  <c r="D49" i="1613"/>
  <c r="R48" i="1613"/>
  <c r="D48" i="1613"/>
  <c r="D46" i="1613"/>
  <c r="D45" i="1613"/>
  <c r="D44" i="1613"/>
  <c r="R42" i="1613"/>
  <c r="L6" i="1613" s="1"/>
  <c r="D6" i="1613" s="1"/>
  <c r="D29" i="1613" s="1"/>
  <c r="H13" i="1613" s="1"/>
  <c r="H15" i="1613" s="1"/>
  <c r="H29" i="1613" s="1"/>
  <c r="D42" i="1613"/>
  <c r="R41" i="1613"/>
  <c r="D41" i="1613"/>
  <c r="R40" i="1613"/>
  <c r="D40" i="1613"/>
  <c r="R39" i="1613"/>
  <c r="D39" i="1613"/>
  <c r="R38" i="1613"/>
  <c r="D38" i="1613"/>
  <c r="R37" i="1613"/>
  <c r="D37" i="1613"/>
  <c r="R36" i="1613"/>
  <c r="L10" i="1613" s="1"/>
  <c r="D10" i="1613" s="1"/>
  <c r="D36" i="1613"/>
  <c r="R35" i="1613"/>
  <c r="L19" i="1613" s="1"/>
  <c r="D19" i="1613" s="1"/>
  <c r="D35" i="1613"/>
  <c r="D54" i="1613" s="1"/>
  <c r="H14" i="1613" s="1"/>
  <c r="R34" i="1613"/>
  <c r="L12" i="1613" s="1"/>
  <c r="D12" i="1613" s="1"/>
  <c r="D34" i="1613"/>
  <c r="R33" i="1613"/>
  <c r="R32" i="1613"/>
  <c r="L11" i="1613" s="1"/>
  <c r="D11" i="1613" s="1"/>
  <c r="R31" i="1613"/>
  <c r="R30" i="1613"/>
  <c r="R29" i="1613"/>
  <c r="R28" i="1613"/>
  <c r="L16" i="1613" s="1"/>
  <c r="D16" i="1613" s="1"/>
  <c r="D28" i="1613"/>
  <c r="R27" i="1613"/>
  <c r="D27" i="1613"/>
  <c r="R26" i="1613"/>
  <c r="L26" i="1613"/>
  <c r="D26" i="1613"/>
  <c r="R25" i="1613"/>
  <c r="L25" i="1613"/>
  <c r="D25" i="1613"/>
  <c r="R24" i="1613"/>
  <c r="D24" i="1613"/>
  <c r="R23" i="1613"/>
  <c r="L23" i="1613"/>
  <c r="D23" i="1613"/>
  <c r="R22" i="1613"/>
  <c r="L22" i="1613"/>
  <c r="D22" i="1613" s="1"/>
  <c r="R21" i="1613"/>
  <c r="D21" i="1613"/>
  <c r="R20" i="1613"/>
  <c r="L20" i="1613"/>
  <c r="D20" i="1613"/>
  <c r="R19" i="1613"/>
  <c r="R18" i="1613"/>
  <c r="D18" i="1613"/>
  <c r="R17" i="1613"/>
  <c r="D17" i="1613"/>
  <c r="R16" i="1613"/>
  <c r="S15" i="1613"/>
  <c r="R15" i="1613"/>
  <c r="D15" i="1613"/>
  <c r="S14" i="1613"/>
  <c r="R14" i="1613"/>
  <c r="D14" i="1613"/>
  <c r="R13" i="1613"/>
  <c r="D13" i="1613"/>
  <c r="R12" i="1613"/>
  <c r="R11" i="1613"/>
  <c r="L9" i="1613"/>
  <c r="D9" i="1613"/>
  <c r="L8" i="1613"/>
  <c r="D8" i="1613"/>
  <c r="L7" i="1613"/>
  <c r="D7" i="1613"/>
  <c r="R6" i="1613"/>
  <c r="R5" i="1613"/>
  <c r="R4" i="1613"/>
  <c r="D29" i="1644" l="1"/>
  <c r="H13" i="1644" s="1"/>
  <c r="H15" i="1644" s="1"/>
  <c r="H29" i="1644" s="1"/>
  <c r="G51" i="1644" s="1"/>
  <c r="D29" i="1643"/>
  <c r="H13" i="1643" s="1"/>
  <c r="H15" i="1643" s="1"/>
  <c r="H29" i="1643" s="1"/>
  <c r="G51" i="1643" s="1"/>
  <c r="D29" i="1642"/>
  <c r="H13" i="1642" s="1"/>
  <c r="H15" i="1642" s="1"/>
  <c r="H29" i="1642" s="1"/>
  <c r="G51" i="1642" s="1"/>
  <c r="D29" i="1641"/>
  <c r="H13" i="1641" s="1"/>
  <c r="H15" i="1641" s="1"/>
  <c r="H29" i="1641" s="1"/>
  <c r="G51" i="1641" s="1"/>
  <c r="D29" i="1640"/>
  <c r="H13" i="1640" s="1"/>
  <c r="H15" i="1640" s="1"/>
  <c r="H29" i="1640" s="1"/>
  <c r="G51" i="1640" s="1"/>
  <c r="D29" i="1639"/>
  <c r="H13" i="1639" s="1"/>
  <c r="H15" i="1639" s="1"/>
  <c r="H29" i="1639" s="1"/>
  <c r="G51" i="1639"/>
  <c r="D29" i="1638"/>
  <c r="H13" i="1638" s="1"/>
  <c r="H15" i="1638" s="1"/>
  <c r="H29" i="1638" s="1"/>
  <c r="G51" i="1638" s="1"/>
  <c r="D29" i="1637"/>
  <c r="H13" i="1637" s="1"/>
  <c r="H15" i="1637" s="1"/>
  <c r="H29" i="1637" s="1"/>
  <c r="G51" i="1637" s="1"/>
  <c r="D29" i="1636"/>
  <c r="H13" i="1636" s="1"/>
  <c r="H15" i="1636" s="1"/>
  <c r="H29" i="1636" s="1"/>
  <c r="G51" i="1636" s="1"/>
  <c r="D29" i="1635"/>
  <c r="H13" i="1635" s="1"/>
  <c r="H15" i="1635" s="1"/>
  <c r="H29" i="1635" s="1"/>
  <c r="G51" i="1635" s="1"/>
  <c r="G51" i="1634"/>
  <c r="D29" i="1633"/>
  <c r="H13" i="1633" s="1"/>
  <c r="H15" i="1633" s="1"/>
  <c r="H29" i="1633" s="1"/>
  <c r="G51" i="1633"/>
  <c r="D29" i="1632"/>
  <c r="H13" i="1632" s="1"/>
  <c r="H15" i="1632" s="1"/>
  <c r="H29" i="1632" s="1"/>
  <c r="G51" i="1632" s="1"/>
  <c r="D29" i="1631"/>
  <c r="H13" i="1631" s="1"/>
  <c r="H15" i="1631" s="1"/>
  <c r="H29" i="1631" s="1"/>
  <c r="G51" i="1631"/>
  <c r="D29" i="1630"/>
  <c r="H13" i="1630" s="1"/>
  <c r="H15" i="1630" s="1"/>
  <c r="H29" i="1630" s="1"/>
  <c r="G51" i="1630" s="1"/>
  <c r="D29" i="1629"/>
  <c r="H13" i="1629" s="1"/>
  <c r="H15" i="1629" s="1"/>
  <c r="H29" i="1629" s="1"/>
  <c r="G51" i="1629" s="1"/>
  <c r="D29" i="1628"/>
  <c r="H13" i="1628" s="1"/>
  <c r="H15" i="1628" s="1"/>
  <c r="H29" i="1628" s="1"/>
  <c r="G51" i="1628"/>
  <c r="D29" i="1627"/>
  <c r="H13" i="1627" s="1"/>
  <c r="H15" i="1627" s="1"/>
  <c r="H29" i="1627" s="1"/>
  <c r="G51" i="1627"/>
  <c r="D29" i="1626"/>
  <c r="H13" i="1626" s="1"/>
  <c r="H15" i="1626" s="1"/>
  <c r="H29" i="1626" s="1"/>
  <c r="G51" i="1626" s="1"/>
  <c r="D29" i="1625"/>
  <c r="H13" i="1625" s="1"/>
  <c r="H15" i="1625" s="1"/>
  <c r="H29" i="1625" s="1"/>
  <c r="G51" i="1625"/>
  <c r="H15" i="1624"/>
  <c r="H29" i="1624" s="1"/>
  <c r="G51" i="1624" s="1"/>
  <c r="G51" i="1623"/>
  <c r="D29" i="1622"/>
  <c r="H13" i="1622" s="1"/>
  <c r="H15" i="1622" s="1"/>
  <c r="H29" i="1622" s="1"/>
  <c r="G51" i="1622"/>
  <c r="G51" i="1621"/>
  <c r="D29" i="1620"/>
  <c r="H13" i="1620" s="1"/>
  <c r="H15" i="1620" s="1"/>
  <c r="H29" i="1620" s="1"/>
  <c r="G51" i="1620"/>
  <c r="D29" i="1619"/>
  <c r="H13" i="1619" s="1"/>
  <c r="H15" i="1619" s="1"/>
  <c r="H29" i="1619" s="1"/>
  <c r="G51" i="1619" s="1"/>
  <c r="D29" i="1618"/>
  <c r="H13" i="1618" s="1"/>
  <c r="H15" i="1618" s="1"/>
  <c r="H29" i="1618" s="1"/>
  <c r="G51" i="1618" s="1"/>
  <c r="D29" i="1617"/>
  <c r="H13" i="1617" s="1"/>
  <c r="H15" i="1617" s="1"/>
  <c r="H29" i="1617" s="1"/>
  <c r="G51" i="1617" s="1"/>
  <c r="D29" i="1616"/>
  <c r="H13" i="1616" s="1"/>
  <c r="H15" i="1616" s="1"/>
  <c r="H29" i="1616" s="1"/>
  <c r="G51" i="1616" s="1"/>
  <c r="D29" i="1615"/>
  <c r="H13" i="1615" s="1"/>
  <c r="H15" i="1615" s="1"/>
  <c r="H29" i="1615" s="1"/>
  <c r="G51" i="1615" s="1"/>
  <c r="D29" i="1614"/>
  <c r="H13" i="1614" s="1"/>
  <c r="H15" i="1614" s="1"/>
  <c r="H29" i="1614" s="1"/>
  <c r="G51" i="1614" s="1"/>
  <c r="G51" i="1613"/>
  <c r="L25" i="1599"/>
  <c r="H16" i="1600" l="1"/>
  <c r="H16" i="1598"/>
  <c r="C12" i="1600" l="1"/>
  <c r="C19" i="1599"/>
  <c r="C12" i="1599"/>
  <c r="H16" i="1595" l="1"/>
  <c r="C23" i="1596" l="1"/>
  <c r="L26" i="1596"/>
  <c r="C19" i="1596"/>
  <c r="C12" i="1596"/>
  <c r="C18" i="1596"/>
  <c r="L20" i="1596"/>
  <c r="L18" i="1596"/>
  <c r="C21" i="1596"/>
  <c r="C15" i="1596"/>
  <c r="C10" i="1594"/>
  <c r="C12" i="1594"/>
  <c r="H16" i="1591" l="1"/>
  <c r="H16" i="1592"/>
  <c r="C20" i="1591"/>
  <c r="L26" i="1590"/>
  <c r="L25" i="1590"/>
  <c r="C21" i="1590"/>
  <c r="H16" i="1588" l="1"/>
  <c r="H16" i="1587" l="1"/>
  <c r="H16" i="1586"/>
  <c r="R52" i="1612" l="1"/>
  <c r="R51" i="1612"/>
  <c r="D50" i="1612"/>
  <c r="R49" i="1612"/>
  <c r="D49" i="1612"/>
  <c r="R48" i="1612"/>
  <c r="D48" i="1612"/>
  <c r="D46" i="1612"/>
  <c r="D45" i="1612"/>
  <c r="D44" i="1612"/>
  <c r="R42" i="1612"/>
  <c r="D42" i="1612"/>
  <c r="R41" i="1612"/>
  <c r="L7" i="1612" s="1"/>
  <c r="D7" i="1612" s="1"/>
  <c r="D41" i="1612"/>
  <c r="R40" i="1612"/>
  <c r="D40" i="1612"/>
  <c r="R39" i="1612"/>
  <c r="H39" i="1612"/>
  <c r="D39" i="1612"/>
  <c r="R38" i="1612"/>
  <c r="H38" i="1612"/>
  <c r="D38" i="1612"/>
  <c r="R37" i="1612"/>
  <c r="H37" i="1612"/>
  <c r="D37" i="1612"/>
  <c r="R36" i="1612"/>
  <c r="H36" i="1612"/>
  <c r="D36" i="1612"/>
  <c r="R35" i="1612"/>
  <c r="H35" i="1612"/>
  <c r="D35" i="1612"/>
  <c r="R34" i="1612"/>
  <c r="H34" i="1612"/>
  <c r="D34" i="1612"/>
  <c r="R33" i="1612"/>
  <c r="L23" i="1612" s="1"/>
  <c r="D23" i="1612" s="1"/>
  <c r="R32" i="1612"/>
  <c r="R31" i="1612"/>
  <c r="R30" i="1612"/>
  <c r="R29" i="1612"/>
  <c r="R28" i="1612"/>
  <c r="D28" i="1612"/>
  <c r="R27" i="1612"/>
  <c r="D27" i="1612"/>
  <c r="R26" i="1612"/>
  <c r="L26" i="1612"/>
  <c r="D26" i="1612"/>
  <c r="R25" i="1612"/>
  <c r="L25" i="1612"/>
  <c r="D25" i="1612"/>
  <c r="R24" i="1612"/>
  <c r="D24" i="1612"/>
  <c r="R23" i="1612"/>
  <c r="R22" i="1612"/>
  <c r="L22" i="1612"/>
  <c r="D22" i="1612"/>
  <c r="R21" i="1612"/>
  <c r="D21" i="1612"/>
  <c r="R20" i="1612"/>
  <c r="L20" i="1612"/>
  <c r="D20" i="1612"/>
  <c r="R19" i="1612"/>
  <c r="L19" i="1612"/>
  <c r="D19" i="1612"/>
  <c r="R18" i="1612"/>
  <c r="D18" i="1612"/>
  <c r="R17" i="1612"/>
  <c r="D17" i="1612"/>
  <c r="R16" i="1612"/>
  <c r="L16" i="1612"/>
  <c r="D16" i="1612" s="1"/>
  <c r="R15" i="1612"/>
  <c r="D15" i="1612"/>
  <c r="R14" i="1612"/>
  <c r="D14" i="1612"/>
  <c r="R13" i="1612"/>
  <c r="D13" i="1612"/>
  <c r="R12" i="1612"/>
  <c r="L12" i="1612"/>
  <c r="D12" i="1612" s="1"/>
  <c r="R11" i="1612"/>
  <c r="L11" i="1612"/>
  <c r="D11" i="1612"/>
  <c r="L10" i="1612"/>
  <c r="D10" i="1612"/>
  <c r="L9" i="1612"/>
  <c r="D9" i="1612"/>
  <c r="L8" i="1612"/>
  <c r="D8" i="1612" s="1"/>
  <c r="R6" i="1612"/>
  <c r="L6" i="1612"/>
  <c r="D6" i="1612" s="1"/>
  <c r="R5" i="1612"/>
  <c r="R4" i="1612"/>
  <c r="R52" i="1611"/>
  <c r="R51" i="1611"/>
  <c r="D50" i="1611"/>
  <c r="R49" i="1611"/>
  <c r="D49" i="1611"/>
  <c r="R48" i="1611"/>
  <c r="D48" i="1611"/>
  <c r="D46" i="1611"/>
  <c r="D45" i="1611"/>
  <c r="D44" i="1611"/>
  <c r="R42" i="1611"/>
  <c r="L6" i="1611" s="1"/>
  <c r="D6" i="1611" s="1"/>
  <c r="D42" i="1611"/>
  <c r="R41" i="1611"/>
  <c r="L7" i="1611" s="1"/>
  <c r="D7" i="1611" s="1"/>
  <c r="D41" i="1611"/>
  <c r="R40" i="1611"/>
  <c r="D40" i="1611"/>
  <c r="R39" i="1611"/>
  <c r="H39" i="1611"/>
  <c r="D39" i="1611"/>
  <c r="R38" i="1611"/>
  <c r="H38" i="1611"/>
  <c r="D38" i="1611"/>
  <c r="R37" i="1611"/>
  <c r="H37" i="1611"/>
  <c r="D37" i="1611"/>
  <c r="R36" i="1611"/>
  <c r="H36" i="1611"/>
  <c r="D36" i="1611"/>
  <c r="R35" i="1611"/>
  <c r="L19" i="1611" s="1"/>
  <c r="D19" i="1611" s="1"/>
  <c r="H35" i="1611"/>
  <c r="D35" i="1611"/>
  <c r="R34" i="1611"/>
  <c r="H34" i="1611"/>
  <c r="D34" i="1611"/>
  <c r="R33" i="1611"/>
  <c r="R32" i="1611"/>
  <c r="L11" i="1611" s="1"/>
  <c r="D11" i="1611" s="1"/>
  <c r="R31" i="1611"/>
  <c r="R30" i="1611"/>
  <c r="R29" i="1611"/>
  <c r="R28" i="1611"/>
  <c r="D28" i="1611"/>
  <c r="R27" i="1611"/>
  <c r="D27" i="1611"/>
  <c r="R26" i="1611"/>
  <c r="L26" i="1611"/>
  <c r="D26" i="1611" s="1"/>
  <c r="R25" i="1611"/>
  <c r="L25" i="1611"/>
  <c r="D25" i="1611"/>
  <c r="R24" i="1611"/>
  <c r="L24" i="1611"/>
  <c r="D24" i="1611"/>
  <c r="R23" i="1611"/>
  <c r="L23" i="1611"/>
  <c r="D23" i="1611" s="1"/>
  <c r="R22" i="1611"/>
  <c r="L22" i="1611"/>
  <c r="D22" i="1611" s="1"/>
  <c r="R21" i="1611"/>
  <c r="L17" i="1611" s="1"/>
  <c r="D17" i="1611" s="1"/>
  <c r="D21" i="1611"/>
  <c r="R20" i="1611"/>
  <c r="L20" i="1611"/>
  <c r="D20" i="1611" s="1"/>
  <c r="R19" i="1611"/>
  <c r="R18" i="1611"/>
  <c r="D18" i="1611"/>
  <c r="R17" i="1611"/>
  <c r="R16" i="1611"/>
  <c r="L16" i="1611"/>
  <c r="D16" i="1611"/>
  <c r="R15" i="1611"/>
  <c r="D15" i="1611"/>
  <c r="R14" i="1611"/>
  <c r="D14" i="1611"/>
  <c r="R13" i="1611"/>
  <c r="D13" i="1611"/>
  <c r="R12" i="1611"/>
  <c r="L12" i="1611"/>
  <c r="D12" i="1611" s="1"/>
  <c r="R11" i="1611"/>
  <c r="L10" i="1611"/>
  <c r="D10" i="1611"/>
  <c r="L9" i="1611"/>
  <c r="D9" i="1611" s="1"/>
  <c r="L8" i="1611"/>
  <c r="D8" i="1611" s="1"/>
  <c r="R6" i="1611"/>
  <c r="R5" i="1611"/>
  <c r="R4" i="1611"/>
  <c r="R52" i="1610"/>
  <c r="R51" i="1610"/>
  <c r="D50" i="1610"/>
  <c r="R49" i="1610"/>
  <c r="D49" i="1610"/>
  <c r="R48" i="1610"/>
  <c r="D48" i="1610"/>
  <c r="D46" i="1610"/>
  <c r="D45" i="1610"/>
  <c r="P44" i="1610"/>
  <c r="R44" i="1610" s="1"/>
  <c r="D44" i="1610"/>
  <c r="R42" i="1610"/>
  <c r="L6" i="1610" s="1"/>
  <c r="D6" i="1610" s="1"/>
  <c r="D42" i="1610"/>
  <c r="R41" i="1610"/>
  <c r="D41" i="1610"/>
  <c r="R40" i="1610"/>
  <c r="D40" i="1610"/>
  <c r="R39" i="1610"/>
  <c r="H39" i="1610"/>
  <c r="D39" i="1610"/>
  <c r="R38" i="1610"/>
  <c r="H38" i="1610"/>
  <c r="D38" i="1610"/>
  <c r="R37" i="1610"/>
  <c r="H37" i="1610"/>
  <c r="D37" i="1610"/>
  <c r="R36" i="1610"/>
  <c r="L10" i="1610" s="1"/>
  <c r="D10" i="1610" s="1"/>
  <c r="H36" i="1610"/>
  <c r="D36" i="1610"/>
  <c r="R35" i="1610"/>
  <c r="H35" i="1610"/>
  <c r="D35" i="1610"/>
  <c r="R34" i="1610"/>
  <c r="L12" i="1610" s="1"/>
  <c r="D12" i="1610" s="1"/>
  <c r="H34" i="1610"/>
  <c r="G49" i="1610" s="1"/>
  <c r="D34" i="1610"/>
  <c r="R33" i="1610"/>
  <c r="R32" i="1610"/>
  <c r="R31" i="1610"/>
  <c r="R30" i="1610"/>
  <c r="R29" i="1610"/>
  <c r="R28" i="1610"/>
  <c r="L16" i="1610" s="1"/>
  <c r="D16" i="1610" s="1"/>
  <c r="D28" i="1610"/>
  <c r="R27" i="1610"/>
  <c r="D27" i="1610"/>
  <c r="R26" i="1610"/>
  <c r="L26" i="1610"/>
  <c r="D26" i="1610" s="1"/>
  <c r="R25" i="1610"/>
  <c r="D25" i="1610"/>
  <c r="R24" i="1610"/>
  <c r="L24" i="1610"/>
  <c r="D24" i="1610" s="1"/>
  <c r="R23" i="1610"/>
  <c r="D23" i="1610"/>
  <c r="R22" i="1610"/>
  <c r="D22" i="1610"/>
  <c r="R21" i="1610"/>
  <c r="D21" i="1610"/>
  <c r="R20" i="1610"/>
  <c r="L20" i="1610"/>
  <c r="D20" i="1610"/>
  <c r="R19" i="1610"/>
  <c r="D19" i="1610"/>
  <c r="R18" i="1610"/>
  <c r="D18" i="1610"/>
  <c r="R17" i="1610"/>
  <c r="L17" i="1610"/>
  <c r="D17" i="1610"/>
  <c r="R16" i="1610"/>
  <c r="R15" i="1610"/>
  <c r="D15" i="1610"/>
  <c r="R14" i="1610"/>
  <c r="D14" i="1610"/>
  <c r="R13" i="1610"/>
  <c r="D13" i="1610"/>
  <c r="R12" i="1610"/>
  <c r="R11" i="1610"/>
  <c r="L11" i="1610"/>
  <c r="D11" i="1610" s="1"/>
  <c r="L9" i="1610"/>
  <c r="D9" i="1610"/>
  <c r="L8" i="1610"/>
  <c r="D8" i="1610" s="1"/>
  <c r="L7" i="1610"/>
  <c r="D7" i="1610" s="1"/>
  <c r="R6" i="1610"/>
  <c r="R5" i="1610"/>
  <c r="R4" i="1610"/>
  <c r="R52" i="1609"/>
  <c r="R51" i="1609"/>
  <c r="D50" i="1609"/>
  <c r="R49" i="1609"/>
  <c r="G49" i="1609"/>
  <c r="D49" i="1609"/>
  <c r="R48" i="1609"/>
  <c r="D48" i="1609"/>
  <c r="D46" i="1609"/>
  <c r="D45" i="1609"/>
  <c r="D44" i="1609"/>
  <c r="R42" i="1609"/>
  <c r="L6" i="1609" s="1"/>
  <c r="D6" i="1609" s="1"/>
  <c r="D42" i="1609"/>
  <c r="R41" i="1609"/>
  <c r="L7" i="1609" s="1"/>
  <c r="D7" i="1609" s="1"/>
  <c r="D41" i="1609"/>
  <c r="R40" i="1609"/>
  <c r="D40" i="1609"/>
  <c r="R39" i="1609"/>
  <c r="D39" i="1609"/>
  <c r="R38" i="1609"/>
  <c r="D38" i="1609"/>
  <c r="R37" i="1609"/>
  <c r="D37" i="1609"/>
  <c r="R36" i="1609"/>
  <c r="D36" i="1609"/>
  <c r="R35" i="1609"/>
  <c r="D35" i="1609"/>
  <c r="R34" i="1609"/>
  <c r="D34" i="1609"/>
  <c r="D54" i="1609" s="1"/>
  <c r="H14" i="1609" s="1"/>
  <c r="R33" i="1609"/>
  <c r="L23" i="1609" s="1"/>
  <c r="D23" i="1609" s="1"/>
  <c r="R32" i="1609"/>
  <c r="R31" i="1609"/>
  <c r="R30" i="1609"/>
  <c r="R29" i="1609"/>
  <c r="R28" i="1609"/>
  <c r="D28" i="1609"/>
  <c r="R27" i="1609"/>
  <c r="D27" i="1609"/>
  <c r="R26" i="1609"/>
  <c r="L26" i="1609"/>
  <c r="D26" i="1609"/>
  <c r="R25" i="1609"/>
  <c r="L25" i="1609"/>
  <c r="D25" i="1609"/>
  <c r="R24" i="1609"/>
  <c r="D24" i="1609"/>
  <c r="R23" i="1609"/>
  <c r="R22" i="1609"/>
  <c r="L22" i="1609"/>
  <c r="D22" i="1609"/>
  <c r="R21" i="1609"/>
  <c r="D21" i="1609"/>
  <c r="R20" i="1609"/>
  <c r="L20" i="1609"/>
  <c r="D20" i="1609"/>
  <c r="R19" i="1609"/>
  <c r="L19" i="1609"/>
  <c r="D19" i="1609"/>
  <c r="R18" i="1609"/>
  <c r="D18" i="1609"/>
  <c r="R17" i="1609"/>
  <c r="D17" i="1609"/>
  <c r="R16" i="1609"/>
  <c r="L16" i="1609"/>
  <c r="D16" i="1609" s="1"/>
  <c r="S15" i="1609"/>
  <c r="R15" i="1609"/>
  <c r="D15" i="1609"/>
  <c r="S14" i="1609"/>
  <c r="R14" i="1609"/>
  <c r="D14" i="1609"/>
  <c r="R13" i="1609"/>
  <c r="D13" i="1609"/>
  <c r="R12" i="1609"/>
  <c r="L12" i="1609"/>
  <c r="D12" i="1609" s="1"/>
  <c r="R11" i="1609"/>
  <c r="L11" i="1609"/>
  <c r="D11" i="1609"/>
  <c r="L10" i="1609"/>
  <c r="D10" i="1609" s="1"/>
  <c r="L9" i="1609"/>
  <c r="D9" i="1609"/>
  <c r="L8" i="1609"/>
  <c r="D8" i="1609" s="1"/>
  <c r="R6" i="1609"/>
  <c r="R5" i="1609"/>
  <c r="R4" i="1609"/>
  <c r="R52" i="1608"/>
  <c r="R51" i="1608"/>
  <c r="D50" i="1608"/>
  <c r="R49" i="1608"/>
  <c r="D49" i="1608"/>
  <c r="R48" i="1608"/>
  <c r="D48" i="1608"/>
  <c r="D46" i="1608"/>
  <c r="D45" i="1608"/>
  <c r="D44" i="1608"/>
  <c r="R42" i="1608"/>
  <c r="L6" i="1608" s="1"/>
  <c r="D6" i="1608" s="1"/>
  <c r="D42" i="1608"/>
  <c r="R41" i="1608"/>
  <c r="L7" i="1608" s="1"/>
  <c r="D7" i="1608" s="1"/>
  <c r="D41" i="1608"/>
  <c r="R40" i="1608"/>
  <c r="D40" i="1608"/>
  <c r="R39" i="1608"/>
  <c r="H39" i="1608"/>
  <c r="D39" i="1608"/>
  <c r="R38" i="1608"/>
  <c r="H38" i="1608"/>
  <c r="D38" i="1608"/>
  <c r="R37" i="1608"/>
  <c r="H37" i="1608"/>
  <c r="D37" i="1608"/>
  <c r="R36" i="1608"/>
  <c r="H36" i="1608"/>
  <c r="D36" i="1608"/>
  <c r="R35" i="1608"/>
  <c r="L19" i="1608" s="1"/>
  <c r="D19" i="1608" s="1"/>
  <c r="H35" i="1608"/>
  <c r="D35" i="1608"/>
  <c r="R34" i="1608"/>
  <c r="H34" i="1608"/>
  <c r="D34" i="1608"/>
  <c r="R33" i="1608"/>
  <c r="R32" i="1608"/>
  <c r="R31" i="1608"/>
  <c r="R30" i="1608"/>
  <c r="R29" i="1608"/>
  <c r="R28" i="1608"/>
  <c r="D28" i="1608"/>
  <c r="R27" i="1608"/>
  <c r="D27" i="1608"/>
  <c r="R26" i="1608"/>
  <c r="L26" i="1608"/>
  <c r="D26" i="1608"/>
  <c r="R25" i="1608"/>
  <c r="L25" i="1608"/>
  <c r="D25" i="1608" s="1"/>
  <c r="R24" i="1608"/>
  <c r="D24" i="1608"/>
  <c r="R23" i="1608"/>
  <c r="L23" i="1608"/>
  <c r="D23" i="1608"/>
  <c r="R22" i="1608"/>
  <c r="L22" i="1608"/>
  <c r="D22" i="1608" s="1"/>
  <c r="R21" i="1608"/>
  <c r="D21" i="1608"/>
  <c r="R20" i="1608"/>
  <c r="L20" i="1608"/>
  <c r="D20" i="1608"/>
  <c r="R19" i="1608"/>
  <c r="R18" i="1608"/>
  <c r="D18" i="1608"/>
  <c r="R17" i="1608"/>
  <c r="D17" i="1608"/>
  <c r="R16" i="1608"/>
  <c r="L16" i="1608"/>
  <c r="D16" i="1608" s="1"/>
  <c r="R15" i="1608"/>
  <c r="D15" i="1608"/>
  <c r="R14" i="1608"/>
  <c r="D14" i="1608"/>
  <c r="R13" i="1608"/>
  <c r="D13" i="1608"/>
  <c r="R12" i="1608"/>
  <c r="L12" i="1608"/>
  <c r="D12" i="1608"/>
  <c r="R11" i="1608"/>
  <c r="L11" i="1608"/>
  <c r="D11" i="1608"/>
  <c r="L10" i="1608"/>
  <c r="D10" i="1608" s="1"/>
  <c r="L9" i="1608"/>
  <c r="D9" i="1608"/>
  <c r="L8" i="1608"/>
  <c r="D8" i="1608" s="1"/>
  <c r="R6" i="1608"/>
  <c r="R5" i="1608"/>
  <c r="R4" i="1608"/>
  <c r="R52" i="1607"/>
  <c r="R51" i="1607"/>
  <c r="D50" i="1607"/>
  <c r="R49" i="1607"/>
  <c r="D49" i="1607"/>
  <c r="R48" i="1607"/>
  <c r="D48" i="1607"/>
  <c r="D46" i="1607"/>
  <c r="D45" i="1607"/>
  <c r="D44" i="1607"/>
  <c r="R42" i="1607"/>
  <c r="L6" i="1607" s="1"/>
  <c r="D6" i="1607" s="1"/>
  <c r="D42" i="1607"/>
  <c r="R41" i="1607"/>
  <c r="L7" i="1607" s="1"/>
  <c r="D7" i="1607" s="1"/>
  <c r="D41" i="1607"/>
  <c r="R40" i="1607"/>
  <c r="D40" i="1607"/>
  <c r="R39" i="1607"/>
  <c r="H39" i="1607"/>
  <c r="D39" i="1607"/>
  <c r="R38" i="1607"/>
  <c r="H38" i="1607"/>
  <c r="D38" i="1607"/>
  <c r="R37" i="1607"/>
  <c r="H37" i="1607"/>
  <c r="D37" i="1607"/>
  <c r="R36" i="1607"/>
  <c r="H36" i="1607"/>
  <c r="D36" i="1607"/>
  <c r="R35" i="1607"/>
  <c r="L19" i="1607" s="1"/>
  <c r="D19" i="1607" s="1"/>
  <c r="H35" i="1607"/>
  <c r="D35" i="1607"/>
  <c r="R34" i="1607"/>
  <c r="L12" i="1607" s="1"/>
  <c r="D12" i="1607" s="1"/>
  <c r="H34" i="1607"/>
  <c r="G49" i="1607" s="1"/>
  <c r="D34" i="1607"/>
  <c r="R33" i="1607"/>
  <c r="R32" i="1607"/>
  <c r="R31" i="1607"/>
  <c r="R30" i="1607"/>
  <c r="R29" i="1607"/>
  <c r="R28" i="1607"/>
  <c r="D28" i="1607"/>
  <c r="R27" i="1607"/>
  <c r="D27" i="1607"/>
  <c r="R26" i="1607"/>
  <c r="L26" i="1607"/>
  <c r="D26" i="1607"/>
  <c r="R25" i="1607"/>
  <c r="D25" i="1607"/>
  <c r="R24" i="1607"/>
  <c r="L24" i="1607"/>
  <c r="D24" i="1607"/>
  <c r="R23" i="1607"/>
  <c r="L23" i="1607"/>
  <c r="D23" i="1607" s="1"/>
  <c r="R22" i="1607"/>
  <c r="L22" i="1607"/>
  <c r="D22" i="1607"/>
  <c r="R21" i="1607"/>
  <c r="L17" i="1607" s="1"/>
  <c r="D17" i="1607" s="1"/>
  <c r="D21" i="1607"/>
  <c r="R20" i="1607"/>
  <c r="L20" i="1607"/>
  <c r="D20" i="1607" s="1"/>
  <c r="R19" i="1607"/>
  <c r="R18" i="1607"/>
  <c r="D18" i="1607"/>
  <c r="R17" i="1607"/>
  <c r="R16" i="1607"/>
  <c r="L16" i="1607"/>
  <c r="D16" i="1607"/>
  <c r="R15" i="1607"/>
  <c r="D15" i="1607"/>
  <c r="R14" i="1607"/>
  <c r="D14" i="1607"/>
  <c r="R13" i="1607"/>
  <c r="D13" i="1607"/>
  <c r="R12" i="1607"/>
  <c r="R11" i="1607"/>
  <c r="L11" i="1607"/>
  <c r="D11" i="1607"/>
  <c r="L10" i="1607"/>
  <c r="D10" i="1607"/>
  <c r="L9" i="1607"/>
  <c r="D9" i="1607" s="1"/>
  <c r="L8" i="1607"/>
  <c r="D8" i="1607" s="1"/>
  <c r="R6" i="1607"/>
  <c r="R5" i="1607"/>
  <c r="R4" i="1607"/>
  <c r="R52" i="1606"/>
  <c r="R51" i="1606"/>
  <c r="D50" i="1606"/>
  <c r="R49" i="1606"/>
  <c r="D49" i="1606"/>
  <c r="R48" i="1606"/>
  <c r="D48" i="1606"/>
  <c r="D46" i="1606"/>
  <c r="D45" i="1606"/>
  <c r="P44" i="1606"/>
  <c r="R44" i="1606" s="1"/>
  <c r="D44" i="1606"/>
  <c r="R42" i="1606"/>
  <c r="D42" i="1606"/>
  <c r="R41" i="1606"/>
  <c r="D41" i="1606"/>
  <c r="R40" i="1606"/>
  <c r="L8" i="1606" s="1"/>
  <c r="D8" i="1606" s="1"/>
  <c r="D40" i="1606"/>
  <c r="R39" i="1606"/>
  <c r="L20" i="1606" s="1"/>
  <c r="D20" i="1606" s="1"/>
  <c r="H39" i="1606"/>
  <c r="D39" i="1606"/>
  <c r="R38" i="1606"/>
  <c r="H38" i="1606"/>
  <c r="D38" i="1606"/>
  <c r="R37" i="1606"/>
  <c r="H37" i="1606"/>
  <c r="D37" i="1606"/>
  <c r="R36" i="1606"/>
  <c r="H36" i="1606"/>
  <c r="D36" i="1606"/>
  <c r="R35" i="1606"/>
  <c r="H35" i="1606"/>
  <c r="D35" i="1606"/>
  <c r="R34" i="1606"/>
  <c r="L12" i="1606" s="1"/>
  <c r="D12" i="1606" s="1"/>
  <c r="H34" i="1606"/>
  <c r="G49" i="1606" s="1"/>
  <c r="D34" i="1606"/>
  <c r="R33" i="1606"/>
  <c r="R32" i="1606"/>
  <c r="R31" i="1606"/>
  <c r="R30" i="1606"/>
  <c r="R29" i="1606"/>
  <c r="R28" i="1606"/>
  <c r="D28" i="1606"/>
  <c r="R27" i="1606"/>
  <c r="D27" i="1606"/>
  <c r="R26" i="1606"/>
  <c r="L26" i="1606"/>
  <c r="D26" i="1606"/>
  <c r="R25" i="1606"/>
  <c r="L25" i="1606"/>
  <c r="D25" i="1606" s="1"/>
  <c r="R24" i="1606"/>
  <c r="L24" i="1606"/>
  <c r="D24" i="1606" s="1"/>
  <c r="R23" i="1606"/>
  <c r="D23" i="1606"/>
  <c r="R22" i="1606"/>
  <c r="D22" i="1606"/>
  <c r="R21" i="1606"/>
  <c r="D21" i="1606"/>
  <c r="R20" i="1606"/>
  <c r="R19" i="1606"/>
  <c r="D19" i="1606"/>
  <c r="R18" i="1606"/>
  <c r="D18" i="1606"/>
  <c r="R17" i="1606"/>
  <c r="L17" i="1606"/>
  <c r="D17" i="1606" s="1"/>
  <c r="R16" i="1606"/>
  <c r="L16" i="1606"/>
  <c r="D16" i="1606"/>
  <c r="R15" i="1606"/>
  <c r="D15" i="1606"/>
  <c r="R14" i="1606"/>
  <c r="D14" i="1606"/>
  <c r="R13" i="1606"/>
  <c r="D13" i="1606"/>
  <c r="R12" i="1606"/>
  <c r="R11" i="1606"/>
  <c r="L11" i="1606"/>
  <c r="D11" i="1606"/>
  <c r="L10" i="1606"/>
  <c r="D10" i="1606" s="1"/>
  <c r="L9" i="1606"/>
  <c r="D9" i="1606" s="1"/>
  <c r="L7" i="1606"/>
  <c r="D7" i="1606"/>
  <c r="R6" i="1606"/>
  <c r="L6" i="1606"/>
  <c r="D6" i="1606" s="1"/>
  <c r="R5" i="1606"/>
  <c r="R4" i="1606"/>
  <c r="R52" i="1605"/>
  <c r="R51" i="1605"/>
  <c r="D50" i="1605"/>
  <c r="R49" i="1605"/>
  <c r="G49" i="1605"/>
  <c r="D49" i="1605"/>
  <c r="R48" i="1605"/>
  <c r="D48" i="1605"/>
  <c r="D46" i="1605"/>
  <c r="D45" i="1605"/>
  <c r="D44" i="1605"/>
  <c r="R42" i="1605"/>
  <c r="D42" i="1605"/>
  <c r="R41" i="1605"/>
  <c r="L7" i="1605" s="1"/>
  <c r="D7" i="1605" s="1"/>
  <c r="D41" i="1605"/>
  <c r="R40" i="1605"/>
  <c r="L8" i="1605" s="1"/>
  <c r="D8" i="1605" s="1"/>
  <c r="D40" i="1605"/>
  <c r="R39" i="1605"/>
  <c r="D39" i="1605"/>
  <c r="R38" i="1605"/>
  <c r="L9" i="1605" s="1"/>
  <c r="D9" i="1605" s="1"/>
  <c r="D38" i="1605"/>
  <c r="R37" i="1605"/>
  <c r="D37" i="1605"/>
  <c r="D54" i="1605" s="1"/>
  <c r="H14" i="1605" s="1"/>
  <c r="R36" i="1605"/>
  <c r="D36" i="1605"/>
  <c r="R35" i="1605"/>
  <c r="D35" i="1605"/>
  <c r="R34" i="1605"/>
  <c r="D34" i="1605"/>
  <c r="R33" i="1605"/>
  <c r="L23" i="1605" s="1"/>
  <c r="D23" i="1605" s="1"/>
  <c r="R32" i="1605"/>
  <c r="R31" i="1605"/>
  <c r="R30" i="1605"/>
  <c r="R29" i="1605"/>
  <c r="R28" i="1605"/>
  <c r="D28" i="1605"/>
  <c r="R27" i="1605"/>
  <c r="D27" i="1605"/>
  <c r="R26" i="1605"/>
  <c r="L26" i="1605"/>
  <c r="D26" i="1605"/>
  <c r="R25" i="1605"/>
  <c r="L25" i="1605"/>
  <c r="D25" i="1605"/>
  <c r="R24" i="1605"/>
  <c r="D24" i="1605"/>
  <c r="R23" i="1605"/>
  <c r="R22" i="1605"/>
  <c r="L22" i="1605"/>
  <c r="D22" i="1605" s="1"/>
  <c r="R21" i="1605"/>
  <c r="D21" i="1605"/>
  <c r="R20" i="1605"/>
  <c r="L20" i="1605"/>
  <c r="D20" i="1605"/>
  <c r="R19" i="1605"/>
  <c r="L19" i="1605"/>
  <c r="D19" i="1605"/>
  <c r="R18" i="1605"/>
  <c r="D18" i="1605"/>
  <c r="R17" i="1605"/>
  <c r="D17" i="1605"/>
  <c r="R16" i="1605"/>
  <c r="L16" i="1605"/>
  <c r="D16" i="1605" s="1"/>
  <c r="S15" i="1605"/>
  <c r="R15" i="1605"/>
  <c r="D15" i="1605"/>
  <c r="S14" i="1605"/>
  <c r="R14" i="1605"/>
  <c r="D14" i="1605"/>
  <c r="R13" i="1605"/>
  <c r="D13" i="1605"/>
  <c r="R12" i="1605"/>
  <c r="L12" i="1605"/>
  <c r="D12" i="1605"/>
  <c r="R11" i="1605"/>
  <c r="L11" i="1605"/>
  <c r="D11" i="1605" s="1"/>
  <c r="L10" i="1605"/>
  <c r="D10" i="1605" s="1"/>
  <c r="R6" i="1605"/>
  <c r="L6" i="1605"/>
  <c r="D6" i="1605"/>
  <c r="R5" i="1605"/>
  <c r="R4" i="1605"/>
  <c r="R52" i="1604"/>
  <c r="R51" i="1604"/>
  <c r="D50" i="1604"/>
  <c r="R49" i="1604"/>
  <c r="D49" i="1604"/>
  <c r="R48" i="1604"/>
  <c r="D48" i="1604"/>
  <c r="D46" i="1604"/>
  <c r="D45" i="1604"/>
  <c r="D44" i="1604"/>
  <c r="R42" i="1604"/>
  <c r="L6" i="1604" s="1"/>
  <c r="D6" i="1604" s="1"/>
  <c r="D42" i="1604"/>
  <c r="R41" i="1604"/>
  <c r="L7" i="1604" s="1"/>
  <c r="D7" i="1604" s="1"/>
  <c r="D41" i="1604"/>
  <c r="R40" i="1604"/>
  <c r="D40" i="1604"/>
  <c r="R39" i="1604"/>
  <c r="H39" i="1604"/>
  <c r="D39" i="1604"/>
  <c r="R38" i="1604"/>
  <c r="H38" i="1604"/>
  <c r="D38" i="1604"/>
  <c r="R37" i="1604"/>
  <c r="H37" i="1604"/>
  <c r="D37" i="1604"/>
  <c r="R36" i="1604"/>
  <c r="H36" i="1604"/>
  <c r="D36" i="1604"/>
  <c r="R35" i="1604"/>
  <c r="L19" i="1604" s="1"/>
  <c r="D19" i="1604" s="1"/>
  <c r="H35" i="1604"/>
  <c r="D35" i="1604"/>
  <c r="R34" i="1604"/>
  <c r="H34" i="1604"/>
  <c r="D34" i="1604"/>
  <c r="R33" i="1604"/>
  <c r="R32" i="1604"/>
  <c r="R31" i="1604"/>
  <c r="R30" i="1604"/>
  <c r="R29" i="1604"/>
  <c r="R28" i="1604"/>
  <c r="D28" i="1604"/>
  <c r="R27" i="1604"/>
  <c r="D27" i="1604"/>
  <c r="R26" i="1604"/>
  <c r="L26" i="1604"/>
  <c r="D26" i="1604" s="1"/>
  <c r="R25" i="1604"/>
  <c r="L25" i="1604"/>
  <c r="D25" i="1604" s="1"/>
  <c r="R24" i="1604"/>
  <c r="D24" i="1604"/>
  <c r="R23" i="1604"/>
  <c r="L23" i="1604"/>
  <c r="D23" i="1604" s="1"/>
  <c r="R22" i="1604"/>
  <c r="L22" i="1604"/>
  <c r="D22" i="1604"/>
  <c r="R21" i="1604"/>
  <c r="D21" i="1604"/>
  <c r="R20" i="1604"/>
  <c r="L20" i="1604"/>
  <c r="D20" i="1604" s="1"/>
  <c r="R19" i="1604"/>
  <c r="R18" i="1604"/>
  <c r="D18" i="1604"/>
  <c r="R17" i="1604"/>
  <c r="D17" i="1604"/>
  <c r="R16" i="1604"/>
  <c r="L16" i="1604"/>
  <c r="D16" i="1604"/>
  <c r="R15" i="1604"/>
  <c r="D15" i="1604"/>
  <c r="R14" i="1604"/>
  <c r="D14" i="1604"/>
  <c r="R13" i="1604"/>
  <c r="D13" i="1604"/>
  <c r="R12" i="1604"/>
  <c r="L12" i="1604"/>
  <c r="D12" i="1604"/>
  <c r="R11" i="1604"/>
  <c r="L11" i="1604"/>
  <c r="D11" i="1604"/>
  <c r="L10" i="1604"/>
  <c r="D10" i="1604"/>
  <c r="L9" i="1604"/>
  <c r="D9" i="1604"/>
  <c r="L8" i="1604"/>
  <c r="D8" i="1604" s="1"/>
  <c r="R6" i="1604"/>
  <c r="R5" i="1604"/>
  <c r="R4" i="1604"/>
  <c r="R52" i="1603"/>
  <c r="R51" i="1603"/>
  <c r="D50" i="1603"/>
  <c r="R49" i="1603"/>
  <c r="D49" i="1603"/>
  <c r="R48" i="1603"/>
  <c r="D48" i="1603"/>
  <c r="D46" i="1603"/>
  <c r="D45" i="1603"/>
  <c r="D44" i="1603"/>
  <c r="R42" i="1603"/>
  <c r="D42" i="1603"/>
  <c r="R41" i="1603"/>
  <c r="D41" i="1603"/>
  <c r="R40" i="1603"/>
  <c r="D40" i="1603"/>
  <c r="R39" i="1603"/>
  <c r="L20" i="1603" s="1"/>
  <c r="D20" i="1603" s="1"/>
  <c r="H39" i="1603"/>
  <c r="D39" i="1603"/>
  <c r="R38" i="1603"/>
  <c r="H38" i="1603"/>
  <c r="D38" i="1603"/>
  <c r="R37" i="1603"/>
  <c r="H37" i="1603"/>
  <c r="D37" i="1603"/>
  <c r="R36" i="1603"/>
  <c r="L10" i="1603" s="1"/>
  <c r="D10" i="1603" s="1"/>
  <c r="H36" i="1603"/>
  <c r="D36" i="1603"/>
  <c r="R35" i="1603"/>
  <c r="L19" i="1603" s="1"/>
  <c r="D19" i="1603" s="1"/>
  <c r="H35" i="1603"/>
  <c r="D35" i="1603"/>
  <c r="R34" i="1603"/>
  <c r="H34" i="1603"/>
  <c r="D34" i="1603"/>
  <c r="R33" i="1603"/>
  <c r="R32" i="1603"/>
  <c r="R31" i="1603"/>
  <c r="R30" i="1603"/>
  <c r="R29" i="1603"/>
  <c r="R28" i="1603"/>
  <c r="L16" i="1603" s="1"/>
  <c r="D16" i="1603" s="1"/>
  <c r="D28" i="1603"/>
  <c r="R27" i="1603"/>
  <c r="D27" i="1603"/>
  <c r="R26" i="1603"/>
  <c r="L26" i="1603"/>
  <c r="D26" i="1603"/>
  <c r="R25" i="1603"/>
  <c r="D25" i="1603"/>
  <c r="R24" i="1603"/>
  <c r="L24" i="1603"/>
  <c r="D24" i="1603" s="1"/>
  <c r="R23" i="1603"/>
  <c r="L23" i="1603"/>
  <c r="D23" i="1603" s="1"/>
  <c r="R22" i="1603"/>
  <c r="L22" i="1603"/>
  <c r="D22" i="1603"/>
  <c r="R21" i="1603"/>
  <c r="L17" i="1603" s="1"/>
  <c r="D17" i="1603" s="1"/>
  <c r="D21" i="1603"/>
  <c r="R20" i="1603"/>
  <c r="R19" i="1603"/>
  <c r="R18" i="1603"/>
  <c r="D18" i="1603"/>
  <c r="R17" i="1603"/>
  <c r="R16" i="1603"/>
  <c r="R15" i="1603"/>
  <c r="D15" i="1603"/>
  <c r="R14" i="1603"/>
  <c r="D14" i="1603"/>
  <c r="R13" i="1603"/>
  <c r="D13" i="1603"/>
  <c r="R12" i="1603"/>
  <c r="L12" i="1603"/>
  <c r="D12" i="1603"/>
  <c r="R11" i="1603"/>
  <c r="L11" i="1603"/>
  <c r="D11" i="1603" s="1"/>
  <c r="L9" i="1603"/>
  <c r="D9" i="1603" s="1"/>
  <c r="L8" i="1603"/>
  <c r="D8" i="1603"/>
  <c r="L7" i="1603"/>
  <c r="D7" i="1603" s="1"/>
  <c r="R6" i="1603"/>
  <c r="L6" i="1603"/>
  <c r="D6" i="1603" s="1"/>
  <c r="R5" i="1603"/>
  <c r="R4" i="1603"/>
  <c r="R52" i="1602"/>
  <c r="R51" i="1602"/>
  <c r="D50" i="1602"/>
  <c r="R49" i="1602"/>
  <c r="D49" i="1602"/>
  <c r="R48" i="1602"/>
  <c r="D48" i="1602"/>
  <c r="D46" i="1602"/>
  <c r="D45" i="1602"/>
  <c r="P44" i="1602"/>
  <c r="R44" i="1602" s="1"/>
  <c r="D44" i="1602"/>
  <c r="R42" i="1602"/>
  <c r="L6" i="1602" s="1"/>
  <c r="D6" i="1602" s="1"/>
  <c r="D42" i="1602"/>
  <c r="R41" i="1602"/>
  <c r="L7" i="1602" s="1"/>
  <c r="D7" i="1602" s="1"/>
  <c r="D41" i="1602"/>
  <c r="R40" i="1602"/>
  <c r="D40" i="1602"/>
  <c r="R39" i="1602"/>
  <c r="H39" i="1602"/>
  <c r="D39" i="1602"/>
  <c r="R38" i="1602"/>
  <c r="H38" i="1602"/>
  <c r="D38" i="1602"/>
  <c r="R37" i="1602"/>
  <c r="H37" i="1602"/>
  <c r="D37" i="1602"/>
  <c r="R36" i="1602"/>
  <c r="H36" i="1602"/>
  <c r="D36" i="1602"/>
  <c r="R35" i="1602"/>
  <c r="H35" i="1602"/>
  <c r="D35" i="1602"/>
  <c r="R34" i="1602"/>
  <c r="H34" i="1602"/>
  <c r="D34" i="1602"/>
  <c r="R33" i="1602"/>
  <c r="R32" i="1602"/>
  <c r="R31" i="1602"/>
  <c r="R30" i="1602"/>
  <c r="R29" i="1602"/>
  <c r="R28" i="1602"/>
  <c r="D28" i="1602"/>
  <c r="R27" i="1602"/>
  <c r="D27" i="1602"/>
  <c r="R26" i="1602"/>
  <c r="L26" i="1602"/>
  <c r="D26" i="1602" s="1"/>
  <c r="R25" i="1602"/>
  <c r="L25" i="1602"/>
  <c r="D25" i="1602"/>
  <c r="R24" i="1602"/>
  <c r="L24" i="1602"/>
  <c r="D24" i="1602"/>
  <c r="R23" i="1602"/>
  <c r="D23" i="1602"/>
  <c r="R22" i="1602"/>
  <c r="D22" i="1602"/>
  <c r="R21" i="1602"/>
  <c r="D21" i="1602"/>
  <c r="R20" i="1602"/>
  <c r="L20" i="1602"/>
  <c r="D20" i="1602" s="1"/>
  <c r="R19" i="1602"/>
  <c r="D19" i="1602"/>
  <c r="R18" i="1602"/>
  <c r="D18" i="1602"/>
  <c r="R17" i="1602"/>
  <c r="L17" i="1602"/>
  <c r="D17" i="1602"/>
  <c r="R16" i="1602"/>
  <c r="L16" i="1602"/>
  <c r="D16" i="1602"/>
  <c r="R15" i="1602"/>
  <c r="D15" i="1602"/>
  <c r="R14" i="1602"/>
  <c r="D14" i="1602"/>
  <c r="R13" i="1602"/>
  <c r="D13" i="1602"/>
  <c r="R12" i="1602"/>
  <c r="L12" i="1602"/>
  <c r="D12" i="1602"/>
  <c r="R11" i="1602"/>
  <c r="L11" i="1602"/>
  <c r="D11" i="1602"/>
  <c r="L10" i="1602"/>
  <c r="D10" i="1602" s="1"/>
  <c r="L9" i="1602"/>
  <c r="D9" i="1602" s="1"/>
  <c r="L8" i="1602"/>
  <c r="D8" i="1602"/>
  <c r="R6" i="1602"/>
  <c r="R5" i="1602"/>
  <c r="R4" i="1602"/>
  <c r="R52" i="1601"/>
  <c r="R51" i="1601"/>
  <c r="D50" i="1601"/>
  <c r="R49" i="1601"/>
  <c r="G49" i="1601"/>
  <c r="D49" i="1601"/>
  <c r="R48" i="1601"/>
  <c r="D48" i="1601"/>
  <c r="D46" i="1601"/>
  <c r="D45" i="1601"/>
  <c r="D44" i="1601"/>
  <c r="R42" i="1601"/>
  <c r="L6" i="1601" s="1"/>
  <c r="D6" i="1601" s="1"/>
  <c r="D42" i="1601"/>
  <c r="R41" i="1601"/>
  <c r="L7" i="1601" s="1"/>
  <c r="D7" i="1601" s="1"/>
  <c r="D41" i="1601"/>
  <c r="R40" i="1601"/>
  <c r="D40" i="1601"/>
  <c r="R39" i="1601"/>
  <c r="D39" i="1601"/>
  <c r="R38" i="1601"/>
  <c r="D38" i="1601"/>
  <c r="R37" i="1601"/>
  <c r="D37" i="1601"/>
  <c r="R36" i="1601"/>
  <c r="L10" i="1601" s="1"/>
  <c r="D10" i="1601" s="1"/>
  <c r="D36" i="1601"/>
  <c r="R35" i="1601"/>
  <c r="D35" i="1601"/>
  <c r="R34" i="1601"/>
  <c r="L12" i="1601" s="1"/>
  <c r="D12" i="1601" s="1"/>
  <c r="D34" i="1601"/>
  <c r="D54" i="1601" s="1"/>
  <c r="H14" i="1601" s="1"/>
  <c r="R33" i="1601"/>
  <c r="L23" i="1601" s="1"/>
  <c r="D23" i="1601" s="1"/>
  <c r="R32" i="1601"/>
  <c r="R31" i="1601"/>
  <c r="R30" i="1601"/>
  <c r="R29" i="1601"/>
  <c r="R28" i="1601"/>
  <c r="L16" i="1601" s="1"/>
  <c r="D16" i="1601" s="1"/>
  <c r="D28" i="1601"/>
  <c r="R27" i="1601"/>
  <c r="D27" i="1601"/>
  <c r="R26" i="1601"/>
  <c r="L26" i="1601"/>
  <c r="D26" i="1601"/>
  <c r="R25" i="1601"/>
  <c r="L25" i="1601"/>
  <c r="D25" i="1601"/>
  <c r="R24" i="1601"/>
  <c r="D24" i="1601"/>
  <c r="R23" i="1601"/>
  <c r="R22" i="1601"/>
  <c r="L22" i="1601"/>
  <c r="D22" i="1601"/>
  <c r="R21" i="1601"/>
  <c r="D21" i="1601"/>
  <c r="R20" i="1601"/>
  <c r="L20" i="1601"/>
  <c r="D20" i="1601"/>
  <c r="R19" i="1601"/>
  <c r="L19" i="1601"/>
  <c r="D19" i="1601"/>
  <c r="R18" i="1601"/>
  <c r="D18" i="1601"/>
  <c r="R17" i="1601"/>
  <c r="D17" i="1601"/>
  <c r="R16" i="1601"/>
  <c r="S15" i="1601"/>
  <c r="R15" i="1601"/>
  <c r="D15" i="1601"/>
  <c r="S14" i="1601"/>
  <c r="R14" i="1601"/>
  <c r="D14" i="1601"/>
  <c r="R13" i="1601"/>
  <c r="D13" i="1601"/>
  <c r="R12" i="1601"/>
  <c r="R11" i="1601"/>
  <c r="L11" i="1601"/>
  <c r="D11" i="1601"/>
  <c r="L9" i="1601"/>
  <c r="D9" i="1601"/>
  <c r="L8" i="1601"/>
  <c r="D8" i="1601"/>
  <c r="R6" i="1601"/>
  <c r="R5" i="1601"/>
  <c r="R4" i="1601"/>
  <c r="R52" i="1600"/>
  <c r="R51" i="1600"/>
  <c r="D50" i="1600"/>
  <c r="R49" i="1600"/>
  <c r="D49" i="1600"/>
  <c r="R48" i="1600"/>
  <c r="D48" i="1600"/>
  <c r="D46" i="1600"/>
  <c r="D45" i="1600"/>
  <c r="D44" i="1600"/>
  <c r="R42" i="1600"/>
  <c r="D42" i="1600"/>
  <c r="R41" i="1600"/>
  <c r="L7" i="1600" s="1"/>
  <c r="D7" i="1600" s="1"/>
  <c r="D41" i="1600"/>
  <c r="R40" i="1600"/>
  <c r="L8" i="1600" s="1"/>
  <c r="D8" i="1600" s="1"/>
  <c r="D40" i="1600"/>
  <c r="R39" i="1600"/>
  <c r="H39" i="1600"/>
  <c r="D39" i="1600"/>
  <c r="R38" i="1600"/>
  <c r="L9" i="1600" s="1"/>
  <c r="D9" i="1600" s="1"/>
  <c r="H38" i="1600"/>
  <c r="D38" i="1600"/>
  <c r="R37" i="1600"/>
  <c r="H37" i="1600"/>
  <c r="D37" i="1600"/>
  <c r="R36" i="1600"/>
  <c r="H36" i="1600"/>
  <c r="D36" i="1600"/>
  <c r="R35" i="1600"/>
  <c r="H35" i="1600"/>
  <c r="D35" i="1600"/>
  <c r="R34" i="1600"/>
  <c r="H34" i="1600"/>
  <c r="D34" i="1600"/>
  <c r="R33" i="1600"/>
  <c r="L23" i="1600" s="1"/>
  <c r="D23" i="1600" s="1"/>
  <c r="R32" i="1600"/>
  <c r="L11" i="1600" s="1"/>
  <c r="D11" i="1600" s="1"/>
  <c r="R31" i="1600"/>
  <c r="R30" i="1600"/>
  <c r="R29" i="1600"/>
  <c r="R28" i="1600"/>
  <c r="L16" i="1600" s="1"/>
  <c r="D16" i="1600" s="1"/>
  <c r="D28" i="1600"/>
  <c r="R27" i="1600"/>
  <c r="D27" i="1600"/>
  <c r="R26" i="1600"/>
  <c r="L26" i="1600"/>
  <c r="D26" i="1600" s="1"/>
  <c r="R25" i="1600"/>
  <c r="L25" i="1600"/>
  <c r="D25" i="1600"/>
  <c r="R24" i="1600"/>
  <c r="D24" i="1600"/>
  <c r="R23" i="1600"/>
  <c r="R22" i="1600"/>
  <c r="L22" i="1600"/>
  <c r="D22" i="1600" s="1"/>
  <c r="R21" i="1600"/>
  <c r="D21" i="1600"/>
  <c r="R20" i="1600"/>
  <c r="L20" i="1600"/>
  <c r="D20" i="1600" s="1"/>
  <c r="R19" i="1600"/>
  <c r="L19" i="1600"/>
  <c r="D19" i="1600"/>
  <c r="R18" i="1600"/>
  <c r="D18" i="1600"/>
  <c r="R17" i="1600"/>
  <c r="D17" i="1600"/>
  <c r="R16" i="1600"/>
  <c r="R15" i="1600"/>
  <c r="D15" i="1600"/>
  <c r="R14" i="1600"/>
  <c r="D14" i="1600"/>
  <c r="R13" i="1600"/>
  <c r="D13" i="1600"/>
  <c r="R12" i="1600"/>
  <c r="L12" i="1600"/>
  <c r="D12" i="1600"/>
  <c r="R11" i="1600"/>
  <c r="L10" i="1600"/>
  <c r="D10" i="1600" s="1"/>
  <c r="R6" i="1600"/>
  <c r="L6" i="1600"/>
  <c r="D6" i="1600"/>
  <c r="R5" i="1600"/>
  <c r="R4" i="1600"/>
  <c r="R52" i="1599"/>
  <c r="R51" i="1599"/>
  <c r="D50" i="1599"/>
  <c r="R49" i="1599"/>
  <c r="D49" i="1599"/>
  <c r="R48" i="1599"/>
  <c r="D48" i="1599"/>
  <c r="D46" i="1599"/>
  <c r="D45" i="1599"/>
  <c r="D44" i="1599"/>
  <c r="R42" i="1599"/>
  <c r="L6" i="1599" s="1"/>
  <c r="D6" i="1599" s="1"/>
  <c r="D42" i="1599"/>
  <c r="R41" i="1599"/>
  <c r="L7" i="1599" s="1"/>
  <c r="D7" i="1599" s="1"/>
  <c r="D41" i="1599"/>
  <c r="R40" i="1599"/>
  <c r="L8" i="1599" s="1"/>
  <c r="D8" i="1599" s="1"/>
  <c r="D40" i="1599"/>
  <c r="R39" i="1599"/>
  <c r="L20" i="1599" s="1"/>
  <c r="D20" i="1599" s="1"/>
  <c r="H39" i="1599"/>
  <c r="D39" i="1599"/>
  <c r="R38" i="1599"/>
  <c r="L9" i="1599" s="1"/>
  <c r="D9" i="1599" s="1"/>
  <c r="H38" i="1599"/>
  <c r="D38" i="1599"/>
  <c r="R37" i="1599"/>
  <c r="H37" i="1599"/>
  <c r="D37" i="1599"/>
  <c r="R36" i="1599"/>
  <c r="L10" i="1599" s="1"/>
  <c r="D10" i="1599" s="1"/>
  <c r="H36" i="1599"/>
  <c r="D36" i="1599"/>
  <c r="R35" i="1599"/>
  <c r="L19" i="1599" s="1"/>
  <c r="D19" i="1599" s="1"/>
  <c r="H35" i="1599"/>
  <c r="D35" i="1599"/>
  <c r="R34" i="1599"/>
  <c r="H34" i="1599"/>
  <c r="D34" i="1599"/>
  <c r="R33" i="1599"/>
  <c r="R32" i="1599"/>
  <c r="R31" i="1599"/>
  <c r="R30" i="1599"/>
  <c r="R29" i="1599"/>
  <c r="R28" i="1599"/>
  <c r="L16" i="1599" s="1"/>
  <c r="D16" i="1599" s="1"/>
  <c r="D28" i="1599"/>
  <c r="R27" i="1599"/>
  <c r="D27" i="1599"/>
  <c r="R26" i="1599"/>
  <c r="L26" i="1599"/>
  <c r="D26" i="1599" s="1"/>
  <c r="R25" i="1599"/>
  <c r="D25" i="1599"/>
  <c r="R24" i="1599"/>
  <c r="L24" i="1599"/>
  <c r="D24" i="1599" s="1"/>
  <c r="R23" i="1599"/>
  <c r="L23" i="1599"/>
  <c r="D23" i="1599"/>
  <c r="R22" i="1599"/>
  <c r="L22" i="1599"/>
  <c r="D22" i="1599" s="1"/>
  <c r="R21" i="1599"/>
  <c r="L17" i="1599" s="1"/>
  <c r="D17" i="1599" s="1"/>
  <c r="D21" i="1599"/>
  <c r="R20" i="1599"/>
  <c r="R19" i="1599"/>
  <c r="R18" i="1599"/>
  <c r="D18" i="1599"/>
  <c r="R17" i="1599"/>
  <c r="R16" i="1599"/>
  <c r="R15" i="1599"/>
  <c r="D15" i="1599"/>
  <c r="R14" i="1599"/>
  <c r="D14" i="1599"/>
  <c r="R13" i="1599"/>
  <c r="D13" i="1599"/>
  <c r="R12" i="1599"/>
  <c r="L12" i="1599"/>
  <c r="D12" i="1599" s="1"/>
  <c r="R11" i="1599"/>
  <c r="L11" i="1599"/>
  <c r="D11" i="1599" s="1"/>
  <c r="R6" i="1599"/>
  <c r="R5" i="1599"/>
  <c r="R4" i="1599"/>
  <c r="R52" i="1598"/>
  <c r="R51" i="1598"/>
  <c r="D50" i="1598"/>
  <c r="R49" i="1598"/>
  <c r="D49" i="1598"/>
  <c r="R48" i="1598"/>
  <c r="D48" i="1598"/>
  <c r="D46" i="1598"/>
  <c r="D45" i="1598"/>
  <c r="R44" i="1598"/>
  <c r="P44" i="1598"/>
  <c r="D44" i="1598"/>
  <c r="R42" i="1598"/>
  <c r="L6" i="1598" s="1"/>
  <c r="D6" i="1598" s="1"/>
  <c r="D42" i="1598"/>
  <c r="R41" i="1598"/>
  <c r="D41" i="1598"/>
  <c r="R40" i="1598"/>
  <c r="D40" i="1598"/>
  <c r="R39" i="1598"/>
  <c r="L20" i="1598" s="1"/>
  <c r="D20" i="1598" s="1"/>
  <c r="H39" i="1598"/>
  <c r="D39" i="1598"/>
  <c r="R38" i="1598"/>
  <c r="H38" i="1598"/>
  <c r="D38" i="1598"/>
  <c r="R37" i="1598"/>
  <c r="H37" i="1598"/>
  <c r="D37" i="1598"/>
  <c r="R36" i="1598"/>
  <c r="L10" i="1598" s="1"/>
  <c r="D10" i="1598" s="1"/>
  <c r="H36" i="1598"/>
  <c r="D36" i="1598"/>
  <c r="R35" i="1598"/>
  <c r="H35" i="1598"/>
  <c r="D35" i="1598"/>
  <c r="R34" i="1598"/>
  <c r="L12" i="1598" s="1"/>
  <c r="D12" i="1598" s="1"/>
  <c r="H34" i="1598"/>
  <c r="D34" i="1598"/>
  <c r="R33" i="1598"/>
  <c r="R32" i="1598"/>
  <c r="R31" i="1598"/>
  <c r="R30" i="1598"/>
  <c r="R29" i="1598"/>
  <c r="R28" i="1598"/>
  <c r="L16" i="1598" s="1"/>
  <c r="D16" i="1598" s="1"/>
  <c r="D28" i="1598"/>
  <c r="R27" i="1598"/>
  <c r="D27" i="1598"/>
  <c r="R26" i="1598"/>
  <c r="L26" i="1598"/>
  <c r="D26" i="1598"/>
  <c r="R25" i="1598"/>
  <c r="L25" i="1598"/>
  <c r="D25" i="1598" s="1"/>
  <c r="R24" i="1598"/>
  <c r="L24" i="1598"/>
  <c r="D24" i="1598"/>
  <c r="R23" i="1598"/>
  <c r="D23" i="1598"/>
  <c r="R22" i="1598"/>
  <c r="D22" i="1598"/>
  <c r="R21" i="1598"/>
  <c r="D21" i="1598"/>
  <c r="R20" i="1598"/>
  <c r="R19" i="1598"/>
  <c r="D19" i="1598"/>
  <c r="R18" i="1598"/>
  <c r="D18" i="1598"/>
  <c r="R17" i="1598"/>
  <c r="L17" i="1598"/>
  <c r="D17" i="1598"/>
  <c r="R16" i="1598"/>
  <c r="R15" i="1598"/>
  <c r="D15" i="1598"/>
  <c r="R14" i="1598"/>
  <c r="D14" i="1598"/>
  <c r="R13" i="1598"/>
  <c r="D13" i="1598"/>
  <c r="R12" i="1598"/>
  <c r="R11" i="1598"/>
  <c r="L11" i="1598"/>
  <c r="D11" i="1598"/>
  <c r="L9" i="1598"/>
  <c r="D9" i="1598" s="1"/>
  <c r="L8" i="1598"/>
  <c r="D8" i="1598" s="1"/>
  <c r="L7" i="1598"/>
  <c r="D7" i="1598"/>
  <c r="R6" i="1598"/>
  <c r="R5" i="1598"/>
  <c r="R4" i="1598"/>
  <c r="R52" i="1597"/>
  <c r="R51" i="1597"/>
  <c r="D50" i="1597"/>
  <c r="R49" i="1597"/>
  <c r="G49" i="1597"/>
  <c r="D49" i="1597"/>
  <c r="R48" i="1597"/>
  <c r="D48" i="1597"/>
  <c r="D46" i="1597"/>
  <c r="D45" i="1597"/>
  <c r="D44" i="1597"/>
  <c r="R42" i="1597"/>
  <c r="D42" i="1597"/>
  <c r="R41" i="1597"/>
  <c r="L7" i="1597" s="1"/>
  <c r="D7" i="1597" s="1"/>
  <c r="D41" i="1597"/>
  <c r="R40" i="1597"/>
  <c r="D40" i="1597"/>
  <c r="R39" i="1597"/>
  <c r="D39" i="1597"/>
  <c r="R38" i="1597"/>
  <c r="D38" i="1597"/>
  <c r="R37" i="1597"/>
  <c r="D37" i="1597"/>
  <c r="R36" i="1597"/>
  <c r="L10" i="1597" s="1"/>
  <c r="D10" i="1597" s="1"/>
  <c r="D36" i="1597"/>
  <c r="R35" i="1597"/>
  <c r="D35" i="1597"/>
  <c r="R34" i="1597"/>
  <c r="D34" i="1597"/>
  <c r="D54" i="1597" s="1"/>
  <c r="H14" i="1597" s="1"/>
  <c r="R33" i="1597"/>
  <c r="L23" i="1597" s="1"/>
  <c r="D23" i="1597" s="1"/>
  <c r="R32" i="1597"/>
  <c r="R31" i="1597"/>
  <c r="R30" i="1597"/>
  <c r="R29" i="1597"/>
  <c r="R28" i="1597"/>
  <c r="D28" i="1597"/>
  <c r="R27" i="1597"/>
  <c r="D27" i="1597"/>
  <c r="R26" i="1597"/>
  <c r="L26" i="1597"/>
  <c r="D26" i="1597" s="1"/>
  <c r="R25" i="1597"/>
  <c r="L25" i="1597"/>
  <c r="D25" i="1597"/>
  <c r="R24" i="1597"/>
  <c r="D24" i="1597"/>
  <c r="R23" i="1597"/>
  <c r="R22" i="1597"/>
  <c r="L22" i="1597"/>
  <c r="D22" i="1597" s="1"/>
  <c r="R21" i="1597"/>
  <c r="D21" i="1597"/>
  <c r="R20" i="1597"/>
  <c r="L20" i="1597"/>
  <c r="D20" i="1597" s="1"/>
  <c r="R19" i="1597"/>
  <c r="L19" i="1597"/>
  <c r="D19" i="1597"/>
  <c r="R18" i="1597"/>
  <c r="D18" i="1597"/>
  <c r="R17" i="1597"/>
  <c r="D17" i="1597"/>
  <c r="R16" i="1597"/>
  <c r="L16" i="1597"/>
  <c r="D16" i="1597" s="1"/>
  <c r="S15" i="1597"/>
  <c r="R15" i="1597"/>
  <c r="D15" i="1597"/>
  <c r="S14" i="1597"/>
  <c r="R14" i="1597"/>
  <c r="D14" i="1597"/>
  <c r="R13" i="1597"/>
  <c r="D13" i="1597"/>
  <c r="R12" i="1597"/>
  <c r="L12" i="1597"/>
  <c r="D12" i="1597" s="1"/>
  <c r="R11" i="1597"/>
  <c r="L11" i="1597"/>
  <c r="D11" i="1597" s="1"/>
  <c r="L9" i="1597"/>
  <c r="D9" i="1597" s="1"/>
  <c r="L8" i="1597"/>
  <c r="D8" i="1597" s="1"/>
  <c r="R6" i="1597"/>
  <c r="L6" i="1597"/>
  <c r="D6" i="1597"/>
  <c r="R5" i="1597"/>
  <c r="R4" i="1597"/>
  <c r="R52" i="1596"/>
  <c r="R51" i="1596"/>
  <c r="D50" i="1596"/>
  <c r="R49" i="1596"/>
  <c r="D49" i="1596"/>
  <c r="R48" i="1596"/>
  <c r="D48" i="1596"/>
  <c r="D46" i="1596"/>
  <c r="D45" i="1596"/>
  <c r="D44" i="1596"/>
  <c r="R42" i="1596"/>
  <c r="D42" i="1596"/>
  <c r="R41" i="1596"/>
  <c r="L7" i="1596" s="1"/>
  <c r="D7" i="1596" s="1"/>
  <c r="D41" i="1596"/>
  <c r="R40" i="1596"/>
  <c r="D40" i="1596"/>
  <c r="R39" i="1596"/>
  <c r="H39" i="1596"/>
  <c r="D39" i="1596"/>
  <c r="R38" i="1596"/>
  <c r="L9" i="1596" s="1"/>
  <c r="D9" i="1596" s="1"/>
  <c r="H38" i="1596"/>
  <c r="D38" i="1596"/>
  <c r="R37" i="1596"/>
  <c r="H37" i="1596"/>
  <c r="D37" i="1596"/>
  <c r="R36" i="1596"/>
  <c r="H36" i="1596"/>
  <c r="D36" i="1596"/>
  <c r="R35" i="1596"/>
  <c r="L19" i="1596" s="1"/>
  <c r="D19" i="1596" s="1"/>
  <c r="H35" i="1596"/>
  <c r="D35" i="1596"/>
  <c r="R34" i="1596"/>
  <c r="H34" i="1596"/>
  <c r="D34" i="1596"/>
  <c r="R33" i="1596"/>
  <c r="L23" i="1596" s="1"/>
  <c r="D23" i="1596" s="1"/>
  <c r="R32" i="1596"/>
  <c r="L11" i="1596" s="1"/>
  <c r="D11" i="1596" s="1"/>
  <c r="R31" i="1596"/>
  <c r="R30" i="1596"/>
  <c r="R29" i="1596"/>
  <c r="R28" i="1596"/>
  <c r="L16" i="1596" s="1"/>
  <c r="D16" i="1596" s="1"/>
  <c r="D28" i="1596"/>
  <c r="R27" i="1596"/>
  <c r="D27" i="1596"/>
  <c r="R26" i="1596"/>
  <c r="D26" i="1596"/>
  <c r="R25" i="1596"/>
  <c r="L25" i="1596"/>
  <c r="D25" i="1596"/>
  <c r="R24" i="1596"/>
  <c r="D24" i="1596"/>
  <c r="R23" i="1596"/>
  <c r="R22" i="1596"/>
  <c r="L22" i="1596"/>
  <c r="D22" i="1596"/>
  <c r="R21" i="1596"/>
  <c r="D21" i="1596"/>
  <c r="R20" i="1596"/>
  <c r="D20" i="1596"/>
  <c r="R19" i="1596"/>
  <c r="R18" i="1596"/>
  <c r="D18" i="1596"/>
  <c r="R17" i="1596"/>
  <c r="D17" i="1596"/>
  <c r="R16" i="1596"/>
  <c r="R15" i="1596"/>
  <c r="D15" i="1596"/>
  <c r="R14" i="1596"/>
  <c r="D14" i="1596"/>
  <c r="R13" i="1596"/>
  <c r="D13" i="1596"/>
  <c r="R12" i="1596"/>
  <c r="L12" i="1596"/>
  <c r="D12" i="1596"/>
  <c r="R11" i="1596"/>
  <c r="L10" i="1596"/>
  <c r="D10" i="1596"/>
  <c r="L8" i="1596"/>
  <c r="D8" i="1596" s="1"/>
  <c r="R6" i="1596"/>
  <c r="L6" i="1596"/>
  <c r="D6" i="1596"/>
  <c r="R5" i="1596"/>
  <c r="R4" i="1596"/>
  <c r="R52" i="1595"/>
  <c r="R51" i="1595"/>
  <c r="D50" i="1595"/>
  <c r="R49" i="1595"/>
  <c r="D49" i="1595"/>
  <c r="R48" i="1595"/>
  <c r="D48" i="1595"/>
  <c r="D46" i="1595"/>
  <c r="D45" i="1595"/>
  <c r="D44" i="1595"/>
  <c r="R42" i="1595"/>
  <c r="L6" i="1595" s="1"/>
  <c r="D6" i="1595" s="1"/>
  <c r="D42" i="1595"/>
  <c r="R41" i="1595"/>
  <c r="L7" i="1595" s="1"/>
  <c r="D7" i="1595" s="1"/>
  <c r="D41" i="1595"/>
  <c r="R40" i="1595"/>
  <c r="L8" i="1595" s="1"/>
  <c r="D8" i="1595" s="1"/>
  <c r="D40" i="1595"/>
  <c r="R39" i="1595"/>
  <c r="L20" i="1595" s="1"/>
  <c r="D20" i="1595" s="1"/>
  <c r="H39" i="1595"/>
  <c r="D39" i="1595"/>
  <c r="R38" i="1595"/>
  <c r="L9" i="1595" s="1"/>
  <c r="D9" i="1595" s="1"/>
  <c r="H38" i="1595"/>
  <c r="D38" i="1595"/>
  <c r="R37" i="1595"/>
  <c r="H37" i="1595"/>
  <c r="D37" i="1595"/>
  <c r="R36" i="1595"/>
  <c r="L10" i="1595" s="1"/>
  <c r="D10" i="1595" s="1"/>
  <c r="H36" i="1595"/>
  <c r="D36" i="1595"/>
  <c r="R35" i="1595"/>
  <c r="L19" i="1595" s="1"/>
  <c r="D19" i="1595" s="1"/>
  <c r="H35" i="1595"/>
  <c r="D35" i="1595"/>
  <c r="R34" i="1595"/>
  <c r="H34" i="1595"/>
  <c r="D34" i="1595"/>
  <c r="R33" i="1595"/>
  <c r="R32" i="1595"/>
  <c r="R31" i="1595"/>
  <c r="R30" i="1595"/>
  <c r="R29" i="1595"/>
  <c r="R28" i="1595"/>
  <c r="D28" i="1595"/>
  <c r="R27" i="1595"/>
  <c r="D27" i="1595"/>
  <c r="R26" i="1595"/>
  <c r="L26" i="1595"/>
  <c r="D26" i="1595" s="1"/>
  <c r="R25" i="1595"/>
  <c r="L25" i="1595"/>
  <c r="D25" i="1595" s="1"/>
  <c r="R24" i="1595"/>
  <c r="L24" i="1595"/>
  <c r="D24" i="1595"/>
  <c r="R23" i="1595"/>
  <c r="L23" i="1595"/>
  <c r="D23" i="1595"/>
  <c r="R22" i="1595"/>
  <c r="L22" i="1595"/>
  <c r="D22" i="1595" s="1"/>
  <c r="R21" i="1595"/>
  <c r="L17" i="1595" s="1"/>
  <c r="D17" i="1595" s="1"/>
  <c r="D21" i="1595"/>
  <c r="R20" i="1595"/>
  <c r="R19" i="1595"/>
  <c r="R18" i="1595"/>
  <c r="D18" i="1595"/>
  <c r="R17" i="1595"/>
  <c r="R16" i="1595"/>
  <c r="L16" i="1595"/>
  <c r="D16" i="1595" s="1"/>
  <c r="R15" i="1595"/>
  <c r="D15" i="1595"/>
  <c r="R14" i="1595"/>
  <c r="D14" i="1595"/>
  <c r="R13" i="1595"/>
  <c r="D13" i="1595"/>
  <c r="R12" i="1595"/>
  <c r="L12" i="1595"/>
  <c r="D12" i="1595"/>
  <c r="R11" i="1595"/>
  <c r="L11" i="1595"/>
  <c r="D11" i="1595"/>
  <c r="R6" i="1595"/>
  <c r="R5" i="1595"/>
  <c r="R4" i="1595"/>
  <c r="R52" i="1594"/>
  <c r="R51" i="1594"/>
  <c r="D50" i="1594"/>
  <c r="R49" i="1594"/>
  <c r="D49" i="1594"/>
  <c r="R48" i="1594"/>
  <c r="D48" i="1594"/>
  <c r="D46" i="1594"/>
  <c r="D45" i="1594"/>
  <c r="P44" i="1594"/>
  <c r="R44" i="1594" s="1"/>
  <c r="D44" i="1594"/>
  <c r="R42" i="1594"/>
  <c r="L6" i="1594" s="1"/>
  <c r="D6" i="1594" s="1"/>
  <c r="D42" i="1594"/>
  <c r="R41" i="1594"/>
  <c r="D41" i="1594"/>
  <c r="R40" i="1594"/>
  <c r="D40" i="1594"/>
  <c r="R39" i="1594"/>
  <c r="H39" i="1594"/>
  <c r="D39" i="1594"/>
  <c r="R38" i="1594"/>
  <c r="H38" i="1594"/>
  <c r="D38" i="1594"/>
  <c r="R37" i="1594"/>
  <c r="H37" i="1594"/>
  <c r="D37" i="1594"/>
  <c r="R36" i="1594"/>
  <c r="H36" i="1594"/>
  <c r="D36" i="1594"/>
  <c r="R35" i="1594"/>
  <c r="H35" i="1594"/>
  <c r="D35" i="1594"/>
  <c r="R34" i="1594"/>
  <c r="H34" i="1594"/>
  <c r="D34" i="1594"/>
  <c r="R33" i="1594"/>
  <c r="R32" i="1594"/>
  <c r="R31" i="1594"/>
  <c r="R30" i="1594"/>
  <c r="R29" i="1594"/>
  <c r="R28" i="1594"/>
  <c r="L16" i="1594" s="1"/>
  <c r="D16" i="1594" s="1"/>
  <c r="D28" i="1594"/>
  <c r="R27" i="1594"/>
  <c r="D27" i="1594"/>
  <c r="R26" i="1594"/>
  <c r="L26" i="1594"/>
  <c r="D26" i="1594"/>
  <c r="R25" i="1594"/>
  <c r="L25" i="1594"/>
  <c r="D25" i="1594"/>
  <c r="R24" i="1594"/>
  <c r="L24" i="1594"/>
  <c r="D24" i="1594" s="1"/>
  <c r="R23" i="1594"/>
  <c r="D23" i="1594"/>
  <c r="R22" i="1594"/>
  <c r="D22" i="1594"/>
  <c r="R21" i="1594"/>
  <c r="D21" i="1594"/>
  <c r="R20" i="1594"/>
  <c r="L20" i="1594"/>
  <c r="D20" i="1594" s="1"/>
  <c r="R19" i="1594"/>
  <c r="D19" i="1594"/>
  <c r="R18" i="1594"/>
  <c r="D18" i="1594"/>
  <c r="R17" i="1594"/>
  <c r="L17" i="1594"/>
  <c r="D17" i="1594" s="1"/>
  <c r="R16" i="1594"/>
  <c r="R15" i="1594"/>
  <c r="D15" i="1594"/>
  <c r="R14" i="1594"/>
  <c r="D14" i="1594"/>
  <c r="R13" i="1594"/>
  <c r="D13" i="1594"/>
  <c r="R12" i="1594"/>
  <c r="L12" i="1594"/>
  <c r="D12" i="1594" s="1"/>
  <c r="R11" i="1594"/>
  <c r="L11" i="1594"/>
  <c r="D11" i="1594" s="1"/>
  <c r="L10" i="1594"/>
  <c r="D10" i="1594" s="1"/>
  <c r="L9" i="1594"/>
  <c r="D9" i="1594"/>
  <c r="L8" i="1594"/>
  <c r="D8" i="1594"/>
  <c r="L7" i="1594"/>
  <c r="D7" i="1594"/>
  <c r="R6" i="1594"/>
  <c r="R5" i="1594"/>
  <c r="R4" i="1594"/>
  <c r="R52" i="1593"/>
  <c r="R51" i="1593"/>
  <c r="D50" i="1593"/>
  <c r="R49" i="1593"/>
  <c r="G49" i="1593"/>
  <c r="D49" i="1593"/>
  <c r="R48" i="1593"/>
  <c r="D48" i="1593"/>
  <c r="D46" i="1593"/>
  <c r="D45" i="1593"/>
  <c r="D44" i="1593"/>
  <c r="R42" i="1593"/>
  <c r="L6" i="1593" s="1"/>
  <c r="D6" i="1593" s="1"/>
  <c r="D42" i="1593"/>
  <c r="R41" i="1593"/>
  <c r="L7" i="1593" s="1"/>
  <c r="D7" i="1593" s="1"/>
  <c r="D41" i="1593"/>
  <c r="R40" i="1593"/>
  <c r="D40" i="1593"/>
  <c r="R39" i="1593"/>
  <c r="D39" i="1593"/>
  <c r="R38" i="1593"/>
  <c r="D38" i="1593"/>
  <c r="R37" i="1593"/>
  <c r="D37" i="1593"/>
  <c r="R36" i="1593"/>
  <c r="D36" i="1593"/>
  <c r="R35" i="1593"/>
  <c r="D35" i="1593"/>
  <c r="R34" i="1593"/>
  <c r="L12" i="1593" s="1"/>
  <c r="D12" i="1593" s="1"/>
  <c r="D34" i="1593"/>
  <c r="D54" i="1593" s="1"/>
  <c r="H14" i="1593" s="1"/>
  <c r="R33" i="1593"/>
  <c r="L23" i="1593" s="1"/>
  <c r="D23" i="1593" s="1"/>
  <c r="R32" i="1593"/>
  <c r="R31" i="1593"/>
  <c r="R30" i="1593"/>
  <c r="R29" i="1593"/>
  <c r="R28" i="1593"/>
  <c r="L16" i="1593" s="1"/>
  <c r="D16" i="1593" s="1"/>
  <c r="D28" i="1593"/>
  <c r="R27" i="1593"/>
  <c r="D27" i="1593"/>
  <c r="R26" i="1593"/>
  <c r="L26" i="1593"/>
  <c r="D26" i="1593"/>
  <c r="R25" i="1593"/>
  <c r="L25" i="1593"/>
  <c r="D25" i="1593"/>
  <c r="R24" i="1593"/>
  <c r="D24" i="1593"/>
  <c r="R23" i="1593"/>
  <c r="R22" i="1593"/>
  <c r="L22" i="1593"/>
  <c r="D22" i="1593"/>
  <c r="R21" i="1593"/>
  <c r="D21" i="1593"/>
  <c r="R20" i="1593"/>
  <c r="L20" i="1593"/>
  <c r="D20" i="1593"/>
  <c r="R19" i="1593"/>
  <c r="L19" i="1593"/>
  <c r="D19" i="1593"/>
  <c r="R18" i="1593"/>
  <c r="D18" i="1593"/>
  <c r="R17" i="1593"/>
  <c r="D17" i="1593"/>
  <c r="R16" i="1593"/>
  <c r="S15" i="1593"/>
  <c r="R15" i="1593"/>
  <c r="D15" i="1593"/>
  <c r="S14" i="1593"/>
  <c r="R14" i="1593"/>
  <c r="D14" i="1593"/>
  <c r="R13" i="1593"/>
  <c r="D13" i="1593"/>
  <c r="R12" i="1593"/>
  <c r="R11" i="1593"/>
  <c r="L11" i="1593"/>
  <c r="D11" i="1593"/>
  <c r="L10" i="1593"/>
  <c r="D10" i="1593" s="1"/>
  <c r="L9" i="1593"/>
  <c r="D9" i="1593"/>
  <c r="L8" i="1593"/>
  <c r="D8" i="1593"/>
  <c r="R6" i="1593"/>
  <c r="R5" i="1593"/>
  <c r="R4" i="1593"/>
  <c r="R52" i="1592"/>
  <c r="R51" i="1592"/>
  <c r="D50" i="1592"/>
  <c r="R49" i="1592"/>
  <c r="D49" i="1592"/>
  <c r="R48" i="1592"/>
  <c r="D48" i="1592"/>
  <c r="D46" i="1592"/>
  <c r="D45" i="1592"/>
  <c r="D44" i="1592"/>
  <c r="R42" i="1592"/>
  <c r="D42" i="1592"/>
  <c r="R41" i="1592"/>
  <c r="L7" i="1592" s="1"/>
  <c r="D7" i="1592" s="1"/>
  <c r="D41" i="1592"/>
  <c r="R40" i="1592"/>
  <c r="L8" i="1592" s="1"/>
  <c r="D8" i="1592" s="1"/>
  <c r="D40" i="1592"/>
  <c r="R39" i="1592"/>
  <c r="H39" i="1592"/>
  <c r="D39" i="1592"/>
  <c r="R38" i="1592"/>
  <c r="L9" i="1592" s="1"/>
  <c r="D9" i="1592" s="1"/>
  <c r="H38" i="1592"/>
  <c r="D38" i="1592"/>
  <c r="R37" i="1592"/>
  <c r="H37" i="1592"/>
  <c r="D37" i="1592"/>
  <c r="R36" i="1592"/>
  <c r="H36" i="1592"/>
  <c r="D36" i="1592"/>
  <c r="R35" i="1592"/>
  <c r="L19" i="1592" s="1"/>
  <c r="D19" i="1592" s="1"/>
  <c r="H35" i="1592"/>
  <c r="D35" i="1592"/>
  <c r="R34" i="1592"/>
  <c r="H34" i="1592"/>
  <c r="D34" i="1592"/>
  <c r="R33" i="1592"/>
  <c r="L23" i="1592" s="1"/>
  <c r="D23" i="1592" s="1"/>
  <c r="R32" i="1592"/>
  <c r="L11" i="1592" s="1"/>
  <c r="D11" i="1592" s="1"/>
  <c r="R31" i="1592"/>
  <c r="R30" i="1592"/>
  <c r="R29" i="1592"/>
  <c r="R28" i="1592"/>
  <c r="D28" i="1592"/>
  <c r="R27" i="1592"/>
  <c r="D27" i="1592"/>
  <c r="R26" i="1592"/>
  <c r="L26" i="1592"/>
  <c r="D26" i="1592" s="1"/>
  <c r="R25" i="1592"/>
  <c r="L25" i="1592"/>
  <c r="D25" i="1592"/>
  <c r="R24" i="1592"/>
  <c r="D24" i="1592"/>
  <c r="R23" i="1592"/>
  <c r="R22" i="1592"/>
  <c r="L22" i="1592"/>
  <c r="D22" i="1592"/>
  <c r="R21" i="1592"/>
  <c r="D21" i="1592"/>
  <c r="R20" i="1592"/>
  <c r="L20" i="1592"/>
  <c r="D20" i="1592" s="1"/>
  <c r="R19" i="1592"/>
  <c r="R18" i="1592"/>
  <c r="D18" i="1592"/>
  <c r="R17" i="1592"/>
  <c r="D17" i="1592"/>
  <c r="R16" i="1592"/>
  <c r="L16" i="1592"/>
  <c r="D16" i="1592" s="1"/>
  <c r="R15" i="1592"/>
  <c r="D15" i="1592"/>
  <c r="R14" i="1592"/>
  <c r="D14" i="1592"/>
  <c r="R13" i="1592"/>
  <c r="D13" i="1592"/>
  <c r="R12" i="1592"/>
  <c r="L12" i="1592"/>
  <c r="D12" i="1592" s="1"/>
  <c r="R11" i="1592"/>
  <c r="L10" i="1592"/>
  <c r="D10" i="1592"/>
  <c r="R6" i="1592"/>
  <c r="L6" i="1592"/>
  <c r="D6" i="1592"/>
  <c r="R5" i="1592"/>
  <c r="R4" i="1592"/>
  <c r="R52" i="1591"/>
  <c r="R51" i="1591"/>
  <c r="D50" i="1591"/>
  <c r="R49" i="1591"/>
  <c r="D49" i="1591"/>
  <c r="R48" i="1591"/>
  <c r="D48" i="1591"/>
  <c r="D46" i="1591"/>
  <c r="D45" i="1591"/>
  <c r="D44" i="1591"/>
  <c r="R42" i="1591"/>
  <c r="D42" i="1591"/>
  <c r="R41" i="1591"/>
  <c r="L7" i="1591" s="1"/>
  <c r="D7" i="1591" s="1"/>
  <c r="D41" i="1591"/>
  <c r="R40" i="1591"/>
  <c r="D40" i="1591"/>
  <c r="R39" i="1591"/>
  <c r="L20" i="1591" s="1"/>
  <c r="D20" i="1591" s="1"/>
  <c r="H39" i="1591"/>
  <c r="D39" i="1591"/>
  <c r="R38" i="1591"/>
  <c r="L9" i="1591" s="1"/>
  <c r="D9" i="1591" s="1"/>
  <c r="H38" i="1591"/>
  <c r="D38" i="1591"/>
  <c r="R37" i="1591"/>
  <c r="H37" i="1591"/>
  <c r="D37" i="1591"/>
  <c r="R36" i="1591"/>
  <c r="H36" i="1591"/>
  <c r="D36" i="1591"/>
  <c r="R35" i="1591"/>
  <c r="L19" i="1591" s="1"/>
  <c r="D19" i="1591" s="1"/>
  <c r="H35" i="1591"/>
  <c r="D35" i="1591"/>
  <c r="R34" i="1591"/>
  <c r="H34" i="1591"/>
  <c r="D34" i="1591"/>
  <c r="R33" i="1591"/>
  <c r="L23" i="1591" s="1"/>
  <c r="D23" i="1591" s="1"/>
  <c r="R32" i="1591"/>
  <c r="R31" i="1591"/>
  <c r="R30" i="1591"/>
  <c r="R29" i="1591"/>
  <c r="R28" i="1591"/>
  <c r="D28" i="1591"/>
  <c r="R27" i="1591"/>
  <c r="D27" i="1591"/>
  <c r="R26" i="1591"/>
  <c r="L26" i="1591"/>
  <c r="D26" i="1591"/>
  <c r="R25" i="1591"/>
  <c r="L25" i="1591"/>
  <c r="D25" i="1591"/>
  <c r="R24" i="1591"/>
  <c r="L24" i="1591"/>
  <c r="D24" i="1591" s="1"/>
  <c r="R23" i="1591"/>
  <c r="R22" i="1591"/>
  <c r="L22" i="1591"/>
  <c r="D22" i="1591" s="1"/>
  <c r="R21" i="1591"/>
  <c r="L17" i="1591" s="1"/>
  <c r="D17" i="1591" s="1"/>
  <c r="D21" i="1591"/>
  <c r="R20" i="1591"/>
  <c r="R19" i="1591"/>
  <c r="R18" i="1591"/>
  <c r="D18" i="1591"/>
  <c r="R17" i="1591"/>
  <c r="R16" i="1591"/>
  <c r="L16" i="1591"/>
  <c r="D16" i="1591" s="1"/>
  <c r="R15" i="1591"/>
  <c r="D15" i="1591"/>
  <c r="R14" i="1591"/>
  <c r="D14" i="1591"/>
  <c r="R13" i="1591"/>
  <c r="D13" i="1591"/>
  <c r="R12" i="1591"/>
  <c r="L12" i="1591"/>
  <c r="D12" i="1591"/>
  <c r="R11" i="1591"/>
  <c r="L11" i="1591"/>
  <c r="D11" i="1591"/>
  <c r="L10" i="1591"/>
  <c r="D10" i="1591"/>
  <c r="L8" i="1591"/>
  <c r="D8" i="1591"/>
  <c r="R6" i="1591"/>
  <c r="L6" i="1591"/>
  <c r="D6" i="1591" s="1"/>
  <c r="R5" i="1591"/>
  <c r="R4" i="1591"/>
  <c r="R52" i="1590"/>
  <c r="R51" i="1590"/>
  <c r="D50" i="1590"/>
  <c r="R49" i="1590"/>
  <c r="D49" i="1590"/>
  <c r="R48" i="1590"/>
  <c r="D48" i="1590"/>
  <c r="D46" i="1590"/>
  <c r="D45" i="1590"/>
  <c r="P44" i="1590"/>
  <c r="R44" i="1590" s="1"/>
  <c r="D44" i="1590"/>
  <c r="R42" i="1590"/>
  <c r="L6" i="1590" s="1"/>
  <c r="D6" i="1590" s="1"/>
  <c r="D42" i="1590"/>
  <c r="R41" i="1590"/>
  <c r="D41" i="1590"/>
  <c r="R40" i="1590"/>
  <c r="L8" i="1590" s="1"/>
  <c r="D8" i="1590" s="1"/>
  <c r="D40" i="1590"/>
  <c r="R39" i="1590"/>
  <c r="L20" i="1590" s="1"/>
  <c r="D20" i="1590" s="1"/>
  <c r="H39" i="1590"/>
  <c r="D39" i="1590"/>
  <c r="R38" i="1590"/>
  <c r="H38" i="1590"/>
  <c r="D38" i="1590"/>
  <c r="R37" i="1590"/>
  <c r="H37" i="1590"/>
  <c r="D37" i="1590"/>
  <c r="R36" i="1590"/>
  <c r="L10" i="1590" s="1"/>
  <c r="D10" i="1590" s="1"/>
  <c r="H36" i="1590"/>
  <c r="D36" i="1590"/>
  <c r="R35" i="1590"/>
  <c r="H35" i="1590"/>
  <c r="D35" i="1590"/>
  <c r="R34" i="1590"/>
  <c r="H34" i="1590"/>
  <c r="D34" i="1590"/>
  <c r="R33" i="1590"/>
  <c r="R32" i="1590"/>
  <c r="R31" i="1590"/>
  <c r="R30" i="1590"/>
  <c r="R29" i="1590"/>
  <c r="R28" i="1590"/>
  <c r="L16" i="1590" s="1"/>
  <c r="D16" i="1590" s="1"/>
  <c r="D28" i="1590"/>
  <c r="R27" i="1590"/>
  <c r="D27" i="1590"/>
  <c r="R26" i="1590"/>
  <c r="D26" i="1590"/>
  <c r="R25" i="1590"/>
  <c r="D25" i="1590"/>
  <c r="R24" i="1590"/>
  <c r="L24" i="1590"/>
  <c r="D24" i="1590"/>
  <c r="R23" i="1590"/>
  <c r="D23" i="1590"/>
  <c r="R22" i="1590"/>
  <c r="D22" i="1590"/>
  <c r="R21" i="1590"/>
  <c r="D21" i="1590"/>
  <c r="R20" i="1590"/>
  <c r="R19" i="1590"/>
  <c r="D19" i="1590"/>
  <c r="R18" i="1590"/>
  <c r="D18" i="1590"/>
  <c r="R17" i="1590"/>
  <c r="L17" i="1590"/>
  <c r="D17" i="1590"/>
  <c r="R16" i="1590"/>
  <c r="R15" i="1590"/>
  <c r="D15" i="1590"/>
  <c r="R14" i="1590"/>
  <c r="D14" i="1590"/>
  <c r="R13" i="1590"/>
  <c r="D13" i="1590"/>
  <c r="R12" i="1590"/>
  <c r="L12" i="1590"/>
  <c r="D12" i="1590"/>
  <c r="R11" i="1590"/>
  <c r="L11" i="1590"/>
  <c r="D11" i="1590"/>
  <c r="L9" i="1590"/>
  <c r="D9" i="1590"/>
  <c r="L7" i="1590"/>
  <c r="D7" i="1590" s="1"/>
  <c r="R6" i="1590"/>
  <c r="R5" i="1590"/>
  <c r="R4" i="1590"/>
  <c r="R52" i="1589"/>
  <c r="R51" i="1589"/>
  <c r="D50" i="1589"/>
  <c r="R49" i="1589"/>
  <c r="G49" i="1589"/>
  <c r="D49" i="1589"/>
  <c r="R48" i="1589"/>
  <c r="D48" i="1589"/>
  <c r="D46" i="1589"/>
  <c r="D45" i="1589"/>
  <c r="D44" i="1589"/>
  <c r="R42" i="1589"/>
  <c r="L6" i="1589" s="1"/>
  <c r="D6" i="1589" s="1"/>
  <c r="D42" i="1589"/>
  <c r="R41" i="1589"/>
  <c r="L7" i="1589" s="1"/>
  <c r="D7" i="1589" s="1"/>
  <c r="D41" i="1589"/>
  <c r="R40" i="1589"/>
  <c r="D40" i="1589"/>
  <c r="R39" i="1589"/>
  <c r="D39" i="1589"/>
  <c r="R38" i="1589"/>
  <c r="D38" i="1589"/>
  <c r="R37" i="1589"/>
  <c r="D37" i="1589"/>
  <c r="R36" i="1589"/>
  <c r="L10" i="1589" s="1"/>
  <c r="D10" i="1589" s="1"/>
  <c r="D36" i="1589"/>
  <c r="R35" i="1589"/>
  <c r="D35" i="1589"/>
  <c r="R34" i="1589"/>
  <c r="L12" i="1589" s="1"/>
  <c r="D12" i="1589" s="1"/>
  <c r="D34" i="1589"/>
  <c r="D54" i="1589" s="1"/>
  <c r="H14" i="1589" s="1"/>
  <c r="R33" i="1589"/>
  <c r="L23" i="1589" s="1"/>
  <c r="D23" i="1589" s="1"/>
  <c r="R32" i="1589"/>
  <c r="R31" i="1589"/>
  <c r="R30" i="1589"/>
  <c r="R29" i="1589"/>
  <c r="R28" i="1589"/>
  <c r="L16" i="1589" s="1"/>
  <c r="D16" i="1589" s="1"/>
  <c r="D28" i="1589"/>
  <c r="R27" i="1589"/>
  <c r="D27" i="1589"/>
  <c r="R26" i="1589"/>
  <c r="L26" i="1589"/>
  <c r="D26" i="1589"/>
  <c r="R25" i="1589"/>
  <c r="L25" i="1589"/>
  <c r="D25" i="1589"/>
  <c r="R24" i="1589"/>
  <c r="D24" i="1589"/>
  <c r="R23" i="1589"/>
  <c r="R22" i="1589"/>
  <c r="L22" i="1589"/>
  <c r="D22" i="1589"/>
  <c r="R21" i="1589"/>
  <c r="D21" i="1589"/>
  <c r="R20" i="1589"/>
  <c r="L20" i="1589"/>
  <c r="D20" i="1589"/>
  <c r="R19" i="1589"/>
  <c r="L19" i="1589"/>
  <c r="D19" i="1589"/>
  <c r="R18" i="1589"/>
  <c r="D18" i="1589"/>
  <c r="R17" i="1589"/>
  <c r="D17" i="1589"/>
  <c r="R16" i="1589"/>
  <c r="S15" i="1589"/>
  <c r="R15" i="1589"/>
  <c r="D15" i="1589"/>
  <c r="S14" i="1589"/>
  <c r="R14" i="1589"/>
  <c r="D14" i="1589"/>
  <c r="R13" i="1589"/>
  <c r="D13" i="1589"/>
  <c r="R12" i="1589"/>
  <c r="R11" i="1589"/>
  <c r="L11" i="1589"/>
  <c r="D11" i="1589"/>
  <c r="L9" i="1589"/>
  <c r="D9" i="1589"/>
  <c r="L8" i="1589"/>
  <c r="D8" i="1589"/>
  <c r="R6" i="1589"/>
  <c r="R5" i="1589"/>
  <c r="R4" i="1589"/>
  <c r="G49" i="1612" l="1"/>
  <c r="G49" i="1611"/>
  <c r="D54" i="1612"/>
  <c r="H14" i="1612" s="1"/>
  <c r="D54" i="1611"/>
  <c r="H14" i="1611" s="1"/>
  <c r="D54" i="1610"/>
  <c r="H14" i="1610" s="1"/>
  <c r="G49" i="1608"/>
  <c r="D54" i="1608"/>
  <c r="H14" i="1608" s="1"/>
  <c r="D54" i="1607"/>
  <c r="H14" i="1607" s="1"/>
  <c r="D54" i="1606"/>
  <c r="H14" i="1606" s="1"/>
  <c r="G49" i="1604"/>
  <c r="G49" i="1603"/>
  <c r="G49" i="1602"/>
  <c r="D54" i="1604"/>
  <c r="H14" i="1604" s="1"/>
  <c r="D54" i="1603"/>
  <c r="H14" i="1603" s="1"/>
  <c r="D54" i="1602"/>
  <c r="H14" i="1602" s="1"/>
  <c r="G49" i="1600"/>
  <c r="G49" i="1599"/>
  <c r="G49" i="1598"/>
  <c r="D54" i="1600"/>
  <c r="H14" i="1600" s="1"/>
  <c r="D54" i="1599"/>
  <c r="H14" i="1599" s="1"/>
  <c r="D54" i="1598"/>
  <c r="H14" i="1598" s="1"/>
  <c r="G49" i="1596"/>
  <c r="G49" i="1595"/>
  <c r="G49" i="1594"/>
  <c r="D54" i="1596"/>
  <c r="H14" i="1596" s="1"/>
  <c r="D29" i="1596"/>
  <c r="H13" i="1596" s="1"/>
  <c r="D54" i="1595"/>
  <c r="H14" i="1595" s="1"/>
  <c r="D54" i="1594"/>
  <c r="H14" i="1594" s="1"/>
  <c r="G49" i="1591"/>
  <c r="G49" i="1592"/>
  <c r="G49" i="1590"/>
  <c r="D54" i="1592"/>
  <c r="H14" i="1592" s="1"/>
  <c r="D54" i="1591"/>
  <c r="H14" i="1591" s="1"/>
  <c r="D54" i="1590"/>
  <c r="H14" i="1590" s="1"/>
  <c r="D29" i="1612"/>
  <c r="H13" i="1612" s="1"/>
  <c r="D29" i="1611"/>
  <c r="H13" i="1611" s="1"/>
  <c r="D29" i="1610"/>
  <c r="H13" i="1610" s="1"/>
  <c r="D29" i="1609"/>
  <c r="H13" i="1609" s="1"/>
  <c r="H15" i="1609" s="1"/>
  <c r="H29" i="1609" s="1"/>
  <c r="G51" i="1609" s="1"/>
  <c r="D29" i="1608"/>
  <c r="H13" i="1608" s="1"/>
  <c r="D29" i="1607"/>
  <c r="H13" i="1607" s="1"/>
  <c r="D29" i="1606"/>
  <c r="H13" i="1606" s="1"/>
  <c r="D29" i="1605"/>
  <c r="H13" i="1605" s="1"/>
  <c r="H15" i="1605" s="1"/>
  <c r="H29" i="1605" s="1"/>
  <c r="G51" i="1605"/>
  <c r="D29" i="1604"/>
  <c r="H13" i="1604" s="1"/>
  <c r="D29" i="1603"/>
  <c r="H13" i="1603" s="1"/>
  <c r="D29" i="1602"/>
  <c r="H13" i="1602" s="1"/>
  <c r="D29" i="1601"/>
  <c r="H13" i="1601" s="1"/>
  <c r="H15" i="1601" s="1"/>
  <c r="H29" i="1601" s="1"/>
  <c r="G51" i="1601" s="1"/>
  <c r="D29" i="1600"/>
  <c r="H13" i="1600" s="1"/>
  <c r="D29" i="1599"/>
  <c r="H13" i="1599" s="1"/>
  <c r="D29" i="1598"/>
  <c r="H13" i="1598" s="1"/>
  <c r="H15" i="1598" s="1"/>
  <c r="H29" i="1598" s="1"/>
  <c r="D29" i="1597"/>
  <c r="H13" i="1597" s="1"/>
  <c r="H15" i="1597" s="1"/>
  <c r="H29" i="1597" s="1"/>
  <c r="G51" i="1597" s="1"/>
  <c r="D29" i="1595"/>
  <c r="H13" i="1595" s="1"/>
  <c r="D29" i="1594"/>
  <c r="H13" i="1594" s="1"/>
  <c r="D29" i="1593"/>
  <c r="H13" i="1593" s="1"/>
  <c r="H15" i="1593" s="1"/>
  <c r="H29" i="1593" s="1"/>
  <c r="G51" i="1593"/>
  <c r="D29" i="1592"/>
  <c r="H13" i="1592" s="1"/>
  <c r="D29" i="1591"/>
  <c r="H13" i="1591" s="1"/>
  <c r="D29" i="1590"/>
  <c r="H13" i="1590" s="1"/>
  <c r="D29" i="1589"/>
  <c r="H13" i="1589" s="1"/>
  <c r="H15" i="1589" s="1"/>
  <c r="H29" i="1589" s="1"/>
  <c r="G51" i="1589"/>
  <c r="C12" i="1584"/>
  <c r="C21" i="1583"/>
  <c r="H16" i="1584"/>
  <c r="H16" i="1583"/>
  <c r="H15" i="1612" l="1"/>
  <c r="H29" i="1612" s="1"/>
  <c r="G51" i="1612" s="1"/>
  <c r="H15" i="1611"/>
  <c r="H29" i="1611" s="1"/>
  <c r="G51" i="1611" s="1"/>
  <c r="H15" i="1610"/>
  <c r="H29" i="1610" s="1"/>
  <c r="G51" i="1610" s="1"/>
  <c r="H15" i="1608"/>
  <c r="H29" i="1608" s="1"/>
  <c r="G51" i="1608" s="1"/>
  <c r="H15" i="1607"/>
  <c r="H29" i="1607" s="1"/>
  <c r="G51" i="1607" s="1"/>
  <c r="H15" i="1606"/>
  <c r="H29" i="1606" s="1"/>
  <c r="G51" i="1606" s="1"/>
  <c r="H15" i="1604"/>
  <c r="H29" i="1604" s="1"/>
  <c r="G51" i="1604" s="1"/>
  <c r="H15" i="1603"/>
  <c r="H29" i="1603" s="1"/>
  <c r="G51" i="1603" s="1"/>
  <c r="H15" i="1602"/>
  <c r="H29" i="1602" s="1"/>
  <c r="G51" i="1602" s="1"/>
  <c r="G51" i="1598"/>
  <c r="H15" i="1600"/>
  <c r="H29" i="1600" s="1"/>
  <c r="G51" i="1600" s="1"/>
  <c r="H15" i="1599"/>
  <c r="H29" i="1599" s="1"/>
  <c r="G51" i="1599" s="1"/>
  <c r="H15" i="1596"/>
  <c r="H29" i="1596" s="1"/>
  <c r="G51" i="1596" s="1"/>
  <c r="H15" i="1595"/>
  <c r="H29" i="1595" s="1"/>
  <c r="G51" i="1595" s="1"/>
  <c r="H15" i="1594"/>
  <c r="H29" i="1594" s="1"/>
  <c r="G51" i="1594" s="1"/>
  <c r="H15" i="1592"/>
  <c r="H29" i="1592" s="1"/>
  <c r="G51" i="1592" s="1"/>
  <c r="H15" i="1591"/>
  <c r="H29" i="1591" s="1"/>
  <c r="G51" i="1591" s="1"/>
  <c r="H15" i="1590"/>
  <c r="H29" i="1590" s="1"/>
  <c r="G51" i="1590" s="1"/>
  <c r="L25" i="1579"/>
  <c r="G37" i="1580" l="1"/>
  <c r="G35" i="1580"/>
  <c r="G34" i="1580"/>
  <c r="H16" i="1580" l="1"/>
  <c r="C12" i="1580"/>
  <c r="L25" i="1575" l="1"/>
  <c r="L27" i="1574"/>
  <c r="L26" i="1574"/>
  <c r="L25" i="1574"/>
  <c r="H16" i="1574"/>
  <c r="L24" i="1543" l="1"/>
  <c r="H16" i="1571" l="1"/>
  <c r="C12" i="1571"/>
  <c r="C12" i="1566" l="1"/>
  <c r="H16" i="1568"/>
  <c r="H16" i="1567"/>
  <c r="L25" i="1563" l="1"/>
  <c r="G49" i="1562"/>
  <c r="C12" i="1563" l="1"/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R35" i="1588"/>
  <c r="L19" i="1588" s="1"/>
  <c r="D19" i="1588" s="1"/>
  <c r="H35" i="1588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D36" i="1587"/>
  <c r="R35" i="1587"/>
  <c r="L19" i="1587" s="1"/>
  <c r="D19" i="1587" s="1"/>
  <c r="H35" i="1587"/>
  <c r="D35" i="1587"/>
  <c r="R34" i="1587"/>
  <c r="H34" i="1587"/>
  <c r="D34" i="1587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R35" i="1586"/>
  <c r="H35" i="1586"/>
  <c r="D35" i="1586"/>
  <c r="R34" i="1586"/>
  <c r="H34" i="1586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D35" i="1584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D34" i="1583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D34" i="1580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D38" i="1579"/>
  <c r="R37" i="1579"/>
  <c r="H37" i="1579"/>
  <c r="D37" i="1579"/>
  <c r="R36" i="1579"/>
  <c r="H36" i="1579"/>
  <c r="D36" i="1579"/>
  <c r="R35" i="1579"/>
  <c r="H35" i="1579"/>
  <c r="D35" i="1579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D36" i="1576"/>
  <c r="R35" i="1576"/>
  <c r="L19" i="1576" s="1"/>
  <c r="D19" i="1576" s="1"/>
  <c r="H35" i="1576"/>
  <c r="D35" i="1576"/>
  <c r="R34" i="1576"/>
  <c r="H34" i="1576"/>
  <c r="D34" i="1576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D34" i="1575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D25" i="1575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D26" i="1574"/>
  <c r="R25" i="1574"/>
  <c r="D25" i="1574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D34" i="1572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D36" i="1566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G49" i="1588" l="1"/>
  <c r="G49" i="1587"/>
  <c r="G49" i="1586"/>
  <c r="D54" i="1588"/>
  <c r="H14" i="1588" s="1"/>
  <c r="D54" i="1587"/>
  <c r="H14" i="1587" s="1"/>
  <c r="H15" i="1587" s="1"/>
  <c r="H29" i="1587" s="1"/>
  <c r="D54" i="1586"/>
  <c r="H14" i="1586" s="1"/>
  <c r="D54" i="1584"/>
  <c r="H14" i="1584" s="1"/>
  <c r="D54" i="1583"/>
  <c r="H14" i="1583" s="1"/>
  <c r="D29" i="1583"/>
  <c r="H13" i="1583" s="1"/>
  <c r="D54" i="1582"/>
  <c r="H14" i="1582" s="1"/>
  <c r="G49" i="1584"/>
  <c r="G49" i="1583"/>
  <c r="G49" i="1580"/>
  <c r="G49" i="1579"/>
  <c r="D54" i="1580"/>
  <c r="H14" i="1580" s="1"/>
  <c r="D54" i="1579"/>
  <c r="H14" i="1579" s="1"/>
  <c r="D54" i="1578"/>
  <c r="H14" i="1578" s="1"/>
  <c r="D54" i="1576"/>
  <c r="H14" i="1576" s="1"/>
  <c r="D54" i="1575"/>
  <c r="H14" i="1575" s="1"/>
  <c r="D54" i="1574"/>
  <c r="H14" i="1574" s="1"/>
  <c r="G49" i="1576"/>
  <c r="G49" i="1575"/>
  <c r="G49" i="1572"/>
  <c r="D54" i="1572"/>
  <c r="H14" i="1572" s="1"/>
  <c r="D29" i="1572"/>
  <c r="H13" i="1572" s="1"/>
  <c r="D54" i="1571"/>
  <c r="H14" i="1571" s="1"/>
  <c r="D54" i="1568"/>
  <c r="H14" i="1568" s="1"/>
  <c r="D54" i="1567"/>
  <c r="H14" i="1567" s="1"/>
  <c r="D54" i="1566"/>
  <c r="H14" i="1566" s="1"/>
  <c r="G49" i="1566"/>
  <c r="D29" i="1588"/>
  <c r="H13" i="1588" s="1"/>
  <c r="D29" i="1586"/>
  <c r="H13" i="1586" s="1"/>
  <c r="D29" i="1585"/>
  <c r="H13" i="1585" s="1"/>
  <c r="H15" i="1585" s="1"/>
  <c r="H29" i="1585" s="1"/>
  <c r="G51" i="1585" s="1"/>
  <c r="D29" i="1584"/>
  <c r="H13" i="1584" s="1"/>
  <c r="D29" i="1582"/>
  <c r="H13" i="1582" s="1"/>
  <c r="D29" i="1581"/>
  <c r="H13" i="1581" s="1"/>
  <c r="H15" i="1581" s="1"/>
  <c r="H29" i="1581" s="1"/>
  <c r="G51" i="1581"/>
  <c r="D29" i="1580"/>
  <c r="H13" i="1580" s="1"/>
  <c r="D29" i="1579"/>
  <c r="H13" i="1579" s="1"/>
  <c r="D29" i="1578"/>
  <c r="H13" i="1578" s="1"/>
  <c r="D29" i="1577"/>
  <c r="H13" i="1577" s="1"/>
  <c r="H15" i="1577" s="1"/>
  <c r="H29" i="1577" s="1"/>
  <c r="G51" i="1577" s="1"/>
  <c r="D29" i="1576"/>
  <c r="H13" i="1576" s="1"/>
  <c r="D29" i="1575"/>
  <c r="H13" i="1575" s="1"/>
  <c r="D29" i="1574"/>
  <c r="H13" i="1574" s="1"/>
  <c r="H15" i="1573"/>
  <c r="H29" i="1573" s="1"/>
  <c r="G51" i="1573"/>
  <c r="D29" i="1571"/>
  <c r="H13" i="1571" s="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D29" i="1567"/>
  <c r="H13" i="1567" s="1"/>
  <c r="D29" i="1566"/>
  <c r="H13" i="1566" s="1"/>
  <c r="D29" i="1565"/>
  <c r="H13" i="1565" s="1"/>
  <c r="H15" i="1565" s="1"/>
  <c r="H29" i="1565" s="1"/>
  <c r="G51" i="1565" s="1"/>
  <c r="H16" i="1560"/>
  <c r="G51" i="1587" l="1"/>
  <c r="H15" i="1588"/>
  <c r="H29" i="1588" s="1"/>
  <c r="G51" i="1588" s="1"/>
  <c r="H15" i="1586"/>
  <c r="H29" i="1586" s="1"/>
  <c r="G51" i="1586" s="1"/>
  <c r="H15" i="1584"/>
  <c r="H29" i="1584" s="1"/>
  <c r="G51" i="1584" s="1"/>
  <c r="H15" i="1583"/>
  <c r="H29" i="1583" s="1"/>
  <c r="G51" i="1583" s="1"/>
  <c r="H15" i="1582"/>
  <c r="H29" i="1582" s="1"/>
  <c r="G51" i="1582" s="1"/>
  <c r="H15" i="1580"/>
  <c r="H29" i="1580" s="1"/>
  <c r="G51" i="1580" s="1"/>
  <c r="H15" i="1579"/>
  <c r="H29" i="1579" s="1"/>
  <c r="G51" i="1579" s="1"/>
  <c r="H15" i="1578"/>
  <c r="H29" i="1578" s="1"/>
  <c r="G51" i="1578" s="1"/>
  <c r="H15" i="1576"/>
  <c r="H29" i="1576" s="1"/>
  <c r="G51" i="1576" s="1"/>
  <c r="H15" i="1575"/>
  <c r="H29" i="1575" s="1"/>
  <c r="G51" i="1575" s="1"/>
  <c r="H15" i="1574"/>
  <c r="H29" i="1574" s="1"/>
  <c r="G51" i="1574" s="1"/>
  <c r="H15" i="1572"/>
  <c r="H29" i="1572" s="1"/>
  <c r="G51" i="1572" s="1"/>
  <c r="H15" i="1571"/>
  <c r="H29" i="1571" s="1"/>
  <c r="G51" i="1571" s="1"/>
  <c r="H15" i="1568"/>
  <c r="H29" i="1568" s="1"/>
  <c r="G51" i="1568" s="1"/>
  <c r="H15" i="1567"/>
  <c r="H29" i="1567" s="1"/>
  <c r="G51" i="1567" s="1"/>
  <c r="H15" i="1566"/>
  <c r="H29" i="1566" s="1"/>
  <c r="G51" i="1566" s="1"/>
  <c r="H16" i="1556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D34" i="1564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D34" i="1563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D25" i="1563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D34" i="1562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D24" i="1543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G49" i="1564" l="1"/>
  <c r="G49" i="1563"/>
  <c r="D54" i="1564"/>
  <c r="H14" i="1564" s="1"/>
  <c r="D54" i="1563"/>
  <c r="H14" i="1563" s="1"/>
  <c r="D29" i="1563"/>
  <c r="H13" i="1563" s="1"/>
  <c r="D54" i="1562"/>
  <c r="H14" i="1562" s="1"/>
  <c r="D29" i="1562"/>
  <c r="H13" i="1562" s="1"/>
  <c r="D54" i="1560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4" l="1"/>
  <c r="H29" i="1564" s="1"/>
  <c r="G51" i="1564" s="1"/>
  <c r="H15" i="1563"/>
  <c r="H29" i="1563" s="1"/>
  <c r="G51" i="1563" s="1"/>
  <c r="H15" i="1562"/>
  <c r="H29" i="1562" s="1"/>
  <c r="G51" i="1562" s="1"/>
  <c r="H15" i="1560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<sst xmlns="http://schemas.openxmlformats.org/spreadsheetml/2006/main" count="14269" uniqueCount="219">
  <si>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</si>
  <si>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</si>
  <si>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</si>
  <si>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</si>
  <si>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</si>
  <si>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</si>
  <si>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</si>
  <si>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</si>
  <si>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</si>
  <si>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</si>
  <si>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</si>
  <si>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</si>
  <si>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</si>
  <si>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</si>
  <si>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</si>
  <si>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</si>
  <si>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</si>
  <si>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</si>
  <si>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</si>
  <si>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</si>
  <si>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</si>
  <si>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</si>
  <si>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</si>
  <si>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</si>
  <si>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</si>
  <si>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</si>
  <si>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</si>
  <si>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</si>
  <si>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</si>
  <si>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</si>
  <si>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</si>
  <si>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</si>
  <si>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</si>
  <si>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</si>
  <si>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</si>
  <si>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</si>
  <si>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</si>
  <si>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</si>
  <si>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</si>
  <si>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</si>
  <si>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</si>
  <si>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</si>
  <si>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</si>
  <si>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</si>
  <si>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</si>
  <si>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</si>
  <si>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</si>
  <si>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</si>
  <si>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</si>
  <si>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</si>
  <si>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</si>
  <si>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</si>
  <si>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</si>
  <si>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</si>
  <si>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</si>
  <si>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</si>
  <si>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</si>
  <si>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</si>
  <si>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</si>
  <si>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</si>
  <si>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</si>
  <si>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</si>
  <si>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</si>
  <si>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</si>
  <si>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</si>
  <si>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</si>
  <si>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</si>
  <si>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</si>
  <si>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</si>
  <si>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</si>
  <si>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</si>
  <si>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</si>
  <si>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</si>
  <si>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</si>
  <si>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</si>
  <si>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</si>
  <si>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</si>
  <si>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</si>
  <si>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</si>
  <si>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</si>
  <si>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</si>
  <si>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</si>
  <si>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</si>
  <si>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</si>
  <si>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</si>
  <si>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</si>
  <si>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</si>
  <si>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</si>
  <si>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</si>
  <si>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</si>
  <si>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</si>
  <si>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</si>
  <si>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</si>
  <si>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</si>
  <si>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</si>
  <si>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</si>
  <si>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</si>
  <si>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</si>
  <si>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</si>
  <si>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</si>
  <si>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</si>
  <si>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</si>
  <si>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</si>
  <si>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</si>
  <si>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</si>
  <si>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</si>
  <si>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</si>
  <si>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</si>
  <si>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</si>
  <si>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</si>
  <si>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</si>
  <si>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</si>
  <si>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</si>
  <si>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</si>
  <si>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</si>
  <si>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</si>
  <si>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</si>
  <si>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</si>
  <si>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</si>
  <si>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</si>
  <si>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</si>
  <si>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</si>
  <si>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</si>
  <si>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</si>
  <si>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</si>
  <si>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</si>
  <si>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</si>
  <si>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</si>
  <si>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</si>
  <si>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</si>
  <si>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</si>
  <si>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</si>
  <si>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</si>
  <si>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</si>
  <si>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</si>
  <si>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</si>
  <si>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</si>
  <si>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</si>
  <si>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</si>
  <si>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</si>
  <si>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</si>
  <si>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</si>
  <si>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</si>
  <si>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</si>
  <si>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</si>
  <si>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</si>
  <si>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</si>
  <si>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</si>
  <si>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</si>
  <si>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</si>
  <si>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</si>
  <si>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</si>
  <si>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</si>
  <si>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</si>
  <si>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</si>
  <si>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</si>
  <si>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</si>
  <si>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</si>
  <si>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</si>
  <si>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</si>
  <si>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</si>
  <si>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</si>
  <si>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</si>
  <si>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</si>
  <si>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</si>
  <si>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</si>
  <si>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</si>
  <si>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</si>
  <si>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</si>
  <si>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</si>
  <si>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</si>
  <si>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</si>
  <si>
    <t>SOUNDCHECK</t>
  </si>
  <si>
    <t>42916</t>
  </si>
  <si>
    <t>135251</t>
  </si>
  <si>
    <t>200002642</t>
  </si>
  <si>
    <t>146729</t>
  </si>
  <si>
    <t>47858</t>
  </si>
  <si>
    <t>4820760</t>
  </si>
  <si>
    <t>SMLB BOTT.</t>
  </si>
  <si>
    <t>144902</t>
  </si>
  <si>
    <t>200007315</t>
  </si>
  <si>
    <t>2120007602</t>
  </si>
  <si>
    <t>2120012750</t>
  </si>
  <si>
    <t>143297</t>
  </si>
  <si>
    <t>146745</t>
  </si>
  <si>
    <t>20005641</t>
  </si>
  <si>
    <t>145600</t>
  </si>
  <si>
    <t>143301</t>
  </si>
  <si>
    <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 xml:space="preserve">OVER </t>
    </r>
  </si>
  <si>
    <t>42923</t>
  </si>
  <si>
    <t>PPC/RHC/SMLC</t>
  </si>
  <si>
    <t>200002655</t>
  </si>
  <si>
    <t>146755</t>
  </si>
  <si>
    <t>FBLYC/FBAC</t>
  </si>
  <si>
    <t>KRB</t>
  </si>
  <si>
    <t>PAMB/SDB</t>
  </si>
  <si>
    <t>FBAC/FBLC/FBLYC</t>
  </si>
  <si>
    <t>PPG</t>
  </si>
  <si>
    <t>SMLC/RHC/PPC</t>
  </si>
  <si>
    <t>PNB(BALWARTE)</t>
  </si>
  <si>
    <t>43302</t>
  </si>
  <si>
    <t>HENSON INCENTIVES</t>
  </si>
  <si>
    <t>146756</t>
  </si>
  <si>
    <t>47876</t>
  </si>
  <si>
    <t>144931</t>
  </si>
  <si>
    <t>TEBAN</t>
  </si>
  <si>
    <t>42928</t>
  </si>
  <si>
    <t>2120012790</t>
  </si>
  <si>
    <t>BOSS RIE</t>
  </si>
  <si>
    <t>146762</t>
  </si>
  <si>
    <t>1ST VALLEY BANK</t>
  </si>
  <si>
    <t>20002672</t>
  </si>
  <si>
    <t>200005668</t>
  </si>
  <si>
    <t>4820791</t>
  </si>
  <si>
    <t>CBB/PAMB</t>
  </si>
  <si>
    <t>PAMC/CBC/SDC</t>
  </si>
  <si>
    <t>141961</t>
  </si>
  <si>
    <t>135255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</si>
</sst>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3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15" fillId="0" borderId="10" xfId="0" applyFont="1" applyBorder="1" applyAlignment="1">
      <alignment horizontal="center"/>
    </xf>
    <xf numFmtId="49" fontId="22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24" fillId="0" borderId="16" xfId="0" applyFont="1" applyBorder="1"/>
    <xf numFmtId="0" fontId="22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  <xf numFmtId="44" fontId="12" fillId="3" borderId="12" xfId="0" applyNumberFormat="1" applyFont="1" applyFill="1" applyBorder="1" applyAlignment="1">
      <alignment horizontal="center"/>
    </xf>
    <xf numFmtId="44" fontId="12" fillId="3" borderId="28" xfId="0" applyNumberFormat="1" applyFont="1" applyFill="1" applyBorder="1" applyAlignment="1">
      <alignment horizontal="center"/>
    </xf>
    <xf numFmtId="44" fontId="12" fillId="3" borderId="23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D84EDC-255F-4D45-8C78-2B8F16BBFE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64F566-10CC-43B1-B969-B920400A6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CED159-114B-4618-A928-D769CD21A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80140F-913D-4C53-B09A-96F084F4F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8C38D-E1C0-44B2-A60E-7DCDDC89F6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47A3B3-9F69-4EEE-BD8B-DB3B15A6D6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382A27-7D10-4BE7-934D-9B3672259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7DE0E6-D8CD-4780-894D-D6ACB8AC7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69A205-A83A-4C95-809E-E9BE3D7FE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6A94B6-ED6F-4E16-B55C-2A3595A1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46724-8B1A-46DA-880F-FDEA383BB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3CE6E3-116B-4B15-867C-1C6F6E5B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A9CFD1-3559-4380-9D87-ABEE853BA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DEEA77-2330-4BB0-88D1-00D706270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EFA6FA-2ED6-4FC7-8DE0-70069F6F6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076D2-555D-4168-90DA-E134C8560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4A2472-E9F6-466B-98C9-FF75E0311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6B09A-8401-46D7-89BA-94E3739FF4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E09CC-54F2-46FD-B0ED-575958DD3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E69AA-A017-486C-89F3-20C224A4D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A21832-6BFE-4EED-83F8-D9FA5B241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7EDBD-A293-417A-927F-3E32AC702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3E7B8F-BB87-4D55-8DC2-E04BC42E5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E97BC-8C6F-4D2D-9BA1-B3F22425C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58F76E-F694-4BA4-ABEE-37FEFC9B5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4FF88D-CF03-4E14-84CA-92BB1DE219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A8C20-09EB-4F28-A312-010508D2B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FECA1A-2247-4EFF-8B8C-2386AE720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17FFE0-81C6-4FCC-867A-5D1F49754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7A0C1-B8BD-4F5A-916F-1882FEBEE1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90AEE9-93FB-4A38-A406-1105BCA9A8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D01905-A7E6-454E-A55F-D69DD4CD4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3BBF8E-FAD6-432B-9516-51C63BADF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A5B4AD-6FA1-4A2C-A596-0EA353863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10FF08-B3CE-450E-BB1C-455539BD0E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15A808-80C7-4CEF-83E4-75FD826ED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84CE0-F40A-47EC-896F-88199BEA3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4B05D-B605-499D-8083-C1B61927F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F64355-0D98-4866-BAD1-0D82FCD06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E458E2-9EE5-4DDF-BDC3-3924C5812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CF6411-D00B-4B64-AC60-0FEA6B8F8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E29097-3896-4D40-AFE1-1C00CCFDC7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23F633-B387-45A7-AA7D-6118504D67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895859-E476-4652-A9C6-6F6C37964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6645E-0D00-40A8-B5B7-E529BECFB4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1DC644-1ED0-42FB-AE93-2345245B5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C79D4B-6B91-4FBC-AF2C-256628A8A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107C-C5D5-4E81-AA4E-7A8ED676A6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41E07A-5768-4780-A599-C01631477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13536B-3C21-4BE8-867F-50ADB038E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8372B5-8EC1-4606-A74E-0F639BBA6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45DFB4-3C06-4675-82A8-4D6029177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262</v>
      </c>
      <c r="D6" s="13">
        <f t="shared" ref="D6:D28" si="1">C6*L6</f>
        <v>193094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16</v>
      </c>
      <c r="D7" s="13">
        <f t="shared" si="1"/>
        <v>11600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</v>
      </c>
      <c r="D8" s="13">
        <f t="shared" si="1"/>
        <v>1033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240783.5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35187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205596.5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88">
        <v>79918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58">
        <v>87410</v>
      </c>
      <c r="I26" s="158"/>
      <c r="J26" s="158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8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11</v>
      </c>
      <c r="D28" s="48">
        <f t="shared" si="1"/>
        <v>8635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240783.5</v>
      </c>
      <c r="F29" s="119" t="s">
        <v>55</v>
      </c>
      <c r="G29" s="181"/>
      <c r="H29" s="141">
        <f>H15-H16-H17-H18-H19-H20-H22-H23-H24+H26+H27+H28</f>
        <v>213088.5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63">
        <f t="shared" ref="H34:H39" si="2">F34*G34</f>
        <v>77000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63">
        <f t="shared" si="2"/>
        <v>19000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63">
        <f t="shared" si="2"/>
        <v>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58">
        <v>15213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58">
        <v>13245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58">
        <v>87410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213263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174.5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168</v>
      </c>
      <c r="D6" s="13">
        <f t="shared" ref="D6:D28" si="1">C6*L6</f>
        <v>123816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39</v>
      </c>
      <c r="D9" s="13">
        <f t="shared" si="1"/>
        <v>27573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154078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24060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130018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1314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154078</v>
      </c>
      <c r="F29" s="119" t="s">
        <v>55</v>
      </c>
      <c r="G29" s="181"/>
      <c r="H29" s="141">
        <f>H15-H16-H17-H18-H19-H20-H22-H23-H24+H26+H27</f>
        <v>128654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63">
        <f>F34*G34</f>
        <v>101000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 t="shared" ref="H35:H39" si="2"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127985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-669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24060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211</v>
      </c>
      <c r="D6" s="13">
        <f t="shared" ref="D6:D28" si="1">C6*L6</f>
        <v>155507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197825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31160.25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166664.75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9</v>
      </c>
      <c r="D27" s="44">
        <f t="shared" si="1"/>
        <v>14238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8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197825</v>
      </c>
      <c r="F29" s="119" t="s">
        <v>55</v>
      </c>
      <c r="G29" s="181"/>
      <c r="H29" s="141">
        <f>H15-H16-H17-H18-H19-H20-H22-H23-H24+H26+H27</f>
        <v>166364.75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63">
        <f>F34*G34</f>
        <v>131000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86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8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58">
        <v>14238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166324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-40.75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31160.25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261</v>
      </c>
      <c r="D6" s="13">
        <f t="shared" ref="D6:D28" si="1">C6*L6</f>
        <v>192357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</v>
      </c>
      <c r="D10" s="13">
        <f t="shared" si="1"/>
        <v>972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220448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22</v>
      </c>
      <c r="D14" s="31">
        <f t="shared" si="1"/>
        <v>242</v>
      </c>
      <c r="F14" s="205" t="s">
        <v>39</v>
      </c>
      <c r="G14" s="206"/>
      <c r="H14" s="207">
        <f>D54</f>
        <v>32962.5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187485.5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6</v>
      </c>
      <c r="D28" s="48">
        <f t="shared" si="1"/>
        <v>4710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220448</v>
      </c>
      <c r="F29" s="119" t="s">
        <v>55</v>
      </c>
      <c r="G29" s="181"/>
      <c r="H29" s="141">
        <f>H15-H16-H17-H18-H19-H20-H22-H23-H24+H26+H27+H28</f>
        <v>187485.5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63">
        <f t="shared" ref="H34:H39" si="2">F34*G34</f>
        <v>124000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63">
        <f t="shared" si="2"/>
        <v>52000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63">
        <f t="shared" si="2"/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7978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187047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-438.5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230</v>
      </c>
      <c r="D6" s="13">
        <f t="shared" ref="D6:D28" si="1">C6*L6</f>
        <v>169510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196685.66666666666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36855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159830.66666666666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1899</f>
        <v>1899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>
        <v>2</v>
      </c>
      <c r="D24" s="48">
        <f t="shared" si="1"/>
        <v>207.66666666666666</v>
      </c>
      <c r="F24" s="38"/>
      <c r="G24" s="37"/>
      <c r="H24" s="189"/>
      <c r="I24" s="158"/>
      <c r="J24" s="158"/>
      <c r="L24" s="47">
        <f>596/6+4.5</f>
        <v>103.83333333333333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196685.66666666666</v>
      </c>
      <c r="F29" s="119" t="s">
        <v>55</v>
      </c>
      <c r="G29" s="181"/>
      <c r="H29" s="141">
        <f>H15-H16-H17-H18-H19-H20-H22-H23-H24+H26+H27</f>
        <v>157931.66666666666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63">
        <f>F34*G34</f>
        <v>34000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63">
        <f t="shared" ref="H35:H39" si="2"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2460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58">
        <v>119875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157735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-196.66666666665697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36855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194</v>
      </c>
      <c r="D6" s="13">
        <f t="shared" ref="D6:D28" si="1">C6*L6</f>
        <v>142978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173906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39246.75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134659.25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336</f>
        <v>336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93">
        <v>85842</v>
      </c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173906</v>
      </c>
      <c r="F29" s="119" t="s">
        <v>55</v>
      </c>
      <c r="G29" s="181"/>
      <c r="H29" s="141">
        <f>H15-H16-H17-H18-H19-H20-H22-H23-H24+H26+H27</f>
        <v>220165.25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63">
        <f>F35*G35</f>
        <v>11000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61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58">
        <v>85842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230303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10137.75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39246.75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150</v>
      </c>
      <c r="D6" s="13">
        <f t="shared" ref="D6:D28" si="1">C6*L6</f>
        <v>110550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124676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23</v>
      </c>
      <c r="D14" s="31">
        <f t="shared" si="1"/>
        <v>253</v>
      </c>
      <c r="F14" s="205" t="s">
        <v>39</v>
      </c>
      <c r="G14" s="206"/>
      <c r="H14" s="207">
        <f>D54</f>
        <v>17744.25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106931.75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124676</v>
      </c>
      <c r="F29" s="119" t="s">
        <v>55</v>
      </c>
      <c r="G29" s="181"/>
      <c r="H29" s="141">
        <f>H15-H16-H17-H18-H19-H20-H22-H23-H24+H26+H27+H28</f>
        <v>106931.75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63">
        <f t="shared" ref="H34:H39" si="2"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63">
        <f t="shared" si="2"/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63">
        <f t="shared" si="2"/>
        <v>2500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395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107645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713.25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f>440-99</f>
        <v>341</v>
      </c>
      <c r="D6" s="13">
        <f t="shared" ref="D6:D28" si="1">C6*L6</f>
        <v>251317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261506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40169.25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221336.75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337*9</f>
        <v>3033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261506</v>
      </c>
      <c r="F29" s="119" t="s">
        <v>55</v>
      </c>
      <c r="G29" s="181"/>
      <c r="H29" s="141">
        <f>H15-H16-H17-H18-H19-H20-H22-H23-H24+H26+H27</f>
        <v>218303.75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63">
        <f>F34*G34</f>
        <v>216000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63">
        <f t="shared" ref="H35:H39" si="2">F35*G35</f>
        <v>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17</v>
      </c>
      <c r="D49" s="12">
        <f>C49*42</f>
        <v>714</v>
      </c>
      <c r="F49" s="139" t="s">
        <v>86</v>
      </c>
      <c r="G49" s="141">
        <f>H34+H35+H36+H37+H38+H39+H40+H41+G42+H44+H45+H46</f>
        <v>218358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21</v>
      </c>
      <c r="D50" s="12">
        <f>C50*1.5</f>
        <v>31.5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54.25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40169.25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536</v>
      </c>
      <c r="D6" s="13">
        <f t="shared" ref="D6:D28" si="1">C6*L6</f>
        <v>395032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15</v>
      </c>
      <c r="D7" s="13">
        <f t="shared" si="1"/>
        <v>10875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129</v>
      </c>
      <c r="D9" s="13">
        <f t="shared" si="1"/>
        <v>91203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505571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38012.25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467558.75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2610+330</f>
        <v>2940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5</v>
      </c>
      <c r="D28" s="48">
        <f t="shared" si="1"/>
        <v>3925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505571</v>
      </c>
      <c r="F29" s="119" t="s">
        <v>55</v>
      </c>
      <c r="G29" s="181"/>
      <c r="H29" s="141">
        <f>H15-H16-H17-H18-H19-H20-H22-H23-H24+H26+H27+H28</f>
        <v>464568.75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63">
        <f>F34*G34</f>
        <v>12000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58">
        <v>283894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58">
        <v>34498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58">
        <v>19009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37" t="s">
        <v>152</v>
      </c>
      <c r="G47" s="76" t="s">
        <v>160</v>
      </c>
      <c r="H47" s="158">
        <v>102341</v>
      </c>
      <c r="I47" s="158"/>
      <c r="J47" s="15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H34+H35+H36+H37+H38+H39+H40+H41+G42+H44+H45+H46+H47</f>
        <v>452187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-12381.75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38012.25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124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207</v>
      </c>
      <c r="D6" s="13">
        <f t="shared" ref="D6:D28" si="1">C6*L6</f>
        <v>152559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</v>
      </c>
      <c r="D9" s="13">
        <f t="shared" si="1"/>
        <v>9191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187607.83333333334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13236.75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174371.08333333334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1620</f>
        <v>1620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101</v>
      </c>
      <c r="C22" s="10">
        <v>3</v>
      </c>
      <c r="D22" s="48">
        <f t="shared" si="1"/>
        <v>5001</v>
      </c>
      <c r="F22" s="72"/>
      <c r="G22" s="73"/>
      <c r="H22" s="188"/>
      <c r="I22" s="188"/>
      <c r="J22" s="188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187607.83333333334</v>
      </c>
      <c r="F29" s="119" t="s">
        <v>55</v>
      </c>
      <c r="G29" s="181"/>
      <c r="H29" s="141">
        <f>H15-H16-H17-H18-H19-H20-H22-H23-H24+H26+H27</f>
        <v>172751.08333333334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63">
        <f t="shared" ref="H35:H39" si="2">F35*G35</f>
        <v>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477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58">
        <v>144167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13</v>
      </c>
      <c r="D46" s="12">
        <f>C46*1.5</f>
        <v>19.5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172244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-507.08333333334303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13236.75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429</v>
      </c>
      <c r="D6" s="13">
        <f t="shared" ref="D6:D28" si="1">C6*L6</f>
        <v>316173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70</v>
      </c>
      <c r="D9" s="13">
        <f t="shared" si="1"/>
        <v>49490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18</v>
      </c>
      <c r="D13" s="48">
        <f t="shared" si="1"/>
        <v>5526</v>
      </c>
      <c r="F13" s="247" t="s">
        <v>36</v>
      </c>
      <c r="G13" s="211"/>
      <c r="H13" s="202">
        <f>D29</f>
        <v>378246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50790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327456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912+1824+300</f>
        <v>3036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378246</v>
      </c>
      <c r="F29" s="119" t="s">
        <v>55</v>
      </c>
      <c r="G29" s="181"/>
      <c r="H29" s="141">
        <f>H15-H16-H17-H18-H19-H20-H22-H23-H24+H26+H27</f>
        <v>324420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58">
        <v>101868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58">
        <v>191152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324022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50790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522</v>
      </c>
      <c r="D6" s="13">
        <f t="shared" ref="D6:D28" si="1">C6*L6</f>
        <v>384714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51</v>
      </c>
      <c r="D9" s="13">
        <f t="shared" si="1"/>
        <v>36057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22</v>
      </c>
      <c r="D13" s="48">
        <f t="shared" si="1"/>
        <v>6754</v>
      </c>
      <c r="F13" s="247" t="s">
        <v>36</v>
      </c>
      <c r="G13" s="211"/>
      <c r="H13" s="202">
        <f>D29</f>
        <v>481416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102241.5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379174.5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3012</f>
        <v>3012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88">
        <v>45650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481416</v>
      </c>
      <c r="F29" s="119" t="s">
        <v>55</v>
      </c>
      <c r="G29" s="181"/>
      <c r="H29" s="141">
        <f>H15-H16-H17-H18-H19-H20-H22-H23-H24+H26+H27+H28</f>
        <v>330512.5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63">
        <f t="shared" ref="H34:H39" si="2">F34*G34</f>
        <v>278000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63">
        <f t="shared" si="2"/>
        <v>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63">
        <f t="shared" si="2"/>
        <v>900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41</v>
      </c>
      <c r="D44" s="12">
        <f>C44*120</f>
        <v>4920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48</v>
      </c>
      <c r="D49" s="12">
        <f>C49*42</f>
        <v>2016</v>
      </c>
      <c r="F49" s="139" t="s">
        <v>86</v>
      </c>
      <c r="G49" s="141">
        <f>H34+H35+H36+H37+H38+H39+H40+H41+G42+H44+H45+H46</f>
        <v>330075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-437.5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186</v>
      </c>
      <c r="D6" s="13">
        <f t="shared" ref="D6:D28" si="1">C6*L6</f>
        <v>137082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</v>
      </c>
      <c r="D9" s="13">
        <f t="shared" si="1"/>
        <v>5656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148838.16666666666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23934.75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124903.41666666666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148838.16666666666</v>
      </c>
      <c r="F29" s="119" t="s">
        <v>55</v>
      </c>
      <c r="G29" s="181"/>
      <c r="H29" s="141">
        <f>H15-H16-H17-H18-H19-H20-H22-H23-H24+H26+H27</f>
        <v>124903.41666666666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63">
        <f>F34*G34</f>
        <v>91000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63">
        <f t="shared" ref="H35:H39" si="2">F35*G35</f>
        <v>32500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11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125411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507.58333333334303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23934.75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175</v>
      </c>
      <c r="D6" s="13">
        <f t="shared" ref="D6:D28" si="1">C6*L6</f>
        <v>128975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14500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17</v>
      </c>
      <c r="D9" s="13">
        <f t="shared" si="1"/>
        <v>12019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166256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24198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142058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300</f>
        <v>300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166256</v>
      </c>
      <c r="F29" s="119" t="s">
        <v>55</v>
      </c>
      <c r="G29" s="181"/>
      <c r="H29" s="141">
        <f>H15-H16-H17-H18-H19-H20-H22-H23-H24+H26+H27</f>
        <v>141708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63">
        <f>F34*G34</f>
        <v>113000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63">
        <f>F35*G35</f>
        <v>18500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63">
        <f t="shared" si="2"/>
        <v>5100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127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58">
        <v>3792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141689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-19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24198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407</v>
      </c>
      <c r="D6" s="13">
        <f t="shared" ref="D6:D28" si="1">C6*L6</f>
        <v>299959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54</v>
      </c>
      <c r="D9" s="13">
        <f t="shared" si="1"/>
        <v>38178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343299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4</v>
      </c>
      <c r="D14" s="31">
        <f t="shared" si="1"/>
        <v>44</v>
      </c>
      <c r="F14" s="205" t="s">
        <v>39</v>
      </c>
      <c r="G14" s="206"/>
      <c r="H14" s="207">
        <f>D54</f>
        <v>83292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260007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343299</v>
      </c>
      <c r="F29" s="119" t="s">
        <v>55</v>
      </c>
      <c r="G29" s="181"/>
      <c r="H29" s="141">
        <f>H15-H16-H17-H18-H19-H20-H22-H23-H24+H26+H27+H28</f>
        <v>260007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63">
        <f t="shared" ref="H34:H39" si="2">F34*G34</f>
        <v>53000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 t="shared" si="2"/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58">
        <v>118353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58">
        <v>66364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259739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-268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149611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</v>
      </c>
      <c r="D7" s="13">
        <f t="shared" si="1"/>
        <v>6525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34</v>
      </c>
      <c r="D9" s="13">
        <f t="shared" si="1"/>
        <v>24038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186017.83333333334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28258.5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157759.33333333334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186017.83333333334</v>
      </c>
      <c r="F29" s="119" t="s">
        <v>55</v>
      </c>
      <c r="G29" s="181"/>
      <c r="H29" s="141">
        <f>H15-H16-H17-H18-H19-H20-H22-H23-H24+H26+H27</f>
        <v>157759.33333333334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63">
        <f>F34*G34</f>
        <v>132000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63">
        <f t="shared" ref="H35:H39" si="2">F35*G35</f>
        <v>24500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63">
        <f t="shared" si="2"/>
        <v>1100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18</v>
      </c>
      <c r="D46" s="12">
        <f>C46*1.5</f>
        <v>27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157947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187.66666666665697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28258.5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365</v>
      </c>
      <c r="D6" s="13">
        <f t="shared" ref="D6:D28" si="1">C6*L6</f>
        <v>269005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25</v>
      </c>
      <c r="D9" s="13">
        <f t="shared" si="1"/>
        <v>17675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297409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44916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252493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612+702+750</f>
        <v>2064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297409</v>
      </c>
      <c r="F29" s="119" t="s">
        <v>55</v>
      </c>
      <c r="G29" s="181"/>
      <c r="H29" s="141">
        <f>H15-H16-H17-H18-H19-H20-H22-H23-H24+H26+H27</f>
        <v>250429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63">
        <f>F34*G34</f>
        <v>103000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63">
        <f>F35*G35</f>
        <v>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58">
        <v>64639.5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58">
        <v>78155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249774.5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-654.5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44916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topLeftCell="A19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135</v>
      </c>
      <c r="D6" s="13">
        <f t="shared" ref="D6:D28" si="1">C6*L6</f>
        <v>99495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27</v>
      </c>
      <c r="D9" s="13">
        <f t="shared" si="1"/>
        <v>19089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128632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19241.25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109390.75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104" t="s">
        <v>172</v>
      </c>
      <c r="G26" s="65">
        <v>7681</v>
      </c>
      <c r="H26" s="158">
        <v>45650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2</v>
      </c>
      <c r="D28" s="48">
        <f t="shared" si="1"/>
        <v>1570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128632</v>
      </c>
      <c r="F29" s="119" t="s">
        <v>55</v>
      </c>
      <c r="G29" s="181"/>
      <c r="H29" s="141">
        <f>H15-H16-H17-H18-H19-H20-H22-H23-H24+H26+H27+H28</f>
        <v>155040.75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144</v>
      </c>
      <c r="H34" s="163">
        <f t="shared" ref="H34:H39" si="2"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11</v>
      </c>
      <c r="H35" s="163">
        <f t="shared" si="2"/>
        <v>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255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/>
      <c r="H44" s="158">
        <v>4994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154999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-41.75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19241.25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233</v>
      </c>
      <c r="D6" s="13">
        <f t="shared" ref="D6:D28" si="1">C6*L6</f>
        <v>171721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24</v>
      </c>
      <c r="D9" s="13">
        <f t="shared" si="1"/>
        <v>16968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2+1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204048.33333333334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31084.5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172963.83333333334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600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204048.33333333334</v>
      </c>
      <c r="F29" s="119" t="s">
        <v>55</v>
      </c>
      <c r="G29" s="181"/>
      <c r="H29" s="141">
        <f>H15-H16-H17-H18-H19-H20-H22-H23-H24+H26+H27</f>
        <v>172363.83333333334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157</v>
      </c>
      <c r="H34" s="163">
        <f>F34*G34</f>
        <v>157000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31</v>
      </c>
      <c r="H35" s="163">
        <f t="shared" ref="H35:H39" si="2">F35*G35</f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259</v>
      </c>
      <c r="D37" s="12">
        <f>C37*111</f>
        <v>28749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91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173202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32</v>
      </c>
      <c r="D50" s="12">
        <f>C50*1.5</f>
        <v>48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838.16666666665697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31084.5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45999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386</v>
      </c>
      <c r="D6" s="13">
        <f t="shared" ref="D6:D28" si="1">C6*L6</f>
        <v>284482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113</v>
      </c>
      <c r="D9" s="13">
        <f t="shared" si="1"/>
        <v>79891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392314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44706.75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4</v>
      </c>
      <c r="D15" s="31">
        <f t="shared" si="1"/>
        <v>2480</v>
      </c>
      <c r="F15" s="210" t="s">
        <v>40</v>
      </c>
      <c r="G15" s="211"/>
      <c r="H15" s="212">
        <f>H13-H14</f>
        <v>347607.25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2712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7850</v>
      </c>
      <c r="F28" s="93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392314</v>
      </c>
      <c r="F29" s="119" t="s">
        <v>55</v>
      </c>
      <c r="G29" s="181"/>
      <c r="H29" s="141">
        <f>H15-H16-H17-H18-H19-H20-H22-H23-H24+H26+H27</f>
        <v>344895.25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10</v>
      </c>
      <c r="H35" s="163">
        <f>F35*G35</f>
        <v>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37" t="s">
        <v>150</v>
      </c>
      <c r="G44" s="76" t="s">
        <v>173</v>
      </c>
      <c r="H44" s="158">
        <v>303690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345605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709.75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44706.75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270</v>
      </c>
      <c r="D6" s="13">
        <f t="shared" ref="D6:D28" si="1">C6*L6</f>
        <v>198990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15554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1+1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224255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9</v>
      </c>
      <c r="D14" s="31">
        <f t="shared" si="1"/>
        <v>99</v>
      </c>
      <c r="F14" s="205" t="s">
        <v>39</v>
      </c>
      <c r="G14" s="206"/>
      <c r="H14" s="207">
        <f>D54</f>
        <v>33251.25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191003.75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</v>
      </c>
      <c r="D28" s="48">
        <f t="shared" si="1"/>
        <v>785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224255</v>
      </c>
      <c r="F29" s="119" t="s">
        <v>55</v>
      </c>
      <c r="G29" s="181"/>
      <c r="H29" s="141">
        <f>H15-H16-H17-H18-H19-H20-H22-H23-H24+H26+H27+H28</f>
        <v>191003.75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 t="shared" si="2"/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275</v>
      </c>
      <c r="D37" s="12">
        <f>C37*111</f>
        <v>30525</v>
      </c>
      <c r="F37" s="12">
        <v>100</v>
      </c>
      <c r="G37" s="39">
        <v>33</v>
      </c>
      <c r="H37" s="163">
        <f t="shared" si="2"/>
        <v>3300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33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21364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190747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-256.75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33251.25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332</v>
      </c>
      <c r="D6" s="13">
        <f t="shared" ref="D6:D28" si="1">C6*L6</f>
        <v>244684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2121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4860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261815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38712.75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223102.25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1854</f>
        <v>1854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261815</v>
      </c>
      <c r="F29" s="119" t="s">
        <v>55</v>
      </c>
      <c r="G29" s="181"/>
      <c r="H29" s="141">
        <f>H15-H16-H17-H18-H19-H20-H22-H23-H24+H26+H27</f>
        <v>221248.25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21</v>
      </c>
      <c r="H34" s="163">
        <f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338</v>
      </c>
      <c r="D37" s="12">
        <f>C37*111</f>
        <v>37518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174</v>
      </c>
      <c r="H44" s="158">
        <v>199178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</v>
      </c>
      <c r="D46" s="12">
        <f>C46*1.5</f>
        <v>4.5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220226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25</v>
      </c>
      <c r="D50" s="12">
        <f>C50*1.5</f>
        <v>37.5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-1022.25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38712.75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377</v>
      </c>
      <c r="D6" s="13">
        <f t="shared" ref="D6:D28" si="1">C6*L6</f>
        <v>277849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25</v>
      </c>
      <c r="D7" s="13">
        <f t="shared" si="1"/>
        <v>18125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118</v>
      </c>
      <c r="D9" s="13">
        <f t="shared" si="1"/>
        <v>83426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16</v>
      </c>
      <c r="D13" s="48">
        <f t="shared" si="1"/>
        <v>4912</v>
      </c>
      <c r="F13" s="247" t="s">
        <v>36</v>
      </c>
      <c r="G13" s="211"/>
      <c r="H13" s="202">
        <f>D29</f>
        <v>388760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49567.5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339192.5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342+363*6</f>
        <v>2520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1570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388760</v>
      </c>
      <c r="F29" s="119" t="s">
        <v>55</v>
      </c>
      <c r="G29" s="181"/>
      <c r="H29" s="141">
        <f>H15-H16-H17-H18-H19-H20-H22-H23-H24+H26+H27</f>
        <v>336672.5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72</v>
      </c>
      <c r="H34" s="163">
        <f>F34*G34</f>
        <v>72000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92</v>
      </c>
      <c r="H35" s="163">
        <f>F35*G35</f>
        <v>46000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422</v>
      </c>
      <c r="D37" s="12">
        <f>C37*111</f>
        <v>46842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76" t="s">
        <v>175</v>
      </c>
      <c r="H44" s="158">
        <v>217387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13</v>
      </c>
      <c r="D49" s="12">
        <f>C49*42</f>
        <v>546</v>
      </c>
      <c r="F49" s="139" t="s">
        <v>86</v>
      </c>
      <c r="G49" s="141">
        <f>H34+H35+H36+H37+H38+H39+H40+H41+G42+H44+H45+H46</f>
        <v>336246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-426.5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49567.5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422</v>
      </c>
      <c r="D6" s="13">
        <f t="shared" ref="D6:D28" si="1">C6*L6</f>
        <v>311014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110</v>
      </c>
      <c r="D9" s="13">
        <f t="shared" si="1"/>
        <v>77770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</f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92064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311633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260">
        <f>1194+1836</f>
        <v>3030</v>
      </c>
      <c r="I16" s="261"/>
      <c r="J16" s="2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60">
        <v>100</v>
      </c>
      <c r="I19" s="261"/>
      <c r="J19" s="2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403697</v>
      </c>
      <c r="F29" s="119" t="s">
        <v>55</v>
      </c>
      <c r="G29" s="181"/>
      <c r="H29" s="141">
        <f>H15-H16-H17-H18-H19-H20-H22-H23-H24+H26+H27</f>
        <v>308503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142</v>
      </c>
      <c r="H34" s="163">
        <f>F34*G34</f>
        <v>142000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95</v>
      </c>
      <c r="H35" s="163">
        <f t="shared" ref="H35:H39" si="2">F35*G35</f>
        <v>47500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787</v>
      </c>
      <c r="D37" s="12">
        <f>C37*111</f>
        <v>87357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79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62" t="s">
        <v>176</v>
      </c>
      <c r="H44" s="158">
        <v>119491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309270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767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92064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174</v>
      </c>
      <c r="D6" s="13">
        <f t="shared" ref="D6:D28" si="1">C6*L6</f>
        <v>128238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65</v>
      </c>
      <c r="D9" s="13">
        <f t="shared" si="1"/>
        <v>45955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179358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23</v>
      </c>
      <c r="D14" s="31">
        <f t="shared" si="1"/>
        <v>253</v>
      </c>
      <c r="F14" s="205" t="s">
        <v>39</v>
      </c>
      <c r="G14" s="206"/>
      <c r="H14" s="207">
        <f>D54</f>
        <v>18797.25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160560.75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456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179358</v>
      </c>
      <c r="F29" s="119" t="s">
        <v>55</v>
      </c>
      <c r="G29" s="181"/>
      <c r="H29" s="141">
        <f>H15-H16-H17-H18-H19-H20-H22-H23-H24+H26+H27</f>
        <v>160104.75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59</v>
      </c>
      <c r="H34" s="163">
        <f>F34*G34</f>
        <v>59000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105</v>
      </c>
      <c r="H35" s="163">
        <f>F35*G35</f>
        <v>52500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134</v>
      </c>
      <c r="D37" s="12">
        <f>C37*111</f>
        <v>14874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76" t="s">
        <v>177</v>
      </c>
      <c r="H44" s="158">
        <v>48140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11</v>
      </c>
      <c r="D46" s="12">
        <f>C46*1.5</f>
        <v>16.5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11</v>
      </c>
      <c r="D48" s="12">
        <f>C48*78</f>
        <v>858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160191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86.25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18797.25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739</v>
      </c>
      <c r="D6" s="13">
        <f t="shared" ref="D6:D28" si="1">C6*L6</f>
        <v>544643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17</v>
      </c>
      <c r="D7" s="13">
        <f t="shared" si="1"/>
        <v>12325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</v>
      </c>
      <c r="D9" s="13">
        <f t="shared" si="1"/>
        <v>7777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32</v>
      </c>
      <c r="D13" s="48">
        <f t="shared" si="1"/>
        <v>9824</v>
      </c>
      <c r="F13" s="247" t="s">
        <v>36</v>
      </c>
      <c r="G13" s="211"/>
      <c r="H13" s="202">
        <f>D29</f>
        <v>586934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80880.75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506053.25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3960</f>
        <v>3960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7830</v>
      </c>
      <c r="H22" s="188">
        <v>70727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 t="s">
        <v>147</v>
      </c>
      <c r="G26" s="65">
        <v>7541</v>
      </c>
      <c r="H26" s="158">
        <v>79918</v>
      </c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144</v>
      </c>
      <c r="C27" s="84">
        <v>12</v>
      </c>
      <c r="D27" s="44">
        <f t="shared" si="1"/>
        <v>444</v>
      </c>
      <c r="F27" s="71"/>
      <c r="G27" s="103"/>
      <c r="H27" s="250"/>
      <c r="I27" s="251"/>
      <c r="J27" s="251"/>
      <c r="L27" s="7">
        <f>852/24+1.5</f>
        <v>37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7850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586934</v>
      </c>
      <c r="F29" s="119" t="s">
        <v>55</v>
      </c>
      <c r="G29" s="181"/>
      <c r="H29" s="141">
        <f>H15-H16-H17-H18-H19-H20-H22-H23-H24+H26+H27+H28</f>
        <v>511284.25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208</v>
      </c>
      <c r="H34" s="163">
        <f t="shared" ref="H34:H39" si="2">F34*G34</f>
        <v>208000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443</v>
      </c>
      <c r="H35" s="163">
        <f t="shared" si="2"/>
        <v>221500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692</v>
      </c>
      <c r="D37" s="12">
        <f>C37*111</f>
        <v>76812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23</v>
      </c>
      <c r="D42" s="12">
        <f>C42*2.25</f>
        <v>51.75</v>
      </c>
      <c r="F42" s="39" t="s">
        <v>79</v>
      </c>
      <c r="G42" s="163">
        <v>38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163</v>
      </c>
      <c r="G44" s="105" t="s">
        <v>158</v>
      </c>
      <c r="H44" s="158">
        <v>79918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14</v>
      </c>
      <c r="D46" s="12">
        <f>C46*1.5</f>
        <v>21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509906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-1378.25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80880.75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249</v>
      </c>
      <c r="D6" s="13">
        <f t="shared" ref="D6:D28" si="1">C6*L6</f>
        <v>183513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198369.83333333334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16148.25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182221.58333333334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1296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198369.83333333334</v>
      </c>
      <c r="F29" s="119" t="s">
        <v>55</v>
      </c>
      <c r="G29" s="181"/>
      <c r="H29" s="141">
        <f>H15-H16-H17-H18-H19-H20-H22-H23-H24+H26+H27</f>
        <v>180925.58333333334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121</v>
      </c>
      <c r="H34" s="163">
        <f>F34*G34</f>
        <v>121000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120</v>
      </c>
      <c r="H35" s="163">
        <f t="shared" ref="H35:H39" si="2">F35*G35</f>
        <v>60000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137</v>
      </c>
      <c r="D37" s="12">
        <f>C37*111</f>
        <v>15207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31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181221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295.41666666665697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16148.25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326</v>
      </c>
      <c r="D6" s="13">
        <f t="shared" ref="D6:D28" si="1">C6*L6</f>
        <v>240262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336863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18</v>
      </c>
      <c r="D14" s="31">
        <f t="shared" si="1"/>
        <v>198</v>
      </c>
      <c r="F14" s="205" t="s">
        <v>39</v>
      </c>
      <c r="G14" s="206"/>
      <c r="H14" s="207">
        <f>D54</f>
        <v>51703.5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285159.5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330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98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336863</v>
      </c>
      <c r="F29" s="119" t="s">
        <v>55</v>
      </c>
      <c r="G29" s="181"/>
      <c r="H29" s="141">
        <f>H15-H16-H17-H18-H19-H20-H22-H23-H24+H26+H27</f>
        <v>284829.5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425</v>
      </c>
      <c r="D37" s="12">
        <f>C37*111</f>
        <v>47175</v>
      </c>
      <c r="F37" s="12">
        <v>100</v>
      </c>
      <c r="G37" s="39">
        <v>60</v>
      </c>
      <c r="H37" s="163">
        <f t="shared" si="2"/>
        <v>6000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163">
        <f t="shared" si="2"/>
        <v>750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234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152</v>
      </c>
      <c r="G44" s="76" t="s">
        <v>178</v>
      </c>
      <c r="H44" s="158">
        <v>118360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15</v>
      </c>
      <c r="D46" s="12">
        <f>C46*1.5</f>
        <v>22.5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27</v>
      </c>
      <c r="D48" s="12">
        <f>C48*78</f>
        <v>2106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285364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22</v>
      </c>
      <c r="D50" s="12">
        <f>C50*1.5</f>
        <v>33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534.5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51703.5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748</v>
      </c>
      <c r="D6" s="13">
        <f t="shared" ref="D6:D28" si="1">C6*L6</f>
        <v>551276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98</v>
      </c>
      <c r="D7" s="13">
        <f t="shared" si="1"/>
        <v>71050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</v>
      </c>
      <c r="D8" s="13">
        <f t="shared" si="1"/>
        <v>5165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221</v>
      </c>
      <c r="D9" s="13">
        <f t="shared" si="1"/>
        <v>156247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10</v>
      </c>
      <c r="D12" s="48">
        <f t="shared" si="1"/>
        <v>9520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15</v>
      </c>
      <c r="D13" s="48">
        <f t="shared" si="1"/>
        <v>4605</v>
      </c>
      <c r="F13" s="247" t="s">
        <v>36</v>
      </c>
      <c r="G13" s="211"/>
      <c r="H13" s="202">
        <f>D29</f>
        <v>813038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109269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703769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6150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3925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813038</v>
      </c>
      <c r="F29" s="119" t="s">
        <v>55</v>
      </c>
      <c r="G29" s="181"/>
      <c r="H29" s="141">
        <f>H15-H16-H17-H18-H19-H20-H22-H23-H24+H26+H27+H28</f>
        <v>697619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32</v>
      </c>
      <c r="H34" s="163">
        <f t="shared" ref="H34:H39" si="2">F34*G34</f>
        <v>32000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18</v>
      </c>
      <c r="H35" s="163">
        <f t="shared" si="2"/>
        <v>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977</v>
      </c>
      <c r="D37" s="12">
        <f>C37*111</f>
        <v>108447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35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150</v>
      </c>
      <c r="G44" s="62" t="s">
        <v>180</v>
      </c>
      <c r="H44" s="158">
        <v>656614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697949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109269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216</v>
      </c>
      <c r="D6" s="13">
        <f t="shared" ref="D6:D28" si="1">C6*L6</f>
        <v>159192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189712.66666666666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13</v>
      </c>
      <c r="D14" s="31">
        <f t="shared" si="1"/>
        <v>143</v>
      </c>
      <c r="F14" s="205" t="s">
        <v>39</v>
      </c>
      <c r="G14" s="206"/>
      <c r="H14" s="207">
        <f>D54</f>
        <v>26337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163375.66666666666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189712.66666666666</v>
      </c>
      <c r="F29" s="119" t="s">
        <v>55</v>
      </c>
      <c r="G29" s="181"/>
      <c r="H29" s="141">
        <f>H15-H16-H17-H18-H19-H20-H22-H23-H24+H26+H27</f>
        <v>162703.66666666666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161</v>
      </c>
      <c r="H34" s="163">
        <f>F34*G34</f>
        <v>161000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241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161391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-1312.666666666657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26337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632</v>
      </c>
      <c r="D6" s="13">
        <f t="shared" ref="D6:D28" si="1">C6*L6</f>
        <v>465784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33</v>
      </c>
      <c r="D7" s="13">
        <f t="shared" si="1"/>
        <v>23925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115</v>
      </c>
      <c r="D9" s="13">
        <f t="shared" si="1"/>
        <v>81305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9720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26</v>
      </c>
      <c r="D13" s="48">
        <f t="shared" si="1"/>
        <v>7982</v>
      </c>
      <c r="F13" s="247" t="s">
        <v>36</v>
      </c>
      <c r="G13" s="211"/>
      <c r="H13" s="202">
        <f>D29</f>
        <v>599243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81460.5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517782.5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1332+450+2448+330</f>
        <v>4560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599243</v>
      </c>
      <c r="F29" s="119" t="s">
        <v>55</v>
      </c>
      <c r="G29" s="181"/>
      <c r="H29" s="141">
        <f>H15-H16-H17-H18-H19-H20-H22-H23-H24+H26+H27</f>
        <v>513222.5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f>201+43</f>
        <v>244</v>
      </c>
      <c r="H34" s="163">
        <f>F34*G34</f>
        <v>244000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f>2+12</f>
        <v>14</v>
      </c>
      <c r="H35" s="163">
        <f>F35*G35</f>
        <v>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700</v>
      </c>
      <c r="D37" s="12">
        <f>C37*111</f>
        <v>77700</v>
      </c>
      <c r="F37" s="12">
        <v>100</v>
      </c>
      <c r="G37" s="39">
        <f>6+10</f>
        <v>16</v>
      </c>
      <c r="H37" s="163">
        <f t="shared" si="2"/>
        <v>1600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6</v>
      </c>
      <c r="H39" s="163">
        <f t="shared" si="2"/>
        <v>120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163</v>
      </c>
      <c r="G44" s="76" t="s">
        <v>181</v>
      </c>
      <c r="H44" s="158">
        <v>258855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19</v>
      </c>
      <c r="D48" s="12">
        <f>C48*78</f>
        <v>1482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512133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-1089.5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81460.5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406</v>
      </c>
      <c r="D6" s="13">
        <f t="shared" ref="D6:D28" si="1">C6*L6</f>
        <v>299222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50</v>
      </c>
      <c r="D8" s="13">
        <f t="shared" si="1"/>
        <v>51650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4</v>
      </c>
      <c r="D11" s="13">
        <f t="shared" si="1"/>
        <v>4500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6</v>
      </c>
      <c r="D12" s="48">
        <f t="shared" si="1"/>
        <v>5712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9</v>
      </c>
      <c r="D13" s="48">
        <f t="shared" si="1"/>
        <v>2763</v>
      </c>
      <c r="F13" s="247" t="s">
        <v>36</v>
      </c>
      <c r="G13" s="211"/>
      <c r="H13" s="202">
        <f>D29</f>
        <v>385716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15</v>
      </c>
      <c r="D14" s="31">
        <f t="shared" si="1"/>
        <v>165</v>
      </c>
      <c r="F14" s="205" t="s">
        <v>39</v>
      </c>
      <c r="G14" s="206"/>
      <c r="H14" s="207">
        <f>D54</f>
        <v>56205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329511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3</v>
      </c>
      <c r="D28" s="48">
        <f t="shared" si="1"/>
        <v>2355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385716</v>
      </c>
      <c r="F29" s="119" t="s">
        <v>55</v>
      </c>
      <c r="G29" s="181"/>
      <c r="H29" s="141">
        <f>H15-H16-H17-H18-H19-H20-H22-H23-H24+H26+H27+H28</f>
        <v>329511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171</v>
      </c>
      <c r="H34" s="163">
        <f t="shared" ref="H34:H39" si="2">F34*G34</f>
        <v>171000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si="2"/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67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182</v>
      </c>
      <c r="H44" s="158">
        <v>72654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167</v>
      </c>
      <c r="G45" s="62" t="s">
        <v>183</v>
      </c>
      <c r="H45" s="158">
        <v>33219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 t="s">
        <v>145</v>
      </c>
      <c r="G46" s="62"/>
      <c r="H46" s="158">
        <v>13353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329493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28</v>
      </c>
      <c r="D50" s="12">
        <f>C50*1.5</f>
        <v>42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56205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864</v>
      </c>
      <c r="D6" s="13">
        <f t="shared" ref="D6:D28" si="1">C6*L6</f>
        <v>636768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5800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158</v>
      </c>
      <c r="D9" s="13">
        <f t="shared" si="1"/>
        <v>111706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32</v>
      </c>
      <c r="D13" s="48">
        <f t="shared" si="1"/>
        <v>9824</v>
      </c>
      <c r="F13" s="247" t="s">
        <v>36</v>
      </c>
      <c r="G13" s="211"/>
      <c r="H13" s="202">
        <f>D29</f>
        <v>768503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19</v>
      </c>
      <c r="D14" s="31">
        <f t="shared" si="1"/>
        <v>209</v>
      </c>
      <c r="F14" s="205" t="s">
        <v>39</v>
      </c>
      <c r="G14" s="206"/>
      <c r="H14" s="207">
        <f>D54</f>
        <v>41563.5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726939.5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3888+1200</f>
        <v>5088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f>2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768503</v>
      </c>
      <c r="F29" s="119" t="s">
        <v>55</v>
      </c>
      <c r="G29" s="181"/>
      <c r="H29" s="141">
        <f>H15-H16-H17-H18-H19-H20-H22-H23-H24+H26+H27</f>
        <v>721851.5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110</v>
      </c>
      <c r="H34" s="163">
        <f>F34*G34</f>
        <v>110000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12</v>
      </c>
      <c r="H35" s="163">
        <f t="shared" ref="H35:H39" si="2">F35*G35</f>
        <v>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320</v>
      </c>
      <c r="D37" s="12">
        <f>C37*111</f>
        <v>35520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51</v>
      </c>
      <c r="D38" s="12">
        <f>C38*84</f>
        <v>4284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184</v>
      </c>
      <c r="H44" s="158">
        <v>404660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150</v>
      </c>
      <c r="G45" s="62" t="s">
        <v>185</v>
      </c>
      <c r="H45" s="158">
        <v>128884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649944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-71907.5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41563.5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287</v>
      </c>
      <c r="D6" s="13">
        <f t="shared" ref="D6:D28" si="1">C6*L6</f>
        <v>211519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15</v>
      </c>
      <c r="D9" s="13">
        <f t="shared" si="1"/>
        <v>10605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30</v>
      </c>
      <c r="D10" s="13">
        <f t="shared" si="1"/>
        <v>29160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9+2</f>
        <v>11</v>
      </c>
      <c r="D12" s="48">
        <f t="shared" si="1"/>
        <v>10472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269956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39363.75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230592.25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312+1212</f>
        <v>1524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269956</v>
      </c>
      <c r="F29" s="119" t="s">
        <v>55</v>
      </c>
      <c r="G29" s="181"/>
      <c r="H29" s="141">
        <f>H15-H16-H17-H18-H19-H20-H22-H23-H24+H26+H27</f>
        <v>229068.25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7</v>
      </c>
      <c r="D34" s="30">
        <f>C34*120</f>
        <v>840</v>
      </c>
      <c r="F34" s="12">
        <v>1000</v>
      </c>
      <c r="G34" s="74">
        <v>46</v>
      </c>
      <c r="H34" s="163">
        <f>F34*G34</f>
        <v>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63">
        <f>F35*G35</f>
        <v>26500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9</v>
      </c>
      <c r="D36" s="12">
        <f>C36*1.5</f>
        <v>13.5</v>
      </c>
      <c r="F36" s="12">
        <v>200</v>
      </c>
      <c r="G36" s="37">
        <v>2</v>
      </c>
      <c r="H36" s="163">
        <f t="shared" ref="H36:H39" si="2">F36*G36</f>
        <v>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105</v>
      </c>
      <c r="H37" s="163">
        <f t="shared" si="2"/>
        <v>10500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110</v>
      </c>
      <c r="H38" s="163">
        <f t="shared" si="2"/>
        <v>5500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</v>
      </c>
      <c r="D42" s="12">
        <f>C42*2.25</f>
        <v>2.25</v>
      </c>
      <c r="F42" s="39" t="s">
        <v>79</v>
      </c>
      <c r="G42" s="163">
        <v>2088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12</v>
      </c>
      <c r="D44" s="12">
        <f>C44*120</f>
        <v>1440</v>
      </c>
      <c r="F44" s="37" t="s">
        <v>163</v>
      </c>
      <c r="G44" s="76" t="s">
        <v>186</v>
      </c>
      <c r="H44" s="158">
        <v>134102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225110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-3958.25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39363.75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702</v>
      </c>
      <c r="D6" s="13">
        <f t="shared" ref="D6:D28" si="1">C6*L6</f>
        <v>517374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3</v>
      </c>
      <c r="D7" s="13">
        <f t="shared" si="1"/>
        <v>2175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7070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27</v>
      </c>
      <c r="D13" s="48">
        <f t="shared" si="1"/>
        <v>8289</v>
      </c>
      <c r="F13" s="247" t="s">
        <v>36</v>
      </c>
      <c r="G13" s="211"/>
      <c r="H13" s="202">
        <f>D29</f>
        <v>535040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108862.5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426177.5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3882</f>
        <v>3882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3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535040</v>
      </c>
      <c r="F29" s="119" t="s">
        <v>55</v>
      </c>
      <c r="G29" s="181"/>
      <c r="H29" s="141">
        <f>H15-H16-H17-H18-H19-H20-H22-H23-H24+H26+H27+H28</f>
        <v>422295.5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33</v>
      </c>
      <c r="H34" s="163">
        <f t="shared" ref="H34:H39" si="2">F34*G34</f>
        <v>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15</v>
      </c>
      <c r="H35" s="163">
        <f t="shared" si="2"/>
        <v>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924</v>
      </c>
      <c r="D37" s="12">
        <f>C37*111</f>
        <v>102564</v>
      </c>
      <c r="F37" s="12">
        <v>100</v>
      </c>
      <c r="G37" s="39">
        <v>20</v>
      </c>
      <c r="H37" s="163">
        <f t="shared" si="2"/>
        <v>2000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20</v>
      </c>
      <c r="D42" s="12">
        <f>C42*2.25</f>
        <v>45</v>
      </c>
      <c r="F42" s="39" t="s">
        <v>79</v>
      </c>
      <c r="G42" s="163">
        <v>39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187</v>
      </c>
      <c r="H44" s="158">
        <v>379729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422288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-7.5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108862.5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602</v>
      </c>
      <c r="D6" s="13">
        <f t="shared" ref="D6:D28" si="1">C6*L6</f>
        <v>443674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7975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534847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8</v>
      </c>
      <c r="D14" s="31">
        <f t="shared" si="1"/>
        <v>88</v>
      </c>
      <c r="F14" s="205" t="s">
        <v>39</v>
      </c>
      <c r="G14" s="206"/>
      <c r="H14" s="207">
        <f>D54</f>
        <v>105343.5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429503.5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3948</f>
        <v>3948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534847</v>
      </c>
      <c r="F29" s="119" t="s">
        <v>55</v>
      </c>
      <c r="G29" s="181"/>
      <c r="H29" s="141">
        <f>H15-H16-H17-H18-H19-H20-H22-H23-H24+H26+H27</f>
        <v>425555.5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907</v>
      </c>
      <c r="D37" s="12">
        <f>C37*111</f>
        <v>100677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14</v>
      </c>
      <c r="D38" s="12">
        <f>C38*84</f>
        <v>1176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48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188</v>
      </c>
      <c r="H44" s="158">
        <v>457977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30</v>
      </c>
      <c r="D49" s="12">
        <f>C49*42</f>
        <v>1260</v>
      </c>
      <c r="F49" s="139" t="s">
        <v>86</v>
      </c>
      <c r="G49" s="141">
        <f>H34+H35+H36+H37+H38+H39+H40+H41+G42+H44+H45+H46</f>
        <v>497325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189</v>
      </c>
      <c r="G51" s="149">
        <f>G49-H29</f>
        <v>71769.5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105343.5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451</v>
      </c>
      <c r="D6" s="13">
        <f t="shared" ref="D6:D28" si="1">C6*L6</f>
        <v>332387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2066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117</v>
      </c>
      <c r="D9" s="13">
        <f t="shared" si="1"/>
        <v>82719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421370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16</v>
      </c>
      <c r="D14" s="31">
        <f t="shared" si="1"/>
        <v>176</v>
      </c>
      <c r="F14" s="205" t="s">
        <v>39</v>
      </c>
      <c r="G14" s="206"/>
      <c r="H14" s="207">
        <f>D54</f>
        <v>61642.5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359727.5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2604+600</f>
        <v>3204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421370</v>
      </c>
      <c r="F29" s="119" t="s">
        <v>55</v>
      </c>
      <c r="G29" s="181"/>
      <c r="H29" s="141">
        <f>H15-H16-H17-H18-H19-H20-H22-H23-H24+H26+H27</f>
        <v>356523.5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63">
        <f>F35*G35</f>
        <v>40000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540</v>
      </c>
      <c r="D37" s="12">
        <f>C37*111</f>
        <v>59940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73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3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190</v>
      </c>
      <c r="H44" s="158">
        <v>283328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16</v>
      </c>
      <c r="D48" s="12">
        <f>C48*78</f>
        <v>1248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359901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3377.5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61642.5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D0D82-F1B5-43AA-9E9E-DB984341959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DE8B0-EC51-489D-BD2E-CDD4A1CD7C1D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295</v>
      </c>
      <c r="D6" s="13">
        <f t="shared" ref="D6:D28" si="1">C6*L6</f>
        <v>217415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6</v>
      </c>
      <c r="D7" s="13">
        <f t="shared" si="1"/>
        <v>4350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31</v>
      </c>
      <c r="D9" s="13">
        <f t="shared" si="1"/>
        <v>21917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250143.5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34743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215400.5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179</v>
      </c>
      <c r="C25" s="84">
        <v>12</v>
      </c>
      <c r="D25" s="48">
        <f t="shared" si="1"/>
        <v>520.5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1005/24+1.5</f>
        <v>43.375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143</v>
      </c>
      <c r="C26" s="84">
        <v>12</v>
      </c>
      <c r="D26" s="48">
        <f t="shared" si="1"/>
        <v>434</v>
      </c>
      <c r="F26" s="75"/>
      <c r="G26" s="65"/>
      <c r="H26" s="158"/>
      <c r="I26" s="158"/>
      <c r="J26" s="15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250143.5</v>
      </c>
      <c r="F29" s="119" t="s">
        <v>55</v>
      </c>
      <c r="G29" s="181"/>
      <c r="H29" s="141">
        <f>H15-H16-H17-H18-H19-H20-H22-H23-H24+H26+H27+H28</f>
        <v>215400.5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63">
        <f t="shared" ref="H34:H39" si="2">F34*G34</f>
        <v>195000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292</v>
      </c>
      <c r="D37" s="12">
        <f>C37*111</f>
        <v>32412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</v>
      </c>
      <c r="D38" s="12">
        <f>C38*84</f>
        <v>588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2608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58">
        <v>1485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215663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262.5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34743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09BCD-5D02-4C90-A466-405BA1557C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384</v>
      </c>
      <c r="D6" s="13">
        <f t="shared" ref="D6:D28" si="1">C6*L6</f>
        <v>283008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</v>
      </c>
      <c r="D7" s="13">
        <f t="shared" si="1"/>
        <v>1450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64</v>
      </c>
      <c r="D9" s="13">
        <f t="shared" si="1"/>
        <v>45248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952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14</v>
      </c>
      <c r="D13" s="48">
        <f t="shared" si="1"/>
        <v>4298</v>
      </c>
      <c r="F13" s="247" t="s">
        <v>36</v>
      </c>
      <c r="G13" s="211"/>
      <c r="H13" s="202">
        <f>D29</f>
        <v>343740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42231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301509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654+1212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111" t="s">
        <v>191</v>
      </c>
      <c r="C20" s="10">
        <f>1+1+2</f>
        <v>4</v>
      </c>
      <c r="D20" s="13">
        <f t="shared" si="1"/>
        <v>4700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343740</v>
      </c>
      <c r="F29" s="119" t="s">
        <v>55</v>
      </c>
      <c r="G29" s="181"/>
      <c r="H29" s="141">
        <f>H15-H16-H17-H18-H19-H20-H22-H23-H24+H26+H27</f>
        <v>299593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147</v>
      </c>
      <c r="H34" s="163">
        <f>F34*G34</f>
        <v>147000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29</v>
      </c>
      <c r="H35" s="163">
        <f t="shared" ref="H35:H39" si="2">F35*G35</f>
        <v>14500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3</v>
      </c>
      <c r="H38" s="163">
        <f t="shared" si="2"/>
        <v>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26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193</v>
      </c>
      <c r="H44" s="158">
        <v>128917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/>
      <c r="H45" s="158">
        <v>8906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12</v>
      </c>
      <c r="D46" s="12">
        <f>C46*1.5</f>
        <v>18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299799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206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42231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C138-D8DE-42AD-998A-48A2089851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590</v>
      </c>
      <c r="D6" s="13">
        <f t="shared" ref="D6:D28" si="1">C6*L6</f>
        <v>434830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101</v>
      </c>
      <c r="D9" s="13">
        <f t="shared" si="1"/>
        <v>71407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1944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22</v>
      </c>
      <c r="D12" s="48">
        <f t="shared" si="1"/>
        <v>20944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553085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75510.75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477574.25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2946+1140</f>
        <v>4086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553085</v>
      </c>
      <c r="F29" s="119" t="s">
        <v>55</v>
      </c>
      <c r="G29" s="181"/>
      <c r="H29" s="141">
        <f>H15-H16-H17-H18-H19-H20-H22-H23-H24+H26+H27</f>
        <v>473488.25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629</v>
      </c>
      <c r="D37" s="12">
        <f>C37*111</f>
        <v>69819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8</v>
      </c>
      <c r="D44" s="12">
        <f>C44*120</f>
        <v>960</v>
      </c>
      <c r="F44" s="37" t="s">
        <v>163</v>
      </c>
      <c r="G44" s="76" t="s">
        <v>192</v>
      </c>
      <c r="H44" s="158">
        <v>305278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6</v>
      </c>
      <c r="D46" s="12">
        <f>C46*1.5</f>
        <v>9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24</v>
      </c>
      <c r="D48" s="12">
        <f>C48*78</f>
        <v>1872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4</v>
      </c>
      <c r="D49" s="12">
        <f>C49*42</f>
        <v>168</v>
      </c>
      <c r="F49" s="139" t="s">
        <v>86</v>
      </c>
      <c r="G49" s="141">
        <f>H34+H35+H36+H37+H38+H39+H40+H41+G42+H44+H45+H46</f>
        <v>472253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-1235.25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75510.75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0CC24-DAC2-49E4-9080-A4A43D6C765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EAED3-E71E-4B6B-AFC2-618AD06D83C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152559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7</v>
      </c>
      <c r="D7" s="13">
        <f t="shared" si="1"/>
        <v>5075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2</v>
      </c>
      <c r="D8" s="13">
        <f t="shared" si="1"/>
        <v>2066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18</v>
      </c>
      <c r="D9" s="13">
        <f t="shared" si="1"/>
        <v>12726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f>3</f>
        <v>3</v>
      </c>
      <c r="D10" s="13">
        <f t="shared" si="1"/>
        <v>2916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3</f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7</v>
      </c>
      <c r="D13" s="48">
        <f t="shared" si="1"/>
        <v>2149</v>
      </c>
      <c r="F13" s="247" t="s">
        <v>36</v>
      </c>
      <c r="G13" s="211"/>
      <c r="H13" s="202">
        <f>D29</f>
        <v>185225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27961.5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157263.5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147</v>
      </c>
      <c r="G22" s="73">
        <v>7972</v>
      </c>
      <c r="H22" s="188">
        <v>76509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 t="s">
        <v>147</v>
      </c>
      <c r="G26" s="65">
        <v>7830</v>
      </c>
      <c r="H26" s="158">
        <v>70727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185225</v>
      </c>
      <c r="F29" s="119" t="s">
        <v>55</v>
      </c>
      <c r="G29" s="181"/>
      <c r="H29" s="141">
        <f>H15-H16-H17-H18-H19-H20-H22-H23-H24+H26+H27+H28</f>
        <v>151481.5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si="2"/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15</v>
      </c>
      <c r="D36" s="12">
        <f>C36*1.5</f>
        <v>22.5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219</v>
      </c>
      <c r="D37" s="12">
        <f>C37*111</f>
        <v>24309</v>
      </c>
      <c r="F37" s="12">
        <v>100</v>
      </c>
      <c r="G37" s="39">
        <v>24</v>
      </c>
      <c r="H37" s="163">
        <f t="shared" si="2"/>
        <v>2400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262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7</v>
      </c>
      <c r="D44" s="12">
        <f>C44*120</f>
        <v>840</v>
      </c>
      <c r="F44" s="95" t="s">
        <v>200</v>
      </c>
      <c r="G44" s="105" t="s">
        <v>158</v>
      </c>
      <c r="H44" s="158">
        <v>70727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152059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577.5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27961.5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7A2E9-1AAA-4ABC-857C-59DD86C165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543</v>
      </c>
      <c r="D6" s="13">
        <f t="shared" ref="D6:D28" si="1">C6*L6</f>
        <v>400191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108</v>
      </c>
      <c r="D9" s="13">
        <f t="shared" si="1"/>
        <v>76356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27</v>
      </c>
      <c r="D13" s="48">
        <f t="shared" si="1"/>
        <v>8289</v>
      </c>
      <c r="F13" s="247" t="s">
        <v>36</v>
      </c>
      <c r="G13" s="211"/>
      <c r="H13" s="202">
        <f>D29</f>
        <v>487238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50415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436823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3894</f>
        <v>3894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10"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487238</v>
      </c>
      <c r="F29" s="119" t="s">
        <v>55</v>
      </c>
      <c r="G29" s="181"/>
      <c r="H29" s="141">
        <f>H15-H16-H17-H18-H19-H20-H22-H23-H24+H26+H27</f>
        <v>432929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321</v>
      </c>
      <c r="H34" s="163">
        <f>F34*G34</f>
        <v>321000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224</v>
      </c>
      <c r="H35" s="163">
        <f t="shared" ref="H35:H39" si="2">F35*G35</f>
        <v>112000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433014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85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50415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22382-9A1B-48E8-961E-0EE1FFDEE1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1024</v>
      </c>
      <c r="D6" s="13">
        <f t="shared" ref="D6:D28" si="1">C6*L6</f>
        <v>754688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90</v>
      </c>
      <c r="D7" s="13">
        <f t="shared" si="1"/>
        <v>65250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135</v>
      </c>
      <c r="D9" s="13">
        <f t="shared" si="1"/>
        <v>95445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19440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</v>
      </c>
      <c r="D11" s="13">
        <f t="shared" si="1"/>
        <v>1125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2+5</f>
        <v>7</v>
      </c>
      <c r="D12" s="48">
        <f t="shared" si="1"/>
        <v>6664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1023540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73122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f>5+10</f>
        <v>15</v>
      </c>
      <c r="D15" s="31">
        <f t="shared" si="1"/>
        <v>9300</v>
      </c>
      <c r="F15" s="210" t="s">
        <v>40</v>
      </c>
      <c r="G15" s="211"/>
      <c r="H15" s="212">
        <f>H13-H14</f>
        <v>950418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196</v>
      </c>
      <c r="C18" s="10">
        <f>2+1</f>
        <v>3</v>
      </c>
      <c r="D18" s="48">
        <f t="shared" si="1"/>
        <v>4701</v>
      </c>
      <c r="F18" s="56"/>
      <c r="G18" s="66" t="s">
        <v>47</v>
      </c>
      <c r="H18" s="183"/>
      <c r="I18" s="183"/>
      <c r="J18" s="183"/>
      <c r="L18" s="6">
        <f>1447+120</f>
        <v>1567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13" t="s">
        <v>197</v>
      </c>
      <c r="C19" s="10">
        <f>1+2+2</f>
        <v>5</v>
      </c>
      <c r="D19" s="48">
        <f t="shared" si="1"/>
        <v>5510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195</v>
      </c>
      <c r="C20" s="10">
        <v>1</v>
      </c>
      <c r="D20" s="13">
        <f t="shared" si="1"/>
        <v>1728</v>
      </c>
      <c r="F20" s="57"/>
      <c r="G20" s="70" t="s">
        <v>120</v>
      </c>
      <c r="H20" s="172"/>
      <c r="I20" s="172"/>
      <c r="J20" s="172"/>
      <c r="L20" s="6">
        <f>1728</f>
        <v>1728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f>10+6</f>
        <v>16</v>
      </c>
      <c r="D21" s="48">
        <f t="shared" si="1"/>
        <v>10400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2" t="s">
        <v>199</v>
      </c>
      <c r="C23" s="10">
        <f>10+2+10</f>
        <v>22</v>
      </c>
      <c r="D23" s="48">
        <f t="shared" si="1"/>
        <v>25850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198</v>
      </c>
      <c r="C26" s="10">
        <v>1</v>
      </c>
      <c r="D26" s="48">
        <f t="shared" si="1"/>
        <v>1140</v>
      </c>
      <c r="F26" s="64"/>
      <c r="G26" s="59"/>
      <c r="H26" s="193"/>
      <c r="I26" s="194"/>
      <c r="J26" s="195"/>
      <c r="L26" s="7">
        <f>1020+120</f>
        <v>1140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>
        <v>1</v>
      </c>
      <c r="D27" s="44">
        <f t="shared" si="1"/>
        <v>1582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20</v>
      </c>
      <c r="D28" s="48">
        <f t="shared" si="1"/>
        <v>15700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1023540</v>
      </c>
      <c r="F29" s="119" t="s">
        <v>55</v>
      </c>
      <c r="G29" s="181"/>
      <c r="H29" s="141">
        <f>H15-H16-H17-H18-H19-H20-H22-H23-H24+H26+H27</f>
        <v>950418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115</v>
      </c>
      <c r="H34" s="163">
        <f>F34*G34</f>
        <v>115000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4</v>
      </c>
      <c r="D35" s="30">
        <f>C35*84</f>
        <v>336</v>
      </c>
      <c r="F35" s="58">
        <v>500</v>
      </c>
      <c r="G35" s="41">
        <v>26</v>
      </c>
      <c r="H35" s="163">
        <f>F35*G35</f>
        <v>13000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22</v>
      </c>
      <c r="H36" s="163">
        <f t="shared" ref="H36:H39" si="2">F36*G36</f>
        <v>4400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292</v>
      </c>
      <c r="D38" s="12">
        <f>C38*84</f>
        <v>24528</v>
      </c>
      <c r="F38" s="30">
        <v>50</v>
      </c>
      <c r="G38" s="39">
        <v>41</v>
      </c>
      <c r="H38" s="163">
        <f t="shared" si="2"/>
        <v>2050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33</v>
      </c>
      <c r="D41" s="12">
        <f>C41*84</f>
        <v>2772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150</v>
      </c>
      <c r="G44" s="76" t="s">
        <v>201</v>
      </c>
      <c r="H44" s="158">
        <v>786488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6" t="s">
        <v>202</v>
      </c>
      <c r="G45" s="76"/>
      <c r="H45" s="158">
        <v>17430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947652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-2766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73122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7DEF-F839-4D11-8BEF-F3238BE2011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9D960-F6DE-4522-9B80-C5DDADB362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648</v>
      </c>
      <c r="D6" s="13">
        <f t="shared" ref="D6:D28" si="1">C6*L6</f>
        <v>477576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26</v>
      </c>
      <c r="D13" s="48">
        <f t="shared" si="1"/>
        <v>7982</v>
      </c>
      <c r="F13" s="247" t="s">
        <v>36</v>
      </c>
      <c r="G13" s="211"/>
      <c r="H13" s="202">
        <f>D29</f>
        <v>485558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73656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411902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1944+1944</f>
        <v>3888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485558</v>
      </c>
      <c r="F29" s="119" t="s">
        <v>55</v>
      </c>
      <c r="G29" s="181"/>
      <c r="H29" s="141">
        <f>H15-H16-H17-H18-H19-H20-H22-H23-H24+H26+H27+H28</f>
        <v>408014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364</v>
      </c>
      <c r="H34" s="163">
        <f t="shared" ref="H34:H39" si="2">F34*G34</f>
        <v>364000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63">
        <f t="shared" si="2"/>
        <v>43500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648</v>
      </c>
      <c r="D37" s="12">
        <f>C37*111</f>
        <v>71928</v>
      </c>
      <c r="F37" s="12">
        <v>100</v>
      </c>
      <c r="G37" s="39">
        <v>4</v>
      </c>
      <c r="H37" s="163">
        <f t="shared" si="2"/>
        <v>400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46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23</v>
      </c>
      <c r="D49" s="12">
        <f>C49*42</f>
        <v>966</v>
      </c>
      <c r="F49" s="139" t="s">
        <v>86</v>
      </c>
      <c r="G49" s="141">
        <f>H34+H35+H36+H37+H38+H39+H40+H41+G42+H44+H45+H46</f>
        <v>407996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-18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73656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8EC4A-1E22-4757-B935-DB894FA504B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294</v>
      </c>
      <c r="D6" s="13">
        <f t="shared" ref="D6:D28" si="1">C6*L6</f>
        <v>216678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23331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4+1</f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11</v>
      </c>
      <c r="D13" s="48">
        <f t="shared" si="1"/>
        <v>3377</v>
      </c>
      <c r="F13" s="247" t="s">
        <v>36</v>
      </c>
      <c r="G13" s="211"/>
      <c r="H13" s="202">
        <f>D29</f>
        <v>264540.33333333331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</v>
      </c>
      <c r="D14" s="31">
        <f t="shared" si="1"/>
        <v>11</v>
      </c>
      <c r="F14" s="205" t="s">
        <v>39</v>
      </c>
      <c r="G14" s="206"/>
      <c r="H14" s="207">
        <f>D54</f>
        <v>31185.75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233354.58333333331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1206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194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84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84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84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84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84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84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264540.33333333331</v>
      </c>
      <c r="F29" s="119" t="s">
        <v>55</v>
      </c>
      <c r="G29" s="181"/>
      <c r="H29" s="141">
        <f>H15-H16-H17-H18-H19-H20-H22-H23-H24+H26+H27</f>
        <v>232148.58333333331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86</v>
      </c>
      <c r="H34" s="163">
        <f>F34*G34</f>
        <v>86000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16</v>
      </c>
      <c r="H35" s="163">
        <f t="shared" ref="H35:H39" si="2">F35*G35</f>
        <v>8000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10</v>
      </c>
      <c r="D39" s="31">
        <f>C39*4.5</f>
        <v>45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72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150</v>
      </c>
      <c r="G44" s="62" t="s">
        <v>203</v>
      </c>
      <c r="H44" s="158">
        <v>137850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28</v>
      </c>
      <c r="D46" s="12">
        <f>C46*1.5</f>
        <v>42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232262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26</v>
      </c>
      <c r="D50" s="12">
        <f>C50*1.5</f>
        <v>39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113.41666666668607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31185.75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B71EF-C451-404E-884F-C34BE1CC48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46009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396</v>
      </c>
      <c r="D6" s="13">
        <f t="shared" ref="D6:D28" si="1">C6*L6</f>
        <v>291852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77</v>
      </c>
      <c r="D9" s="13">
        <f t="shared" si="1"/>
        <v>54439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14+3</f>
        <v>17</v>
      </c>
      <c r="D12" s="48">
        <f t="shared" si="1"/>
        <v>16184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374852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21</v>
      </c>
      <c r="D14" s="31">
        <f t="shared" si="1"/>
        <v>231</v>
      </c>
      <c r="F14" s="205" t="s">
        <v>39</v>
      </c>
      <c r="G14" s="206"/>
      <c r="H14" s="207">
        <f>D54</f>
        <v>47979.75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326872.25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1212</f>
        <v>1212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>
        <v>50</v>
      </c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374852</v>
      </c>
      <c r="F29" s="119" t="s">
        <v>55</v>
      </c>
      <c r="G29" s="181"/>
      <c r="H29" s="141">
        <f>H15-H16-H17-H18-H19-H20-H22-H23-H24+H26+H27</f>
        <v>325610.25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63">
        <f>F34*G34</f>
        <v>133000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63">
        <f>F35*G35</f>
        <v>54000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32</v>
      </c>
      <c r="H36" s="163">
        <f t="shared" ref="H36:H39" si="2">F36*G36</f>
        <v>6400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19</v>
      </c>
      <c r="D38" s="12">
        <f>C38*84</f>
        <v>1596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45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204</v>
      </c>
      <c r="H44" s="158">
        <v>130454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327099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1488.75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47979.75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A1AA8-83AE-483F-BABF-5166BF65F4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B3E69-E336-4B3E-A67F-0B6A8E8E4D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1135</v>
      </c>
      <c r="D6" s="13">
        <f t="shared" ref="D6:D28" si="1">C6*L6</f>
        <v>836495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2900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36</v>
      </c>
      <c r="D9" s="13">
        <f t="shared" si="1"/>
        <v>25452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29160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5</v>
      </c>
      <c r="D12" s="48">
        <f t="shared" si="1"/>
        <v>4760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30</v>
      </c>
      <c r="D13" s="48">
        <f t="shared" si="1"/>
        <v>9210</v>
      </c>
      <c r="F13" s="247" t="s">
        <v>36</v>
      </c>
      <c r="G13" s="211"/>
      <c r="H13" s="202">
        <f>D29</f>
        <v>908109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12</v>
      </c>
      <c r="D14" s="31">
        <f t="shared" si="1"/>
        <v>132</v>
      </c>
      <c r="F14" s="205" t="s">
        <v>39</v>
      </c>
      <c r="G14" s="206"/>
      <c r="H14" s="207">
        <f>D54</f>
        <v>103836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804273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v>5358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 t="s">
        <v>206</v>
      </c>
      <c r="G22" s="73">
        <v>7982</v>
      </c>
      <c r="H22" s="188">
        <v>58360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908109</v>
      </c>
      <c r="F29" s="119" t="s">
        <v>55</v>
      </c>
      <c r="G29" s="181"/>
      <c r="H29" s="141">
        <f>H15-H16-H17-H18-H19-H20-H22-H23-H24+H26+H27+H28</f>
        <v>740555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33</v>
      </c>
      <c r="D34" s="30">
        <f>C34*120</f>
        <v>3960</v>
      </c>
      <c r="F34" s="12">
        <v>1000</v>
      </c>
      <c r="G34" s="40">
        <v>79</v>
      </c>
      <c r="H34" s="163">
        <f t="shared" ref="H34:H39" si="2">F34*G34</f>
        <v>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140</v>
      </c>
      <c r="H35" s="163">
        <f t="shared" si="2"/>
        <v>70000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762</v>
      </c>
      <c r="D37" s="12">
        <f>C37*111</f>
        <v>84582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50</v>
      </c>
      <c r="D38" s="12">
        <f>C38*84</f>
        <v>4200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38</v>
      </c>
      <c r="D40" s="12">
        <f>C40*111</f>
        <v>4218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85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32</v>
      </c>
      <c r="D44" s="12">
        <f>C44*120</f>
        <v>3840</v>
      </c>
      <c r="F44" s="37" t="s">
        <v>150</v>
      </c>
      <c r="G44" s="62" t="s">
        <v>205</v>
      </c>
      <c r="H44" s="158">
        <v>591364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25</v>
      </c>
      <c r="D46" s="12">
        <f>C46*1.5</f>
        <v>37.5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15</v>
      </c>
      <c r="D49" s="12">
        <f>C49*42</f>
        <v>630</v>
      </c>
      <c r="F49" s="139" t="s">
        <v>86</v>
      </c>
      <c r="G49" s="141">
        <f>H34+H35+H36+H37+H38+H39+H40+H41+G42+H44+H45+H46</f>
        <v>740549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-6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103836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9409-0D01-4EEF-94F8-D87BC31EE6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292</v>
      </c>
      <c r="D6" s="13">
        <f t="shared" ref="D6:D28" si="1">C6*L6</f>
        <v>215204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21</v>
      </c>
      <c r="D9" s="13">
        <f t="shared" si="1"/>
        <v>14847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239839.66666666666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34114.5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205725.16666666666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2</v>
      </c>
      <c r="D25" s="48">
        <f t="shared" si="1"/>
        <v>233.66666666666666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239839.66666666666</v>
      </c>
      <c r="F29" s="119" t="s">
        <v>55</v>
      </c>
      <c r="G29" s="181"/>
      <c r="H29" s="141">
        <f>H15-H16-H17-H18-H19-H20-H22-H23-H24+H26+H27</f>
        <v>205725.16666666666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178</v>
      </c>
      <c r="H34" s="163">
        <f>F34*G34</f>
        <v>178000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ref="H35:H39" si="2">F35*G35</f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260</v>
      </c>
      <c r="D37" s="12">
        <f>C37*111</f>
        <v>28860</v>
      </c>
      <c r="F37" s="12">
        <v>100</v>
      </c>
      <c r="G37" s="39">
        <v>8</v>
      </c>
      <c r="H37" s="163">
        <f t="shared" si="2"/>
        <v>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45</v>
      </c>
      <c r="D38" s="12">
        <f>C38*84</f>
        <v>3780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14</v>
      </c>
      <c r="D42" s="12">
        <f>C42*2.25</f>
        <v>31.5</v>
      </c>
      <c r="F42" s="39" t="s">
        <v>79</v>
      </c>
      <c r="G42" s="163">
        <v>68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203918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-1807.166666666657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34114.5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AE038-526B-4EE3-A973-CD08A0E1A3D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392</v>
      </c>
      <c r="D6" s="13">
        <f t="shared" ref="D6:D28" si="1">C6*L6</f>
        <v>288904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1033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</v>
      </c>
      <c r="D9" s="13">
        <f t="shared" si="1"/>
        <v>9898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972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2</v>
      </c>
      <c r="D12" s="48">
        <f t="shared" si="1"/>
        <v>1904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316798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48750.75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268047.25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1362+762</f>
        <v>2124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316798</v>
      </c>
      <c r="F29" s="119" t="s">
        <v>55</v>
      </c>
      <c r="G29" s="181"/>
      <c r="H29" s="141">
        <f>H15-H16-H17-H18-H19-H20-H22-H23-H24+H26+H27</f>
        <v>265923.25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89</v>
      </c>
      <c r="H34" s="163">
        <f>F34*G34</f>
        <v>89000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62</v>
      </c>
      <c r="H35" s="163">
        <f>F35*G35</f>
        <v>31000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17</v>
      </c>
      <c r="H37" s="163">
        <f t="shared" si="2"/>
        <v>1700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7</v>
      </c>
      <c r="D42" s="12">
        <f>C42*2.25</f>
        <v>15.75</v>
      </c>
      <c r="F42" s="39" t="s">
        <v>79</v>
      </c>
      <c r="G42" s="163">
        <v>84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150</v>
      </c>
      <c r="G44" s="76" t="s">
        <v>207</v>
      </c>
      <c r="H44" s="158">
        <v>143468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265502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-421.25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48750.75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0740E-7CB9-4E1F-9B65-1629A07AD48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4802-86E2-48D2-A04C-1EC20312E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612</v>
      </c>
      <c r="D6" s="13">
        <f t="shared" ref="D6:D28" si="1">C6*L6</f>
        <v>451044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54</v>
      </c>
      <c r="D8" s="13">
        <f t="shared" si="1"/>
        <v>55782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5</v>
      </c>
      <c r="D9" s="13">
        <f t="shared" si="1"/>
        <v>3535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2</v>
      </c>
      <c r="D10" s="13">
        <f t="shared" si="1"/>
        <v>1944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7</v>
      </c>
      <c r="D11" s="13">
        <f t="shared" si="1"/>
        <v>7875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16</v>
      </c>
      <c r="D13" s="48">
        <f t="shared" si="1"/>
        <v>4912</v>
      </c>
      <c r="F13" s="247" t="s">
        <v>36</v>
      </c>
      <c r="G13" s="211"/>
      <c r="H13" s="202">
        <f>D29</f>
        <v>532253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8</v>
      </c>
      <c r="D14" s="31">
        <f t="shared" si="1"/>
        <v>88</v>
      </c>
      <c r="F14" s="205" t="s">
        <v>39</v>
      </c>
      <c r="G14" s="206"/>
      <c r="H14" s="207">
        <f>D54</f>
        <v>40435.5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2</v>
      </c>
      <c r="D15" s="31">
        <f t="shared" si="1"/>
        <v>1240</v>
      </c>
      <c r="F15" s="210" t="s">
        <v>40</v>
      </c>
      <c r="G15" s="211"/>
      <c r="H15" s="212">
        <f>H13-H14</f>
        <v>491817.5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1944</f>
        <v>1944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532253</v>
      </c>
      <c r="F29" s="119" t="s">
        <v>55</v>
      </c>
      <c r="G29" s="181"/>
      <c r="H29" s="141">
        <f>H15-H16-H17-H18-H19-H20-H22-H23-H24+H26+H27+H28</f>
        <v>489873.5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316</v>
      </c>
      <c r="H34" s="163">
        <f t="shared" ref="H34:H39" si="2">F34*G34</f>
        <v>316000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84</v>
      </c>
      <c r="H35" s="163">
        <f t="shared" si="2"/>
        <v>42000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263</v>
      </c>
      <c r="D37" s="12">
        <f>C37*111</f>
        <v>29193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16</v>
      </c>
      <c r="D38" s="12">
        <f>C38*84</f>
        <v>1344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8</v>
      </c>
      <c r="D42" s="12">
        <f>C42*2.25</f>
        <v>18</v>
      </c>
      <c r="F42" s="39" t="s">
        <v>79</v>
      </c>
      <c r="G42" s="163">
        <v>18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65</v>
      </c>
      <c r="D44" s="12">
        <f>C44*120</f>
        <v>7800</v>
      </c>
      <c r="F44" s="37" t="s">
        <v>167</v>
      </c>
      <c r="G44" s="62" t="s">
        <v>208</v>
      </c>
      <c r="H44" s="158">
        <v>83151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 t="s">
        <v>145</v>
      </c>
      <c r="G45" s="62" t="s">
        <v>209</v>
      </c>
      <c r="H45" s="158">
        <v>8853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48</v>
      </c>
      <c r="D46" s="12">
        <f>C46*1.5</f>
        <v>72</v>
      </c>
      <c r="F46" s="37" t="s">
        <v>145</v>
      </c>
      <c r="G46" s="62" t="s">
        <v>209</v>
      </c>
      <c r="H46" s="158">
        <v>40057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490179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54</v>
      </c>
      <c r="D50" s="12">
        <f>C50*1.5</f>
        <v>81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305.5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40435.5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6D22F-9F81-4A42-BDB6-1D3B9C8870C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428</v>
      </c>
      <c r="D6" s="13">
        <f t="shared" ref="D6:D28" si="1">C6*L6</f>
        <v>315436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3625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20</v>
      </c>
      <c r="D9" s="13">
        <f t="shared" si="1"/>
        <v>14140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6</v>
      </c>
      <c r="D10" s="13">
        <f t="shared" si="1"/>
        <v>5832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3+1</f>
        <v>4</v>
      </c>
      <c r="D12" s="48">
        <f t="shared" si="1"/>
        <v>3808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349942.33333333331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3</v>
      </c>
      <c r="D14" s="31">
        <f t="shared" si="1"/>
        <v>33</v>
      </c>
      <c r="F14" s="205" t="s">
        <v>39</v>
      </c>
      <c r="G14" s="206"/>
      <c r="H14" s="207">
        <f>D54</f>
        <v>43980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305962.33333333331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660+1206</f>
        <v>1866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>
        <v>4</v>
      </c>
      <c r="D25" s="48">
        <f t="shared" si="1"/>
        <v>467.33333333333331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785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349942.33333333331</v>
      </c>
      <c r="F29" s="119" t="s">
        <v>55</v>
      </c>
      <c r="G29" s="181"/>
      <c r="H29" s="141">
        <f>H15-H16-H17-H18-H19-H20-H22-H23-H24+H26+H27</f>
        <v>304096.33333333331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5</v>
      </c>
      <c r="D36" s="12">
        <f>C36*1.5</f>
        <v>7.5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35</v>
      </c>
      <c r="H37" s="163">
        <f t="shared" si="2"/>
        <v>3500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73</v>
      </c>
      <c r="D38" s="12">
        <f>C38*84</f>
        <v>6132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7</v>
      </c>
      <c r="D39" s="31">
        <f>C39*4.5</f>
        <v>31.5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150</v>
      </c>
      <c r="G44" s="62" t="s">
        <v>210</v>
      </c>
      <c r="H44" s="158">
        <v>135063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5</v>
      </c>
      <c r="D45" s="12">
        <f>C45*84</f>
        <v>420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29</v>
      </c>
      <c r="D46" s="12">
        <f>C46*1.5</f>
        <v>43.5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71</v>
      </c>
      <c r="D49" s="12">
        <f>C49*42</f>
        <v>2982</v>
      </c>
      <c r="F49" s="139" t="s">
        <v>86</v>
      </c>
      <c r="G49" s="141">
        <f>H34+H35+H36+H37+H38+H39+H40+H41+G42+H44+H45+H46</f>
        <v>308063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12</v>
      </c>
      <c r="D50" s="12">
        <f>C50*1.5</f>
        <v>18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149">
        <f>G49-H29</f>
        <v>3966.6666666666861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43980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8415-F03B-41A4-AECC-57C3972522B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598</v>
      </c>
      <c r="D6" s="13">
        <f t="shared" ref="D6:D28" si="1">C6*L6</f>
        <v>440726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92</v>
      </c>
      <c r="D9" s="13">
        <f t="shared" si="1"/>
        <v>65044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2916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21+3</f>
        <v>24</v>
      </c>
      <c r="D12" s="48">
        <f t="shared" si="1"/>
        <v>22848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22</v>
      </c>
      <c r="D13" s="48">
        <f t="shared" si="1"/>
        <v>6754</v>
      </c>
      <c r="F13" s="247" t="s">
        <v>36</v>
      </c>
      <c r="G13" s="211"/>
      <c r="H13" s="202">
        <f>D29</f>
        <v>561499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61628.25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499870.75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600+780+780+456</f>
        <v>2616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5</v>
      </c>
      <c r="D21" s="48">
        <f t="shared" si="1"/>
        <v>3250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561499</v>
      </c>
      <c r="F29" s="119" t="s">
        <v>55</v>
      </c>
      <c r="G29" s="181"/>
      <c r="H29" s="141">
        <f>H15-H16-H17-H18-H19-H20-H22-H23-H24+H26+H27</f>
        <v>497254.75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179</v>
      </c>
      <c r="H34" s="163">
        <f>F34*G34</f>
        <v>179000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55</v>
      </c>
      <c r="H35" s="163">
        <f>F35*G35</f>
        <v>27500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498</v>
      </c>
      <c r="D37" s="12">
        <f>C37*111</f>
        <v>55278</v>
      </c>
      <c r="F37" s="12">
        <v>100</v>
      </c>
      <c r="G37" s="39">
        <v>13</v>
      </c>
      <c r="H37" s="163">
        <f t="shared" si="2"/>
        <v>1300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24</v>
      </c>
      <c r="D38" s="12">
        <f>C38*84</f>
        <v>2016</v>
      </c>
      <c r="F38" s="30">
        <v>50</v>
      </c>
      <c r="G38" s="39">
        <v>23</v>
      </c>
      <c r="H38" s="163">
        <f t="shared" si="2"/>
        <v>1150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12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15</v>
      </c>
      <c r="D44" s="12">
        <f>C44*120</f>
        <v>1800</v>
      </c>
      <c r="F44" s="37" t="s">
        <v>163</v>
      </c>
      <c r="G44" s="76" t="s">
        <v>212</v>
      </c>
      <c r="H44" s="158">
        <v>91751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163</v>
      </c>
      <c r="G45" s="76" t="s">
        <v>213</v>
      </c>
      <c r="H45" s="158">
        <v>85809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95" t="s">
        <v>211</v>
      </c>
      <c r="G46" s="62" t="s">
        <v>214</v>
      </c>
      <c r="H46" s="158">
        <v>111132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497854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599.25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61628.25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51DD5-5D1D-4F33-B62F-BB439BADD74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D3A0F-7C36-4CF5-BCE9-7146BB00354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633</v>
      </c>
      <c r="D6" s="13">
        <f t="shared" ref="D6:D28" si="1">C6*L6</f>
        <v>466521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52</v>
      </c>
      <c r="D7" s="13">
        <f t="shared" si="1"/>
        <v>37700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10</v>
      </c>
      <c r="D8" s="13">
        <f t="shared" si="1"/>
        <v>10330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105</v>
      </c>
      <c r="D9" s="13">
        <f t="shared" si="1"/>
        <v>74235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50+5+2+1</f>
        <v>58</v>
      </c>
      <c r="D12" s="48">
        <f t="shared" si="1"/>
        <v>55216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667882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36479.25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5</v>
      </c>
      <c r="D15" s="31">
        <f t="shared" si="1"/>
        <v>3100</v>
      </c>
      <c r="F15" s="210" t="s">
        <v>40</v>
      </c>
      <c r="G15" s="211"/>
      <c r="H15" s="212">
        <f>H13-H14</f>
        <v>631402.75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>
        <f>1+1</f>
        <v>2</v>
      </c>
      <c r="D20" s="13">
        <f t="shared" si="1"/>
        <v>2350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111" t="s">
        <v>216</v>
      </c>
      <c r="C22" s="84">
        <v>1</v>
      </c>
      <c r="D22" s="48">
        <f t="shared" si="1"/>
        <v>1582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>
        <v>1</v>
      </c>
      <c r="D23" s="48">
        <f t="shared" si="1"/>
        <v>1667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144</v>
      </c>
      <c r="C25" s="84">
        <v>12</v>
      </c>
      <c r="D25" s="48">
        <f t="shared" si="1"/>
        <v>444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215</v>
      </c>
      <c r="C26" s="84">
        <v>1</v>
      </c>
      <c r="D26" s="48">
        <f t="shared" si="1"/>
        <v>1567</v>
      </c>
      <c r="F26" s="75" t="s">
        <v>147</v>
      </c>
      <c r="G26" s="65">
        <v>7972</v>
      </c>
      <c r="H26" s="158">
        <v>76509</v>
      </c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667882</v>
      </c>
      <c r="F29" s="119" t="s">
        <v>55</v>
      </c>
      <c r="G29" s="181"/>
      <c r="H29" s="141">
        <f>H15-H16-H17-H18-H19-H20-H22-H23-H24+H26+H27+H28</f>
        <v>707911.75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21</v>
      </c>
      <c r="H34" s="163">
        <f t="shared" ref="H34:H39" si="2">F34*G34</f>
        <v>21000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9</v>
      </c>
      <c r="H35" s="163">
        <f t="shared" si="2"/>
        <v>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82</v>
      </c>
      <c r="D37" s="12">
        <f>C37*111</f>
        <v>9102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223</v>
      </c>
      <c r="D38" s="12">
        <f>C38*84</f>
        <v>18732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25</v>
      </c>
      <c r="D41" s="12">
        <f>C41*84</f>
        <v>2100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71</v>
      </c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163</v>
      </c>
      <c r="G44" s="105" t="s">
        <v>158</v>
      </c>
      <c r="H44" s="158">
        <v>76509</v>
      </c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>
        <v>65</v>
      </c>
      <c r="D45" s="12">
        <f>C45*84</f>
        <v>5460</v>
      </c>
      <c r="F45" s="37" t="s">
        <v>150</v>
      </c>
      <c r="G45" s="62" t="s">
        <v>217</v>
      </c>
      <c r="H45" s="158">
        <v>603808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 t="s">
        <v>145</v>
      </c>
      <c r="G46" s="62"/>
      <c r="H46" s="158">
        <v>2842</v>
      </c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708880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968.25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36479.25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5AD73-F908-49DC-83AD-B22F7F8B4D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424</v>
      </c>
      <c r="D6" s="13">
        <f t="shared" ref="D6:D28" si="1">C6*L6</f>
        <v>312488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8700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2066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76</v>
      </c>
      <c r="D9" s="13">
        <f t="shared" si="1"/>
        <v>53732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8</v>
      </c>
      <c r="D10" s="13">
        <f t="shared" si="1"/>
        <v>7776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2250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7+1+2</f>
        <v>10</v>
      </c>
      <c r="D12" s="48">
        <f t="shared" si="1"/>
        <v>9520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411154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58881.75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352272.25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1572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>
        <v>1</v>
      </c>
      <c r="D20" s="13">
        <f t="shared" si="1"/>
        <v>1175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 t="s">
        <v>147</v>
      </c>
      <c r="G22" s="73">
        <v>8042</v>
      </c>
      <c r="H22" s="188">
        <v>83274</v>
      </c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12</v>
      </c>
      <c r="D28" s="48">
        <f t="shared" si="1"/>
        <v>9420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411154</v>
      </c>
      <c r="F29" s="119" t="s">
        <v>55</v>
      </c>
      <c r="G29" s="181"/>
      <c r="H29" s="141">
        <f>H15-H16-H17-H18-H19-H20-H22-H23-H24+H26+H27</f>
        <v>267426.25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81</v>
      </c>
      <c r="H34" s="163">
        <f>F34*G34</f>
        <v>81000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31</v>
      </c>
      <c r="H35" s="163">
        <f t="shared" ref="H35:H39" si="2">F35*G35</f>
        <v>15500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13</v>
      </c>
      <c r="D36" s="12">
        <f>C36*1.5</f>
        <v>19.5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28</v>
      </c>
      <c r="H37" s="163">
        <f t="shared" si="2"/>
        <v>2800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20</v>
      </c>
      <c r="D38" s="12">
        <f>C38*84</f>
        <v>1680</v>
      </c>
      <c r="F38" s="30">
        <v>50</v>
      </c>
      <c r="G38" s="39">
        <v>11</v>
      </c>
      <c r="H38" s="163">
        <f t="shared" si="2"/>
        <v>550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18</v>
      </c>
      <c r="D41" s="12">
        <f>C41*84</f>
        <v>1512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13</v>
      </c>
      <c r="D42" s="12">
        <f>C42*2.25</f>
        <v>29.25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10</v>
      </c>
      <c r="D44" s="12">
        <f>C44*120</f>
        <v>1200</v>
      </c>
      <c r="F44" s="37" t="s">
        <v>150</v>
      </c>
      <c r="G44" s="62" t="s">
        <v>218</v>
      </c>
      <c r="H44" s="158">
        <v>166408</v>
      </c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10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12</v>
      </c>
      <c r="D49" s="12">
        <f>C49*42</f>
        <v>504</v>
      </c>
      <c r="F49" s="139" t="s">
        <v>86</v>
      </c>
      <c r="G49" s="141">
        <f>H34+H35+H36+H37+H38+H39+H40+H41+G42+H44+H45+H46</f>
        <v>266458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17</v>
      </c>
      <c r="D50" s="12">
        <f>C50*1.5</f>
        <v>25.5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-968.25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58881.75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F5F9-427C-4D55-BE37-6EA785E932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6" t="s">
        <v>2</v>
      </c>
      <c r="Q1" s="10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295</v>
      </c>
      <c r="D6" s="13">
        <f t="shared" ref="D6:D28" si="1">C6*L6</f>
        <v>217415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32</v>
      </c>
      <c r="D9" s="13">
        <f t="shared" si="1"/>
        <v>22624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2856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245790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39</v>
      </c>
      <c r="G14" s="206"/>
      <c r="H14" s="207">
        <f>D54</f>
        <v>36779.25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209010.75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780+600</f>
        <v>1380</v>
      </c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245790</v>
      </c>
      <c r="F29" s="119" t="s">
        <v>55</v>
      </c>
      <c r="G29" s="181"/>
      <c r="H29" s="141">
        <f>H15-H16-H17-H18-H19-H20-H22-H23-H24+H26+H27</f>
        <v>207630.75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105</v>
      </c>
      <c r="H34" s="163">
        <f>F34*G34</f>
        <v>105000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198</v>
      </c>
      <c r="H35" s="163">
        <f>F35*G35</f>
        <v>99000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>
        <v>307</v>
      </c>
      <c r="D37" s="12">
        <f>C37*111</f>
        <v>34077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14</v>
      </c>
      <c r="D48" s="12">
        <f>C48*78</f>
        <v>1092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207700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148</v>
      </c>
      <c r="G51" s="149">
        <f>G49-H29</f>
        <v>69.25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36779.25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247F-83BB-409C-BF07-983B108AFE1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4AE46-81DA-46E0-A109-C03055F3BC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18645-0150-47F7-B40F-3FC340856F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B5F6C-85C7-4F63-AC3A-BD653A02AC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17406-8C32-4120-9BFE-726F5A3C0D8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3940F-5A10-463A-80EE-9BBA7E80F4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4430-1AD6-455E-AD80-E2C1386CC2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F12A-8FFD-4F6A-9850-5B4483B272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AACA1-FE89-4A58-BA63-BF889FDE283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498E-F227-4D4A-A3D1-5BE8ADE35F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5896A-B7FF-4BB4-A46D-F0B5BC5888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804CE-970E-46CC-9CF1-31CE5E3B40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C7C17-8198-4B10-B47B-6EEC47028F6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63098-ADE1-4A96-85BE-32B0464DCA2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0A5AF-67D4-44CB-8772-D0B97DAC42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CF1D-E280-4043-B2D7-C70613111B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46018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35B5B-37A0-468E-B6CF-C4530706143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2BDBC-5255-4DA7-92FF-10A98EC14F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0037F-6A64-4ACD-B9AF-591BFAF87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2958E-3A8B-4E5A-AEE6-E95143AC1F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4FF82-091C-415A-B79E-E7B3026E64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4D2D3-84DB-4920-B32F-2149DD857C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97733-3243-44A4-B387-FEB3C0D3B7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B271-7FF0-4279-84CF-CDA1F8945B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46021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865DA-0A81-4BAA-A64D-352ABC64877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5AFFA-929A-4554-8B18-36753DB51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129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112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130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138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127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121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137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4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131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78B2-CE47-48E3-8841-6FAEE2CD99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114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123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5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132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CBB3A-FED1-4366-B738-3A065F0651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6" t="s">
        <v>2</v>
      </c>
      <c r="Q1" s="11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46022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119</v>
      </c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135</v>
      </c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4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140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 No Trip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(16)</vt:lpstr>
      <vt:lpstr>16,12 R1</vt:lpstr>
      <vt:lpstr>16,12 R2</vt:lpstr>
      <vt:lpstr>16,12 R3</vt:lpstr>
      <vt:lpstr>(17)</vt:lpstr>
      <vt:lpstr>17,12 R1</vt:lpstr>
      <vt:lpstr>17,12 R2</vt:lpstr>
      <vt:lpstr>17,12 R3</vt:lpstr>
      <vt:lpstr>(18)</vt:lpstr>
      <vt:lpstr>18,12 R1</vt:lpstr>
      <vt:lpstr>18,12 R2</vt:lpstr>
      <vt:lpstr>18,12 R3</vt:lpstr>
      <vt:lpstr>(19)</vt:lpstr>
      <vt:lpstr>19,12 R1</vt:lpstr>
      <vt:lpstr>19,12 R2</vt:lpstr>
      <vt:lpstr>19,12 R3</vt:lpstr>
      <vt:lpstr>(20)</vt:lpstr>
      <vt:lpstr>20,12 R1</vt:lpstr>
      <vt:lpstr>20,12 R2</vt:lpstr>
      <vt:lpstr>20,12 R3</vt:lpstr>
      <vt:lpstr>(22)</vt:lpstr>
      <vt:lpstr>22,12 R1</vt:lpstr>
      <vt:lpstr>22,12 R2</vt:lpstr>
      <vt:lpstr>22,12 R3</vt:lpstr>
      <vt:lpstr>(23)</vt:lpstr>
      <vt:lpstr>23,12 R1</vt:lpstr>
      <vt:lpstr>23,12 R2</vt:lpstr>
      <vt:lpstr>23,12 R3</vt:lpstr>
      <vt:lpstr>(24)</vt:lpstr>
      <vt:lpstr>24,12 R1</vt:lpstr>
      <vt:lpstr>24,12 R2</vt:lpstr>
      <vt:lpstr>24,12 R3</vt:lpstr>
      <vt:lpstr>(25)</vt:lpstr>
      <vt:lpstr>25,12 R1</vt:lpstr>
      <vt:lpstr>25,12 R2</vt:lpstr>
      <vt:lpstr>25,12 R3</vt:lpstr>
      <vt:lpstr>(26)</vt:lpstr>
      <vt:lpstr>26,12 R1</vt:lpstr>
      <vt:lpstr>26,12 R2</vt:lpstr>
      <vt:lpstr>26,12 R3</vt:lpstr>
      <vt:lpstr>(27)</vt:lpstr>
      <vt:lpstr>27,12 R1</vt:lpstr>
      <vt:lpstr>27,12 R2</vt:lpstr>
      <vt:lpstr>27,12 R3</vt:lpstr>
      <vt:lpstr>(29)</vt:lpstr>
      <vt:lpstr>29,12 R1</vt:lpstr>
      <vt:lpstr>29,12 R2</vt:lpstr>
      <vt:lpstr>29,12 R3</vt:lpstr>
      <vt:lpstr>(30)</vt:lpstr>
      <vt:lpstr>30,12 R1</vt:lpstr>
      <vt:lpstr>30,12 R2</vt:lpstr>
      <vt:lpstr>30,12 R3</vt:lpstr>
      <vt:lpstr>(31)</vt:lpstr>
      <vt:lpstr>31,12 R1</vt:lpstr>
      <vt:lpstr>31,12 R2</vt:lpstr>
      <vt:lpstr>31,12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 No Trip'!Print_Area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  <vt:lpstr>'16,12 R1'!Print_Area</vt:lpstr>
      <vt:lpstr>'16,12 R2'!Print_Area</vt:lpstr>
      <vt:lpstr>'16,12 R3'!Print_Area</vt:lpstr>
      <vt:lpstr>'17,12 R1'!Print_Area</vt:lpstr>
      <vt:lpstr>'17,12 R2'!Print_Area</vt:lpstr>
      <vt:lpstr>'17,12 R3'!Print_Area</vt:lpstr>
      <vt:lpstr>'18,12 R1'!Print_Area</vt:lpstr>
      <vt:lpstr>'18,12 R2'!Print_Area</vt:lpstr>
      <vt:lpstr>'18,12 R3'!Print_Area</vt:lpstr>
      <vt:lpstr>'19,12 R1'!Print_Area</vt:lpstr>
      <vt:lpstr>'19,12 R2'!Print_Area</vt:lpstr>
      <vt:lpstr>'19,12 R3'!Print_Area</vt:lpstr>
      <vt:lpstr>'20,12 R1'!Print_Area</vt:lpstr>
      <vt:lpstr>'20,12 R2'!Print_Area</vt:lpstr>
      <vt:lpstr>'20,12 R3'!Print_Area</vt:lpstr>
      <vt:lpstr>'22,12 R1'!Print_Area</vt:lpstr>
      <vt:lpstr>'22,12 R2'!Print_Area</vt:lpstr>
      <vt:lpstr>'22,12 R3'!Print_Area</vt:lpstr>
      <vt:lpstr>'23,12 R1'!Print_Area</vt:lpstr>
      <vt:lpstr>'23,12 R2'!Print_Area</vt:lpstr>
      <vt:lpstr>'23,12 R3'!Print_Area</vt:lpstr>
      <vt:lpstr>'24,12 R1'!Print_Area</vt:lpstr>
      <vt:lpstr>'24,12 R2'!Print_Area</vt:lpstr>
      <vt:lpstr>'24,12 R3'!Print_Area</vt:lpstr>
      <vt:lpstr>'25,12 R1'!Print_Area</vt:lpstr>
      <vt:lpstr>'25,12 R2'!Print_Area</vt:lpstr>
      <vt:lpstr>'25,12 R3'!Print_Area</vt:lpstr>
      <vt:lpstr>'26,12 R1'!Print_Area</vt:lpstr>
      <vt:lpstr>'26,12 R2'!Print_Area</vt:lpstr>
      <vt:lpstr>'26,12 R3'!Print_Area</vt:lpstr>
      <vt:lpstr>'27,12 R1'!Print_Area</vt:lpstr>
      <vt:lpstr>'27,12 R2'!Print_Area</vt:lpstr>
      <vt:lpstr>'27,12 R3'!Print_Area</vt:lpstr>
      <vt:lpstr>'29,12 R1'!Print_Area</vt:lpstr>
      <vt:lpstr>'29,12 R2'!Print_Area</vt:lpstr>
      <vt:lpstr>'29,12 R3'!Print_Area</vt:lpstr>
      <vt:lpstr>'30,12 R1'!Print_Area</vt:lpstr>
      <vt:lpstr>'30,12 R2'!Print_Area</vt:lpstr>
      <vt:lpstr>'30,12 R3'!Print_Area</vt:lpstr>
      <vt:lpstr>'31,12 R1'!Print_Area</vt:lpstr>
      <vt:lpstr>'31,12 R2'!Print_Area</vt:lpstr>
      <vt:lpstr>'31,12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2025-12-23T01:14:56Z</cp:lastPrinted>
  <dcterms:created xsi:type="dcterms:W3CDTF">2024-09-01T23:36:50Z</dcterms:created>
  <dcterms:modified xsi:type="dcterms:W3CDTF">2025-12-23T01:16:44Z</dcterms:modified>
</cp:coreProperties>
</file>