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F590403-73C9-4B6C-954B-F32A054D4170}" xr6:coauthVersionLast="45" xr6:coauthVersionMax="47" xr10:uidLastSave="{00000000-0000-0000-0000-000000000000}"/>
  <bookViews>
    <workbookView xWindow="-120" yWindow="-120" windowWidth="29040" windowHeight="15840" firstSheet="39" activeTab="42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0" l="1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H15" i="1580" l="1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<sst xmlns="http://schemas.openxmlformats.org/spreadsheetml/2006/main" count="6871" uniqueCount="182">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</sst>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262</v>
      </c>
      <c r="D6" s="13">
        <f t="shared" ref="D6:D28" si="1">C6*L6</f>
        <v>193094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16</v>
      </c>
      <c r="D7" s="13">
        <f t="shared" si="1"/>
        <v>11600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1</v>
      </c>
      <c r="D8" s="13">
        <f t="shared" si="1"/>
        <v>1033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>
        <v>2</v>
      </c>
      <c r="D10" s="13">
        <f t="shared" si="1"/>
        <v>1944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f>2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9</v>
      </c>
      <c r="D13" s="48">
        <f t="shared" si="1"/>
        <v>2763</v>
      </c>
      <c r="F13" s="145" t="s">
        <v>36</v>
      </c>
      <c r="G13" s="146"/>
      <c r="H13" s="147">
        <f>D29</f>
        <v>240783.5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3</v>
      </c>
      <c r="D14" s="31">
        <f t="shared" si="1"/>
        <v>33</v>
      </c>
      <c r="F14" s="150" t="s">
        <v>39</v>
      </c>
      <c r="G14" s="151"/>
      <c r="H14" s="152">
        <f>D54</f>
        <v>35187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205596.5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2">
        <v>79918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84">
        <v>87410</v>
      </c>
      <c r="I26" s="184"/>
      <c r="J26" s="184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85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11</v>
      </c>
      <c r="D28" s="48">
        <f t="shared" si="1"/>
        <v>8635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240783.5</v>
      </c>
      <c r="F29" s="168" t="s">
        <v>55</v>
      </c>
      <c r="G29" s="169"/>
      <c r="H29" s="172">
        <f>H15-H16-H17-H18-H19-H20-H22-H23-H24+H26+H27+H28</f>
        <v>213088.5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200">
        <f t="shared" ref="H34:H39" si="2">F34*G34</f>
        <v>77000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200">
        <f t="shared" si="2"/>
        <v>19000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0">
        <f t="shared" si="2"/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200">
        <f t="shared" si="2"/>
        <v>600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200">
        <f t="shared" si="2"/>
        <v>350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4</v>
      </c>
      <c r="D42" s="12">
        <f>C42*2.25</f>
        <v>9</v>
      </c>
      <c r="F42" s="39" t="s">
        <v>79</v>
      </c>
      <c r="G42" s="200">
        <v>25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84">
        <v>15213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84">
        <v>13245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84">
        <v>87410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213263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12</v>
      </c>
      <c r="D50" s="12">
        <f>C50*1.5</f>
        <v>18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174.5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168</v>
      </c>
      <c r="D6" s="13">
        <f t="shared" ref="D6:D28" si="1">C6*L6</f>
        <v>123816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39</v>
      </c>
      <c r="D9" s="13">
        <f t="shared" si="1"/>
        <v>27573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154078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39</v>
      </c>
      <c r="G14" s="151"/>
      <c r="H14" s="152">
        <f>D54</f>
        <v>24060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130018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1314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154078</v>
      </c>
      <c r="F29" s="168" t="s">
        <v>55</v>
      </c>
      <c r="G29" s="169"/>
      <c r="H29" s="172">
        <f>H15-H16-H17-H18-H19-H20-H22-H23-H24+H26+H27</f>
        <v>128654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00">
        <f>F34*G34</f>
        <v>101000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200">
        <f t="shared" ref="H35:H39" si="2">F35*G35</f>
        <v>26500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35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</v>
      </c>
      <c r="D46" s="12">
        <f>C46*1.5</f>
        <v>1.5</v>
      </c>
      <c r="F46" s="37"/>
      <c r="G46" s="86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127985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-669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24060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211</v>
      </c>
      <c r="D6" s="13">
        <f t="shared" ref="D6:D28" si="1">C6*L6</f>
        <v>155507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11</v>
      </c>
      <c r="D7" s="13">
        <f t="shared" si="1"/>
        <v>7975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18</v>
      </c>
      <c r="D9" s="13">
        <f t="shared" si="1"/>
        <v>12726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197825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</v>
      </c>
      <c r="D14" s="31">
        <f t="shared" si="1"/>
        <v>11</v>
      </c>
      <c r="F14" s="150" t="s">
        <v>39</v>
      </c>
      <c r="G14" s="151"/>
      <c r="H14" s="152">
        <f>D54</f>
        <v>31160.25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166664.75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88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197825</v>
      </c>
      <c r="F29" s="168" t="s">
        <v>55</v>
      </c>
      <c r="G29" s="169"/>
      <c r="H29" s="172">
        <f>H15-H16-H17-H18-H19-H20-H22-H23-H24+H26+H27</f>
        <v>166364.75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200">
        <f>F34*G34</f>
        <v>131000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0">
        <f>F35*G35</f>
        <v>21000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0">
        <v>86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85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84">
        <v>14238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11</v>
      </c>
      <c r="D46" s="12">
        <f>C46*1.5</f>
        <v>16.5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166324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6</v>
      </c>
      <c r="D50" s="12">
        <f>C50*1.5</f>
        <v>9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-40.75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31160.25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261</v>
      </c>
      <c r="D6" s="13">
        <f t="shared" ref="D6:D28" si="1">C6*L6</f>
        <v>192357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>
        <v>1</v>
      </c>
      <c r="D10" s="13">
        <f t="shared" si="1"/>
        <v>972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220448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22</v>
      </c>
      <c r="D14" s="31">
        <f t="shared" si="1"/>
        <v>242</v>
      </c>
      <c r="F14" s="150" t="s">
        <v>39</v>
      </c>
      <c r="G14" s="151"/>
      <c r="H14" s="152">
        <f>D54</f>
        <v>32962.5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187485.5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6</v>
      </c>
      <c r="D28" s="48">
        <f t="shared" si="1"/>
        <v>4710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220448</v>
      </c>
      <c r="F29" s="168" t="s">
        <v>55</v>
      </c>
      <c r="G29" s="169"/>
      <c r="H29" s="172">
        <f>H15-H16-H17-H18-H19-H20-H22-H23-H24+H26+H27+H28</f>
        <v>187485.5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200">
        <f t="shared" ref="H34:H39" si="2">F34*G34</f>
        <v>124000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200">
        <f t="shared" si="2"/>
        <v>52000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200">
        <f t="shared" si="2"/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200">
        <f t="shared" si="2"/>
        <v>2600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12</v>
      </c>
      <c r="D42" s="12">
        <f>C42*2.25</f>
        <v>27</v>
      </c>
      <c r="F42" s="39" t="s">
        <v>79</v>
      </c>
      <c r="G42" s="200">
        <v>69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4">
        <v>7978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187047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-438.5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230</v>
      </c>
      <c r="D6" s="13">
        <f t="shared" ref="D6:D28" si="1">C6*L6</f>
        <v>169510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5075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20</v>
      </c>
      <c r="D9" s="13">
        <f t="shared" si="1"/>
        <v>14140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196685.66666666666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39</v>
      </c>
      <c r="G14" s="151"/>
      <c r="H14" s="152">
        <f>D54</f>
        <v>36855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159830.66666666666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1899</f>
        <v>1899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3"/>
      <c r="I24" s="184"/>
      <c r="J24" s="184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196685.66666666666</v>
      </c>
      <c r="F29" s="168" t="s">
        <v>55</v>
      </c>
      <c r="G29" s="169"/>
      <c r="H29" s="172">
        <f>H15-H16-H17-H18-H19-H20-H22-H23-H24+H26+H27</f>
        <v>157931.66666666666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200">
        <f>F34*G34</f>
        <v>34000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200">
        <f t="shared" ref="H35:H39" si="2">F35*G35</f>
        <v>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2</v>
      </c>
      <c r="D42" s="12">
        <f>C42*2.25</f>
        <v>4.5</v>
      </c>
      <c r="F42" s="39" t="s">
        <v>79</v>
      </c>
      <c r="G42" s="200">
        <v>2460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84">
        <v>119875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157735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-196.66666666665697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36855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194</v>
      </c>
      <c r="D6" s="13">
        <f t="shared" ref="D6:D28" si="1">C6*L6</f>
        <v>142978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17</v>
      </c>
      <c r="D7" s="13">
        <f t="shared" si="1"/>
        <v>12325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13</v>
      </c>
      <c r="D9" s="13">
        <f t="shared" si="1"/>
        <v>9191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173906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19</v>
      </c>
      <c r="D14" s="31">
        <f t="shared" si="1"/>
        <v>209</v>
      </c>
      <c r="F14" s="150" t="s">
        <v>39</v>
      </c>
      <c r="G14" s="151"/>
      <c r="H14" s="152">
        <f>D54</f>
        <v>39246.75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134659.25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336</f>
        <v>336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88">
        <v>85842</v>
      </c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173906</v>
      </c>
      <c r="F29" s="168" t="s">
        <v>55</v>
      </c>
      <c r="G29" s="169"/>
      <c r="H29" s="172">
        <f>H15-H16-H17-H18-H19-H20-H22-H23-H24+H26+H27</f>
        <v>220165.25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00">
        <f>F34*G34</f>
        <v>133000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00">
        <f>F35*G35</f>
        <v>11000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61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84">
        <v>85842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230303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5</v>
      </c>
      <c r="D50" s="12">
        <f>C50*1.5</f>
        <v>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10137.75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39246.75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150</v>
      </c>
      <c r="D6" s="13">
        <f t="shared" ref="D6:D28" si="1">C6*L6</f>
        <v>110550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5</v>
      </c>
      <c r="D7" s="13">
        <f t="shared" si="1"/>
        <v>3625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10</v>
      </c>
      <c r="D9" s="13">
        <f t="shared" si="1"/>
        <v>7070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124676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23</v>
      </c>
      <c r="D14" s="31">
        <f t="shared" si="1"/>
        <v>253</v>
      </c>
      <c r="F14" s="150" t="s">
        <v>39</v>
      </c>
      <c r="G14" s="151"/>
      <c r="H14" s="152">
        <f>D54</f>
        <v>17744.25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106931.75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124676</v>
      </c>
      <c r="F29" s="168" t="s">
        <v>55</v>
      </c>
      <c r="G29" s="169"/>
      <c r="H29" s="172">
        <f>H15-H16-H17-H18-H19-H20-H22-H23-H24+H26+H27+H28</f>
        <v>106931.75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200">
        <f t="shared" ref="H34:H39" si="2">F34*G34</f>
        <v>89000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200">
        <f t="shared" si="2"/>
        <v>15500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 t="shared" si="2"/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200">
        <f t="shared" si="2"/>
        <v>2500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0">
        <v>395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107645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20</v>
      </c>
      <c r="D50" s="12">
        <f>C50*1.5</f>
        <v>30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713.25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f>440-99</f>
        <v>341</v>
      </c>
      <c r="D6" s="13">
        <f t="shared" ref="D6:D28" si="1">C6*L6</f>
        <v>251317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5</v>
      </c>
      <c r="D9" s="13">
        <f t="shared" si="1"/>
        <v>3535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261506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11</v>
      </c>
      <c r="D14" s="31">
        <f t="shared" si="1"/>
        <v>121</v>
      </c>
      <c r="F14" s="150" t="s">
        <v>39</v>
      </c>
      <c r="G14" s="151"/>
      <c r="H14" s="152">
        <f>D54</f>
        <v>40169.25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221336.75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337*9</f>
        <v>3033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261506</v>
      </c>
      <c r="F29" s="168" t="s">
        <v>55</v>
      </c>
      <c r="G29" s="169"/>
      <c r="H29" s="172">
        <f>H15-H16-H17-H18-H19-H20-H22-H23-H24+H26+H27</f>
        <v>218303.75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200">
        <f>F34*G34</f>
        <v>216000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200">
        <f t="shared" ref="H35:H39" si="2">F35*G35</f>
        <v>2000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00">
        <v>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</v>
      </c>
      <c r="D46" s="12">
        <f>C46*1.5</f>
        <v>1.5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17</v>
      </c>
      <c r="D49" s="12">
        <f>C49*42</f>
        <v>714</v>
      </c>
      <c r="F49" s="225" t="s">
        <v>86</v>
      </c>
      <c r="G49" s="172">
        <f>H34+H35+H36+H37+H38+H39+H40+H41+G42+H44+H45+H46</f>
        <v>218358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21</v>
      </c>
      <c r="D50" s="12">
        <f>C50*1.5</f>
        <v>31.5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54.25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40169.25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536</v>
      </c>
      <c r="D6" s="13">
        <f t="shared" ref="D6:D28" si="1">C6*L6</f>
        <v>395032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15</v>
      </c>
      <c r="D7" s="13">
        <f t="shared" si="1"/>
        <v>10875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129</v>
      </c>
      <c r="D9" s="13">
        <f t="shared" si="1"/>
        <v>91203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8</v>
      </c>
      <c r="D13" s="48">
        <f t="shared" si="1"/>
        <v>2456</v>
      </c>
      <c r="F13" s="145" t="s">
        <v>36</v>
      </c>
      <c r="G13" s="146"/>
      <c r="H13" s="147">
        <f>D29</f>
        <v>505571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16</v>
      </c>
      <c r="D14" s="31">
        <f t="shared" si="1"/>
        <v>176</v>
      </c>
      <c r="F14" s="150" t="s">
        <v>39</v>
      </c>
      <c r="G14" s="151"/>
      <c r="H14" s="152">
        <f>D54</f>
        <v>38012.25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467558.75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2610+330</f>
        <v>2940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98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5</v>
      </c>
      <c r="D28" s="48">
        <f t="shared" si="1"/>
        <v>3925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505571</v>
      </c>
      <c r="F29" s="168" t="s">
        <v>55</v>
      </c>
      <c r="G29" s="169"/>
      <c r="H29" s="172">
        <f>H15-H16-H17-H18-H19-H20-H22-H23-H24+H26+H27+H28</f>
        <v>464568.75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200">
        <f>F34*G34</f>
        <v>12000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0">
        <v>45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84">
        <v>283894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84">
        <v>34498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84">
        <v>19009</v>
      </c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37" t="s">
        <v>152</v>
      </c>
      <c r="G47" s="76" t="s">
        <v>160</v>
      </c>
      <c r="H47" s="184">
        <v>102341</v>
      </c>
      <c r="I47" s="184"/>
      <c r="J47" s="184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H34+H35+H36+H37+H38+H39+H40+H41+G42+H44+H45+H46+H47</f>
        <v>452187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</v>
      </c>
      <c r="D50" s="12">
        <f>C50*1.5</f>
        <v>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-12381.75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38012.25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124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207</v>
      </c>
      <c r="D6" s="13">
        <f t="shared" ref="D6:D28" si="1">C6*L6</f>
        <v>152559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4</v>
      </c>
      <c r="D7" s="13">
        <f t="shared" si="1"/>
        <v>2900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13</v>
      </c>
      <c r="D9" s="13">
        <f t="shared" si="1"/>
        <v>9191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187607.83333333334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15</v>
      </c>
      <c r="D14" s="31">
        <f t="shared" si="1"/>
        <v>165</v>
      </c>
      <c r="F14" s="150" t="s">
        <v>39</v>
      </c>
      <c r="G14" s="151"/>
      <c r="H14" s="152">
        <f>D54</f>
        <v>13236.75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174371.08333333334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1620</f>
        <v>1620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101</v>
      </c>
      <c r="C22" s="10">
        <v>3</v>
      </c>
      <c r="D22" s="48">
        <f t="shared" si="1"/>
        <v>5001</v>
      </c>
      <c r="F22" s="72"/>
      <c r="G22" s="73"/>
      <c r="H22" s="182"/>
      <c r="I22" s="182"/>
      <c r="J22" s="182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187607.83333333334</v>
      </c>
      <c r="F29" s="168" t="s">
        <v>55</v>
      </c>
      <c r="G29" s="169"/>
      <c r="H29" s="172">
        <f>H15-H16-H17-H18-H19-H20-H22-H23-H24+H26+H27</f>
        <v>172751.08333333334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200">
        <f>F34*G34</f>
        <v>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00">
        <f t="shared" ref="H35:H39" si="2">F35*G35</f>
        <v>6500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5</v>
      </c>
      <c r="D42" s="12">
        <f>C42*2.25</f>
        <v>11.25</v>
      </c>
      <c r="F42" s="39" t="s">
        <v>79</v>
      </c>
      <c r="G42" s="200">
        <v>477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84">
        <v>144167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13</v>
      </c>
      <c r="D46" s="12">
        <f>C46*1.5</f>
        <v>19.5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6</v>
      </c>
      <c r="D49" s="12">
        <f>C49*42</f>
        <v>252</v>
      </c>
      <c r="F49" s="225" t="s">
        <v>86</v>
      </c>
      <c r="G49" s="172">
        <f>H34+H35+H36+H37+H38+H39+H40+H41+G42+H44+H45+H46</f>
        <v>172244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-507.08333333334303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13236.75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45995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429</v>
      </c>
      <c r="D6" s="13">
        <f t="shared" ref="D6:D28" si="1">C6*L6</f>
        <v>316173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70</v>
      </c>
      <c r="D9" s="13">
        <f t="shared" si="1"/>
        <v>49490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3+1</f>
        <v>4</v>
      </c>
      <c r="D12" s="48">
        <f t="shared" si="1"/>
        <v>3808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18</v>
      </c>
      <c r="D13" s="48">
        <f t="shared" si="1"/>
        <v>5526</v>
      </c>
      <c r="F13" s="145" t="s">
        <v>36</v>
      </c>
      <c r="G13" s="146"/>
      <c r="H13" s="147">
        <f>D29</f>
        <v>378246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50790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327456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912+1824+300</f>
        <v>3036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>
        <v>1</v>
      </c>
      <c r="D23" s="48">
        <f t="shared" si="1"/>
        <v>1175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378246</v>
      </c>
      <c r="F29" s="168" t="s">
        <v>55</v>
      </c>
      <c r="G29" s="169"/>
      <c r="H29" s="172">
        <f>H15-H16-H17-H18-H19-H20-H22-H23-H24+H26+H27</f>
        <v>324420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200">
        <f>F34*G34</f>
        <v>31000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84">
        <v>101868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84">
        <v>191152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11</v>
      </c>
      <c r="D49" s="12">
        <f>C49*42</f>
        <v>462</v>
      </c>
      <c r="F49" s="225" t="s">
        <v>86</v>
      </c>
      <c r="G49" s="172">
        <f>H34+H35+H36+H37+H38+H39+H40+H41+G42+H44+H45+H46</f>
        <v>324022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-398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50790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522</v>
      </c>
      <c r="D6" s="13">
        <f t="shared" ref="D6:D28" si="1">C6*L6</f>
        <v>384714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50</v>
      </c>
      <c r="D8" s="13">
        <f t="shared" si="1"/>
        <v>51650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51</v>
      </c>
      <c r="D9" s="13">
        <f t="shared" si="1"/>
        <v>36057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22</v>
      </c>
      <c r="D13" s="48">
        <f t="shared" si="1"/>
        <v>6754</v>
      </c>
      <c r="F13" s="145" t="s">
        <v>36</v>
      </c>
      <c r="G13" s="146"/>
      <c r="H13" s="147">
        <f>D29</f>
        <v>481416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6</v>
      </c>
      <c r="D14" s="31">
        <f t="shared" si="1"/>
        <v>66</v>
      </c>
      <c r="F14" s="150" t="s">
        <v>39</v>
      </c>
      <c r="G14" s="151"/>
      <c r="H14" s="152">
        <f>D54</f>
        <v>102241.5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379174.5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3012</f>
        <v>3012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2">
        <v>45650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481416</v>
      </c>
      <c r="F29" s="168" t="s">
        <v>55</v>
      </c>
      <c r="G29" s="169"/>
      <c r="H29" s="172">
        <f>H15-H16-H17-H18-H19-H20-H22-H23-H24+H26+H27+H28</f>
        <v>330512.5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200">
        <f t="shared" ref="H34:H39" si="2">F34*G34</f>
        <v>278000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200">
        <f t="shared" si="2"/>
        <v>51000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200">
        <f t="shared" si="2"/>
        <v>900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200">
        <f t="shared" si="2"/>
        <v>150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41</v>
      </c>
      <c r="D44" s="12">
        <f>C44*120</f>
        <v>4920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9</v>
      </c>
      <c r="D46" s="12">
        <f>C46*1.5</f>
        <v>13.5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48</v>
      </c>
      <c r="D49" s="12">
        <f>C49*42</f>
        <v>2016</v>
      </c>
      <c r="F49" s="225" t="s">
        <v>86</v>
      </c>
      <c r="G49" s="172">
        <f>H34+H35+H36+H37+H38+H39+H40+H41+G42+H44+H45+H46</f>
        <v>330075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14</v>
      </c>
      <c r="D50" s="12">
        <f>C50*1.5</f>
        <v>21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-437.5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186</v>
      </c>
      <c r="D6" s="13">
        <f t="shared" ref="D6:D28" si="1">C6*L6</f>
        <v>137082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</v>
      </c>
      <c r="D7" s="13">
        <f t="shared" si="1"/>
        <v>1450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8</v>
      </c>
      <c r="D9" s="13">
        <f t="shared" si="1"/>
        <v>5656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148838.16666666666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16</v>
      </c>
      <c r="D14" s="31">
        <f t="shared" si="1"/>
        <v>176</v>
      </c>
      <c r="F14" s="150" t="s">
        <v>39</v>
      </c>
      <c r="G14" s="151"/>
      <c r="H14" s="152">
        <f>D54</f>
        <v>23934.75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124903.41666666666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148838.16666666666</v>
      </c>
      <c r="F29" s="168" t="s">
        <v>55</v>
      </c>
      <c r="G29" s="169"/>
      <c r="H29" s="172">
        <f>H15-H16-H17-H18-H19-H20-H22-H23-H24+H26+H27</f>
        <v>124903.41666666666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200">
        <f>F34*G34</f>
        <v>91000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200">
        <f t="shared" ref="H35:H39" si="2">F35*G35</f>
        <v>32500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200">
        <f t="shared" si="2"/>
        <v>1700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00">
        <v>11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2</v>
      </c>
      <c r="D49" s="12">
        <f>C49*42</f>
        <v>84</v>
      </c>
      <c r="F49" s="225" t="s">
        <v>86</v>
      </c>
      <c r="G49" s="172">
        <f>H34+H35+H36+H37+H38+H39+H40+H41+G42+H44+H45+H46</f>
        <v>125411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17</v>
      </c>
      <c r="D50" s="12">
        <f>C50*1.5</f>
        <v>25.5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507.58333333334303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23934.75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175</v>
      </c>
      <c r="D6" s="13">
        <f t="shared" ref="D6:D28" si="1">C6*L6</f>
        <v>128975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20</v>
      </c>
      <c r="D7" s="13">
        <f t="shared" si="1"/>
        <v>14500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17</v>
      </c>
      <c r="D9" s="13">
        <f t="shared" si="1"/>
        <v>12019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2916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166256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24198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142058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300</f>
        <v>300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>
        <v>50</v>
      </c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166256</v>
      </c>
      <c r="F29" s="168" t="s">
        <v>55</v>
      </c>
      <c r="G29" s="169"/>
      <c r="H29" s="172">
        <f>H15-H16-H17-H18-H19-H20-H22-H23-H24+H26+H27</f>
        <v>141708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200">
        <f>F34*G34</f>
        <v>113000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200">
        <f>F35*G35</f>
        <v>18500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200">
        <f t="shared" ref="H36:H39" si="2">F36*G36</f>
        <v>400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200">
        <f t="shared" si="2"/>
        <v>5100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200">
        <f t="shared" si="2"/>
        <v>750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>
        <v>127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84">
        <v>3792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6</v>
      </c>
      <c r="D46" s="12">
        <f>C46*1.5</f>
        <v>9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141689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12</v>
      </c>
      <c r="D50" s="12">
        <f>C50*1.5</f>
        <v>18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-19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24198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407</v>
      </c>
      <c r="D6" s="13">
        <f t="shared" ref="D6:D28" si="1">C6*L6</f>
        <v>299959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54</v>
      </c>
      <c r="D9" s="13">
        <f t="shared" si="1"/>
        <v>38178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9</v>
      </c>
      <c r="D13" s="48">
        <f t="shared" si="1"/>
        <v>2763</v>
      </c>
      <c r="F13" s="145" t="s">
        <v>36</v>
      </c>
      <c r="G13" s="146"/>
      <c r="H13" s="147">
        <f>D29</f>
        <v>343299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4</v>
      </c>
      <c r="D14" s="31">
        <f t="shared" si="1"/>
        <v>44</v>
      </c>
      <c r="F14" s="150" t="s">
        <v>39</v>
      </c>
      <c r="G14" s="151"/>
      <c r="H14" s="152">
        <f>D54</f>
        <v>83292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260007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3</v>
      </c>
      <c r="D28" s="48">
        <f t="shared" si="1"/>
        <v>2355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343299</v>
      </c>
      <c r="F29" s="168" t="s">
        <v>55</v>
      </c>
      <c r="G29" s="169"/>
      <c r="H29" s="172">
        <f>H15-H16-H17-H18-H19-H20-H22-H23-H24+H26+H27+H28</f>
        <v>260007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200">
        <f t="shared" ref="H34:H39" si="2">F34*G34</f>
        <v>53000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00">
        <f t="shared" si="2"/>
        <v>21000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200">
        <f t="shared" si="2"/>
        <v>800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122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84">
        <v>118353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84">
        <v>66364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259739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7</v>
      </c>
      <c r="D50" s="12">
        <f>C50*1.5</f>
        <v>10.5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-268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203</v>
      </c>
      <c r="D6" s="13">
        <f t="shared" ref="D6:D28" si="1">C6*L6</f>
        <v>149611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9</v>
      </c>
      <c r="D7" s="13">
        <f t="shared" si="1"/>
        <v>6525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34</v>
      </c>
      <c r="D9" s="13">
        <f t="shared" si="1"/>
        <v>24038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6</v>
      </c>
      <c r="D13" s="48">
        <f t="shared" si="1"/>
        <v>1842</v>
      </c>
      <c r="F13" s="145" t="s">
        <v>36</v>
      </c>
      <c r="G13" s="146"/>
      <c r="H13" s="147">
        <f>D29</f>
        <v>186017.83333333334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39</v>
      </c>
      <c r="G14" s="151"/>
      <c r="H14" s="152">
        <f>D54</f>
        <v>28258.5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157759.33333333334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186017.83333333334</v>
      </c>
      <c r="F29" s="168" t="s">
        <v>55</v>
      </c>
      <c r="G29" s="169"/>
      <c r="H29" s="172">
        <f>H15-H16-H17-H18-H19-H20-H22-H23-H24+H26+H27</f>
        <v>157759.33333333334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200">
        <f>F34*G34</f>
        <v>132000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200">
        <f t="shared" ref="H35:H39" si="2">F35*G35</f>
        <v>24500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200">
        <f t="shared" si="2"/>
        <v>1100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200">
        <f t="shared" si="2"/>
        <v>300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27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3</v>
      </c>
      <c r="D45" s="12">
        <f>C45*84</f>
        <v>252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18</v>
      </c>
      <c r="D46" s="12">
        <f>C46*1.5</f>
        <v>27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157947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15</v>
      </c>
      <c r="D50" s="12">
        <f>C50*1.5</f>
        <v>22.5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187.66666666665697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28258.5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45997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365</v>
      </c>
      <c r="D6" s="13">
        <f t="shared" ref="D6:D28" si="1">C6*L6</f>
        <v>269005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</v>
      </c>
      <c r="D7" s="13">
        <f t="shared" si="1"/>
        <v>2175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25</v>
      </c>
      <c r="D9" s="13">
        <f t="shared" si="1"/>
        <v>17675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10</v>
      </c>
      <c r="D13" s="48">
        <f t="shared" si="1"/>
        <v>3070</v>
      </c>
      <c r="F13" s="145" t="s">
        <v>36</v>
      </c>
      <c r="G13" s="146"/>
      <c r="H13" s="147">
        <f>D29</f>
        <v>297409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6</v>
      </c>
      <c r="D14" s="31">
        <f t="shared" si="1"/>
        <v>66</v>
      </c>
      <c r="F14" s="150" t="s">
        <v>39</v>
      </c>
      <c r="G14" s="151"/>
      <c r="H14" s="152">
        <f>D54</f>
        <v>44916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252493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612+702+750</f>
        <v>2064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297409</v>
      </c>
      <c r="F29" s="168" t="s">
        <v>55</v>
      </c>
      <c r="G29" s="169"/>
      <c r="H29" s="172">
        <f>H15-H16-H17-H18-H19-H20-H22-H23-H24+H26+H27</f>
        <v>250429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200">
        <f>F34*G34</f>
        <v>103000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200">
        <f>F35*G35</f>
        <v>3500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4</v>
      </c>
      <c r="D42" s="12">
        <f>C42*2.25</f>
        <v>9</v>
      </c>
      <c r="F42" s="39" t="s">
        <v>79</v>
      </c>
      <c r="G42" s="200">
        <v>30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84">
        <v>64639.5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84">
        <v>78155</v>
      </c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22</v>
      </c>
      <c r="D46" s="12">
        <f>C46*1.5</f>
        <v>33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249774.5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-654.5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44916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135</v>
      </c>
      <c r="D6" s="13">
        <f t="shared" ref="D6:D28" si="1">C6*L6</f>
        <v>99495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10</v>
      </c>
      <c r="D7" s="13">
        <f t="shared" si="1"/>
        <v>7250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27</v>
      </c>
      <c r="D9" s="13">
        <f t="shared" si="1"/>
        <v>19089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128632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19241.25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109390.75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84">
        <v>45650</v>
      </c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90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2</v>
      </c>
      <c r="D28" s="48">
        <f t="shared" si="1"/>
        <v>1570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128632</v>
      </c>
      <c r="F29" s="168" t="s">
        <v>55</v>
      </c>
      <c r="G29" s="169"/>
      <c r="H29" s="172">
        <f>H15-H16-H17-H18-H19-H20-H22-H23-H24+H26+H27+H28</f>
        <v>155040.75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200">
        <f t="shared" ref="H34:H39" si="2">F34*G34</f>
        <v>144000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200">
        <f t="shared" si="2"/>
        <v>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200">
        <f t="shared" si="2"/>
        <v>200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00">
        <v>255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145</v>
      </c>
      <c r="G44" s="62"/>
      <c r="H44" s="184">
        <v>4994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5</v>
      </c>
      <c r="D46" s="12">
        <f>C46*1.5</f>
        <v>7.5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154999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-41.75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233</v>
      </c>
      <c r="D6" s="13">
        <f t="shared" ref="D6:D28" si="1">C6*L6</f>
        <v>171721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12</v>
      </c>
      <c r="D7" s="13">
        <f t="shared" si="1"/>
        <v>8700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24</v>
      </c>
      <c r="D9" s="13">
        <f t="shared" si="1"/>
        <v>16968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2+1</f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204048.33333333334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4</v>
      </c>
      <c r="D14" s="31">
        <f t="shared" si="1"/>
        <v>44</v>
      </c>
      <c r="F14" s="150" t="s">
        <v>39</v>
      </c>
      <c r="G14" s="151"/>
      <c r="H14" s="152">
        <f>D54</f>
        <v>31084.5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172963.83333333334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600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</v>
      </c>
      <c r="D28" s="48">
        <f t="shared" si="1"/>
        <v>785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204048.33333333334</v>
      </c>
      <c r="F29" s="168" t="s">
        <v>55</v>
      </c>
      <c r="G29" s="169"/>
      <c r="H29" s="172">
        <f>H15-H16-H17-H18-H19-H20-H22-H23-H24+H26+H27</f>
        <v>172363.83333333334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200">
        <f>F34*G34</f>
        <v>157000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200">
        <f t="shared" ref="H35:H39" si="2">F35*G35</f>
        <v>15500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200">
        <f t="shared" si="2"/>
        <v>200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2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2</v>
      </c>
      <c r="D45" s="12">
        <f>C45*84</f>
        <v>168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91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173202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32</v>
      </c>
      <c r="D50" s="12">
        <f>C50*1.5</f>
        <v>48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838.16666666665697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31084.5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45999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386</v>
      </c>
      <c r="D6" s="13">
        <f t="shared" ref="D6:D28" si="1">C6*L6</f>
        <v>284482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10</v>
      </c>
      <c r="D7" s="13">
        <f t="shared" si="1"/>
        <v>7250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113</v>
      </c>
      <c r="D9" s="13">
        <f t="shared" si="1"/>
        <v>79891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4860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5</v>
      </c>
      <c r="D12" s="48">
        <f t="shared" si="1"/>
        <v>4760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392314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11</v>
      </c>
      <c r="D14" s="31">
        <f t="shared" si="1"/>
        <v>121</v>
      </c>
      <c r="F14" s="150" t="s">
        <v>39</v>
      </c>
      <c r="G14" s="151"/>
      <c r="H14" s="152">
        <f>D54</f>
        <v>44706.75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>
        <v>4</v>
      </c>
      <c r="D15" s="31">
        <f t="shared" si="1"/>
        <v>2480</v>
      </c>
      <c r="F15" s="155" t="s">
        <v>40</v>
      </c>
      <c r="G15" s="146"/>
      <c r="H15" s="156">
        <f>H13-H14</f>
        <v>347607.25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2712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10</v>
      </c>
      <c r="D28" s="48">
        <f t="shared" si="1"/>
        <v>7850</v>
      </c>
      <c r="F28" s="93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392314</v>
      </c>
      <c r="F29" s="168" t="s">
        <v>55</v>
      </c>
      <c r="G29" s="169"/>
      <c r="H29" s="172">
        <f>H15-H16-H17-H18-H19-H20-H22-H23-H24+H26+H27</f>
        <v>344895.25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200">
        <f>F34*G34</f>
        <v>36000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200">
        <f>F35*G35</f>
        <v>5000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200">
        <f t="shared" si="2"/>
        <v>800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45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90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84">
        <v>303690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10</v>
      </c>
      <c r="D46" s="12">
        <f>C46*1.5</f>
        <v>15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</v>
      </c>
      <c r="D49" s="12">
        <f>C49*42</f>
        <v>42</v>
      </c>
      <c r="F49" s="225" t="s">
        <v>86</v>
      </c>
      <c r="G49" s="172">
        <f>H34+H35+H36+H37+H38+H39+H40+H41+G42+H44+H45+H46</f>
        <v>345605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</v>
      </c>
      <c r="D50" s="12">
        <f>C50*1.5</f>
        <v>1.5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709.75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44706.75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270</v>
      </c>
      <c r="D6" s="13">
        <f t="shared" ref="D6:D28" si="1">C6*L6</f>
        <v>198990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7</v>
      </c>
      <c r="D7" s="13">
        <f t="shared" si="1"/>
        <v>5075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22</v>
      </c>
      <c r="D9" s="13">
        <f t="shared" si="1"/>
        <v>15554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f>1+1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4</v>
      </c>
      <c r="D13" s="48">
        <f t="shared" si="1"/>
        <v>1228</v>
      </c>
      <c r="F13" s="145" t="s">
        <v>36</v>
      </c>
      <c r="G13" s="146"/>
      <c r="H13" s="147">
        <f>D29</f>
        <v>224255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9</v>
      </c>
      <c r="D14" s="31">
        <f t="shared" si="1"/>
        <v>99</v>
      </c>
      <c r="F14" s="150" t="s">
        <v>39</v>
      </c>
      <c r="G14" s="151"/>
      <c r="H14" s="152">
        <f>D54</f>
        <v>33251.25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191003.75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</v>
      </c>
      <c r="D28" s="48">
        <f t="shared" si="1"/>
        <v>785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224255</v>
      </c>
      <c r="F29" s="168" t="s">
        <v>55</v>
      </c>
      <c r="G29" s="169"/>
      <c r="H29" s="172">
        <f>H15-H16-H17-H18-H19-H20-H22-H23-H24+H26+H27+H28</f>
        <v>191003.75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00">
        <f t="shared" ref="H34:H39" si="2">F34*G34</f>
        <v>120000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00">
        <f t="shared" si="2"/>
        <v>46000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200">
        <f t="shared" si="2"/>
        <v>3300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3</v>
      </c>
      <c r="D42" s="12">
        <f>C42*2.25</f>
        <v>6.75</v>
      </c>
      <c r="F42" s="39" t="s">
        <v>79</v>
      </c>
      <c r="G42" s="200">
        <v>33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84">
        <v>21364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8</v>
      </c>
      <c r="D46" s="12">
        <f>C46*1.5</f>
        <v>12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190747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25</v>
      </c>
      <c r="D50" s="12">
        <f>C50*1.5</f>
        <v>37.5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-256.75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332</v>
      </c>
      <c r="D6" s="13">
        <f t="shared" ref="D6:D28" si="1">C6*L6</f>
        <v>244684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</v>
      </c>
      <c r="D9" s="13">
        <f t="shared" si="1"/>
        <v>2121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5</v>
      </c>
      <c r="D10" s="13">
        <f t="shared" si="1"/>
        <v>4860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2</v>
      </c>
      <c r="D11" s="13">
        <f t="shared" si="1"/>
        <v>2250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13</v>
      </c>
      <c r="D13" s="48">
        <f t="shared" si="1"/>
        <v>3991</v>
      </c>
      <c r="F13" s="145" t="s">
        <v>36</v>
      </c>
      <c r="G13" s="146"/>
      <c r="H13" s="147">
        <f>D29</f>
        <v>261815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5</v>
      </c>
      <c r="D14" s="31">
        <f t="shared" si="1"/>
        <v>55</v>
      </c>
      <c r="F14" s="150" t="s">
        <v>39</v>
      </c>
      <c r="G14" s="151"/>
      <c r="H14" s="152">
        <f>D54</f>
        <v>38712.75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223102.25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1854</f>
        <v>1854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261815</v>
      </c>
      <c r="F29" s="168" t="s">
        <v>55</v>
      </c>
      <c r="G29" s="169"/>
      <c r="H29" s="172">
        <f>H15-H16-H17-H18-H19-H20-H22-H23-H24+H26+H27</f>
        <v>221248.25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200">
        <f>F34*G34</f>
        <v>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48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84">
        <v>199178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3</v>
      </c>
      <c r="D46" s="12">
        <f>C46*1.5</f>
        <v>4.5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13</v>
      </c>
      <c r="D49" s="12">
        <f>C49*42</f>
        <v>546</v>
      </c>
      <c r="F49" s="225" t="s">
        <v>86</v>
      </c>
      <c r="G49" s="172">
        <f>H34+H35+H36+H37+H38+H39+H40+H41+G42+H44+H45+H46</f>
        <v>220226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25</v>
      </c>
      <c r="D50" s="12">
        <f>C50*1.5</f>
        <v>37.5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-1022.25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38712.75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46000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377</v>
      </c>
      <c r="D6" s="13">
        <f t="shared" ref="D6:D28" si="1">C6*L6</f>
        <v>277849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25</v>
      </c>
      <c r="D7" s="13">
        <f t="shared" si="1"/>
        <v>18125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118</v>
      </c>
      <c r="D9" s="13">
        <f t="shared" si="1"/>
        <v>83426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3</v>
      </c>
      <c r="D12" s="48">
        <f t="shared" si="1"/>
        <v>2856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16</v>
      </c>
      <c r="D13" s="48">
        <f t="shared" si="1"/>
        <v>4912</v>
      </c>
      <c r="F13" s="145" t="s">
        <v>36</v>
      </c>
      <c r="G13" s="146"/>
      <c r="H13" s="147">
        <f>D29</f>
        <v>388760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</v>
      </c>
      <c r="D14" s="31">
        <f t="shared" si="1"/>
        <v>22</v>
      </c>
      <c r="F14" s="150" t="s">
        <v>39</v>
      </c>
      <c r="G14" s="151"/>
      <c r="H14" s="152">
        <f>D54</f>
        <v>49567.5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339192.5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342+363*6</f>
        <v>2520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>
        <v>2</v>
      </c>
      <c r="D28" s="48">
        <f t="shared" si="1"/>
        <v>1570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388760</v>
      </c>
      <c r="F29" s="168" t="s">
        <v>55</v>
      </c>
      <c r="G29" s="169"/>
      <c r="H29" s="172">
        <f>H15-H16-H17-H18-H19-H20-H22-H23-H24+H26+H27</f>
        <v>336672.5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200">
        <f>F34*G34</f>
        <v>72000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200">
        <f>F35*G35</f>
        <v>46000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200">
        <f t="shared" si="2"/>
        <v>500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200">
        <f t="shared" si="2"/>
        <v>250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>
        <v>109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84">
        <v>217387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13</v>
      </c>
      <c r="D49" s="12">
        <f>C49*42</f>
        <v>546</v>
      </c>
      <c r="F49" s="225" t="s">
        <v>86</v>
      </c>
      <c r="G49" s="172">
        <f>H34+H35+H36+H37+H38+H39+H40+H41+G42+H44+H45+H46</f>
        <v>336246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</v>
      </c>
      <c r="D50" s="12">
        <f>C50*1.5</f>
        <v>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-426.5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49567.5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422</v>
      </c>
      <c r="D6" s="13">
        <f t="shared" ref="D6:D28" si="1">C6*L6</f>
        <v>311014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5</v>
      </c>
      <c r="D7" s="13">
        <f t="shared" si="1"/>
        <v>3625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110</v>
      </c>
      <c r="D9" s="13">
        <f t="shared" si="1"/>
        <v>77770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2</v>
      </c>
      <c r="D10" s="13">
        <f t="shared" si="1"/>
        <v>1944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2</f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20</v>
      </c>
      <c r="D13" s="48">
        <f t="shared" si="1"/>
        <v>6140</v>
      </c>
      <c r="F13" s="145" t="s">
        <v>36</v>
      </c>
      <c r="G13" s="146"/>
      <c r="H13" s="147">
        <f>D29</f>
        <v>403697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92064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311633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47">
        <f>1194+1836</f>
        <v>3030</v>
      </c>
      <c r="I16" s="248"/>
      <c r="J16" s="2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7">
        <v>100</v>
      </c>
      <c r="I19" s="248"/>
      <c r="J19" s="2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403697</v>
      </c>
      <c r="F29" s="168" t="s">
        <v>55</v>
      </c>
      <c r="G29" s="169"/>
      <c r="H29" s="172">
        <f>H15-H16-H17-H18-H19-H20-H22-H23-H24+H26+H27</f>
        <v>308503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200">
        <f>F34*G34</f>
        <v>142000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200">
        <f t="shared" ref="H35:H39" si="2">F35*G35</f>
        <v>47500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>F36*G36</f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79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84">
        <v>119491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12</v>
      </c>
      <c r="D46" s="12">
        <f>C46*1.5</f>
        <v>18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12</v>
      </c>
      <c r="D49" s="12">
        <f>C49*42</f>
        <v>504</v>
      </c>
      <c r="F49" s="225" t="s">
        <v>86</v>
      </c>
      <c r="G49" s="172">
        <f>H34+H35+H36+H37+H38+H39+H40+H41+G42+H44+H45+H46</f>
        <v>309270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26</v>
      </c>
      <c r="D50" s="12">
        <f>C50*1.5</f>
        <v>39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767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92064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46001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174</v>
      </c>
      <c r="D6" s="13">
        <f t="shared" ref="D6:D28" si="1">C6*L6</f>
        <v>128238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65</v>
      </c>
      <c r="D9" s="13">
        <f t="shared" si="1"/>
        <v>45955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>
        <v>1</v>
      </c>
      <c r="D11" s="13">
        <f t="shared" si="1"/>
        <v>1125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5</v>
      </c>
      <c r="D13" s="48">
        <f t="shared" si="1"/>
        <v>1535</v>
      </c>
      <c r="F13" s="145" t="s">
        <v>36</v>
      </c>
      <c r="G13" s="146"/>
      <c r="H13" s="147">
        <f>D29</f>
        <v>179358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23</v>
      </c>
      <c r="D14" s="31">
        <f t="shared" si="1"/>
        <v>253</v>
      </c>
      <c r="F14" s="150" t="s">
        <v>39</v>
      </c>
      <c r="G14" s="151"/>
      <c r="H14" s="152">
        <f>D54</f>
        <v>18797.25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160560.75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456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179358</v>
      </c>
      <c r="F29" s="168" t="s">
        <v>55</v>
      </c>
      <c r="G29" s="169"/>
      <c r="H29" s="172">
        <f>H15-H16-H17-H18-H19-H20-H22-H23-H24+H26+H27</f>
        <v>160104.75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200">
        <f>F34*G34</f>
        <v>59000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200">
        <f>F35*G35</f>
        <v>52500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200">
        <f t="shared" si="2"/>
        <v>100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200">
        <v>31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84">
        <v>48140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11</v>
      </c>
      <c r="D46" s="12">
        <f>C46*1.5</f>
        <v>16.5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160191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86.25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18797.25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739</v>
      </c>
      <c r="D6" s="13">
        <f t="shared" ref="D6:D28" si="1">C6*L6</f>
        <v>544643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17</v>
      </c>
      <c r="D7" s="13">
        <f t="shared" si="1"/>
        <v>12325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11</v>
      </c>
      <c r="D9" s="13">
        <f t="shared" si="1"/>
        <v>7777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2</v>
      </c>
      <c r="D12" s="48">
        <f t="shared" si="1"/>
        <v>1904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32</v>
      </c>
      <c r="D13" s="48">
        <f t="shared" si="1"/>
        <v>9824</v>
      </c>
      <c r="F13" s="145" t="s">
        <v>36</v>
      </c>
      <c r="G13" s="146"/>
      <c r="H13" s="147">
        <f>D29</f>
        <v>586934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>
        <v>8</v>
      </c>
      <c r="D14" s="31">
        <f t="shared" si="1"/>
        <v>88</v>
      </c>
      <c r="F14" s="150" t="s">
        <v>39</v>
      </c>
      <c r="G14" s="151"/>
      <c r="H14" s="152">
        <f>D54</f>
        <v>80880.75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506053.25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f>3960</f>
        <v>3960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2">
        <v>70727</v>
      </c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84">
        <v>79918</v>
      </c>
      <c r="I26" s="184"/>
      <c r="J26" s="184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144</v>
      </c>
      <c r="C27" s="84">
        <v>12</v>
      </c>
      <c r="D27" s="44">
        <f t="shared" si="1"/>
        <v>444</v>
      </c>
      <c r="F27" s="71"/>
      <c r="G27" s="103"/>
      <c r="H27" s="237"/>
      <c r="I27" s="238"/>
      <c r="J27" s="238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586934</v>
      </c>
      <c r="F29" s="168" t="s">
        <v>55</v>
      </c>
      <c r="G29" s="169"/>
      <c r="H29" s="172">
        <f>H15-H16-H17-H18-H19-H20-H22-H23-H24+H26+H27+H28</f>
        <v>511284.25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200">
        <f t="shared" ref="H34:H39" si="2">F34*G34</f>
        <v>208000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200">
        <f t="shared" si="2"/>
        <v>221500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200">
        <f t="shared" si="2"/>
        <v>400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23</v>
      </c>
      <c r="D42" s="12">
        <f>C42*2.25</f>
        <v>51.75</v>
      </c>
      <c r="F42" s="39" t="s">
        <v>79</v>
      </c>
      <c r="G42" s="200">
        <v>38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84">
        <v>79918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14</v>
      </c>
      <c r="D46" s="12">
        <f>C46*1.5</f>
        <v>21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9</v>
      </c>
      <c r="D49" s="12">
        <f>C49*42</f>
        <v>378</v>
      </c>
      <c r="F49" s="225" t="s">
        <v>86</v>
      </c>
      <c r="G49" s="172">
        <f>H34+H35+H36+H37+H38+H39+H40+H41+G42+H44+H45+H46</f>
        <v>509906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11</v>
      </c>
      <c r="D50" s="12">
        <f>C50*1.5</f>
        <v>16.5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-1378.25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249</v>
      </c>
      <c r="D6" s="13">
        <f t="shared" ref="D6:D28" si="1">C6*L6</f>
        <v>183513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1</v>
      </c>
      <c r="D7" s="13">
        <f t="shared" si="1"/>
        <v>725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15</v>
      </c>
      <c r="D9" s="13">
        <f t="shared" si="1"/>
        <v>10605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11</v>
      </c>
      <c r="D13" s="48">
        <f t="shared" si="1"/>
        <v>3377</v>
      </c>
      <c r="F13" s="145" t="s">
        <v>36</v>
      </c>
      <c r="G13" s="146"/>
      <c r="H13" s="147">
        <f>D29</f>
        <v>198369.83333333334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3</v>
      </c>
      <c r="D14" s="31">
        <f t="shared" si="1"/>
        <v>33</v>
      </c>
      <c r="F14" s="150" t="s">
        <v>39</v>
      </c>
      <c r="G14" s="151"/>
      <c r="H14" s="152">
        <f>D54</f>
        <v>16148.25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182221.58333333334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1296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198369.83333333334</v>
      </c>
      <c r="F29" s="168" t="s">
        <v>55</v>
      </c>
      <c r="G29" s="169"/>
      <c r="H29" s="172">
        <f>H15-H16-H17-H18-H19-H20-H22-H23-H24+H26+H27</f>
        <v>180925.58333333334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200">
        <f>F34*G34</f>
        <v>121000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200">
        <f t="shared" ref="H35:H39" si="2">F35*G35</f>
        <v>60000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00">
        <f t="shared" si="2"/>
        <v>40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</v>
      </c>
      <c r="D42" s="12">
        <f>C42*2.25</f>
        <v>2.25</v>
      </c>
      <c r="F42" s="39" t="s">
        <v>79</v>
      </c>
      <c r="G42" s="200">
        <v>31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>
        <v>6</v>
      </c>
      <c r="D49" s="12">
        <f>C49*42</f>
        <v>252</v>
      </c>
      <c r="F49" s="225" t="s">
        <v>86</v>
      </c>
      <c r="G49" s="172">
        <f>H34+H35+H36+H37+H38+H39+H40+H41+G42+H44+H45+H46</f>
        <v>181221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155</v>
      </c>
      <c r="G51" s="229">
        <f>G49-H29</f>
        <v>295.41666666665697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16148.25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46002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326</v>
      </c>
      <c r="D6" s="13">
        <f t="shared" ref="D6:D28" si="1">C6*L6</f>
        <v>240262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8</v>
      </c>
      <c r="D7" s="13">
        <f t="shared" si="1"/>
        <v>5800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>
        <v>1</v>
      </c>
      <c r="D8" s="13">
        <f t="shared" si="1"/>
        <v>1033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108</v>
      </c>
      <c r="D9" s="13">
        <f t="shared" si="1"/>
        <v>76356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3</v>
      </c>
      <c r="D10" s="13">
        <f t="shared" si="1"/>
        <v>2916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5</v>
      </c>
      <c r="D12" s="48">
        <f t="shared" si="1"/>
        <v>4760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14</v>
      </c>
      <c r="D13" s="48">
        <f t="shared" si="1"/>
        <v>4298</v>
      </c>
      <c r="F13" s="145" t="s">
        <v>36</v>
      </c>
      <c r="G13" s="146"/>
      <c r="H13" s="147">
        <f>D29</f>
        <v>336863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18</v>
      </c>
      <c r="D14" s="31">
        <f t="shared" si="1"/>
        <v>198</v>
      </c>
      <c r="F14" s="150" t="s">
        <v>39</v>
      </c>
      <c r="G14" s="151"/>
      <c r="H14" s="152">
        <f>D54</f>
        <v>51703.5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>
        <v>2</v>
      </c>
      <c r="D15" s="31">
        <f t="shared" si="1"/>
        <v>1240</v>
      </c>
      <c r="F15" s="155" t="s">
        <v>40</v>
      </c>
      <c r="G15" s="146"/>
      <c r="H15" s="156">
        <f>H13-H14</f>
        <v>285159.5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330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98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336863</v>
      </c>
      <c r="F29" s="168" t="s">
        <v>55</v>
      </c>
      <c r="G29" s="169"/>
      <c r="H29" s="172">
        <f>H15-H16-H17-H18-H19-H20-H22-H23-H24+H26+H27</f>
        <v>284829.5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200">
        <f>F34*G34</f>
        <v>129000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200">
        <f>F35*G35</f>
        <v>31000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200">
        <f t="shared" si="2"/>
        <v>6000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00">
        <f t="shared" si="2"/>
        <v>750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200">
        <f t="shared" si="2"/>
        <v>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>
        <v>234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84">
        <v>118360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15</v>
      </c>
      <c r="D46" s="12">
        <f>C46*1.5</f>
        <v>22.5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285364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22</v>
      </c>
      <c r="D50" s="12">
        <f>C50*1.5</f>
        <v>33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534.5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51703.5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>
        <v>748</v>
      </c>
      <c r="D6" s="13">
        <f t="shared" ref="D6:D28" si="1">C6*L6</f>
        <v>551276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>
        <v>98</v>
      </c>
      <c r="D7" s="13">
        <f t="shared" si="1"/>
        <v>71050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>
        <v>5</v>
      </c>
      <c r="D8" s="13">
        <f t="shared" si="1"/>
        <v>5165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>
        <v>221</v>
      </c>
      <c r="D9" s="13">
        <f t="shared" si="1"/>
        <v>156247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>
        <v>10</v>
      </c>
      <c r="D11" s="13">
        <f t="shared" si="1"/>
        <v>11250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>
        <v>10</v>
      </c>
      <c r="D12" s="48">
        <f t="shared" si="1"/>
        <v>9520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>
        <v>15</v>
      </c>
      <c r="D13" s="48">
        <f t="shared" si="1"/>
        <v>4605</v>
      </c>
      <c r="F13" s="145" t="s">
        <v>36</v>
      </c>
      <c r="G13" s="146"/>
      <c r="H13" s="147">
        <f>D29</f>
        <v>813038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109269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703769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>
        <v>6150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>
        <v>5</v>
      </c>
      <c r="D28" s="48">
        <f t="shared" si="1"/>
        <v>3925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813038</v>
      </c>
      <c r="F29" s="168" t="s">
        <v>55</v>
      </c>
      <c r="G29" s="169"/>
      <c r="H29" s="172">
        <f>H15-H16-H17-H18-H19-H20-H22-H23-H24+H26+H27+H28</f>
        <v>697619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200">
        <f t="shared" ref="H34:H39" si="2">F34*G34</f>
        <v>32000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200">
        <f t="shared" si="2"/>
        <v>9000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200">
        <f t="shared" si="2"/>
        <v>300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10</v>
      </c>
      <c r="D42" s="12">
        <f>C42*2.25</f>
        <v>22.5</v>
      </c>
      <c r="F42" s="39" t="s">
        <v>79</v>
      </c>
      <c r="G42" s="200">
        <v>35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84">
        <v>656614</v>
      </c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697949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148</v>
      </c>
      <c r="G51" s="229">
        <f>G49-H29</f>
        <v>330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216</v>
      </c>
      <c r="D6" s="13">
        <f t="shared" ref="D6:D28" si="1">C6*L6</f>
        <v>159192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7</v>
      </c>
      <c r="D7" s="13">
        <f t="shared" si="1"/>
        <v>5075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31</v>
      </c>
      <c r="D9" s="13">
        <f t="shared" si="1"/>
        <v>21917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</v>
      </c>
      <c r="D10" s="13">
        <f t="shared" si="1"/>
        <v>972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v>1</v>
      </c>
      <c r="D12" s="48">
        <f t="shared" si="1"/>
        <v>952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4</v>
      </c>
      <c r="D13" s="48">
        <f t="shared" si="1"/>
        <v>1228</v>
      </c>
      <c r="F13" s="145" t="s">
        <v>36</v>
      </c>
      <c r="G13" s="146"/>
      <c r="H13" s="147">
        <f>D29</f>
        <v>189703.66666666666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13</v>
      </c>
      <c r="D14" s="31">
        <f t="shared" si="1"/>
        <v>143</v>
      </c>
      <c r="F14" s="150" t="s">
        <v>39</v>
      </c>
      <c r="G14" s="151"/>
      <c r="H14" s="152">
        <f>D54</f>
        <v>26337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163366.66666666666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v>672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>
        <v>2</v>
      </c>
      <c r="D25" s="48">
        <f t="shared" si="1"/>
        <v>224.66666666666666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189703.66666666666</v>
      </c>
      <c r="F29" s="168" t="s">
        <v>55</v>
      </c>
      <c r="G29" s="169"/>
      <c r="H29" s="172">
        <f>H15-H16-H17-H18-H19-H20-H22-H23-H24+H26+H27</f>
        <v>162694.66666666666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200">
        <f>F34*G34</f>
        <v>161000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200">
        <f t="shared" si="2"/>
        <v>100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00">
        <f t="shared" si="2"/>
        <v>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2</v>
      </c>
      <c r="D42" s="12">
        <f>C42*2.25</f>
        <v>4.5</v>
      </c>
      <c r="F42" s="39" t="s">
        <v>79</v>
      </c>
      <c r="G42" s="200">
        <v>241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>
        <v>1</v>
      </c>
      <c r="D45" s="12">
        <f>C45*84</f>
        <v>84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4</v>
      </c>
      <c r="D46" s="12">
        <f>C46*1.5</f>
        <v>6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161391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14</v>
      </c>
      <c r="D50" s="12">
        <f>C50*1.5</f>
        <v>21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-1303.666666666657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26337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46003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>
        <v>632</v>
      </c>
      <c r="D6" s="13">
        <f t="shared" ref="D6:D28" si="1">C6*L6</f>
        <v>465784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>
        <v>33</v>
      </c>
      <c r="D7" s="13">
        <f t="shared" si="1"/>
        <v>23925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>
        <v>115</v>
      </c>
      <c r="D9" s="13">
        <f t="shared" si="1"/>
        <v>81305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>
        <v>10</v>
      </c>
      <c r="D10" s="13">
        <f t="shared" si="1"/>
        <v>9720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>
        <f>9+2</f>
        <v>11</v>
      </c>
      <c r="D12" s="48">
        <f t="shared" si="1"/>
        <v>10472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>
        <v>26</v>
      </c>
      <c r="D13" s="48">
        <f t="shared" si="1"/>
        <v>7982</v>
      </c>
      <c r="F13" s="145" t="s">
        <v>36</v>
      </c>
      <c r="G13" s="146"/>
      <c r="H13" s="147">
        <f>D29</f>
        <v>599243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>
        <v>5</v>
      </c>
      <c r="D14" s="31">
        <f t="shared" si="1"/>
        <v>55</v>
      </c>
      <c r="F14" s="150" t="s">
        <v>39</v>
      </c>
      <c r="G14" s="151"/>
      <c r="H14" s="152">
        <f>D54</f>
        <v>81460.5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517782.5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>
        <f>1332+450+2448+330</f>
        <v>4560</v>
      </c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599243</v>
      </c>
      <c r="F29" s="168" t="s">
        <v>55</v>
      </c>
      <c r="G29" s="169"/>
      <c r="H29" s="172">
        <f>H15-H16-H17-H18-H19-H20-H22-H23-H24+H26+H27</f>
        <v>513222.5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200">
        <f>F34*G34</f>
        <v>244000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200">
        <f>F35*G35</f>
        <v>7000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00">
        <f t="shared" ref="H36:H39" si="2">F36*G36</f>
        <v>200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200">
        <f t="shared" si="2"/>
        <v>1600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200">
        <f t="shared" si="2"/>
        <v>250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200">
        <f t="shared" si="2"/>
        <v>120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>
        <v>8</v>
      </c>
      <c r="D42" s="12">
        <f>C42*2.25</f>
        <v>18</v>
      </c>
      <c r="F42" s="39" t="s">
        <v>79</v>
      </c>
      <c r="G42" s="200">
        <v>108</v>
      </c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84">
        <v>258855</v>
      </c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>
        <v>10</v>
      </c>
      <c r="D46" s="12">
        <f>C46*1.5</f>
        <v>15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512133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>
        <v>8</v>
      </c>
      <c r="D50" s="12">
        <f>C50*1.5</f>
        <v>12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-1089.5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81460.5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46004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07" t="s">
        <v>7</v>
      </c>
      <c r="B4" s="108"/>
      <c r="C4" s="108"/>
      <c r="D4" s="109"/>
      <c r="F4" s="110" t="s">
        <v>8</v>
      </c>
      <c r="G4" s="112"/>
      <c r="H4" s="114" t="s">
        <v>9</v>
      </c>
      <c r="I4" s="116"/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1"/>
      <c r="B6" s="16"/>
      <c r="C6" s="10"/>
      <c r="D6" s="13">
        <f t="shared" ref="D6:D28" si="1">C6*L6</f>
        <v>0</v>
      </c>
      <c r="F6" s="123" t="s">
        <v>16</v>
      </c>
      <c r="G6" s="125"/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1"/>
      <c r="B7" s="16"/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1"/>
      <c r="B8" s="16"/>
      <c r="C8" s="10"/>
      <c r="D8" s="13">
        <f t="shared" si="1"/>
        <v>0</v>
      </c>
      <c r="F8" s="131" t="s">
        <v>21</v>
      </c>
      <c r="G8" s="133"/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1"/>
      <c r="B9" s="16"/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1"/>
      <c r="C10" s="10"/>
      <c r="D10" s="13">
        <f t="shared" si="1"/>
        <v>0</v>
      </c>
      <c r="F10" s="123" t="s">
        <v>26</v>
      </c>
      <c r="G10" s="139"/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9" ht="15.75" x14ac:dyDescent="0.25">
      <c r="A11" s="121"/>
      <c r="B11" s="17"/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1"/>
      <c r="B12" s="17"/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1"/>
      <c r="B13" s="17"/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1"/>
      <c r="B14" s="14"/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1"/>
      <c r="B15" s="14"/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/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/>
      <c r="C19" s="10"/>
      <c r="D19" s="48">
        <f t="shared" si="1"/>
        <v>0</v>
      </c>
      <c r="F19" s="56"/>
      <c r="G19" s="68" t="s">
        <v>50</v>
      </c>
      <c r="H19" s="178"/>
      <c r="I19" s="178"/>
      <c r="J19" s="17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/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/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/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/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/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/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/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/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/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/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/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/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/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1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84"/>
      <c r="D6" s="13">
        <f t="shared" ref="D6:D28" si="1">C6*L6</f>
        <v>0</v>
      </c>
      <c r="F6" s="123" t="s">
        <v>16</v>
      </c>
      <c r="G6" s="125" t="s">
        <v>129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84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84"/>
      <c r="D8" s="13">
        <f t="shared" si="1"/>
        <v>0</v>
      </c>
      <c r="F8" s="131" t="s">
        <v>21</v>
      </c>
      <c r="G8" s="133" t="s">
        <v>112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84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84"/>
      <c r="D10" s="13">
        <f t="shared" si="1"/>
        <v>0</v>
      </c>
      <c r="F10" s="123" t="s">
        <v>26</v>
      </c>
      <c r="G10" s="139" t="s">
        <v>130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84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84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84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84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84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138</v>
      </c>
      <c r="C17" s="84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32"/>
      <c r="I19" s="132"/>
      <c r="J19" s="132"/>
      <c r="L19" s="6">
        <v>1102</v>
      </c>
      <c r="Q19" s="4"/>
      <c r="R19" s="5">
        <f t="shared" si="0"/>
        <v>0</v>
      </c>
    </row>
    <row r="20" spans="1:18" ht="15.75" x14ac:dyDescent="0.25">
      <c r="A20" s="12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127</v>
      </c>
      <c r="C22" s="84"/>
      <c r="D22" s="48">
        <f t="shared" si="1"/>
        <v>0</v>
      </c>
      <c r="F22" s="77"/>
      <c r="G22" s="73"/>
      <c r="H22" s="182"/>
      <c r="I22" s="182"/>
      <c r="J22" s="18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101</v>
      </c>
      <c r="C23" s="84"/>
      <c r="D23" s="48">
        <f t="shared" si="1"/>
        <v>0</v>
      </c>
      <c r="F23" s="77"/>
      <c r="G23" s="79"/>
      <c r="H23" s="235"/>
      <c r="I23" s="236"/>
      <c r="J23" s="2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121</v>
      </c>
      <c r="C24" s="84"/>
      <c r="D24" s="48">
        <f t="shared" si="1"/>
        <v>0</v>
      </c>
      <c r="F24" s="77"/>
      <c r="G24" s="79"/>
      <c r="H24" s="235"/>
      <c r="I24" s="236"/>
      <c r="J24" s="23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137</v>
      </c>
      <c r="C26" s="84"/>
      <c r="D26" s="48">
        <f t="shared" si="1"/>
        <v>0</v>
      </c>
      <c r="F26" s="75"/>
      <c r="G26" s="65"/>
      <c r="H26" s="184"/>
      <c r="I26" s="184"/>
      <c r="J26" s="184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110</v>
      </c>
      <c r="C27" s="84"/>
      <c r="D27" s="44">
        <f t="shared" si="1"/>
        <v>0</v>
      </c>
      <c r="F27" s="71"/>
      <c r="G27" s="103"/>
      <c r="H27" s="237"/>
      <c r="I27" s="238"/>
      <c r="J27" s="23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84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H15-H16-H17-H18-H19-H20-H22-H23-H24+H26+H27+H28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00">
        <f t="shared" ref="H34:H39" si="2"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si="2"/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si="2"/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184"/>
      <c r="I46" s="184"/>
      <c r="J46" s="184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131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2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141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114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115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93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6"/>
      <c r="I19" s="246"/>
      <c r="J19" s="24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32"/>
      <c r="I20" s="132"/>
      <c r="J20" s="13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2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25"/>
      <c r="G23" s="37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123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10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14"/>
      <c r="G27" s="14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 t="shared" ref="H35:H39" si="2"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62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62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10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132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6" t="s">
        <v>1</v>
      </c>
      <c r="O1" s="106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07" t="s">
        <v>7</v>
      </c>
      <c r="B4" s="108"/>
      <c r="C4" s="108"/>
      <c r="D4" s="109"/>
      <c r="F4" s="110" t="s">
        <v>8</v>
      </c>
      <c r="G4" s="112">
        <v>3</v>
      </c>
      <c r="H4" s="114" t="s">
        <v>9</v>
      </c>
      <c r="I4" s="116">
        <v>46006</v>
      </c>
      <c r="J4" s="11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0" t="s">
        <v>7</v>
      </c>
      <c r="B5" s="15" t="s">
        <v>11</v>
      </c>
      <c r="C5" s="9" t="s">
        <v>12</v>
      </c>
      <c r="D5" s="25" t="s">
        <v>13</v>
      </c>
      <c r="F5" s="111"/>
      <c r="G5" s="113"/>
      <c r="H5" s="115"/>
      <c r="I5" s="118"/>
      <c r="J5" s="11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1"/>
      <c r="B6" s="16" t="s">
        <v>15</v>
      </c>
      <c r="C6" s="10"/>
      <c r="D6" s="13">
        <f t="shared" ref="D6:D28" si="1">C6*L6</f>
        <v>0</v>
      </c>
      <c r="F6" s="123" t="s">
        <v>16</v>
      </c>
      <c r="G6" s="125" t="s">
        <v>111</v>
      </c>
      <c r="H6" s="126"/>
      <c r="I6" s="126"/>
      <c r="J6" s="12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1"/>
      <c r="B7" s="16" t="s">
        <v>18</v>
      </c>
      <c r="C7" s="10"/>
      <c r="D7" s="13">
        <f t="shared" si="1"/>
        <v>0</v>
      </c>
      <c r="F7" s="124"/>
      <c r="G7" s="128"/>
      <c r="H7" s="129"/>
      <c r="I7" s="129"/>
      <c r="J7" s="130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21"/>
      <c r="B8" s="16" t="s">
        <v>20</v>
      </c>
      <c r="C8" s="10"/>
      <c r="D8" s="13">
        <f t="shared" si="1"/>
        <v>0</v>
      </c>
      <c r="F8" s="131" t="s">
        <v>21</v>
      </c>
      <c r="G8" s="133" t="s">
        <v>119</v>
      </c>
      <c r="H8" s="134"/>
      <c r="I8" s="134"/>
      <c r="J8" s="135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21"/>
      <c r="B9" s="16" t="s">
        <v>23</v>
      </c>
      <c r="C9" s="10"/>
      <c r="D9" s="13">
        <f t="shared" si="1"/>
        <v>0</v>
      </c>
      <c r="F9" s="124"/>
      <c r="G9" s="136"/>
      <c r="H9" s="137"/>
      <c r="I9" s="137"/>
      <c r="J9" s="138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21"/>
      <c r="B10" t="s">
        <v>25</v>
      </c>
      <c r="C10" s="10"/>
      <c r="D10" s="13">
        <f t="shared" si="1"/>
        <v>0</v>
      </c>
      <c r="F10" s="123" t="s">
        <v>26</v>
      </c>
      <c r="G10" s="139" t="s">
        <v>135</v>
      </c>
      <c r="H10" s="140"/>
      <c r="I10" s="140"/>
      <c r="J10" s="141"/>
      <c r="K10" s="8"/>
      <c r="L10" s="6">
        <f>R36</f>
        <v>972</v>
      </c>
      <c r="P10" s="4"/>
      <c r="Q10" s="4"/>
      <c r="R10" s="5"/>
    </row>
    <row r="11" spans="1:18" ht="15.75" x14ac:dyDescent="0.25">
      <c r="A11" s="121"/>
      <c r="B11" s="17" t="s">
        <v>28</v>
      </c>
      <c r="C11" s="10"/>
      <c r="D11" s="13">
        <f t="shared" si="1"/>
        <v>0</v>
      </c>
      <c r="F11" s="124"/>
      <c r="G11" s="136"/>
      <c r="H11" s="137"/>
      <c r="I11" s="137"/>
      <c r="J11" s="13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1"/>
      <c r="B12" s="17" t="s">
        <v>30</v>
      </c>
      <c r="C12" s="10"/>
      <c r="D12" s="48">
        <f t="shared" si="1"/>
        <v>0</v>
      </c>
      <c r="F12" s="142" t="s">
        <v>33</v>
      </c>
      <c r="G12" s="143"/>
      <c r="H12" s="143"/>
      <c r="I12" s="143"/>
      <c r="J12" s="14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1"/>
      <c r="B13" s="17" t="s">
        <v>32</v>
      </c>
      <c r="C13" s="10"/>
      <c r="D13" s="48">
        <f t="shared" si="1"/>
        <v>0</v>
      </c>
      <c r="F13" s="145" t="s">
        <v>36</v>
      </c>
      <c r="G13" s="146"/>
      <c r="H13" s="147">
        <f>D29</f>
        <v>0</v>
      </c>
      <c r="I13" s="148"/>
      <c r="J13" s="14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1"/>
      <c r="B14" s="14" t="s">
        <v>35</v>
      </c>
      <c r="C14" s="10"/>
      <c r="D14" s="31">
        <f t="shared" si="1"/>
        <v>0</v>
      </c>
      <c r="F14" s="150" t="s">
        <v>39</v>
      </c>
      <c r="G14" s="151"/>
      <c r="H14" s="152">
        <f>D54</f>
        <v>0</v>
      </c>
      <c r="I14" s="153"/>
      <c r="J14" s="15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1"/>
      <c r="B15" s="14" t="s">
        <v>38</v>
      </c>
      <c r="C15" s="10"/>
      <c r="D15" s="31">
        <f t="shared" si="1"/>
        <v>0</v>
      </c>
      <c r="F15" s="155" t="s">
        <v>40</v>
      </c>
      <c r="G15" s="146"/>
      <c r="H15" s="156">
        <f>H13-H14</f>
        <v>0</v>
      </c>
      <c r="I15" s="157"/>
      <c r="J15" s="15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9"/>
      <c r="I16" s="159"/>
      <c r="J16" s="15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1"/>
      <c r="B17" t="s">
        <v>113</v>
      </c>
      <c r="C17" s="10"/>
      <c r="D17" s="48">
        <f t="shared" si="1"/>
        <v>0</v>
      </c>
      <c r="F17" s="56"/>
      <c r="G17" s="66" t="s">
        <v>45</v>
      </c>
      <c r="H17" s="132"/>
      <c r="I17" s="132"/>
      <c r="J17" s="13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32"/>
      <c r="I18" s="132"/>
      <c r="J18" s="13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9"/>
      <c r="I20" s="159"/>
      <c r="J20" s="15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2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9" t="s">
        <v>13</v>
      </c>
      <c r="I21" s="180"/>
      <c r="J21" s="18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1"/>
      <c r="B22" s="46" t="s">
        <v>104</v>
      </c>
      <c r="C22" s="10"/>
      <c r="D22" s="48">
        <f t="shared" si="1"/>
        <v>0</v>
      </c>
      <c r="F22" s="77"/>
      <c r="G22" s="73"/>
      <c r="H22" s="182"/>
      <c r="I22" s="182"/>
      <c r="J22" s="18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21"/>
      <c r="B23" s="14" t="s">
        <v>107</v>
      </c>
      <c r="C23" s="10"/>
      <c r="D23" s="48">
        <f t="shared" si="1"/>
        <v>0</v>
      </c>
      <c r="F23" s="78"/>
      <c r="G23" s="79"/>
      <c r="H23" s="183"/>
      <c r="I23" s="184"/>
      <c r="J23" s="18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21"/>
      <c r="B24" s="14" t="s">
        <v>101</v>
      </c>
      <c r="C24" s="10"/>
      <c r="D24" s="48">
        <f t="shared" si="1"/>
        <v>0</v>
      </c>
      <c r="F24" s="38"/>
      <c r="G24" s="37"/>
      <c r="H24" s="183"/>
      <c r="I24" s="184"/>
      <c r="J24" s="18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2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85" t="s">
        <v>13</v>
      </c>
      <c r="I25" s="186"/>
      <c r="J25" s="18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21"/>
      <c r="B26" s="14" t="s">
        <v>105</v>
      </c>
      <c r="C26" s="10"/>
      <c r="D26" s="48">
        <f t="shared" si="1"/>
        <v>0</v>
      </c>
      <c r="F26" s="64"/>
      <c r="G26" s="59"/>
      <c r="H26" s="188"/>
      <c r="I26" s="189"/>
      <c r="J26" s="19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1"/>
      <c r="B27" s="14" t="s">
        <v>109</v>
      </c>
      <c r="C27" s="10"/>
      <c r="D27" s="44">
        <f t="shared" si="1"/>
        <v>0</v>
      </c>
      <c r="F27" s="25"/>
      <c r="G27" s="80"/>
      <c r="H27" s="191"/>
      <c r="I27" s="192"/>
      <c r="J27" s="19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22"/>
      <c r="B28" s="46" t="s">
        <v>97</v>
      </c>
      <c r="C28" s="10"/>
      <c r="D28" s="48">
        <f t="shared" si="1"/>
        <v>0</v>
      </c>
      <c r="F28" s="100"/>
      <c r="G28" s="61"/>
      <c r="H28" s="194"/>
      <c r="I28" s="195"/>
      <c r="J28" s="19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0" t="s">
        <v>36</v>
      </c>
      <c r="B29" s="161"/>
      <c r="C29" s="162"/>
      <c r="D29" s="166">
        <f>SUM(D6:D28)</f>
        <v>0</v>
      </c>
      <c r="F29" s="168" t="s">
        <v>55</v>
      </c>
      <c r="G29" s="169"/>
      <c r="H29" s="172">
        <f>H15-H16-H17-H18-H19-H20-H22-H23-H24+H26+H27</f>
        <v>0</v>
      </c>
      <c r="I29" s="173"/>
      <c r="J29" s="17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3"/>
      <c r="B30" s="164"/>
      <c r="C30" s="165"/>
      <c r="D30" s="167"/>
      <c r="F30" s="170"/>
      <c r="G30" s="171"/>
      <c r="H30" s="175"/>
      <c r="I30" s="176"/>
      <c r="J30" s="17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07" t="s">
        <v>58</v>
      </c>
      <c r="B32" s="108"/>
      <c r="C32" s="108"/>
      <c r="D32" s="109"/>
      <c r="F32" s="197" t="s">
        <v>59</v>
      </c>
      <c r="G32" s="198"/>
      <c r="H32" s="198"/>
      <c r="I32" s="198"/>
      <c r="J32" s="19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97" t="s">
        <v>13</v>
      </c>
      <c r="I33" s="198"/>
      <c r="J33" s="19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00">
        <f>F34*G34</f>
        <v>0</v>
      </c>
      <c r="I34" s="201"/>
      <c r="J34" s="20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1"/>
      <c r="B35" s="27" t="s">
        <v>68</v>
      </c>
      <c r="C35" s="52"/>
      <c r="D35" s="30">
        <f>C35*84</f>
        <v>0</v>
      </c>
      <c r="F35" s="58">
        <v>500</v>
      </c>
      <c r="G35" s="41"/>
      <c r="H35" s="200">
        <f>F35*G35</f>
        <v>0</v>
      </c>
      <c r="I35" s="201"/>
      <c r="J35" s="20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22"/>
      <c r="B36" s="26" t="s">
        <v>70</v>
      </c>
      <c r="C36" s="10"/>
      <c r="D36" s="12">
        <f>C36*1.5</f>
        <v>0</v>
      </c>
      <c r="F36" s="12">
        <v>200</v>
      </c>
      <c r="G36" s="37"/>
      <c r="H36" s="200">
        <f t="shared" ref="H36:H39" si="2">F36*G36</f>
        <v>0</v>
      </c>
      <c r="I36" s="201"/>
      <c r="J36" s="20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00">
        <f t="shared" si="2"/>
        <v>0</v>
      </c>
      <c r="I37" s="201"/>
      <c r="J37" s="20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1"/>
      <c r="B38" s="29" t="s">
        <v>68</v>
      </c>
      <c r="C38" s="54"/>
      <c r="D38" s="12">
        <f>C38*84</f>
        <v>0</v>
      </c>
      <c r="F38" s="30">
        <v>50</v>
      </c>
      <c r="G38" s="39"/>
      <c r="H38" s="200">
        <f t="shared" si="2"/>
        <v>0</v>
      </c>
      <c r="I38" s="201"/>
      <c r="J38" s="20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2"/>
      <c r="B39" s="29" t="s">
        <v>70</v>
      </c>
      <c r="C39" s="52"/>
      <c r="D39" s="31">
        <f>C39*4.5</f>
        <v>0</v>
      </c>
      <c r="F39" s="12">
        <v>20</v>
      </c>
      <c r="G39" s="37"/>
      <c r="H39" s="200">
        <f t="shared" si="2"/>
        <v>0</v>
      </c>
      <c r="I39" s="201"/>
      <c r="J39" s="20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2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00"/>
      <c r="I40" s="201"/>
      <c r="J40" s="20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1"/>
      <c r="B41" s="27" t="s">
        <v>68</v>
      </c>
      <c r="C41" s="10"/>
      <c r="D41" s="12">
        <f>C41*84</f>
        <v>0</v>
      </c>
      <c r="F41" s="12">
        <v>5</v>
      </c>
      <c r="G41" s="42"/>
      <c r="H41" s="200"/>
      <c r="I41" s="201"/>
      <c r="J41" s="20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2"/>
      <c r="B42" s="27" t="s">
        <v>70</v>
      </c>
      <c r="C42" s="11"/>
      <c r="D42" s="12">
        <f>C42*2.25</f>
        <v>0</v>
      </c>
      <c r="F42" s="39" t="s">
        <v>79</v>
      </c>
      <c r="G42" s="200"/>
      <c r="H42" s="201"/>
      <c r="I42" s="201"/>
      <c r="J42" s="20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3" t="s">
        <v>81</v>
      </c>
      <c r="C43" s="11"/>
      <c r="D43" s="12"/>
      <c r="F43" s="59" t="s">
        <v>82</v>
      </c>
      <c r="G43" s="103" t="s">
        <v>83</v>
      </c>
      <c r="H43" s="206" t="s">
        <v>13</v>
      </c>
      <c r="I43" s="207"/>
      <c r="J43" s="208"/>
      <c r="K43" s="21"/>
      <c r="P43" s="4"/>
      <c r="Q43" s="4"/>
      <c r="R43" s="5"/>
    </row>
    <row r="44" spans="1:18" ht="15.75" x14ac:dyDescent="0.25">
      <c r="A44" s="204"/>
      <c r="B44" s="27" t="s">
        <v>66</v>
      </c>
      <c r="C44" s="10"/>
      <c r="D44" s="12">
        <f>C44*120</f>
        <v>0</v>
      </c>
      <c r="F44" s="37"/>
      <c r="G44" s="76"/>
      <c r="H44" s="184"/>
      <c r="I44" s="184"/>
      <c r="J44" s="184"/>
      <c r="K44" s="21"/>
      <c r="P44" s="4"/>
      <c r="Q44" s="4"/>
      <c r="R44" s="5"/>
    </row>
    <row r="45" spans="1:18" ht="15.75" x14ac:dyDescent="0.25">
      <c r="A45" s="204"/>
      <c r="B45" s="27" t="s">
        <v>68</v>
      </c>
      <c r="C45" s="33"/>
      <c r="D45" s="12">
        <f>C45*84</f>
        <v>0</v>
      </c>
      <c r="F45" s="37"/>
      <c r="G45" s="76"/>
      <c r="H45" s="184"/>
      <c r="I45" s="184"/>
      <c r="J45" s="184"/>
      <c r="K45" s="21"/>
      <c r="P45" s="4"/>
      <c r="Q45" s="4"/>
      <c r="R45" s="5"/>
    </row>
    <row r="46" spans="1:18" ht="15.75" x14ac:dyDescent="0.25">
      <c r="A46" s="204"/>
      <c r="B46" s="49" t="s">
        <v>70</v>
      </c>
      <c r="C46" s="81"/>
      <c r="D46" s="12">
        <f>C46*1.5</f>
        <v>0</v>
      </c>
      <c r="F46" s="37"/>
      <c r="G46" s="62"/>
      <c r="H46" s="209"/>
      <c r="I46" s="209"/>
      <c r="J46" s="209"/>
      <c r="K46" s="21"/>
      <c r="P46" s="4"/>
      <c r="Q46" s="4"/>
      <c r="R46" s="5"/>
    </row>
    <row r="47" spans="1:18" ht="15.75" x14ac:dyDescent="0.25">
      <c r="A47" s="205"/>
      <c r="B47" s="27"/>
      <c r="C47" s="11"/>
      <c r="D47" s="12"/>
      <c r="F47" s="59"/>
      <c r="G47" s="59"/>
      <c r="H47" s="210"/>
      <c r="I47" s="211"/>
      <c r="J47" s="212"/>
      <c r="K47" s="21"/>
      <c r="P47" s="4"/>
      <c r="Q47" s="4"/>
      <c r="R47" s="5"/>
    </row>
    <row r="48" spans="1:18" ht="15" customHeight="1" x14ac:dyDescent="0.25">
      <c r="A48" s="203" t="s">
        <v>32</v>
      </c>
      <c r="B48" s="27" t="s">
        <v>66</v>
      </c>
      <c r="C48" s="10"/>
      <c r="D48" s="12">
        <f>C48*78</f>
        <v>0</v>
      </c>
      <c r="F48" s="59"/>
      <c r="G48" s="59"/>
      <c r="H48" s="210"/>
      <c r="I48" s="211"/>
      <c r="J48" s="21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04"/>
      <c r="B49" s="29" t="s">
        <v>68</v>
      </c>
      <c r="C49" s="33"/>
      <c r="D49" s="12">
        <f>C49*42</f>
        <v>0</v>
      </c>
      <c r="F49" s="225" t="s">
        <v>86</v>
      </c>
      <c r="G49" s="172">
        <f>H34+H35+H36+H37+H38+H39+H40+H41+G42+H44+H45+H46</f>
        <v>0</v>
      </c>
      <c r="H49" s="173"/>
      <c r="I49" s="173"/>
      <c r="J49" s="17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4"/>
      <c r="B50" s="32" t="s">
        <v>70</v>
      </c>
      <c r="C50" s="11"/>
      <c r="D50" s="12">
        <f>C50*1.5</f>
        <v>0</v>
      </c>
      <c r="F50" s="226"/>
      <c r="G50" s="175"/>
      <c r="H50" s="176"/>
      <c r="I50" s="176"/>
      <c r="J50" s="177"/>
      <c r="P50" s="4"/>
      <c r="Q50" s="4"/>
      <c r="R50" s="5"/>
    </row>
    <row r="51" spans="1:18" ht="15" customHeight="1" x14ac:dyDescent="0.25">
      <c r="A51" s="204"/>
      <c r="B51" s="27"/>
      <c r="C51" s="10"/>
      <c r="D51" s="31"/>
      <c r="F51" s="227" t="s">
        <v>140</v>
      </c>
      <c r="G51" s="240">
        <f>G49-H29</f>
        <v>0</v>
      </c>
      <c r="H51" s="241"/>
      <c r="I51" s="241"/>
      <c r="J51" s="24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4"/>
      <c r="B52" s="29"/>
      <c r="C52" s="33"/>
      <c r="D52" s="45"/>
      <c r="F52" s="228"/>
      <c r="G52" s="243"/>
      <c r="H52" s="244"/>
      <c r="I52" s="244"/>
      <c r="J52" s="24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68" t="s">
        <v>90</v>
      </c>
      <c r="B54" s="213"/>
      <c r="C54" s="214"/>
      <c r="D54" s="217">
        <f>SUM(D34:D53)</f>
        <v>0</v>
      </c>
      <c r="F54" s="21"/>
      <c r="J54" s="34"/>
    </row>
    <row r="55" spans="1:18" x14ac:dyDescent="0.25">
      <c r="A55" s="170"/>
      <c r="B55" s="215"/>
      <c r="C55" s="216"/>
      <c r="D55" s="2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19" t="s">
        <v>91</v>
      </c>
      <c r="B58" s="220"/>
      <c r="C58" s="220"/>
      <c r="D58" s="221"/>
      <c r="F58" s="219" t="s">
        <v>92</v>
      </c>
      <c r="G58" s="220"/>
      <c r="H58" s="220"/>
      <c r="I58" s="220"/>
      <c r="J58" s="221"/>
    </row>
    <row r="59" spans="1:18" x14ac:dyDescent="0.25">
      <c r="A59" s="222"/>
      <c r="B59" s="223"/>
      <c r="C59" s="223"/>
      <c r="D59" s="224"/>
      <c r="F59" s="222"/>
      <c r="G59" s="223"/>
      <c r="H59" s="223"/>
      <c r="I59" s="223"/>
      <c r="J59" s="2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2025-12-13T00:38:30Z</cp:lastPrinted>
  <dcterms:created xsi:type="dcterms:W3CDTF">2024-09-01T23:36:50Z</dcterms:created>
  <dcterms:modified xsi:type="dcterms:W3CDTF">2025-12-13T00:38:35Z</dcterms:modified>
</cp:coreProperties>
</file>