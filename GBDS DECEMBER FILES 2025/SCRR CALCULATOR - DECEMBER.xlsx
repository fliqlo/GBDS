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D7B5A77-E462-4B72-929B-1053939232CA}" xr6:coauthVersionLast="45" xr6:coauthVersionMax="47" xr10:uidLastSave="{00000000-0000-0000-0000-000000000000}"/>
  <bookViews>
    <workbookView xWindow="-120" yWindow="-120" windowWidth="29040" windowHeight="15840" firstSheet="16" activeTab="28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29" i="1560" s="1"/>
  <c r="H13" i="1560" s="1"/>
  <c r="H15" i="1560" s="1"/>
  <c r="H29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G49" i="1560" s="1"/>
  <c r="G51" i="1560" s="1"/>
  <c r="D36" i="1560"/>
  <c r="R35" i="1560"/>
  <c r="L19" i="1560" s="1"/>
  <c r="D19" i="1560" s="1"/>
  <c r="H35" i="1560"/>
  <c r="D35" i="1560"/>
  <c r="R34" i="1560"/>
  <c r="H34" i="1560"/>
  <c r="D34" i="1560"/>
  <c r="D54" i="1560" s="1"/>
  <c r="H14" i="1560" s="1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G49" i="1559" s="1"/>
  <c r="D34" i="1559"/>
  <c r="D54" i="1559" s="1"/>
  <c r="H14" i="1559" s="1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L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D29" i="1559" s="1"/>
  <c r="H13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D54" i="1558" s="1"/>
  <c r="H14" i="1558" s="1"/>
  <c r="R35" i="1558"/>
  <c r="H35" i="1558"/>
  <c r="D35" i="1558"/>
  <c r="R34" i="1558"/>
  <c r="H34" i="1558"/>
  <c r="G49" i="1558" s="1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G49" i="1556" s="1"/>
  <c r="D34" i="1556"/>
  <c r="D54" i="1556" s="1"/>
  <c r="H14" i="1556" s="1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D54" i="1555" s="1"/>
  <c r="H14" i="1555" s="1"/>
  <c r="R34" i="1555"/>
  <c r="L12" i="1555" s="1"/>
  <c r="D12" i="1555" s="1"/>
  <c r="H34" i="1555"/>
  <c r="G49" i="1555" s="1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L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D54" i="1554" s="1"/>
  <c r="H14" i="1554" s="1"/>
  <c r="R35" i="1554"/>
  <c r="H35" i="1554"/>
  <c r="D35" i="1554"/>
  <c r="R34" i="1554"/>
  <c r="H34" i="1554"/>
  <c r="G49" i="1554" s="1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D54" i="1552"/>
  <c r="H14" i="1552" s="1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D54" i="1551" s="1"/>
  <c r="H14" i="1551" s="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L25" i="1551"/>
  <c r="D25" i="1551" s="1"/>
  <c r="R24" i="1551"/>
  <c r="L24" i="1551"/>
  <c r="D24" i="1551"/>
  <c r="R23" i="1551"/>
  <c r="L23" i="1551"/>
  <c r="D23" i="1551"/>
  <c r="R22" i="1551"/>
  <c r="L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D54" i="1550" s="1"/>
  <c r="H14" i="1550" s="1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L24" i="1550"/>
  <c r="D24" i="1550" s="1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G49" i="1548" s="1"/>
  <c r="D34" i="1548"/>
  <c r="D54" i="1548" s="1"/>
  <c r="H14" i="1548" s="1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G49" i="1547" s="1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D54" i="1547" s="1"/>
  <c r="H14" i="1547" s="1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G49" i="1546" s="1"/>
  <c r="D34" i="1546"/>
  <c r="D54" i="1546" s="1"/>
  <c r="H14" i="1546" s="1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D54" i="1544" s="1"/>
  <c r="H14" i="1544" s="1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G49" i="1543" s="1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D54" i="1543" s="1"/>
  <c r="H14" i="1543" s="1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G49" i="1542" s="1"/>
  <c r="D34" i="1542"/>
  <c r="D54" i="1542" s="1"/>
  <c r="H14" i="1542" s="1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D29" i="1564" l="1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H15" i="1559"/>
  <c r="H29" i="1559" s="1"/>
  <c r="G51" i="1559"/>
  <c r="D29" i="1558"/>
  <c r="H13" i="1558" s="1"/>
  <c r="H15" i="1558" s="1"/>
  <c r="H29" i="1558" s="1"/>
  <c r="G51" i="1558" s="1"/>
  <c r="D29" i="1557"/>
  <c r="H13" i="1557" s="1"/>
  <c r="H15" i="1557" s="1"/>
  <c r="H29" i="1557" s="1"/>
  <c r="G51" i="1557" s="1"/>
  <c r="D29" i="1556"/>
  <c r="H13" i="1556" s="1"/>
  <c r="H15" i="1556" s="1"/>
  <c r="H29" i="1556" s="1"/>
  <c r="G51" i="1556" s="1"/>
  <c r="D29" i="1555"/>
  <c r="H13" i="1555" s="1"/>
  <c r="H15" i="1555" s="1"/>
  <c r="H29" i="1555" s="1"/>
  <c r="G51" i="1555" s="1"/>
  <c r="D29" i="1554"/>
  <c r="H13" i="1554" s="1"/>
  <c r="H15" i="1554" s="1"/>
  <c r="H29" i="1554" s="1"/>
  <c r="G51" i="1554" s="1"/>
  <c r="D29" i="1553"/>
  <c r="H13" i="1553" s="1"/>
  <c r="H15" i="1553" s="1"/>
  <c r="H29" i="1553" s="1"/>
  <c r="G51" i="1553" s="1"/>
  <c r="D29" i="1552"/>
  <c r="H13" i="1552" s="1"/>
  <c r="H15" i="1552" s="1"/>
  <c r="H29" i="1552" s="1"/>
  <c r="G51" i="1552" s="1"/>
  <c r="D29" i="1551"/>
  <c r="H13" i="1551" s="1"/>
  <c r="H15" i="1551" s="1"/>
  <c r="H29" i="1551" s="1"/>
  <c r="G51" i="1551" s="1"/>
  <c r="D29" i="1550"/>
  <c r="H13" i="1550" s="1"/>
  <c r="H15" i="1550" s="1"/>
  <c r="H29" i="1550" s="1"/>
  <c r="G51" i="1550" s="1"/>
  <c r="D29" i="1549"/>
  <c r="H13" i="1549" s="1"/>
  <c r="H15" i="1549" s="1"/>
  <c r="H29" i="1549" s="1"/>
  <c r="G51" i="1549" s="1"/>
  <c r="D29" i="1548"/>
  <c r="H13" i="1548" s="1"/>
  <c r="H15" i="1548" s="1"/>
  <c r="H29" i="1548" s="1"/>
  <c r="G51" i="1548"/>
  <c r="D29" i="1547"/>
  <c r="H13" i="1547" s="1"/>
  <c r="H15" i="1547" s="1"/>
  <c r="H29" i="1547" s="1"/>
  <c r="G51" i="1547" s="1"/>
  <c r="D29" i="1546"/>
  <c r="H13" i="1546" s="1"/>
  <c r="H15" i="1546" s="1"/>
  <c r="H29" i="1546" s="1"/>
  <c r="G51" i="1546"/>
  <c r="D29" i="1545"/>
  <c r="H13" i="1545" s="1"/>
  <c r="H15" i="1545" s="1"/>
  <c r="H29" i="1545" s="1"/>
  <c r="G51" i="1545" s="1"/>
  <c r="D29" i="1544"/>
  <c r="H13" i="1544" s="1"/>
  <c r="H15" i="1544" s="1"/>
  <c r="H29" i="1544" s="1"/>
  <c r="G51" i="1544" s="1"/>
  <c r="D29" i="1543"/>
  <c r="H13" i="1543" s="1"/>
  <c r="H15" i="1543" s="1"/>
  <c r="H29" i="1543" s="1"/>
  <c r="G51" i="1543" s="1"/>
  <c r="D29" i="1542"/>
  <c r="H13" i="1542" s="1"/>
  <c r="H15" i="1542" s="1"/>
  <c r="H29" i="1542" s="1"/>
  <c r="G51" i="1542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G51" i="1539" l="1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</calcChain>
</file>

<file path=xl/sharedStrings.xml><?xml version="1.0" encoding="utf-8"?>
<sst xmlns="http://schemas.openxmlformats.org/spreadsheetml/2006/main" count="3668" uniqueCount="143">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</sst>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85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86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45992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88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85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45993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45994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45995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45996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45997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6" t="s">
        <v>7</v>
      </c>
      <c r="B4" s="97"/>
      <c r="C4" s="97"/>
      <c r="D4" s="98"/>
      <c r="F4" s="99" t="s">
        <v>8</v>
      </c>
      <c r="G4" s="101"/>
      <c r="H4" s="103" t="s">
        <v>9</v>
      </c>
      <c r="I4" s="105"/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0"/>
      <c r="B6" s="16"/>
      <c r="C6" s="10"/>
      <c r="D6" s="13">
        <f t="shared" ref="D6:D28" si="1">C6*L6</f>
        <v>0</v>
      </c>
      <c r="F6" s="112" t="s">
        <v>16</v>
      </c>
      <c r="G6" s="114"/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0"/>
      <c r="B7" s="16"/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0"/>
      <c r="B8" s="16"/>
      <c r="C8" s="10"/>
      <c r="D8" s="13">
        <f t="shared" si="1"/>
        <v>0</v>
      </c>
      <c r="F8" s="120" t="s">
        <v>21</v>
      </c>
      <c r="G8" s="122"/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0"/>
      <c r="B9" s="16"/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0"/>
      <c r="C10" s="10"/>
      <c r="D10" s="13">
        <f t="shared" si="1"/>
        <v>0</v>
      </c>
      <c r="F10" s="112" t="s">
        <v>26</v>
      </c>
      <c r="G10" s="128"/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9" ht="15.75" x14ac:dyDescent="0.25">
      <c r="A11" s="110"/>
      <c r="B11" s="17"/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0"/>
      <c r="B12" s="17"/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0"/>
      <c r="B13" s="17"/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0"/>
      <c r="B14" s="14"/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0"/>
      <c r="B15" s="14"/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/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/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/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/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/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/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/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/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/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/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/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/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128</v>
      </c>
      <c r="G51" s="218">
        <f>G49-H29</f>
        <v>0</v>
      </c>
      <c r="H51" s="219"/>
      <c r="I51" s="219"/>
      <c r="J51" s="22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21"/>
      <c r="H52" s="222"/>
      <c r="I52" s="222"/>
      <c r="J52" s="22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1</v>
      </c>
      <c r="H4" s="103" t="s">
        <v>9</v>
      </c>
      <c r="I4" s="105">
        <v>45999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84"/>
      <c r="D6" s="13">
        <f t="shared" ref="D6:D28" si="1">C6*L6</f>
        <v>0</v>
      </c>
      <c r="F6" s="112" t="s">
        <v>16</v>
      </c>
      <c r="G6" s="114" t="s">
        <v>129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84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84"/>
      <c r="D8" s="13">
        <f t="shared" si="1"/>
        <v>0</v>
      </c>
      <c r="F8" s="120" t="s">
        <v>21</v>
      </c>
      <c r="G8" s="122" t="s">
        <v>112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84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84"/>
      <c r="D10" s="13">
        <f t="shared" si="1"/>
        <v>0</v>
      </c>
      <c r="F10" s="112" t="s">
        <v>26</v>
      </c>
      <c r="G10" s="128" t="s">
        <v>130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84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84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84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84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84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138</v>
      </c>
      <c r="C17" s="84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21"/>
      <c r="I19" s="121"/>
      <c r="J19" s="121"/>
      <c r="L19" s="6">
        <v>1102</v>
      </c>
      <c r="Q19" s="4"/>
      <c r="R19" s="5">
        <f t="shared" si="0"/>
        <v>0</v>
      </c>
    </row>
    <row r="20" spans="1:18" ht="15.75" x14ac:dyDescent="0.25">
      <c r="A20" s="11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101</v>
      </c>
      <c r="C23" s="84"/>
      <c r="D23" s="48">
        <f t="shared" si="1"/>
        <v>0</v>
      </c>
      <c r="F23" s="77"/>
      <c r="G23" s="79"/>
      <c r="H23" s="224"/>
      <c r="I23" s="225"/>
      <c r="J23" s="22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121</v>
      </c>
      <c r="C24" s="84"/>
      <c r="D24" s="48">
        <f t="shared" si="1"/>
        <v>0</v>
      </c>
      <c r="F24" s="77"/>
      <c r="G24" s="79"/>
      <c r="H24" s="224"/>
      <c r="I24" s="225"/>
      <c r="J24" s="22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137</v>
      </c>
      <c r="C26" s="84"/>
      <c r="D26" s="48">
        <f t="shared" si="1"/>
        <v>0</v>
      </c>
      <c r="F26" s="75"/>
      <c r="G26" s="65"/>
      <c r="H26" s="173"/>
      <c r="I26" s="173"/>
      <c r="J26" s="17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110</v>
      </c>
      <c r="C27" s="84"/>
      <c r="D27" s="44">
        <f t="shared" si="1"/>
        <v>0</v>
      </c>
      <c r="F27" s="71"/>
      <c r="G27" s="90"/>
      <c r="H27" s="226"/>
      <c r="I27" s="227"/>
      <c r="J27" s="22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84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H15-H16-H17-H18-H19-H20-H22-H23-H24+H26+H27+H28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9">
        <f t="shared" ref="H34:H39" si="2"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si="2"/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si="2"/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73"/>
      <c r="I46" s="173"/>
      <c r="J46" s="173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131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2</v>
      </c>
      <c r="H4" s="103" t="s">
        <v>9</v>
      </c>
      <c r="I4" s="105">
        <v>45999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141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114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115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93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28"/>
      <c r="I19" s="228"/>
      <c r="J19" s="22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1"/>
      <c r="I20" s="121"/>
      <c r="J20" s="12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25"/>
      <c r="G23" s="37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123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10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14"/>
      <c r="G27" s="14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 t="shared" ref="H35:H39" si="2"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62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62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91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132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5" t="s">
        <v>1</v>
      </c>
      <c r="O1" s="9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6" t="s">
        <v>7</v>
      </c>
      <c r="B4" s="97"/>
      <c r="C4" s="97"/>
      <c r="D4" s="98"/>
      <c r="F4" s="99" t="s">
        <v>8</v>
      </c>
      <c r="G4" s="101">
        <v>3</v>
      </c>
      <c r="H4" s="103" t="s">
        <v>9</v>
      </c>
      <c r="I4" s="105">
        <v>45999</v>
      </c>
      <c r="J4" s="1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9" t="s">
        <v>7</v>
      </c>
      <c r="B5" s="15" t="s">
        <v>11</v>
      </c>
      <c r="C5" s="9" t="s">
        <v>12</v>
      </c>
      <c r="D5" s="25" t="s">
        <v>13</v>
      </c>
      <c r="F5" s="100"/>
      <c r="G5" s="102"/>
      <c r="H5" s="104"/>
      <c r="I5" s="107"/>
      <c r="J5" s="1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0"/>
      <c r="B6" s="16" t="s">
        <v>15</v>
      </c>
      <c r="C6" s="10"/>
      <c r="D6" s="13">
        <f t="shared" ref="D6:D28" si="1">C6*L6</f>
        <v>0</v>
      </c>
      <c r="F6" s="112" t="s">
        <v>16</v>
      </c>
      <c r="G6" s="114" t="s">
        <v>111</v>
      </c>
      <c r="H6" s="115"/>
      <c r="I6" s="115"/>
      <c r="J6" s="1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0"/>
      <c r="B7" s="16" t="s">
        <v>18</v>
      </c>
      <c r="C7" s="10"/>
      <c r="D7" s="13">
        <f t="shared" si="1"/>
        <v>0</v>
      </c>
      <c r="F7" s="113"/>
      <c r="G7" s="117"/>
      <c r="H7" s="118"/>
      <c r="I7" s="118"/>
      <c r="J7" s="1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0"/>
      <c r="B8" s="16" t="s">
        <v>20</v>
      </c>
      <c r="C8" s="10"/>
      <c r="D8" s="13">
        <f t="shared" si="1"/>
        <v>0</v>
      </c>
      <c r="F8" s="120" t="s">
        <v>21</v>
      </c>
      <c r="G8" s="122" t="s">
        <v>119</v>
      </c>
      <c r="H8" s="123"/>
      <c r="I8" s="123"/>
      <c r="J8" s="12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0"/>
      <c r="B9" s="16" t="s">
        <v>23</v>
      </c>
      <c r="C9" s="10"/>
      <c r="D9" s="13">
        <f t="shared" si="1"/>
        <v>0</v>
      </c>
      <c r="F9" s="113"/>
      <c r="G9" s="125"/>
      <c r="H9" s="126"/>
      <c r="I9" s="126"/>
      <c r="J9" s="12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0"/>
      <c r="B10" t="s">
        <v>25</v>
      </c>
      <c r="C10" s="10"/>
      <c r="D10" s="13">
        <f t="shared" si="1"/>
        <v>0</v>
      </c>
      <c r="F10" s="112" t="s">
        <v>26</v>
      </c>
      <c r="G10" s="128" t="s">
        <v>135</v>
      </c>
      <c r="H10" s="129"/>
      <c r="I10" s="129"/>
      <c r="J10" s="130"/>
      <c r="K10" s="8"/>
      <c r="L10" s="6">
        <f>R36</f>
        <v>972</v>
      </c>
      <c r="P10" s="4"/>
      <c r="Q10" s="4"/>
      <c r="R10" s="5"/>
    </row>
    <row r="11" spans="1:18" ht="15.75" x14ac:dyDescent="0.25">
      <c r="A11" s="110"/>
      <c r="B11" s="17" t="s">
        <v>28</v>
      </c>
      <c r="C11" s="10"/>
      <c r="D11" s="13">
        <f t="shared" si="1"/>
        <v>0</v>
      </c>
      <c r="F11" s="113"/>
      <c r="G11" s="125"/>
      <c r="H11" s="126"/>
      <c r="I11" s="126"/>
      <c r="J11" s="12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0"/>
      <c r="B12" s="17" t="s">
        <v>30</v>
      </c>
      <c r="C12" s="10"/>
      <c r="D12" s="48">
        <f t="shared" si="1"/>
        <v>0</v>
      </c>
      <c r="F12" s="131" t="s">
        <v>33</v>
      </c>
      <c r="G12" s="132"/>
      <c r="H12" s="132"/>
      <c r="I12" s="132"/>
      <c r="J12" s="13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0"/>
      <c r="B13" s="17" t="s">
        <v>32</v>
      </c>
      <c r="C13" s="10"/>
      <c r="D13" s="48">
        <f t="shared" si="1"/>
        <v>0</v>
      </c>
      <c r="F13" s="134" t="s">
        <v>36</v>
      </c>
      <c r="G13" s="135"/>
      <c r="H13" s="136">
        <f>D29</f>
        <v>0</v>
      </c>
      <c r="I13" s="137"/>
      <c r="J13" s="13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0"/>
      <c r="B14" s="14" t="s">
        <v>35</v>
      </c>
      <c r="C14" s="10"/>
      <c r="D14" s="31">
        <f t="shared" si="1"/>
        <v>0</v>
      </c>
      <c r="F14" s="139" t="s">
        <v>39</v>
      </c>
      <c r="G14" s="140"/>
      <c r="H14" s="141">
        <f>D54</f>
        <v>0</v>
      </c>
      <c r="I14" s="142"/>
      <c r="J14" s="14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0"/>
      <c r="B15" s="14" t="s">
        <v>38</v>
      </c>
      <c r="C15" s="10"/>
      <c r="D15" s="31">
        <f t="shared" si="1"/>
        <v>0</v>
      </c>
      <c r="F15" s="144" t="s">
        <v>40</v>
      </c>
      <c r="G15" s="135"/>
      <c r="H15" s="145">
        <f>H13-H14</f>
        <v>0</v>
      </c>
      <c r="I15" s="146"/>
      <c r="J15" s="14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0"/>
      <c r="B17" t="s">
        <v>113</v>
      </c>
      <c r="C17" s="10"/>
      <c r="D17" s="48">
        <f t="shared" si="1"/>
        <v>0</v>
      </c>
      <c r="F17" s="56"/>
      <c r="G17" s="66" t="s">
        <v>45</v>
      </c>
      <c r="H17" s="121"/>
      <c r="I17" s="121"/>
      <c r="J17" s="12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1"/>
      <c r="I18" s="121"/>
      <c r="J18" s="12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0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0"/>
      <c r="B23" s="14" t="s">
        <v>107</v>
      </c>
      <c r="C23" s="10"/>
      <c r="D23" s="48">
        <f t="shared" si="1"/>
        <v>0</v>
      </c>
      <c r="F23" s="78"/>
      <c r="G23" s="79"/>
      <c r="H23" s="172"/>
      <c r="I23" s="173"/>
      <c r="J23" s="17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0"/>
      <c r="B24" s="14" t="s">
        <v>101</v>
      </c>
      <c r="C24" s="10"/>
      <c r="D24" s="48">
        <f t="shared" si="1"/>
        <v>0</v>
      </c>
      <c r="F24" s="38"/>
      <c r="G24" s="37"/>
      <c r="H24" s="172"/>
      <c r="I24" s="173"/>
      <c r="J24" s="17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4" t="s">
        <v>13</v>
      </c>
      <c r="I25" s="175"/>
      <c r="J25" s="17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0"/>
      <c r="B26" s="14" t="s">
        <v>105</v>
      </c>
      <c r="C26" s="10"/>
      <c r="D26" s="48">
        <f t="shared" si="1"/>
        <v>0</v>
      </c>
      <c r="F26" s="64"/>
      <c r="G26" s="59"/>
      <c r="H26" s="177"/>
      <c r="I26" s="178"/>
      <c r="J26" s="17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0"/>
      <c r="B27" s="14" t="s">
        <v>109</v>
      </c>
      <c r="C27" s="10"/>
      <c r="D27" s="44">
        <f t="shared" si="1"/>
        <v>0</v>
      </c>
      <c r="F27" s="25"/>
      <c r="G27" s="80"/>
      <c r="H27" s="180"/>
      <c r="I27" s="181"/>
      <c r="J27" s="18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1"/>
      <c r="B28" s="46" t="s">
        <v>97</v>
      </c>
      <c r="C28" s="10"/>
      <c r="D28" s="48">
        <f t="shared" si="1"/>
        <v>0</v>
      </c>
      <c r="F28" s="93"/>
      <c r="G28" s="61"/>
      <c r="H28" s="183"/>
      <c r="I28" s="184"/>
      <c r="J28" s="18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157" t="s">
        <v>55</v>
      </c>
      <c r="G29" s="158"/>
      <c r="H29" s="161">
        <f>H15-H16-H17-H18-H19-H20-H22-H23-H24+H26+H27</f>
        <v>0</v>
      </c>
      <c r="I29" s="162"/>
      <c r="J29" s="16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159"/>
      <c r="G30" s="160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6" t="s">
        <v>58</v>
      </c>
      <c r="B32" s="97"/>
      <c r="C32" s="97"/>
      <c r="D32" s="98"/>
      <c r="F32" s="186" t="s">
        <v>59</v>
      </c>
      <c r="G32" s="187"/>
      <c r="H32" s="187"/>
      <c r="I32" s="187"/>
      <c r="J32" s="18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86" t="s">
        <v>13</v>
      </c>
      <c r="I33" s="187"/>
      <c r="J33" s="18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9">
        <f>F34*G34</f>
        <v>0</v>
      </c>
      <c r="I34" s="190"/>
      <c r="J34" s="19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0"/>
      <c r="B35" s="27" t="s">
        <v>68</v>
      </c>
      <c r="C35" s="52"/>
      <c r="D35" s="30">
        <f>C35*84</f>
        <v>0</v>
      </c>
      <c r="F35" s="58">
        <v>500</v>
      </c>
      <c r="G35" s="41"/>
      <c r="H35" s="189">
        <f>F35*G35</f>
        <v>0</v>
      </c>
      <c r="I35" s="190"/>
      <c r="J35" s="19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1"/>
      <c r="B36" s="26" t="s">
        <v>70</v>
      </c>
      <c r="C36" s="10"/>
      <c r="D36" s="12">
        <f>C36*1.5</f>
        <v>0</v>
      </c>
      <c r="F36" s="12">
        <v>200</v>
      </c>
      <c r="G36" s="37"/>
      <c r="H36" s="189">
        <f t="shared" ref="H36:H39" si="2">F36*G36</f>
        <v>0</v>
      </c>
      <c r="I36" s="190"/>
      <c r="J36" s="19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9">
        <f t="shared" si="2"/>
        <v>0</v>
      </c>
      <c r="I37" s="190"/>
      <c r="J37" s="19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0"/>
      <c r="B38" s="29" t="s">
        <v>68</v>
      </c>
      <c r="C38" s="54"/>
      <c r="D38" s="12">
        <f>C38*84</f>
        <v>0</v>
      </c>
      <c r="F38" s="30">
        <v>50</v>
      </c>
      <c r="G38" s="39"/>
      <c r="H38" s="189">
        <f t="shared" si="2"/>
        <v>0</v>
      </c>
      <c r="I38" s="190"/>
      <c r="J38" s="19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1"/>
      <c r="B39" s="29" t="s">
        <v>70</v>
      </c>
      <c r="C39" s="52"/>
      <c r="D39" s="31">
        <f>C39*4.5</f>
        <v>0</v>
      </c>
      <c r="F39" s="12">
        <v>20</v>
      </c>
      <c r="G39" s="37"/>
      <c r="H39" s="189">
        <f t="shared" si="2"/>
        <v>0</v>
      </c>
      <c r="I39" s="190"/>
      <c r="J39" s="19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9"/>
      <c r="I40" s="190"/>
      <c r="J40" s="19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0"/>
      <c r="B41" s="27" t="s">
        <v>68</v>
      </c>
      <c r="C41" s="10"/>
      <c r="D41" s="12">
        <f>C41*84</f>
        <v>0</v>
      </c>
      <c r="F41" s="12">
        <v>5</v>
      </c>
      <c r="G41" s="42"/>
      <c r="H41" s="189"/>
      <c r="I41" s="190"/>
      <c r="J41" s="19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1"/>
      <c r="B42" s="27" t="s">
        <v>70</v>
      </c>
      <c r="C42" s="11"/>
      <c r="D42" s="12">
        <f>C42*2.25</f>
        <v>0</v>
      </c>
      <c r="F42" s="39" t="s">
        <v>79</v>
      </c>
      <c r="G42" s="189"/>
      <c r="H42" s="190"/>
      <c r="I42" s="190"/>
      <c r="J42" s="19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2" t="s">
        <v>81</v>
      </c>
      <c r="C43" s="11"/>
      <c r="D43" s="12"/>
      <c r="F43" s="59" t="s">
        <v>82</v>
      </c>
      <c r="G43" s="90" t="s">
        <v>83</v>
      </c>
      <c r="H43" s="195" t="s">
        <v>13</v>
      </c>
      <c r="I43" s="196"/>
      <c r="J43" s="197"/>
      <c r="K43" s="21"/>
      <c r="P43" s="4"/>
      <c r="Q43" s="4"/>
      <c r="R43" s="5"/>
    </row>
    <row r="44" spans="1:18" ht="15.75" x14ac:dyDescent="0.25">
      <c r="A44" s="193"/>
      <c r="B44" s="27" t="s">
        <v>66</v>
      </c>
      <c r="C44" s="10"/>
      <c r="D44" s="12">
        <f>C44*120</f>
        <v>0</v>
      </c>
      <c r="F44" s="37"/>
      <c r="G44" s="76"/>
      <c r="H44" s="173"/>
      <c r="I44" s="173"/>
      <c r="J44" s="173"/>
      <c r="K44" s="21"/>
      <c r="P44" s="4"/>
      <c r="Q44" s="4"/>
      <c r="R44" s="5"/>
    </row>
    <row r="45" spans="1:18" ht="15.75" x14ac:dyDescent="0.25">
      <c r="A45" s="193"/>
      <c r="B45" s="27" t="s">
        <v>68</v>
      </c>
      <c r="C45" s="33"/>
      <c r="D45" s="12">
        <f>C45*84</f>
        <v>0</v>
      </c>
      <c r="F45" s="37"/>
      <c r="G45" s="76"/>
      <c r="H45" s="173"/>
      <c r="I45" s="173"/>
      <c r="J45" s="173"/>
      <c r="K45" s="21"/>
      <c r="P45" s="4"/>
      <c r="Q45" s="4"/>
      <c r="R45" s="5"/>
    </row>
    <row r="46" spans="1:18" ht="15.75" x14ac:dyDescent="0.25">
      <c r="A46" s="193"/>
      <c r="B46" s="49" t="s">
        <v>70</v>
      </c>
      <c r="C46" s="81"/>
      <c r="D46" s="12">
        <f>C46*1.5</f>
        <v>0</v>
      </c>
      <c r="F46" s="37"/>
      <c r="G46" s="62"/>
      <c r="H46" s="198"/>
      <c r="I46" s="198"/>
      <c r="J46" s="198"/>
      <c r="K46" s="21"/>
      <c r="P46" s="4"/>
      <c r="Q46" s="4"/>
      <c r="R46" s="5"/>
    </row>
    <row r="47" spans="1:18" ht="15.75" x14ac:dyDescent="0.25">
      <c r="A47" s="194"/>
      <c r="B47" s="27"/>
      <c r="C47" s="11"/>
      <c r="D47" s="12"/>
      <c r="F47" s="59"/>
      <c r="G47" s="59"/>
      <c r="H47" s="199"/>
      <c r="I47" s="200"/>
      <c r="J47" s="201"/>
      <c r="K47" s="21"/>
      <c r="P47" s="4"/>
      <c r="Q47" s="4"/>
      <c r="R47" s="5"/>
    </row>
    <row r="48" spans="1:18" ht="15" customHeight="1" x14ac:dyDescent="0.25">
      <c r="A48" s="192" t="s">
        <v>32</v>
      </c>
      <c r="B48" s="27" t="s">
        <v>66</v>
      </c>
      <c r="C48" s="10"/>
      <c r="D48" s="12">
        <f>C48*78</f>
        <v>0</v>
      </c>
      <c r="F48" s="59"/>
      <c r="G48" s="59"/>
      <c r="H48" s="199"/>
      <c r="I48" s="200"/>
      <c r="J48" s="20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3"/>
      <c r="B49" s="29" t="s">
        <v>68</v>
      </c>
      <c r="C49" s="33"/>
      <c r="D49" s="12">
        <f>C49*42</f>
        <v>0</v>
      </c>
      <c r="F49" s="214" t="s">
        <v>86</v>
      </c>
      <c r="G49" s="161">
        <f>H34+H35+H36+H37+H38+H39+H40+H41+G42+H44+H45+H46</f>
        <v>0</v>
      </c>
      <c r="H49" s="162"/>
      <c r="I49" s="162"/>
      <c r="J49" s="16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3"/>
      <c r="B50" s="32" t="s">
        <v>70</v>
      </c>
      <c r="C50" s="11"/>
      <c r="D50" s="12">
        <f>C50*1.5</f>
        <v>0</v>
      </c>
      <c r="F50" s="215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93"/>
      <c r="B51" s="27"/>
      <c r="C51" s="10"/>
      <c r="D51" s="31"/>
      <c r="F51" s="216" t="s">
        <v>140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3"/>
      <c r="B52" s="29"/>
      <c r="C52" s="33"/>
      <c r="D52" s="45"/>
      <c r="F52" s="217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7" t="s">
        <v>90</v>
      </c>
      <c r="B54" s="202"/>
      <c r="C54" s="203"/>
      <c r="D54" s="206">
        <f>SUM(D34:D53)</f>
        <v>0</v>
      </c>
      <c r="F54" s="21"/>
      <c r="J54" s="34"/>
    </row>
    <row r="55" spans="1:18" x14ac:dyDescent="0.25">
      <c r="A55" s="159"/>
      <c r="B55" s="204"/>
      <c r="C55" s="205"/>
      <c r="D55" s="2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08" t="s">
        <v>91</v>
      </c>
      <c r="B58" s="209"/>
      <c r="C58" s="209"/>
      <c r="D58" s="210"/>
      <c r="F58" s="208" t="s">
        <v>92</v>
      </c>
      <c r="G58" s="209"/>
      <c r="H58" s="209"/>
      <c r="I58" s="209"/>
      <c r="J58" s="210"/>
    </row>
    <row r="59" spans="1:18" x14ac:dyDescent="0.25">
      <c r="A59" s="211"/>
      <c r="B59" s="212"/>
      <c r="C59" s="212"/>
      <c r="D59" s="213"/>
      <c r="F59" s="211"/>
      <c r="G59" s="212"/>
      <c r="H59" s="212"/>
      <c r="I59" s="212"/>
      <c r="J59" s="2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2025-11-26T00:15:46Z</cp:lastPrinted>
  <dcterms:created xsi:type="dcterms:W3CDTF">2024-09-01T23:36:50Z</dcterms:created>
  <dcterms:modified xsi:type="dcterms:W3CDTF">2025-11-26T01:15:37Z</dcterms:modified>
</cp:coreProperties>
</file>